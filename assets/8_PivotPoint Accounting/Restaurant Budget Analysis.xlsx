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defaultThemeVersion="124226"/>
  <xr:revisionPtr revIDLastSave="0" documentId="8_{8A5A5A6E-7991-474E-A90E-A8B73A94DF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get" sheetId="5" r:id="rId1"/>
    <sheet name="Q2. Utilities Regression" sheetId="11" r:id="rId2"/>
    <sheet name="Q3. Break-Even Analysis" sheetId="13" r:id="rId3"/>
    <sheet name="Q4. Target Profit" sheetId="12" r:id="rId4"/>
    <sheet name="Updated Budget" sheetId="10" r:id="rId5"/>
    <sheet name="Q8. Break Even Analysis-II" sheetId="14" r:id="rId6"/>
    <sheet name="Q9. Target Profit - II" sheetId="15" r:id="rId7"/>
    <sheet name="Q10. Special Consideration" sheetId="16" r:id="rId8"/>
    <sheet name="Q11. Outsourcing Analysis" sheetId="17" r:id="rId9"/>
  </sheets>
  <definedNames>
    <definedName name="_xlnm.Print_Area" localSheetId="0">Budget!$A$1:$Q$54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7" l="1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3" i="17"/>
  <c r="B13" i="16"/>
  <c r="B17" i="16"/>
  <c r="B21" i="16"/>
  <c r="B31" i="16"/>
  <c r="B12" i="16"/>
  <c r="B29" i="16"/>
  <c r="B27" i="16"/>
  <c r="B19" i="16"/>
  <c r="B20" i="16" s="1"/>
  <c r="B15" i="16"/>
  <c r="B16" i="16" s="1"/>
  <c r="B11" i="16"/>
  <c r="B8" i="16"/>
  <c r="B25" i="16"/>
  <c r="B24" i="16"/>
  <c r="B6" i="16"/>
  <c r="B5" i="16"/>
  <c r="B33" i="15"/>
  <c r="B16" i="15"/>
  <c r="B22" i="15" s="1"/>
  <c r="B32" i="15"/>
  <c r="B7" i="15"/>
  <c r="B16" i="14"/>
  <c r="N21" i="10"/>
  <c r="O21" i="10"/>
  <c r="M21" i="10"/>
  <c r="M17" i="10"/>
  <c r="B7" i="14"/>
  <c r="B23" i="16" l="1"/>
  <c r="B22" i="16"/>
  <c r="B23" i="15"/>
  <c r="B34" i="15" s="1"/>
  <c r="B35" i="15" s="1"/>
  <c r="B17" i="14"/>
  <c r="B18" i="14" s="1"/>
  <c r="Q31" i="10"/>
  <c r="Q11" i="10"/>
  <c r="Q29" i="10"/>
  <c r="Q27" i="10"/>
  <c r="R17" i="10"/>
  <c r="R18" i="10"/>
  <c r="R19" i="10"/>
  <c r="R20" i="10"/>
  <c r="R21" i="10"/>
  <c r="R22" i="10"/>
  <c r="R23" i="10"/>
  <c r="R24" i="10"/>
  <c r="R25" i="10"/>
  <c r="Q17" i="10"/>
  <c r="Q18" i="10"/>
  <c r="Q19" i="10"/>
  <c r="Q20" i="10"/>
  <c r="Q21" i="10"/>
  <c r="Q22" i="10"/>
  <c r="Q23" i="10"/>
  <c r="Q24" i="10"/>
  <c r="Q25" i="10"/>
  <c r="R12" i="10"/>
  <c r="R13" i="10"/>
  <c r="R14" i="10"/>
  <c r="Q12" i="10"/>
  <c r="Q13" i="10"/>
  <c r="Q14" i="10"/>
  <c r="R11" i="10"/>
  <c r="R10" i="10"/>
  <c r="Q10" i="10"/>
  <c r="P14" i="10"/>
  <c r="P25" i="10"/>
  <c r="P24" i="10"/>
  <c r="P23" i="10"/>
  <c r="P22" i="10"/>
  <c r="P21" i="10"/>
  <c r="P20" i="10"/>
  <c r="P19" i="10"/>
  <c r="P18" i="10"/>
  <c r="P17" i="10"/>
  <c r="P13" i="10"/>
  <c r="P12" i="10"/>
  <c r="P11" i="10"/>
  <c r="P10" i="10"/>
  <c r="O20" i="10"/>
  <c r="N20" i="10"/>
  <c r="M20" i="10"/>
  <c r="O25" i="10"/>
  <c r="O19" i="10"/>
  <c r="O18" i="10"/>
  <c r="O17" i="10"/>
  <c r="N25" i="10"/>
  <c r="N19" i="10"/>
  <c r="N18" i="10"/>
  <c r="N17" i="10"/>
  <c r="M25" i="10"/>
  <c r="M19" i="10"/>
  <c r="M18" i="10"/>
  <c r="O13" i="10"/>
  <c r="M12" i="10"/>
  <c r="O11" i="10"/>
  <c r="O12" i="10" s="1"/>
  <c r="O14" i="10" s="1"/>
  <c r="N11" i="10"/>
  <c r="N13" i="10" s="1"/>
  <c r="M11" i="10"/>
  <c r="M13" i="10" s="1"/>
  <c r="B35" i="12"/>
  <c r="B34" i="12"/>
  <c r="B33" i="12"/>
  <c r="B32" i="12"/>
  <c r="B18" i="13"/>
  <c r="B19" i="13" s="1"/>
  <c r="B23" i="12"/>
  <c r="B22" i="12"/>
  <c r="B15" i="12"/>
  <c r="B17" i="12" s="1"/>
  <c r="B7" i="12"/>
  <c r="B15" i="13"/>
  <c r="B17" i="13" s="1"/>
  <c r="B7" i="13"/>
  <c r="P27" i="10" l="1"/>
  <c r="P29" i="10" s="1"/>
  <c r="P31" i="10" s="1"/>
  <c r="N27" i="10"/>
  <c r="N29" i="10" s="1"/>
  <c r="O27" i="10"/>
  <c r="O29" i="10" s="1"/>
  <c r="M27" i="10"/>
  <c r="M14" i="10"/>
  <c r="N12" i="10"/>
  <c r="N14" i="10" s="1"/>
  <c r="R27" i="10" l="1"/>
  <c r="R29" i="10" s="1"/>
  <c r="R31" i="10" s="1"/>
  <c r="M29" i="10"/>
  <c r="E13" i="5"/>
  <c r="E12" i="5"/>
  <c r="D25" i="5"/>
  <c r="N11" i="5"/>
  <c r="Q6" i="10" l="1"/>
  <c r="R6" i="10"/>
  <c r="Q5" i="10"/>
  <c r="R5" i="10"/>
  <c r="R4" i="10"/>
  <c r="Q4" i="10"/>
  <c r="M27" i="5"/>
  <c r="L29" i="10"/>
  <c r="K29" i="10"/>
  <c r="J29" i="10"/>
  <c r="I29" i="10"/>
  <c r="H29" i="10"/>
  <c r="G29" i="10"/>
  <c r="F29" i="10"/>
  <c r="E29" i="10"/>
  <c r="D29" i="10"/>
  <c r="E27" i="5"/>
  <c r="F27" i="5"/>
  <c r="G27" i="5"/>
  <c r="H27" i="5"/>
  <c r="I27" i="5"/>
  <c r="J27" i="5"/>
  <c r="K27" i="5"/>
  <c r="L27" i="5"/>
  <c r="N27" i="5"/>
  <c r="O27" i="5"/>
  <c r="D27" i="5"/>
  <c r="P6" i="10"/>
  <c r="P4" i="10"/>
  <c r="P5" i="10"/>
  <c r="F52" i="10"/>
  <c r="O6" i="10"/>
  <c r="N6" i="10"/>
  <c r="M6" i="10"/>
  <c r="F51" i="10"/>
  <c r="F50" i="10"/>
  <c r="F49" i="10"/>
  <c r="C45" i="10"/>
  <c r="C41" i="10"/>
  <c r="L6" i="10"/>
  <c r="K6" i="10"/>
  <c r="J6" i="10"/>
  <c r="I6" i="10"/>
  <c r="H6" i="10"/>
  <c r="G6" i="10"/>
  <c r="F6" i="10"/>
  <c r="E6" i="10"/>
  <c r="D6" i="10"/>
  <c r="D52" i="10" s="1"/>
  <c r="P25" i="5"/>
  <c r="P27" i="5" s="1"/>
  <c r="P29" i="5" s="1"/>
  <c r="E25" i="5"/>
  <c r="F25" i="5"/>
  <c r="G25" i="5"/>
  <c r="H25" i="5"/>
  <c r="I25" i="5"/>
  <c r="J25" i="5"/>
  <c r="K25" i="5"/>
  <c r="L25" i="5"/>
  <c r="M25" i="5"/>
  <c r="N25" i="5"/>
  <c r="O25" i="5"/>
  <c r="C45" i="5"/>
  <c r="H52" i="10" l="1"/>
  <c r="C32" i="10"/>
  <c r="C41" i="5" l="1"/>
  <c r="D19" i="5" s="1"/>
  <c r="P24" i="5"/>
  <c r="G10" i="5" l="1"/>
  <c r="P10" i="5" l="1"/>
  <c r="L19" i="5" l="1"/>
  <c r="F51" i="5"/>
  <c r="F50" i="5"/>
  <c r="F49" i="5"/>
  <c r="I19" i="5" l="1"/>
  <c r="H19" i="5"/>
  <c r="J19" i="5"/>
  <c r="N19" i="5"/>
  <c r="M19" i="5"/>
  <c r="E19" i="5"/>
  <c r="K19" i="5"/>
  <c r="O19" i="5"/>
  <c r="G19" i="5"/>
  <c r="F19" i="5"/>
  <c r="P5" i="5"/>
  <c r="P4" i="5"/>
  <c r="E6" i="5"/>
  <c r="E11" i="5" s="1"/>
  <c r="F6" i="5"/>
  <c r="F11" i="5" s="1"/>
  <c r="G6" i="5"/>
  <c r="G11" i="5" s="1"/>
  <c r="H6" i="5"/>
  <c r="H11" i="5" s="1"/>
  <c r="I6" i="5"/>
  <c r="I11" i="5" s="1"/>
  <c r="J6" i="5"/>
  <c r="J11" i="5" s="1"/>
  <c r="K6" i="5"/>
  <c r="K11" i="5" s="1"/>
  <c r="L6" i="5"/>
  <c r="L11" i="5" s="1"/>
  <c r="M6" i="5"/>
  <c r="M11" i="5" s="1"/>
  <c r="N6" i="5"/>
  <c r="O6" i="5"/>
  <c r="O11" i="5" s="1"/>
  <c r="D6" i="5"/>
  <c r="J13" i="5" l="1"/>
  <c r="J18" i="5" s="1"/>
  <c r="J12" i="5"/>
  <c r="J17" i="5" s="1"/>
  <c r="D52" i="5"/>
  <c r="F52" i="5" s="1"/>
  <c r="D20" i="5" s="1"/>
  <c r="D11" i="5"/>
  <c r="O12" i="5"/>
  <c r="O17" i="5" s="1"/>
  <c r="O13" i="5"/>
  <c r="G12" i="5"/>
  <c r="G13" i="5"/>
  <c r="I12" i="5"/>
  <c r="I13" i="5"/>
  <c r="I18" i="5" s="1"/>
  <c r="H12" i="5"/>
  <c r="H13" i="5"/>
  <c r="N12" i="5"/>
  <c r="N17" i="5" s="1"/>
  <c r="N13" i="5"/>
  <c r="F13" i="5"/>
  <c r="F18" i="5" s="1"/>
  <c r="F12" i="5"/>
  <c r="M12" i="5"/>
  <c r="M13" i="5"/>
  <c r="M18" i="5" s="1"/>
  <c r="E17" i="5"/>
  <c r="L12" i="5"/>
  <c r="L13" i="5"/>
  <c r="L18" i="5" s="1"/>
  <c r="K13" i="5"/>
  <c r="K18" i="5" s="1"/>
  <c r="K12" i="5"/>
  <c r="G18" i="5"/>
  <c r="E18" i="5"/>
  <c r="H18" i="5"/>
  <c r="P6" i="5"/>
  <c r="C32" i="5"/>
  <c r="D13" i="5" l="1"/>
  <c r="D18" i="5" s="1"/>
  <c r="D12" i="5"/>
  <c r="D17" i="5" s="1"/>
  <c r="P11" i="5"/>
  <c r="H52" i="5"/>
  <c r="I14" i="5"/>
  <c r="I17" i="5"/>
  <c r="K14" i="5"/>
  <c r="K17" i="5"/>
  <c r="O14" i="5"/>
  <c r="O18" i="5"/>
  <c r="N14" i="5"/>
  <c r="N18" i="5"/>
  <c r="F14" i="5"/>
  <c r="F17" i="5"/>
  <c r="M14" i="5"/>
  <c r="M17" i="5"/>
  <c r="L14" i="5"/>
  <c r="L17" i="5"/>
  <c r="G14" i="5"/>
  <c r="G17" i="5"/>
  <c r="H14" i="5"/>
  <c r="H17" i="5"/>
  <c r="E14" i="5"/>
  <c r="J14" i="5"/>
  <c r="P23" i="5"/>
  <c r="P22" i="5"/>
  <c r="P21" i="5"/>
  <c r="P13" i="5" l="1"/>
  <c r="D14" i="5"/>
  <c r="P12" i="5"/>
  <c r="P14" i="5" s="1"/>
  <c r="P17" i="5"/>
  <c r="P18" i="5"/>
  <c r="P19" i="5" l="1"/>
  <c r="G20" i="5" l="1"/>
  <c r="H20" i="5"/>
  <c r="L20" i="5"/>
  <c r="K20" i="5"/>
  <c r="I20" i="5"/>
  <c r="N20" i="5"/>
  <c r="E20" i="5"/>
  <c r="F20" i="5"/>
  <c r="J20" i="5"/>
  <c r="M20" i="5"/>
  <c r="O20" i="5"/>
  <c r="D29" i="5"/>
  <c r="P20" i="5" l="1"/>
  <c r="O29" i="5"/>
  <c r="F29" i="5"/>
  <c r="J29" i="5"/>
  <c r="I29" i="5"/>
  <c r="L29" i="5"/>
  <c r="G29" i="5"/>
  <c r="K29" i="5"/>
  <c r="N29" i="5"/>
  <c r="M29" i="5"/>
  <c r="H29" i="5"/>
  <c r="E29" i="5" l="1"/>
</calcChain>
</file>

<file path=xl/sharedStrings.xml><?xml version="1.0" encoding="utf-8"?>
<sst xmlns="http://schemas.openxmlformats.org/spreadsheetml/2006/main" count="305" uniqueCount="134">
  <si>
    <t>Restaurant Monthly Cash Budget</t>
  </si>
  <si>
    <t>Month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</si>
  <si>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</si>
  <si>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</si>
  <si>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</si>
  <si>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</si>
  <si>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</si>
  <si>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</si>
  <si>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</si>
  <si>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</si>
  <si>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</si>
  <si>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</si>
  <si>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</si>
  <si>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</si>
  <si>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</t>
  </si>
  <si>
    <t>Period start date</t>
  </si>
  <si>
    <t>Period end date</t>
  </si>
  <si>
    <t>Days in month</t>
  </si>
  <si>
    <t>Revenue</t>
  </si>
  <si>
    <t>Forecast restaurant capacity utilization</t>
  </si>
  <si>
    <t>Customers</t>
  </si>
  <si>
    <t>Food</t>
  </si>
  <si>
    <t>Beverages</t>
  </si>
  <si>
    <t>Total Revenue</t>
  </si>
  <si>
    <t>Expenses</t>
  </si>
  <si>
    <t>Food Supplies</t>
  </si>
  <si>
    <t>Beverage Supplies</t>
  </si>
  <si>
    <t>Rent</t>
  </si>
  <si>
    <t>Wages*</t>
  </si>
  <si>
    <t>Utilities</t>
  </si>
  <si>
    <t>Maintenance</t>
  </si>
  <si>
    <t>Marketing</t>
  </si>
  <si>
    <t>Other Operating</t>
  </si>
  <si>
    <t>Loan Repayments</t>
  </si>
  <si>
    <t>Total Expenses</t>
  </si>
  <si>
    <t>Net Income</t>
  </si>
  <si>
    <t>Assumptions:</t>
  </si>
  <si>
    <t>Notes:</t>
  </si>
  <si>
    <t>Number of trading days</t>
  </si>
  <si>
    <t>Open every day of the year</t>
  </si>
  <si>
    <t>Opening hours</t>
  </si>
  <si>
    <t>12 hours a day</t>
  </si>
  <si>
    <t>Seats at restaurant</t>
  </si>
  <si>
    <t>*Note - this is pre social distancing regulations</t>
  </si>
  <si>
    <t>Sittings per day</t>
  </si>
  <si>
    <t>1 lunch, 2 dinner per table</t>
  </si>
  <si>
    <t>Average Food Price</t>
  </si>
  <si>
    <t>Average Drink Price</t>
  </si>
  <si>
    <t>Average cost of food supplies</t>
  </si>
  <si>
    <t>Average cost of beverage supplies</t>
  </si>
  <si>
    <t>100sqm restaurant space * $2000 per sqm per annum</t>
  </si>
  <si>
    <t>Bank loan for initial fit-out</t>
  </si>
  <si>
    <t>Interest rate</t>
  </si>
  <si>
    <t>Loan term</t>
  </si>
  <si>
    <t>months</t>
  </si>
  <si>
    <t>Wage Expense *</t>
  </si>
  <si>
    <t>For simplicity we have kept the roster constant in all months - wages will act as a fixed cost in this example</t>
  </si>
  <si>
    <t>Staff Member</t>
  </si>
  <si>
    <t>Number of staff</t>
  </si>
  <si>
    <t>Total Hrs:</t>
  </si>
  <si>
    <t>Rate</t>
  </si>
  <si>
    <t>Expense per month</t>
  </si>
  <si>
    <t>Per Year</t>
  </si>
  <si>
    <t>Head Chef (Full Time)</t>
  </si>
  <si>
    <t>Chef (Full Time)</t>
  </si>
  <si>
    <t>Wait staff (Part-time)</t>
  </si>
  <si>
    <t>Wait Staff (Casual)</t>
  </si>
  <si>
    <t>Q3</t>
  </si>
  <si>
    <t>Q4</t>
  </si>
  <si>
    <t>Loan repayments</t>
  </si>
  <si>
    <t>*Note - this is after social distancing regulations</t>
  </si>
  <si>
    <t>$2000 per sqm per annum</t>
  </si>
  <si>
    <t>Do not adjust the capacity forecast.</t>
  </si>
  <si>
    <t>Monthly Total Utilities</t>
  </si>
  <si>
    <t>Y</t>
  </si>
  <si>
    <t>X</t>
  </si>
  <si>
    <t>Number of Customers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</si>
  <si>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</si>
  <si>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</si>
  <si>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</si>
  <si>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</si>
  <si>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</si>
  <si>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</si>
  <si>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</si>
  <si>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</si>
  <si>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</si>
  <si>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</si>
  <si>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</si>
  <si>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</si>
  <si>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</si>
  <si>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</si>
  <si>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</si>
  <si>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</si>
  <si>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</si>
  <si>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</si>
  <si>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</si>
  <si>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</si>
  <si>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</si>
  <si>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</si>
  <si>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</si>
  <si>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</si>
  <si>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CM</t>
  </si>
  <si>
    <t>Fixed Costs per month</t>
  </si>
  <si>
    <t>Utilities for this Year</t>
  </si>
  <si>
    <t>Fixed cost for this year</t>
  </si>
  <si>
    <t>Number of customers - Break Even</t>
  </si>
  <si>
    <t>From the Question</t>
  </si>
  <si>
    <t>Profit per year</t>
  </si>
  <si>
    <t>Quantity</t>
  </si>
  <si>
    <t>Rounding up because you cannot have a fraction of a customer</t>
  </si>
  <si>
    <t>Total Seating Capacity per day</t>
  </si>
  <si>
    <t>Total Seating Capacity per year</t>
  </si>
  <si>
    <t xml:space="preserve">Target Customers to be served </t>
  </si>
  <si>
    <t>Percentage of capacity required to meet the target</t>
  </si>
  <si>
    <t>PM</t>
  </si>
  <si>
    <t>Fixed cost for this Quarter</t>
  </si>
  <si>
    <t>Total Seating Capacity per Quarter</t>
  </si>
  <si>
    <t>Profit per quarter</t>
  </si>
  <si>
    <t>Discounted Food Price</t>
  </si>
  <si>
    <t>Discounted Drink Price</t>
  </si>
  <si>
    <t>Cost of Food</t>
  </si>
  <si>
    <t>Cost of Drink</t>
  </si>
  <si>
    <t>Expected revenue without discount for lunch siting for 25 people</t>
  </si>
  <si>
    <t xml:space="preserve">April </t>
  </si>
  <si>
    <t>Customer</t>
  </si>
  <si>
    <t>Total Revenue without deal</t>
  </si>
  <si>
    <t xml:space="preserve">Total Revenue per customer with discount </t>
  </si>
  <si>
    <t>Total lunch revenue per sitting</t>
  </si>
  <si>
    <t>Lunch sitting revenue over three months</t>
  </si>
  <si>
    <t>revenue for one lunch sitting</t>
  </si>
  <si>
    <t>Total Revenue without deal for 3 lunch sittings</t>
  </si>
  <si>
    <t>Orders</t>
  </si>
  <si>
    <t>Cost of Delivery (Delivery Driver)</t>
  </si>
  <si>
    <t>Cost of Delivery (UberEATS)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</si>
</sst>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&quot;$&quot;#,##0;[Red]\-&quot;$&quot;#,##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"/>
    <numFmt numFmtId="168" formatCode="&quot;$&quot;#,##0.00"/>
    <numFmt numFmtId="169" formatCode="0.000%"/>
    <numFmt numFmtId="170" formatCode="0.0%"/>
    <numFmt numFmtId="171" formatCode="&quot;$&quot;#,##0.0_);[Red]\(&quot;$&quot;#,##0.0\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112">
    <xf numFmtId="0" fontId="0" fillId="0" borderId="0" xfId="0"/>
    <xf numFmtId="0" fontId="4" fillId="0" borderId="0" xfId="0" applyFont="1" applyProtection="1">
      <protection hidden="1"/>
    </xf>
    <xf numFmtId="0" fontId="4" fillId="0" borderId="0" xfId="0" applyFont="1" applyAlignment="1" applyProtection="1">
      <alignment horizontal="right"/>
      <protection hidden="1"/>
    </xf>
    <xf numFmtId="0" fontId="4" fillId="0" borderId="0" xfId="0" applyFont="1" applyAlignment="1" applyProtection="1">
      <alignment horizontal="left"/>
      <protection hidden="1"/>
    </xf>
    <xf numFmtId="168" fontId="4" fillId="0" borderId="0" xfId="0" applyNumberFormat="1" applyFont="1" applyAlignment="1" applyProtection="1">
      <alignment horizontal="center"/>
      <protection hidden="1"/>
    </xf>
    <xf numFmtId="9" fontId="5" fillId="0" borderId="0" xfId="0" applyNumberFormat="1" applyFont="1" applyAlignment="1" applyProtection="1">
      <alignment horizontal="center"/>
      <protection hidden="1"/>
    </xf>
    <xf numFmtId="9" fontId="6" fillId="0" borderId="0" xfId="0" applyNumberFormat="1" applyFont="1" applyProtection="1">
      <protection hidden="1"/>
    </xf>
    <xf numFmtId="0" fontId="6" fillId="0" borderId="0" xfId="0" applyFont="1" applyProtection="1">
      <protection hidden="1"/>
    </xf>
    <xf numFmtId="3" fontId="6" fillId="0" borderId="0" xfId="0" applyNumberFormat="1" applyFont="1" applyProtection="1">
      <protection hidden="1"/>
    </xf>
    <xf numFmtId="9" fontId="5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169" fontId="6" fillId="0" borderId="0" xfId="0" applyNumberFormat="1" applyFont="1" applyProtection="1">
      <protection hidden="1"/>
    </xf>
    <xf numFmtId="9" fontId="4" fillId="0" borderId="0" xfId="0" applyNumberFormat="1" applyFont="1" applyAlignment="1" applyProtection="1">
      <alignment horizontal="center"/>
      <protection hidden="1"/>
    </xf>
    <xf numFmtId="10" fontId="6" fillId="0" borderId="0" xfId="0" applyNumberFormat="1" applyFont="1" applyProtection="1">
      <protection hidden="1"/>
    </xf>
    <xf numFmtId="3" fontId="5" fillId="0" borderId="0" xfId="0" applyNumberFormat="1" applyFont="1" applyProtection="1">
      <protection hidden="1"/>
    </xf>
    <xf numFmtId="2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2" fontId="4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vertical="center" wrapText="1"/>
      <protection hidden="1"/>
    </xf>
    <xf numFmtId="167" fontId="4" fillId="0" borderId="0" xfId="0" applyNumberFormat="1" applyFont="1" applyAlignment="1" applyProtection="1">
      <alignment horizontal="center"/>
      <protection hidden="1"/>
    </xf>
    <xf numFmtId="167" fontId="6" fillId="0" borderId="0" xfId="0" applyNumberFormat="1" applyFont="1" applyProtection="1">
      <protection hidden="1"/>
    </xf>
    <xf numFmtId="167" fontId="6" fillId="0" borderId="0" xfId="0" applyNumberFormat="1" applyFont="1" applyAlignment="1" applyProtection="1">
      <alignment horizontal="center"/>
      <protection hidden="1"/>
    </xf>
    <xf numFmtId="168" fontId="6" fillId="0" borderId="0" xfId="0" applyNumberFormat="1" applyFont="1" applyAlignment="1" applyProtection="1">
      <alignment horizontal="center"/>
      <protection hidden="1"/>
    </xf>
    <xf numFmtId="1" fontId="6" fillId="0" borderId="0" xfId="0" applyNumberFormat="1" applyFont="1" applyAlignment="1" applyProtection="1">
      <alignment horizontal="center"/>
      <protection hidden="1"/>
    </xf>
    <xf numFmtId="2" fontId="5" fillId="0" borderId="0" xfId="0" applyNumberFormat="1" applyFont="1" applyProtection="1">
      <protection hidden="1"/>
    </xf>
    <xf numFmtId="3" fontId="4" fillId="0" borderId="0" xfId="0" applyNumberFormat="1" applyFont="1" applyProtection="1">
      <protection hidden="1"/>
    </xf>
    <xf numFmtId="14" fontId="4" fillId="0" borderId="0" xfId="0" applyNumberFormat="1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9" fontId="4" fillId="0" borderId="0" xfId="0" applyNumberFormat="1" applyFont="1" applyProtection="1">
      <protection hidden="1"/>
    </xf>
    <xf numFmtId="164" fontId="4" fillId="0" borderId="0" xfId="0" applyNumberFormat="1" applyFont="1" applyProtection="1">
      <protection hidden="1"/>
    </xf>
    <xf numFmtId="44" fontId="4" fillId="0" borderId="0" xfId="1" applyFont="1" applyBorder="1" applyProtection="1">
      <protection hidden="1"/>
    </xf>
    <xf numFmtId="168" fontId="4" fillId="0" borderId="0" xfId="1" applyNumberFormat="1" applyFont="1" applyBorder="1" applyProtection="1">
      <protection hidden="1"/>
    </xf>
    <xf numFmtId="0" fontId="10" fillId="0" borderId="0" xfId="0" applyFont="1" applyProtection="1">
      <protection hidden="1"/>
    </xf>
    <xf numFmtId="14" fontId="4" fillId="0" borderId="0" xfId="0" applyNumberFormat="1" applyFont="1" applyProtection="1">
      <protection hidden="1"/>
    </xf>
    <xf numFmtId="3" fontId="11" fillId="0" borderId="0" xfId="0" applyNumberFormat="1" applyFont="1" applyProtection="1">
      <protection hidden="1"/>
    </xf>
    <xf numFmtId="9" fontId="6" fillId="0" borderId="0" xfId="3" applyFont="1" applyBorder="1" applyProtection="1">
      <protection hidden="1"/>
    </xf>
    <xf numFmtId="4" fontId="5" fillId="0" borderId="0" xfId="0" applyNumberFormat="1" applyFont="1" applyProtection="1">
      <protection hidden="1"/>
    </xf>
    <xf numFmtId="9" fontId="4" fillId="0" borderId="0" xfId="3" applyFont="1" applyBorder="1" applyProtection="1">
      <protection hidden="1"/>
    </xf>
    <xf numFmtId="10" fontId="6" fillId="0" borderId="0" xfId="3" applyNumberFormat="1" applyFont="1" applyBorder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3" fontId="6" fillId="0" borderId="0" xfId="0" applyNumberFormat="1" applyFont="1" applyAlignment="1" applyProtection="1">
      <alignment horizontal="right"/>
      <protection hidden="1"/>
    </xf>
    <xf numFmtId="0" fontId="6" fillId="0" borderId="0" xfId="0" quotePrefix="1" applyFont="1" applyProtection="1">
      <protection hidden="1"/>
    </xf>
    <xf numFmtId="0" fontId="5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7" fillId="0" borderId="0" xfId="0" applyFont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6" fillId="0" borderId="3" xfId="0" applyFont="1" applyBorder="1" applyProtection="1">
      <protection hidden="1"/>
    </xf>
    <xf numFmtId="0" fontId="5" fillId="0" borderId="6" xfId="0" applyFont="1" applyBorder="1" applyAlignment="1">
      <alignment horizontal="center"/>
    </xf>
    <xf numFmtId="9" fontId="4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6" fillId="0" borderId="7" xfId="0" applyFont="1" applyBorder="1" applyProtection="1"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5" fillId="0" borderId="8" xfId="0" applyFont="1" applyBorder="1" applyAlignment="1">
      <alignment horizontal="center"/>
    </xf>
    <xf numFmtId="0" fontId="0" fillId="0" borderId="1" xfId="0" applyBorder="1"/>
    <xf numFmtId="3" fontId="0" fillId="0" borderId="8" xfId="0" applyNumberFormat="1" applyBorder="1" applyAlignment="1">
      <alignment horizontal="center"/>
    </xf>
    <xf numFmtId="0" fontId="4" fillId="0" borderId="1" xfId="0" applyFont="1" applyBorder="1" applyProtection="1">
      <protection hidden="1"/>
    </xf>
    <xf numFmtId="3" fontId="6" fillId="0" borderId="8" xfId="0" applyNumberFormat="1" applyFont="1" applyBorder="1" applyAlignment="1" applyProtection="1">
      <alignment horizontal="center"/>
      <protection hidden="1"/>
    </xf>
    <xf numFmtId="0" fontId="4" fillId="0" borderId="2" xfId="0" applyFont="1" applyBorder="1" applyProtection="1">
      <protection hidden="1"/>
    </xf>
    <xf numFmtId="2" fontId="4" fillId="0" borderId="3" xfId="0" applyNumberFormat="1" applyFont="1" applyBorder="1" applyAlignment="1" applyProtection="1">
      <alignment horizontal="center"/>
      <protection hidden="1"/>
    </xf>
    <xf numFmtId="168" fontId="4" fillId="0" borderId="3" xfId="0" applyNumberFormat="1" applyFont="1" applyBorder="1" applyAlignment="1" applyProtection="1">
      <alignment horizontal="center"/>
      <protection hidden="1"/>
    </xf>
    <xf numFmtId="167" fontId="6" fillId="0" borderId="3" xfId="0" applyNumberFormat="1" applyFont="1" applyBorder="1" applyAlignment="1" applyProtection="1">
      <alignment horizontal="center"/>
      <protection hidden="1"/>
    </xf>
    <xf numFmtId="3" fontId="6" fillId="0" borderId="4" xfId="0" applyNumberFormat="1" applyFont="1" applyBorder="1" applyAlignment="1" applyProtection="1">
      <alignment horizontal="center"/>
      <protection hidden="1"/>
    </xf>
    <xf numFmtId="170" fontId="4" fillId="0" borderId="0" xfId="0" applyNumberFormat="1" applyFont="1" applyProtection="1">
      <protection hidden="1"/>
    </xf>
    <xf numFmtId="166" fontId="4" fillId="0" borderId="0" xfId="4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165" fontId="6" fillId="0" borderId="0" xfId="0" applyNumberFormat="1" applyFont="1" applyProtection="1">
      <protection hidden="1"/>
    </xf>
    <xf numFmtId="0" fontId="10" fillId="2" borderId="0" xfId="0" applyFont="1" applyFill="1" applyAlignment="1" applyProtection="1">
      <alignment horizontal="center"/>
      <protection hidden="1"/>
    </xf>
    <xf numFmtId="0" fontId="10" fillId="2" borderId="0" xfId="0" applyFont="1" applyFill="1" applyProtection="1">
      <protection hidden="1"/>
    </xf>
    <xf numFmtId="0" fontId="5" fillId="2" borderId="0" xfId="0" applyFont="1" applyFill="1" applyProtection="1">
      <protection hidden="1"/>
    </xf>
    <xf numFmtId="14" fontId="4" fillId="2" borderId="0" xfId="0" applyNumberFormat="1" applyFont="1" applyFill="1" applyAlignment="1" applyProtection="1">
      <alignment horizontal="center"/>
      <protection hidden="1"/>
    </xf>
    <xf numFmtId="14" fontId="4" fillId="2" borderId="0" xfId="0" applyNumberFormat="1" applyFont="1" applyFill="1" applyProtection="1">
      <protection hidden="1"/>
    </xf>
    <xf numFmtId="2" fontId="4" fillId="2" borderId="0" xfId="0" applyNumberFormat="1" applyFont="1" applyFill="1" applyAlignment="1" applyProtection="1">
      <alignment horizontal="center"/>
      <protection hidden="1"/>
    </xf>
    <xf numFmtId="0" fontId="5" fillId="2" borderId="0" xfId="0" applyFont="1" applyFill="1" applyAlignment="1" applyProtection="1">
      <alignment horizontal="center"/>
      <protection hidden="1"/>
    </xf>
    <xf numFmtId="9" fontId="4" fillId="2" borderId="0" xfId="3" applyFont="1" applyFill="1" applyBorder="1" applyProtection="1">
      <protection hidden="1"/>
    </xf>
    <xf numFmtId="170" fontId="4" fillId="2" borderId="0" xfId="3" applyNumberFormat="1" applyFont="1" applyFill="1" applyBorder="1" applyProtection="1">
      <protection hidden="1"/>
    </xf>
    <xf numFmtId="0" fontId="6" fillId="2" borderId="0" xfId="0" applyFont="1" applyFill="1" applyProtection="1">
      <protection hidden="1"/>
    </xf>
    <xf numFmtId="3" fontId="4" fillId="2" borderId="0" xfId="0" applyNumberFormat="1" applyFont="1" applyFill="1" applyProtection="1">
      <protection hidden="1"/>
    </xf>
    <xf numFmtId="3" fontId="6" fillId="2" borderId="0" xfId="0" applyNumberFormat="1" applyFont="1" applyFill="1" applyProtection="1">
      <protection hidden="1"/>
    </xf>
    <xf numFmtId="3" fontId="11" fillId="2" borderId="0" xfId="0" applyNumberFormat="1" applyFont="1" applyFill="1" applyProtection="1">
      <protection hidden="1"/>
    </xf>
    <xf numFmtId="3" fontId="5" fillId="2" borderId="0" xfId="0" applyNumberFormat="1" applyFont="1" applyFill="1" applyProtection="1">
      <protection hidden="1"/>
    </xf>
    <xf numFmtId="166" fontId="6" fillId="0" borderId="0" xfId="4" applyFont="1" applyBorder="1" applyProtection="1">
      <protection hidden="1"/>
    </xf>
    <xf numFmtId="9" fontId="4" fillId="3" borderId="0" xfId="3" applyFont="1" applyFill="1" applyBorder="1" applyProtection="1"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0" fillId="0" borderId="3" xfId="0" applyBorder="1"/>
    <xf numFmtId="0" fontId="12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Continuous"/>
    </xf>
    <xf numFmtId="3" fontId="0" fillId="0" borderId="0" xfId="0" applyNumberFormat="1"/>
    <xf numFmtId="9" fontId="0" fillId="0" borderId="0" xfId="0" applyNumberFormat="1"/>
    <xf numFmtId="0" fontId="0" fillId="0" borderId="10" xfId="0" applyBorder="1"/>
    <xf numFmtId="44" fontId="0" fillId="0" borderId="10" xfId="1" applyFont="1" applyBorder="1"/>
    <xf numFmtId="44" fontId="0" fillId="0" borderId="0" xfId="1" applyFont="1"/>
    <xf numFmtId="1" fontId="0" fillId="0" borderId="0" xfId="1" applyNumberFormat="1" applyFont="1"/>
    <xf numFmtId="2" fontId="0" fillId="0" borderId="0" xfId="0" applyNumberFormat="1"/>
    <xf numFmtId="0" fontId="0" fillId="0" borderId="0" xfId="0" applyAlignment="1">
      <alignment wrapText="1"/>
    </xf>
    <xf numFmtId="2" fontId="13" fillId="0" borderId="0" xfId="0" applyNumberFormat="1" applyFont="1"/>
    <xf numFmtId="2" fontId="13" fillId="0" borderId="0" xfId="1" applyNumberFormat="1" applyFont="1"/>
    <xf numFmtId="44" fontId="0" fillId="0" borderId="3" xfId="1" applyFont="1" applyBorder="1"/>
    <xf numFmtId="10" fontId="13" fillId="0" borderId="0" xfId="3" applyNumberFormat="1" applyFont="1"/>
    <xf numFmtId="3" fontId="5" fillId="4" borderId="0" xfId="0" applyNumberFormat="1" applyFont="1" applyFill="1" applyProtection="1">
      <protection hidden="1"/>
    </xf>
    <xf numFmtId="169" fontId="6" fillId="0" borderId="0" xfId="3" applyNumberFormat="1" applyFont="1" applyProtection="1">
      <protection hidden="1"/>
    </xf>
    <xf numFmtId="3" fontId="5" fillId="3" borderId="0" xfId="0" applyNumberFormat="1" applyFont="1" applyFill="1" applyProtection="1">
      <protection hidden="1"/>
    </xf>
    <xf numFmtId="3" fontId="5" fillId="5" borderId="0" xfId="0" applyNumberFormat="1" applyFont="1" applyFill="1" applyProtection="1">
      <protection hidden="1"/>
    </xf>
    <xf numFmtId="9" fontId="6" fillId="0" borderId="0" xfId="3" applyFont="1" applyProtection="1">
      <protection hidden="1"/>
    </xf>
    <xf numFmtId="9" fontId="13" fillId="0" borderId="0" xfId="3" applyFont="1"/>
    <xf numFmtId="168" fontId="4" fillId="0" borderId="0" xfId="0" applyNumberFormat="1" applyFont="1" applyProtection="1">
      <protection hidden="1"/>
    </xf>
    <xf numFmtId="168" fontId="0" fillId="0" borderId="0" xfId="0" applyNumberFormat="1"/>
    <xf numFmtId="171" fontId="0" fillId="0" borderId="0" xfId="0" applyNumberFormat="1"/>
    <xf numFmtId="168" fontId="0" fillId="0" borderId="0" xfId="1" applyNumberFormat="1" applyFont="1"/>
    <xf numFmtId="44" fontId="0" fillId="0" borderId="0" xfId="0" applyNumberFormat="1"/>
    <xf numFmtId="0" fontId="5" fillId="0" borderId="0" xfId="0" applyFont="1" applyAlignment="1" applyProtection="1">
      <alignment horizontal="center"/>
      <protection hidden="1"/>
    </xf>
  </cellXfs>
  <cellStyles count="5">
    <cellStyle name="Comma" xfId="4" builtinId="3"/>
    <cellStyle name="Currency" xfId="1" builtinId="4"/>
    <cellStyle name="Normal" xfId="0" builtinId="0"/>
    <cellStyle name="Normal 3" xfId="2" xr:uid="{00000000-0005-0000-0000-000003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</a:t>
            </a:r>
            <a:r>
              <a:rPr lang="en-US" baseline="0"/>
              <a:t> of Outsourcing vs Hiring a delivery driver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'Q11. Outsourcing Analysis'!$B$2</c:f>
              <c:strCache>
                <c:ptCount val="1"/>
                <c:pt idx="0">
                  <c:v>Cost of Delivery (Delivery Driver)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'Q11. Outsourcing Analysis'!$A$3:$A$42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'Q11. Outsourcing Analysis'!$B$3:$B$42</c:f>
              <c:numCache>
                <c:formatCode>_("$"* #,##0.00_);_("$"* \(#,##0.00\);_("$"* "-"??_);_(@_)</c:formatCode>
                <c:ptCount val="40"/>
                <c:pt idx="0">
                  <c:v>150</c:v>
                </c:pt>
                <c:pt idx="1">
                  <c:v>75</c:v>
                </c:pt>
                <c:pt idx="2">
                  <c:v>50</c:v>
                </c:pt>
                <c:pt idx="3">
                  <c:v>37.5</c:v>
                </c:pt>
                <c:pt idx="4">
                  <c:v>30</c:v>
                </c:pt>
                <c:pt idx="5">
                  <c:v>25</c:v>
                </c:pt>
                <c:pt idx="6">
                  <c:v>21.428571428571427</c:v>
                </c:pt>
                <c:pt idx="7">
                  <c:v>18.75</c:v>
                </c:pt>
                <c:pt idx="8">
                  <c:v>16.666666666666668</c:v>
                </c:pt>
                <c:pt idx="9">
                  <c:v>15</c:v>
                </c:pt>
                <c:pt idx="10">
                  <c:v>13.636363636363637</c:v>
                </c:pt>
                <c:pt idx="11">
                  <c:v>12.5</c:v>
                </c:pt>
                <c:pt idx="12">
                  <c:v>11.538461538461538</c:v>
                </c:pt>
                <c:pt idx="13">
                  <c:v>10.714285714285714</c:v>
                </c:pt>
                <c:pt idx="14">
                  <c:v>10</c:v>
                </c:pt>
                <c:pt idx="15">
                  <c:v>9.375</c:v>
                </c:pt>
                <c:pt idx="16">
                  <c:v>8.8235294117647065</c:v>
                </c:pt>
                <c:pt idx="17">
                  <c:v>8.3333333333333339</c:v>
                </c:pt>
                <c:pt idx="18">
                  <c:v>7.8947368421052628</c:v>
                </c:pt>
                <c:pt idx="19">
                  <c:v>7.5</c:v>
                </c:pt>
                <c:pt idx="20">
                  <c:v>7.1428571428571432</c:v>
                </c:pt>
                <c:pt idx="21">
                  <c:v>6.8181818181818183</c:v>
                </c:pt>
                <c:pt idx="22">
                  <c:v>6.5217391304347823</c:v>
                </c:pt>
                <c:pt idx="23">
                  <c:v>6.25</c:v>
                </c:pt>
                <c:pt idx="24">
                  <c:v>6</c:v>
                </c:pt>
                <c:pt idx="25">
                  <c:v>5.7692307692307692</c:v>
                </c:pt>
                <c:pt idx="26">
                  <c:v>5.5555555555555554</c:v>
                </c:pt>
                <c:pt idx="27">
                  <c:v>5.3571428571428568</c:v>
                </c:pt>
                <c:pt idx="28">
                  <c:v>5.1724137931034484</c:v>
                </c:pt>
                <c:pt idx="29">
                  <c:v>5</c:v>
                </c:pt>
                <c:pt idx="30">
                  <c:v>4.838709677419355</c:v>
                </c:pt>
                <c:pt idx="31">
                  <c:v>4.6875</c:v>
                </c:pt>
                <c:pt idx="32">
                  <c:v>4.5454545454545459</c:v>
                </c:pt>
                <c:pt idx="33">
                  <c:v>4.4117647058823533</c:v>
                </c:pt>
                <c:pt idx="34">
                  <c:v>4.2857142857142856</c:v>
                </c:pt>
                <c:pt idx="35">
                  <c:v>4.166666666666667</c:v>
                </c:pt>
                <c:pt idx="36">
                  <c:v>4.0540540540540544</c:v>
                </c:pt>
                <c:pt idx="37">
                  <c:v>3.9473684210526314</c:v>
                </c:pt>
                <c:pt idx="38">
                  <c:v>3.8461538461538463</c:v>
                </c:pt>
                <c:pt idx="39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1-43CB-81C6-F10D62EEDDBF}"/>
            </c:ext>
          </c:extLst>
        </c:ser>
        <c:ser>
          <c:idx val="1"/>
          <c:order val="1"/>
          <c:tx>
            <c:strRef>
              <c:f>'Q11. Outsourcing Analysis'!$C$2</c:f>
              <c:strCache>
                <c:ptCount val="1"/>
                <c:pt idx="0">
                  <c:v>Cost of Delivery (UberEATS)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'Q11. Outsourcing Analysis'!$A$3:$A$42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'Q11. Outsourcing Analysis'!$C$3:$C$42</c:f>
              <c:numCache>
                <c:formatCode>General</c:formatCode>
                <c:ptCount val="40"/>
                <c:pt idx="0">
                  <c:v>13.5</c:v>
                </c:pt>
                <c:pt idx="1">
                  <c:v>13.5</c:v>
                </c:pt>
                <c:pt idx="2">
                  <c:v>13.5</c:v>
                </c:pt>
                <c:pt idx="3">
                  <c:v>13.5</c:v>
                </c:pt>
                <c:pt idx="4">
                  <c:v>13.5</c:v>
                </c:pt>
                <c:pt idx="5">
                  <c:v>13.5</c:v>
                </c:pt>
                <c:pt idx="6">
                  <c:v>13.5</c:v>
                </c:pt>
                <c:pt idx="7">
                  <c:v>13.5</c:v>
                </c:pt>
                <c:pt idx="8">
                  <c:v>13.5</c:v>
                </c:pt>
                <c:pt idx="9">
                  <c:v>13.5</c:v>
                </c:pt>
                <c:pt idx="10">
                  <c:v>13.5</c:v>
                </c:pt>
                <c:pt idx="11">
                  <c:v>13.5</c:v>
                </c:pt>
                <c:pt idx="12">
                  <c:v>13.5</c:v>
                </c:pt>
                <c:pt idx="13">
                  <c:v>13.5</c:v>
                </c:pt>
                <c:pt idx="14">
                  <c:v>13.5</c:v>
                </c:pt>
                <c:pt idx="15">
                  <c:v>13.5</c:v>
                </c:pt>
                <c:pt idx="16">
                  <c:v>13.5</c:v>
                </c:pt>
                <c:pt idx="17">
                  <c:v>13.5</c:v>
                </c:pt>
                <c:pt idx="18">
                  <c:v>13.5</c:v>
                </c:pt>
                <c:pt idx="19">
                  <c:v>13.5</c:v>
                </c:pt>
                <c:pt idx="20">
                  <c:v>13.5</c:v>
                </c:pt>
                <c:pt idx="21">
                  <c:v>13.5</c:v>
                </c:pt>
                <c:pt idx="22">
                  <c:v>13.5</c:v>
                </c:pt>
                <c:pt idx="23">
                  <c:v>13.5</c:v>
                </c:pt>
                <c:pt idx="24">
                  <c:v>13.5</c:v>
                </c:pt>
                <c:pt idx="25">
                  <c:v>13.5</c:v>
                </c:pt>
                <c:pt idx="26">
                  <c:v>13.5</c:v>
                </c:pt>
                <c:pt idx="27">
                  <c:v>13.5</c:v>
                </c:pt>
                <c:pt idx="28">
                  <c:v>13.5</c:v>
                </c:pt>
                <c:pt idx="29">
                  <c:v>13.5</c:v>
                </c:pt>
                <c:pt idx="30">
                  <c:v>13.5</c:v>
                </c:pt>
                <c:pt idx="31">
                  <c:v>13.5</c:v>
                </c:pt>
                <c:pt idx="32">
                  <c:v>13.5</c:v>
                </c:pt>
                <c:pt idx="33">
                  <c:v>13.5</c:v>
                </c:pt>
                <c:pt idx="34">
                  <c:v>13.5</c:v>
                </c:pt>
                <c:pt idx="35">
                  <c:v>13.5</c:v>
                </c:pt>
                <c:pt idx="36">
                  <c:v>13.5</c:v>
                </c:pt>
                <c:pt idx="37">
                  <c:v>13.5</c:v>
                </c:pt>
                <c:pt idx="38">
                  <c:v>13.5</c:v>
                </c:pt>
                <c:pt idx="39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1-43CB-81C6-F10D62EED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202016"/>
        <c:axId val="765199136"/>
      </c:lineChart>
      <c:catAx>
        <c:axId val="76520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99136"/>
        <c:crosses val="autoZero"/>
        <c:auto val="1"/>
        <c:lblAlgn val="ctr"/>
        <c:lblOffset val="100"/>
        <c:noMultiLvlLbl val="0"/>
      </c:catAx>
      <c:valAx>
        <c:axId val="7651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0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99060</xdr:colOff>
      <xdr:row>0</xdr:row>
      <xdr:rowOff>167640</xdr:rowOff>
    </xdr:from>
    <xdr:to>
      <xdr:col>19</xdr:col>
      <xdr:colOff>175953</xdr:colOff>
      <xdr:row>15</xdr:row>
      <xdr:rowOff>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FCCE6-680E-7DD2-FAF9-165C14B6C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5460" y="167640"/>
          <a:ext cx="8001693" cy="2583404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16</xdr:row>
      <xdr:rowOff>106680</xdr:rowOff>
    </xdr:from>
    <xdr:to>
      <xdr:col>18</xdr:col>
      <xdr:colOff>213933</xdr:colOff>
      <xdr:row>21</xdr:row>
      <xdr:rowOff>76293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9F29E7-9316-D626-BA50-F18A2D5CE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0" y="3040380"/>
          <a:ext cx="6614733" cy="10745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213360</xdr:colOff>
      <xdr:row>4</xdr:row>
      <xdr:rowOff>15240</xdr:rowOff>
    </xdr:from>
    <xdr:to>
      <xdr:col>15</xdr:col>
      <xdr:colOff>503579</xdr:colOff>
      <xdr:row>8</xdr:row>
      <xdr:rowOff>99131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9D42B2-97A9-A913-9835-76BE9D18F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0960" y="746760"/>
          <a:ext cx="7605419" cy="815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396240</xdr:colOff>
      <xdr:row>0</xdr:row>
      <xdr:rowOff>0</xdr:rowOff>
    </xdr:from>
    <xdr:to>
      <xdr:col>22</xdr:col>
      <xdr:colOff>473133</xdr:colOff>
      <xdr:row>14</xdr:row>
      <xdr:rowOff>23084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1886B-0B4A-4AAE-8F97-11D4CA867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2640" y="0"/>
          <a:ext cx="8001693" cy="2583404"/>
        </a:xfrm>
        <a:prstGeom prst="rect">
          <a:avLst/>
        </a:prstGeom>
      </xdr:spPr>
    </xdr:pic>
    <xdr:clientData/>
  </xdr:twoCellAnchor>
  <xdr:twoCellAnchor editAs="oneCell">
    <xdr:from>
      <xdr:col>10</xdr:col>
      <xdr:colOff>601980</xdr:colOff>
      <xdr:row>15</xdr:row>
      <xdr:rowOff>0</xdr:rowOff>
    </xdr:from>
    <xdr:to>
      <xdr:col>21</xdr:col>
      <xdr:colOff>511113</xdr:colOff>
      <xdr:row>19</xdr:row>
      <xdr:rowOff>106773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961F03-9FB9-474E-858E-968D7D194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7980" y="2872740"/>
          <a:ext cx="6614733" cy="10745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213360</xdr:colOff>
      <xdr:row>4</xdr:row>
      <xdr:rowOff>15240</xdr:rowOff>
    </xdr:from>
    <xdr:to>
      <xdr:col>10</xdr:col>
      <xdr:colOff>511199</xdr:colOff>
      <xdr:row>8</xdr:row>
      <xdr:rowOff>99131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3EB21B-C646-48EC-9B9B-DA06088BF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0960" y="746760"/>
          <a:ext cx="7605419" cy="815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2</xdr:row>
      <xdr:rowOff>34290</xdr:rowOff>
    </xdr:from>
    <xdr:to>
      <xdr:col>10</xdr:col>
      <xdr:colOff>548640</xdr:colOff>
      <xdr:row>17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16B086-BEC3-D285-EA38-BD1B1AA7E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Y130"/>
  <sheetViews>
    <sheetView tabSelected="1" topLeftCell="A9" zoomScale="90" zoomScaleNormal="90" workbookViewId="0">
      <selection activeCell="L21" sqref="L21"/>
    </sheetView>
  </sheetViews>
  <sheetFormatPr defaultColWidth="9.109375" defaultRowHeight="14.4" x14ac:dyDescent="0.3"/>
  <cols>
    <col min="1" max="1" width="3.109375" style="7" customWidth="1"/>
    <col min="2" max="2" width="36" style="7" customWidth="1"/>
    <col min="3" max="3" width="15.5546875" style="6" customWidth="1"/>
    <col min="4" max="4" width="11.109375" style="7" customWidth="1"/>
    <col min="5" max="5" width="15.44140625" style="7" customWidth="1"/>
    <col min="6" max="6" width="16.6640625" style="7" bestFit="1" customWidth="1"/>
    <col min="7" max="8" width="12.109375" style="7" customWidth="1"/>
    <col min="9" max="9" width="12.88671875" style="7" customWidth="1"/>
    <col min="10" max="10" width="10.6640625" style="7" customWidth="1"/>
    <col min="11" max="11" width="12.109375" style="7" customWidth="1"/>
    <col min="12" max="12" width="16" style="7" customWidth="1"/>
    <col min="13" max="13" width="11.5546875" style="7" customWidth="1"/>
    <col min="14" max="14" width="11.109375" style="7" customWidth="1"/>
    <col min="15" max="15" width="11.88671875" style="7" customWidth="1"/>
    <col min="16" max="16" width="11.109375" style="7" customWidth="1"/>
    <col min="17" max="17" width="18.6640625" style="7" customWidth="1"/>
    <col min="18" max="16384" width="9.109375" style="7"/>
  </cols>
  <sheetData>
    <row r="1" spans="2:16" s="1" customFormat="1" x14ac:dyDescent="0.3">
      <c r="B1" s="111" t="s">
        <v>0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2:16" s="1" customFormat="1" x14ac:dyDescent="0.3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2:16" s="1" customFormat="1" x14ac:dyDescent="0.3">
      <c r="B3" s="39"/>
      <c r="C3" s="39" t="s">
        <v>1</v>
      </c>
      <c r="D3" s="27" t="s">
        <v>2</v>
      </c>
      <c r="E3" s="27" t="s">
        <v>3</v>
      </c>
      <c r="F3" s="27" t="s">
        <v>4</v>
      </c>
      <c r="G3" s="27" t="s">
        <v>5</v>
      </c>
      <c r="H3" s="27" t="s">
        <v>6</v>
      </c>
      <c r="I3" s="27" t="s">
        <v>7</v>
      </c>
      <c r="J3" s="27" t="s">
        <v>8</v>
      </c>
      <c r="K3" s="27" t="s">
        <v>9</v>
      </c>
      <c r="L3" s="27" t="s">
        <v>10</v>
      </c>
      <c r="M3" s="27" t="s">
        <v>11</v>
      </c>
      <c r="N3" s="27" t="s">
        <v>12</v>
      </c>
      <c r="O3" s="27" t="s">
        <v>13</v>
      </c>
      <c r="P3" s="32" t="s">
        <v>14</v>
      </c>
    </row>
    <row r="4" spans="2:16" s="1" customFormat="1" x14ac:dyDescent="0.3">
      <c r="B4" s="39"/>
      <c r="C4" s="39" t="s">
        <v>15</v>
      </c>
      <c r="D4" s="26">
        <v>43647</v>
      </c>
      <c r="E4" s="26">
        <v>43678</v>
      </c>
      <c r="F4" s="26">
        <v>43709</v>
      </c>
      <c r="G4" s="26">
        <v>43739</v>
      </c>
      <c r="H4" s="26">
        <v>43770</v>
      </c>
      <c r="I4" s="26">
        <v>43800</v>
      </c>
      <c r="J4" s="26">
        <v>43831</v>
      </c>
      <c r="K4" s="26">
        <v>43862</v>
      </c>
      <c r="L4" s="26">
        <v>43891</v>
      </c>
      <c r="M4" s="26">
        <v>43922</v>
      </c>
      <c r="N4" s="26">
        <v>43952</v>
      </c>
      <c r="O4" s="26">
        <v>43983</v>
      </c>
      <c r="P4" s="33">
        <f>D4</f>
        <v>43647</v>
      </c>
    </row>
    <row r="5" spans="2:16" s="1" customFormat="1" x14ac:dyDescent="0.3">
      <c r="B5" s="39"/>
      <c r="C5" s="39" t="s">
        <v>16</v>
      </c>
      <c r="D5" s="26">
        <v>43677</v>
      </c>
      <c r="E5" s="26">
        <v>43708</v>
      </c>
      <c r="F5" s="26">
        <v>43738</v>
      </c>
      <c r="G5" s="26">
        <v>43769</v>
      </c>
      <c r="H5" s="26">
        <v>43799</v>
      </c>
      <c r="I5" s="26">
        <v>43830</v>
      </c>
      <c r="J5" s="26">
        <v>43861</v>
      </c>
      <c r="K5" s="26">
        <v>43890</v>
      </c>
      <c r="L5" s="26">
        <v>43921</v>
      </c>
      <c r="M5" s="26">
        <v>43951</v>
      </c>
      <c r="N5" s="26">
        <v>43982</v>
      </c>
      <c r="O5" s="26">
        <v>44012</v>
      </c>
      <c r="P5" s="33">
        <f>O5</f>
        <v>44012</v>
      </c>
    </row>
    <row r="6" spans="2:16" s="1" customFormat="1" x14ac:dyDescent="0.3">
      <c r="B6" s="39"/>
      <c r="C6" s="39" t="s">
        <v>17</v>
      </c>
      <c r="D6" s="17">
        <f>_xlfn.DAYS(D5,D4)+1</f>
        <v>31</v>
      </c>
      <c r="E6" s="17">
        <f t="shared" ref="E6:O6" si="0">_xlfn.DAYS(E5,E4)+1</f>
        <v>31</v>
      </c>
      <c r="F6" s="17">
        <f t="shared" si="0"/>
        <v>30</v>
      </c>
      <c r="G6" s="17">
        <f t="shared" si="0"/>
        <v>31</v>
      </c>
      <c r="H6" s="17">
        <f t="shared" si="0"/>
        <v>30</v>
      </c>
      <c r="I6" s="17">
        <f t="shared" si="0"/>
        <v>31</v>
      </c>
      <c r="J6" s="17">
        <f t="shared" si="0"/>
        <v>31</v>
      </c>
      <c r="K6" s="17">
        <f t="shared" si="0"/>
        <v>29</v>
      </c>
      <c r="L6" s="17">
        <f t="shared" si="0"/>
        <v>31</v>
      </c>
      <c r="M6" s="17">
        <f t="shared" si="0"/>
        <v>30</v>
      </c>
      <c r="N6" s="17">
        <f t="shared" si="0"/>
        <v>31</v>
      </c>
      <c r="O6" s="17">
        <f t="shared" si="0"/>
        <v>30</v>
      </c>
      <c r="P6" s="17">
        <f>_xlfn.DAYS(P5,P4)+1</f>
        <v>366</v>
      </c>
    </row>
    <row r="7" spans="2:16" s="39" customFormat="1" x14ac:dyDescent="0.3"/>
    <row r="8" spans="2:16" s="39" customFormat="1" x14ac:dyDescent="0.3">
      <c r="B8" s="1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2:16" s="39" customFormat="1" x14ac:dyDescent="0.3">
      <c r="B9" s="64" t="s">
        <v>18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spans="2:16" s="39" customFormat="1" x14ac:dyDescent="0.3">
      <c r="B10" s="3" t="s">
        <v>19</v>
      </c>
      <c r="C10" s="37"/>
      <c r="D10" s="37">
        <v>0.6</v>
      </c>
      <c r="E10" s="37">
        <v>0.75</v>
      </c>
      <c r="F10" s="37">
        <v>0.77</v>
      </c>
      <c r="G10" s="37">
        <f>80%</f>
        <v>0.8</v>
      </c>
      <c r="H10" s="37">
        <v>0.85</v>
      </c>
      <c r="I10" s="37">
        <v>0.65</v>
      </c>
      <c r="J10" s="37">
        <v>0.8</v>
      </c>
      <c r="K10" s="37">
        <v>0.9</v>
      </c>
      <c r="L10" s="37">
        <v>0.87</v>
      </c>
      <c r="M10" s="37">
        <v>0.83</v>
      </c>
      <c r="N10" s="37">
        <v>0.82</v>
      </c>
      <c r="O10" s="37">
        <v>0.78</v>
      </c>
      <c r="P10" s="37">
        <f>AVERAGE(D10:O10)</f>
        <v>0.78500000000000003</v>
      </c>
    </row>
    <row r="11" spans="2:16" x14ac:dyDescent="0.3">
      <c r="B11" s="65" t="s">
        <v>20</v>
      </c>
      <c r="D11" s="7">
        <f t="shared" ref="D11:O11" si="1">D6*$C$34*D10*$C$35</f>
        <v>2790</v>
      </c>
      <c r="E11" s="7">
        <f t="shared" si="1"/>
        <v>3487.5</v>
      </c>
      <c r="F11" s="7">
        <f t="shared" si="1"/>
        <v>3465</v>
      </c>
      <c r="G11" s="7">
        <f t="shared" si="1"/>
        <v>3720</v>
      </c>
      <c r="H11" s="7">
        <f t="shared" si="1"/>
        <v>3825</v>
      </c>
      <c r="I11" s="7">
        <f t="shared" si="1"/>
        <v>3022.5</v>
      </c>
      <c r="J11" s="7">
        <f t="shared" si="1"/>
        <v>3720</v>
      </c>
      <c r="K11" s="7">
        <f t="shared" si="1"/>
        <v>3915</v>
      </c>
      <c r="L11" s="7">
        <f t="shared" si="1"/>
        <v>4045.5</v>
      </c>
      <c r="M11" s="7">
        <f t="shared" si="1"/>
        <v>3735</v>
      </c>
      <c r="N11" s="7">
        <f>N6*$C$34*N10*$C$35</f>
        <v>3813</v>
      </c>
      <c r="O11" s="7">
        <f t="shared" si="1"/>
        <v>3510</v>
      </c>
      <c r="P11" s="8">
        <f>SUM(D11:O11)</f>
        <v>43048.5</v>
      </c>
    </row>
    <row r="12" spans="2:16" x14ac:dyDescent="0.3">
      <c r="B12" s="65" t="s">
        <v>21</v>
      </c>
      <c r="D12" s="8">
        <f>D11*$C$37</f>
        <v>83700</v>
      </c>
      <c r="E12" s="8">
        <f>E11*$C$37</f>
        <v>104625</v>
      </c>
      <c r="F12" s="8">
        <f t="shared" ref="F12:O12" si="2">F11*$C$37</f>
        <v>103950</v>
      </c>
      <c r="G12" s="8">
        <f t="shared" si="2"/>
        <v>111600</v>
      </c>
      <c r="H12" s="8">
        <f t="shared" si="2"/>
        <v>114750</v>
      </c>
      <c r="I12" s="8">
        <f t="shared" si="2"/>
        <v>90675</v>
      </c>
      <c r="J12" s="8">
        <f t="shared" si="2"/>
        <v>111600</v>
      </c>
      <c r="K12" s="8">
        <f t="shared" si="2"/>
        <v>117450</v>
      </c>
      <c r="L12" s="8">
        <f t="shared" si="2"/>
        <v>121365</v>
      </c>
      <c r="M12" s="8">
        <f t="shared" si="2"/>
        <v>112050</v>
      </c>
      <c r="N12" s="8">
        <f t="shared" si="2"/>
        <v>114390</v>
      </c>
      <c r="O12" s="8">
        <f t="shared" si="2"/>
        <v>105300</v>
      </c>
      <c r="P12" s="8">
        <f>SUM(D12:O12)</f>
        <v>1291455</v>
      </c>
    </row>
    <row r="13" spans="2:16" x14ac:dyDescent="0.3">
      <c r="B13" s="3" t="s">
        <v>22</v>
      </c>
      <c r="D13" s="8">
        <f>D11*$C$38</f>
        <v>41850</v>
      </c>
      <c r="E13" s="8">
        <f>E11*$C$38</f>
        <v>52312.5</v>
      </c>
      <c r="F13" s="8">
        <f t="shared" ref="F13:O13" si="3">F11*$C$38</f>
        <v>51975</v>
      </c>
      <c r="G13" s="8">
        <f t="shared" si="3"/>
        <v>55800</v>
      </c>
      <c r="H13" s="8">
        <f t="shared" si="3"/>
        <v>57375</v>
      </c>
      <c r="I13" s="8">
        <f t="shared" si="3"/>
        <v>45337.5</v>
      </c>
      <c r="J13" s="8">
        <f t="shared" si="3"/>
        <v>55800</v>
      </c>
      <c r="K13" s="8">
        <f t="shared" si="3"/>
        <v>58725</v>
      </c>
      <c r="L13" s="8">
        <f t="shared" si="3"/>
        <v>60682.5</v>
      </c>
      <c r="M13" s="8">
        <f t="shared" si="3"/>
        <v>56025</v>
      </c>
      <c r="N13" s="8">
        <f t="shared" si="3"/>
        <v>57195</v>
      </c>
      <c r="O13" s="8">
        <f t="shared" si="3"/>
        <v>52650</v>
      </c>
      <c r="P13" s="8">
        <f>SUM(D13:O13)</f>
        <v>645727.5</v>
      </c>
    </row>
    <row r="14" spans="2:16" x14ac:dyDescent="0.3">
      <c r="B14" s="64" t="s">
        <v>23</v>
      </c>
      <c r="C14" s="9"/>
      <c r="D14" s="34">
        <f>SUM(D12:D13)</f>
        <v>125550</v>
      </c>
      <c r="E14" s="34">
        <f t="shared" ref="E14:O14" si="4">SUM(E12:E13)</f>
        <v>156937.5</v>
      </c>
      <c r="F14" s="34">
        <f t="shared" si="4"/>
        <v>155925</v>
      </c>
      <c r="G14" s="34">
        <f t="shared" si="4"/>
        <v>167400</v>
      </c>
      <c r="H14" s="34">
        <f t="shared" si="4"/>
        <v>172125</v>
      </c>
      <c r="I14" s="34">
        <f t="shared" si="4"/>
        <v>136012.5</v>
      </c>
      <c r="J14" s="34">
        <f t="shared" si="4"/>
        <v>167400</v>
      </c>
      <c r="K14" s="34">
        <f t="shared" si="4"/>
        <v>176175</v>
      </c>
      <c r="L14" s="34">
        <f t="shared" si="4"/>
        <v>182047.5</v>
      </c>
      <c r="M14" s="34">
        <f t="shared" si="4"/>
        <v>168075</v>
      </c>
      <c r="N14" s="34">
        <f t="shared" si="4"/>
        <v>171585</v>
      </c>
      <c r="O14" s="34">
        <f t="shared" si="4"/>
        <v>157950</v>
      </c>
      <c r="P14" s="34">
        <f>SUM(P12:P13)</f>
        <v>1937182.5</v>
      </c>
    </row>
    <row r="15" spans="2:16" x14ac:dyDescent="0.3">
      <c r="B15" s="65"/>
    </row>
    <row r="16" spans="2:16" x14ac:dyDescent="0.3">
      <c r="B16" s="64" t="s">
        <v>24</v>
      </c>
      <c r="C16" s="5"/>
    </row>
    <row r="17" spans="2:18" x14ac:dyDescent="0.3">
      <c r="B17" s="65" t="s">
        <v>25</v>
      </c>
      <c r="C17" s="11"/>
      <c r="D17" s="8">
        <f t="shared" ref="D17:O17" si="5">D12*$C$39</f>
        <v>25110</v>
      </c>
      <c r="E17" s="8">
        <f t="shared" si="5"/>
        <v>31387.5</v>
      </c>
      <c r="F17" s="8">
        <f t="shared" si="5"/>
        <v>31185</v>
      </c>
      <c r="G17" s="8">
        <f t="shared" si="5"/>
        <v>33480</v>
      </c>
      <c r="H17" s="8">
        <f t="shared" si="5"/>
        <v>34425</v>
      </c>
      <c r="I17" s="8">
        <f t="shared" si="5"/>
        <v>27202.5</v>
      </c>
      <c r="J17" s="8">
        <f t="shared" si="5"/>
        <v>33480</v>
      </c>
      <c r="K17" s="8">
        <f t="shared" si="5"/>
        <v>35235</v>
      </c>
      <c r="L17" s="8">
        <f t="shared" si="5"/>
        <v>36409.5</v>
      </c>
      <c r="M17" s="8">
        <f t="shared" si="5"/>
        <v>33615</v>
      </c>
      <c r="N17" s="8">
        <f t="shared" si="5"/>
        <v>34317</v>
      </c>
      <c r="O17" s="8">
        <f t="shared" si="5"/>
        <v>31590</v>
      </c>
      <c r="P17" s="8">
        <f>SUM(D17:O17)</f>
        <v>387436.5</v>
      </c>
    </row>
    <row r="18" spans="2:18" x14ac:dyDescent="0.3">
      <c r="B18" s="65" t="s">
        <v>26</v>
      </c>
      <c r="C18" s="11"/>
      <c r="D18" s="8">
        <f t="shared" ref="D18:O18" si="6">D13*$C$40</f>
        <v>14647.499999999998</v>
      </c>
      <c r="E18" s="8">
        <f t="shared" si="6"/>
        <v>18309.375</v>
      </c>
      <c r="F18" s="8">
        <f t="shared" si="6"/>
        <v>18191.25</v>
      </c>
      <c r="G18" s="8">
        <f t="shared" si="6"/>
        <v>19530</v>
      </c>
      <c r="H18" s="8">
        <f t="shared" si="6"/>
        <v>20081.25</v>
      </c>
      <c r="I18" s="8">
        <f t="shared" si="6"/>
        <v>15868.124999999998</v>
      </c>
      <c r="J18" s="8">
        <f t="shared" si="6"/>
        <v>19530</v>
      </c>
      <c r="K18" s="8">
        <f t="shared" si="6"/>
        <v>20553.75</v>
      </c>
      <c r="L18" s="8">
        <f t="shared" si="6"/>
        <v>21238.875</v>
      </c>
      <c r="M18" s="8">
        <f t="shared" si="6"/>
        <v>19608.75</v>
      </c>
      <c r="N18" s="8">
        <f t="shared" si="6"/>
        <v>20018.25</v>
      </c>
      <c r="O18" s="8">
        <f t="shared" si="6"/>
        <v>18427.5</v>
      </c>
      <c r="P18" s="8">
        <f>SUM(D18:O18)</f>
        <v>226004.625</v>
      </c>
    </row>
    <row r="19" spans="2:18" x14ac:dyDescent="0.3">
      <c r="B19" s="65" t="s">
        <v>27</v>
      </c>
      <c r="C19" s="11"/>
      <c r="D19" s="8">
        <f>$C$41/12</f>
        <v>16666.666666666668</v>
      </c>
      <c r="E19" s="8">
        <f t="shared" ref="E19:O19" si="7">$C$41/12</f>
        <v>16666.666666666668</v>
      </c>
      <c r="F19" s="8">
        <f t="shared" si="7"/>
        <v>16666.666666666668</v>
      </c>
      <c r="G19" s="8">
        <f t="shared" si="7"/>
        <v>16666.666666666668</v>
      </c>
      <c r="H19" s="8">
        <f t="shared" si="7"/>
        <v>16666.666666666668</v>
      </c>
      <c r="I19" s="8">
        <f t="shared" si="7"/>
        <v>16666.666666666668</v>
      </c>
      <c r="J19" s="8">
        <f t="shared" si="7"/>
        <v>16666.666666666668</v>
      </c>
      <c r="K19" s="8">
        <f t="shared" si="7"/>
        <v>16666.666666666668</v>
      </c>
      <c r="L19" s="8">
        <f t="shared" si="7"/>
        <v>16666.666666666668</v>
      </c>
      <c r="M19" s="8">
        <f t="shared" si="7"/>
        <v>16666.666666666668</v>
      </c>
      <c r="N19" s="8">
        <f t="shared" si="7"/>
        <v>16666.666666666668</v>
      </c>
      <c r="O19" s="8">
        <f t="shared" si="7"/>
        <v>16666.666666666668</v>
      </c>
      <c r="P19" s="8">
        <f t="shared" ref="P19:P23" si="8">SUM(D19:O19)</f>
        <v>199999.99999999997</v>
      </c>
    </row>
    <row r="20" spans="2:18" x14ac:dyDescent="0.3">
      <c r="B20" s="3" t="s">
        <v>28</v>
      </c>
      <c r="C20" s="12"/>
      <c r="D20" s="8">
        <f>SUM(F49:G52)</f>
        <v>74900</v>
      </c>
      <c r="E20" s="8">
        <f>SUM(F49:G52)</f>
        <v>74900</v>
      </c>
      <c r="F20" s="8">
        <f>SUM(F49:G52)</f>
        <v>74900</v>
      </c>
      <c r="G20" s="8">
        <f>SUM(F49:G52)</f>
        <v>74900</v>
      </c>
      <c r="H20" s="8">
        <f>SUM(F49:G52)</f>
        <v>74900</v>
      </c>
      <c r="I20" s="8">
        <f>SUM(F49:G52)</f>
        <v>74900</v>
      </c>
      <c r="J20" s="8">
        <f>SUM(F49:G52)</f>
        <v>74900</v>
      </c>
      <c r="K20" s="8">
        <f>SUM(F49:G52)</f>
        <v>74900</v>
      </c>
      <c r="L20" s="8">
        <f>SUM(F49:G52)</f>
        <v>74900</v>
      </c>
      <c r="M20" s="8">
        <f>SUM(F49:G52)</f>
        <v>74900</v>
      </c>
      <c r="N20" s="8">
        <f>SUM(F49:G52)</f>
        <v>74900</v>
      </c>
      <c r="O20" s="8">
        <f>SUM(F49:G52)</f>
        <v>74900</v>
      </c>
      <c r="P20" s="8">
        <f t="shared" si="8"/>
        <v>898800</v>
      </c>
      <c r="Q20" s="82"/>
    </row>
    <row r="21" spans="2:18" x14ac:dyDescent="0.3">
      <c r="B21" s="65" t="s">
        <v>29</v>
      </c>
      <c r="C21" s="13"/>
      <c r="D21" s="8">
        <v>1517.1098659450499</v>
      </c>
      <c r="E21" s="8">
        <v>1641.9030393054923</v>
      </c>
      <c r="F21" s="8">
        <v>1568.5381738413184</v>
      </c>
      <c r="G21" s="8">
        <v>1605.3331911775722</v>
      </c>
      <c r="H21" s="8">
        <v>1666.1578991169279</v>
      </c>
      <c r="I21" s="8">
        <v>1419.1734830819405</v>
      </c>
      <c r="J21" s="8">
        <v>1614.5532931432208</v>
      </c>
      <c r="K21" s="8">
        <v>1692.0491466708841</v>
      </c>
      <c r="L21" s="8">
        <v>1730.4307967938353</v>
      </c>
      <c r="M21" s="8">
        <v>1646.0445753231566</v>
      </c>
      <c r="N21" s="8">
        <v>1697.1745844189199</v>
      </c>
      <c r="O21" s="8">
        <v>1613.404739782274</v>
      </c>
      <c r="P21" s="40">
        <f t="shared" si="8"/>
        <v>19411.872788600591</v>
      </c>
      <c r="Q21" s="38"/>
    </row>
    <row r="22" spans="2:18" x14ac:dyDescent="0.3">
      <c r="B22" s="65" t="s">
        <v>30</v>
      </c>
      <c r="C22" s="13"/>
      <c r="D22" s="8">
        <v>250</v>
      </c>
      <c r="E22" s="8">
        <v>250</v>
      </c>
      <c r="F22" s="8">
        <v>250</v>
      </c>
      <c r="G22" s="8">
        <v>250</v>
      </c>
      <c r="H22" s="8">
        <v>250</v>
      </c>
      <c r="I22" s="8">
        <v>250</v>
      </c>
      <c r="J22" s="8">
        <v>250</v>
      </c>
      <c r="K22" s="8">
        <v>250</v>
      </c>
      <c r="L22" s="8">
        <v>250</v>
      </c>
      <c r="M22" s="8">
        <v>250</v>
      </c>
      <c r="N22" s="8">
        <v>250</v>
      </c>
      <c r="O22" s="8">
        <v>250</v>
      </c>
      <c r="P22" s="40">
        <f t="shared" si="8"/>
        <v>3000</v>
      </c>
      <c r="R22" s="41"/>
    </row>
    <row r="23" spans="2:18" x14ac:dyDescent="0.3">
      <c r="B23" s="65" t="s">
        <v>31</v>
      </c>
      <c r="D23" s="8">
        <v>1000</v>
      </c>
      <c r="E23" s="8">
        <v>1000</v>
      </c>
      <c r="F23" s="8">
        <v>1000</v>
      </c>
      <c r="G23" s="8">
        <v>1000</v>
      </c>
      <c r="H23" s="8">
        <v>1000</v>
      </c>
      <c r="I23" s="8">
        <v>1000</v>
      </c>
      <c r="J23" s="8">
        <v>1000</v>
      </c>
      <c r="K23" s="8">
        <v>1000</v>
      </c>
      <c r="L23" s="8">
        <v>1000</v>
      </c>
      <c r="M23" s="8">
        <v>1000</v>
      </c>
      <c r="N23" s="8">
        <v>1000</v>
      </c>
      <c r="O23" s="8">
        <v>1000</v>
      </c>
      <c r="P23" s="40">
        <f t="shared" si="8"/>
        <v>12000</v>
      </c>
    </row>
    <row r="24" spans="2:18" x14ac:dyDescent="0.3">
      <c r="B24" s="65" t="s">
        <v>32</v>
      </c>
      <c r="D24" s="8">
        <v>250</v>
      </c>
      <c r="E24" s="8">
        <v>250</v>
      </c>
      <c r="F24" s="8">
        <v>250</v>
      </c>
      <c r="G24" s="8">
        <v>250</v>
      </c>
      <c r="H24" s="8">
        <v>250</v>
      </c>
      <c r="I24" s="8">
        <v>250</v>
      </c>
      <c r="J24" s="8">
        <v>250</v>
      </c>
      <c r="K24" s="8">
        <v>250</v>
      </c>
      <c r="L24" s="8">
        <v>250</v>
      </c>
      <c r="M24" s="8">
        <v>250</v>
      </c>
      <c r="N24" s="8">
        <v>250</v>
      </c>
      <c r="O24" s="8">
        <v>250</v>
      </c>
      <c r="P24" s="8">
        <f>SUM(D24:O24)</f>
        <v>3000</v>
      </c>
    </row>
    <row r="25" spans="2:18" x14ac:dyDescent="0.3">
      <c r="B25" s="65" t="s">
        <v>33</v>
      </c>
      <c r="D25" s="8">
        <f>PMT(($C$44/12),$C$45,-$C$43,,0)</f>
        <v>5150.8327990450589</v>
      </c>
      <c r="E25" s="8">
        <f t="shared" ref="E25:O25" si="9">PMT(($C$44/12),$C$45,-$C$43,,0)</f>
        <v>5150.8327990450589</v>
      </c>
      <c r="F25" s="8">
        <f t="shared" si="9"/>
        <v>5150.8327990450589</v>
      </c>
      <c r="G25" s="8">
        <f t="shared" si="9"/>
        <v>5150.8327990450589</v>
      </c>
      <c r="H25" s="8">
        <f t="shared" si="9"/>
        <v>5150.8327990450589</v>
      </c>
      <c r="I25" s="8">
        <f t="shared" si="9"/>
        <v>5150.8327990450589</v>
      </c>
      <c r="J25" s="8">
        <f t="shared" si="9"/>
        <v>5150.8327990450589</v>
      </c>
      <c r="K25" s="8">
        <f t="shared" si="9"/>
        <v>5150.8327990450589</v>
      </c>
      <c r="L25" s="8">
        <f t="shared" si="9"/>
        <v>5150.8327990450589</v>
      </c>
      <c r="M25" s="8">
        <f t="shared" si="9"/>
        <v>5150.8327990450589</v>
      </c>
      <c r="N25" s="8">
        <f t="shared" si="9"/>
        <v>5150.8327990450589</v>
      </c>
      <c r="O25" s="8">
        <f t="shared" si="9"/>
        <v>5150.8327990450589</v>
      </c>
      <c r="P25" s="40">
        <f>SUM(D25:O25)</f>
        <v>61809.993588540696</v>
      </c>
    </row>
    <row r="26" spans="2:18" x14ac:dyDescent="0.3">
      <c r="B26" s="6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2:18" x14ac:dyDescent="0.3">
      <c r="B27" s="66" t="s">
        <v>34</v>
      </c>
      <c r="D27" s="8">
        <f>SUM(D17:D25)</f>
        <v>139492.10933165677</v>
      </c>
      <c r="E27" s="8">
        <f t="shared" ref="E27:O27" si="10">SUM(E17:E25)</f>
        <v>149556.27750501723</v>
      </c>
      <c r="F27" s="8">
        <f t="shared" si="10"/>
        <v>149162.28763955305</v>
      </c>
      <c r="G27" s="8">
        <f t="shared" si="10"/>
        <v>152832.83265688931</v>
      </c>
      <c r="H27" s="8">
        <f t="shared" si="10"/>
        <v>154389.90736482866</v>
      </c>
      <c r="I27" s="8">
        <f t="shared" si="10"/>
        <v>142707.29794879368</v>
      </c>
      <c r="J27" s="8">
        <f t="shared" si="10"/>
        <v>152842.05275885496</v>
      </c>
      <c r="K27" s="8">
        <f t="shared" si="10"/>
        <v>155698.29861238261</v>
      </c>
      <c r="L27" s="8">
        <f t="shared" si="10"/>
        <v>157596.30526250557</v>
      </c>
      <c r="M27" s="8">
        <f>SUM(M17:M25)</f>
        <v>153087.29404103488</v>
      </c>
      <c r="N27" s="8">
        <f t="shared" si="10"/>
        <v>154249.92405013065</v>
      </c>
      <c r="O27" s="8">
        <f t="shared" si="10"/>
        <v>149848.40420549401</v>
      </c>
      <c r="P27" s="8">
        <f>SUM(P17:P25)</f>
        <v>1811462.9913771413</v>
      </c>
      <c r="Q27" s="8"/>
    </row>
    <row r="28" spans="2:18" x14ac:dyDescent="0.3">
      <c r="B28" s="6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2:18" x14ac:dyDescent="0.3">
      <c r="B29" s="64" t="s">
        <v>35</v>
      </c>
      <c r="C29" s="9"/>
      <c r="D29" s="14">
        <f t="shared" ref="D29:P29" si="11">D14-D27</f>
        <v>-13942.109331656771</v>
      </c>
      <c r="E29" s="14">
        <f t="shared" si="11"/>
        <v>7381.2224949827651</v>
      </c>
      <c r="F29" s="14">
        <f t="shared" si="11"/>
        <v>6762.7123604469525</v>
      </c>
      <c r="G29" s="14">
        <f t="shared" si="11"/>
        <v>14567.16734311069</v>
      </c>
      <c r="H29" s="14">
        <f t="shared" si="11"/>
        <v>17735.092635171342</v>
      </c>
      <c r="I29" s="14">
        <f t="shared" si="11"/>
        <v>-6694.7979487936827</v>
      </c>
      <c r="J29" s="14">
        <f t="shared" si="11"/>
        <v>14557.947241145041</v>
      </c>
      <c r="K29" s="14">
        <f t="shared" si="11"/>
        <v>20476.701387617388</v>
      </c>
      <c r="L29" s="14">
        <f t="shared" si="11"/>
        <v>24451.194737494428</v>
      </c>
      <c r="M29" s="14">
        <f t="shared" si="11"/>
        <v>14987.705958965118</v>
      </c>
      <c r="N29" s="14">
        <f t="shared" si="11"/>
        <v>17335.075949869351</v>
      </c>
      <c r="O29" s="14">
        <f t="shared" si="11"/>
        <v>8101.5957945059927</v>
      </c>
      <c r="P29" s="14">
        <f t="shared" si="11"/>
        <v>125719.50862285867</v>
      </c>
      <c r="Q29" s="35"/>
      <c r="R29" s="35"/>
    </row>
    <row r="30" spans="2:18" x14ac:dyDescent="0.3">
      <c r="B30" s="10"/>
      <c r="C30" s="9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2:18" x14ac:dyDescent="0.3">
      <c r="B31" s="10" t="s">
        <v>36</v>
      </c>
      <c r="C31" s="9"/>
      <c r="D31" s="14" t="s">
        <v>37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2:18" x14ac:dyDescent="0.3">
      <c r="B32" s="1" t="s">
        <v>38</v>
      </c>
      <c r="C32" s="24">
        <f>SUM(D6:O6)</f>
        <v>366</v>
      </c>
      <c r="D32" s="25" t="s">
        <v>39</v>
      </c>
      <c r="E32" s="14"/>
      <c r="F32" s="14"/>
      <c r="G32" s="14"/>
      <c r="H32" s="36"/>
      <c r="I32" s="36"/>
      <c r="J32" s="36"/>
      <c r="K32" s="36"/>
      <c r="L32" s="36"/>
      <c r="M32" s="36"/>
      <c r="N32" s="36"/>
      <c r="O32" s="14"/>
      <c r="P32" s="14"/>
    </row>
    <row r="33" spans="2:25" x14ac:dyDescent="0.3">
      <c r="B33" s="1" t="s">
        <v>40</v>
      </c>
      <c r="C33" s="24">
        <v>12</v>
      </c>
      <c r="D33" s="25" t="s">
        <v>41</v>
      </c>
      <c r="E33" s="14"/>
      <c r="F33" s="14"/>
      <c r="G33" s="14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spans="2:25" x14ac:dyDescent="0.3">
      <c r="B34" s="1" t="s">
        <v>42</v>
      </c>
      <c r="C34" s="10">
        <v>50</v>
      </c>
      <c r="D34" s="25" t="s">
        <v>43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2:25" x14ac:dyDescent="0.3">
      <c r="B35" s="1" t="s">
        <v>44</v>
      </c>
      <c r="C35" s="24">
        <v>3</v>
      </c>
      <c r="D35" s="25" t="s">
        <v>45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2:25" x14ac:dyDescent="0.3">
      <c r="H36" s="67"/>
    </row>
    <row r="37" spans="2:25" x14ac:dyDescent="0.3">
      <c r="B37" s="1" t="s">
        <v>46</v>
      </c>
      <c r="C37" s="31">
        <v>30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spans="2:25" x14ac:dyDescent="0.3">
      <c r="B38" s="1" t="s">
        <v>47</v>
      </c>
      <c r="C38" s="29">
        <v>15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2:25" x14ac:dyDescent="0.3">
      <c r="B39" s="1" t="s">
        <v>48</v>
      </c>
      <c r="C39" s="28">
        <v>0.3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2:25" x14ac:dyDescent="0.3">
      <c r="B40" s="1" t="s">
        <v>49</v>
      </c>
      <c r="C40" s="28">
        <v>0.35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2:25" x14ac:dyDescent="0.3">
      <c r="B41" s="1" t="s">
        <v>27</v>
      </c>
      <c r="C41" s="30">
        <f>2000*100</f>
        <v>200000</v>
      </c>
      <c r="D41" s="25" t="s">
        <v>50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2:25" x14ac:dyDescent="0.3"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2:25" x14ac:dyDescent="0.3">
      <c r="B43" s="1" t="s">
        <v>51</v>
      </c>
      <c r="C43" s="30">
        <v>850000</v>
      </c>
      <c r="D43" s="25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2:25" x14ac:dyDescent="0.3">
      <c r="B44" s="1" t="s">
        <v>52</v>
      </c>
      <c r="C44" s="62">
        <v>0.04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2:25" x14ac:dyDescent="0.3">
      <c r="B45" s="1" t="s">
        <v>53</v>
      </c>
      <c r="C45" s="63">
        <f>20*12</f>
        <v>240</v>
      </c>
      <c r="D45" s="25" t="s">
        <v>54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2:25" ht="15" thickBot="1" x14ac:dyDescent="0.35">
      <c r="B46" s="10"/>
      <c r="C46" s="9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2:25" x14ac:dyDescent="0.3">
      <c r="B47" s="47" t="s">
        <v>55</v>
      </c>
      <c r="C47" s="48" t="s">
        <v>56</v>
      </c>
      <c r="D47" s="49"/>
      <c r="E47" s="49"/>
      <c r="F47" s="49"/>
      <c r="G47" s="49"/>
      <c r="H47" s="50"/>
      <c r="N47" s="3"/>
      <c r="O47" s="3"/>
      <c r="P47" s="39"/>
    </row>
    <row r="48" spans="2:25" x14ac:dyDescent="0.3">
      <c r="B48" s="51" t="s">
        <v>57</v>
      </c>
      <c r="C48" s="45" t="s">
        <v>58</v>
      </c>
      <c r="D48" s="44" t="s">
        <v>59</v>
      </c>
      <c r="E48" s="44" t="s">
        <v>60</v>
      </c>
      <c r="F48" s="42" t="s">
        <v>61</v>
      </c>
      <c r="G48" s="42"/>
      <c r="H48" s="52" t="s">
        <v>62</v>
      </c>
    </row>
    <row r="49" spans="2:17" x14ac:dyDescent="0.3">
      <c r="B49" s="53" t="s">
        <v>63</v>
      </c>
      <c r="C49" s="7">
        <v>1</v>
      </c>
      <c r="D49" s="15"/>
      <c r="E49" s="16"/>
      <c r="F49" s="43">
        <f>H49*C49/12</f>
        <v>7083.333333333333</v>
      </c>
      <c r="G49" s="43"/>
      <c r="H49" s="54">
        <v>85000</v>
      </c>
    </row>
    <row r="50" spans="2:17" x14ac:dyDescent="0.3">
      <c r="B50" s="53" t="s">
        <v>64</v>
      </c>
      <c r="C50" s="7">
        <v>2</v>
      </c>
      <c r="D50" s="15"/>
      <c r="E50" s="16"/>
      <c r="F50" s="43">
        <f>H50*C50/12</f>
        <v>11666.666666666666</v>
      </c>
      <c r="G50" s="43"/>
      <c r="H50" s="54">
        <v>70000</v>
      </c>
    </row>
    <row r="51" spans="2:17" ht="12.75" customHeight="1" x14ac:dyDescent="0.3">
      <c r="B51" s="55" t="s">
        <v>65</v>
      </c>
      <c r="C51" s="7">
        <v>2</v>
      </c>
      <c r="D51" s="17"/>
      <c r="E51" s="4"/>
      <c r="F51" s="21">
        <f>H51*C51/12</f>
        <v>5000</v>
      </c>
      <c r="G51" s="21"/>
      <c r="H51" s="56">
        <v>30000</v>
      </c>
      <c r="N51" s="18"/>
      <c r="O51" s="18"/>
      <c r="P51" s="18"/>
      <c r="Q51" s="18"/>
    </row>
    <row r="52" spans="2:17" ht="15" thickBot="1" x14ac:dyDescent="0.35">
      <c r="B52" s="57" t="s">
        <v>66</v>
      </c>
      <c r="C52" s="46">
        <v>5</v>
      </c>
      <c r="D52" s="58">
        <f>D6*C33*C52</f>
        <v>1860</v>
      </c>
      <c r="E52" s="59">
        <v>27.5</v>
      </c>
      <c r="F52" s="60">
        <f>D52*E52</f>
        <v>51150</v>
      </c>
      <c r="G52" s="60"/>
      <c r="H52" s="61">
        <f>F52*12</f>
        <v>613800</v>
      </c>
      <c r="N52" s="18"/>
      <c r="O52" s="18"/>
      <c r="P52" s="18"/>
      <c r="Q52" s="18"/>
    </row>
    <row r="53" spans="2:17" s="10" customFormat="1" x14ac:dyDescent="0.3">
      <c r="B53" s="1"/>
      <c r="C53" s="19"/>
      <c r="D53" s="20"/>
      <c r="E53" s="20"/>
      <c r="F53" s="21"/>
      <c r="G53" s="21"/>
      <c r="N53" s="18"/>
      <c r="O53" s="18"/>
      <c r="P53" s="18"/>
      <c r="Q53" s="18"/>
    </row>
    <row r="54" spans="2:17" x14ac:dyDescent="0.3">
      <c r="I54" s="2"/>
      <c r="K54" s="22"/>
      <c r="L54" s="23"/>
      <c r="M54" s="20"/>
      <c r="N54" s="18"/>
      <c r="O54" s="18"/>
      <c r="P54" s="18"/>
      <c r="Q54" s="18"/>
    </row>
    <row r="79" spans="2:17" s="39" customFormat="1" ht="13.5" customHeight="1" x14ac:dyDescent="0.3">
      <c r="B79" s="7"/>
      <c r="C79" s="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2" ht="12.75" customHeight="1" x14ac:dyDescent="0.3"/>
    <row r="84" ht="12.75" customHeight="1" x14ac:dyDescent="0.3"/>
    <row r="87" ht="12.75" customHeight="1" x14ac:dyDescent="0.3"/>
    <row r="130" ht="30" customHeight="1" x14ac:dyDescent="0.3"/>
  </sheetData>
  <mergeCells count="1">
    <mergeCell ref="B1:P1"/>
  </mergeCells>
  <phoneticPr fontId="9" type="noConversion"/>
  <pageMargins left="0.7" right="0.7" top="0.75" bottom="0.75" header="0.3" footer="0.3"/>
  <pageSetup paperSize="5" scale="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0B00-2C94-49B3-B5BD-954D8F296BC9}">
  <dimension ref="B1:J33"/>
  <sheetViews>
    <sheetView topLeftCell="A14" workbookViewId="0">
      <selection activeCell="D34" sqref="D34"/>
    </sheetView>
  </sheetViews>
  <sheetFormatPr defaultRowHeight="14.4" x14ac:dyDescent="0.3"/>
  <cols>
    <col min="2" max="2" width="19.33203125" bestFit="1" customWidth="1"/>
    <col min="3" max="3" width="19.109375" bestFit="1" customWidth="1"/>
  </cols>
  <sheetData>
    <row r="1" spans="2:3" x14ac:dyDescent="0.3">
      <c r="B1" t="s">
        <v>74</v>
      </c>
      <c r="C1" t="s">
        <v>75</v>
      </c>
    </row>
    <row r="2" spans="2:3" x14ac:dyDescent="0.3">
      <c r="B2" t="s">
        <v>73</v>
      </c>
      <c r="C2" t="s">
        <v>76</v>
      </c>
    </row>
    <row r="3" spans="2:3" x14ac:dyDescent="0.3">
      <c r="B3" s="8">
        <v>1517.1098659450499</v>
      </c>
      <c r="C3">
        <v>2790</v>
      </c>
    </row>
    <row r="4" spans="2:3" x14ac:dyDescent="0.3">
      <c r="B4" s="8">
        <v>1641.9030393054923</v>
      </c>
      <c r="C4">
        <v>3487.5</v>
      </c>
    </row>
    <row r="5" spans="2:3" x14ac:dyDescent="0.3">
      <c r="B5" s="8">
        <v>1568.5381738413184</v>
      </c>
      <c r="C5">
        <v>3465</v>
      </c>
    </row>
    <row r="6" spans="2:3" x14ac:dyDescent="0.3">
      <c r="B6" s="8">
        <v>1605.3331911775722</v>
      </c>
      <c r="C6">
        <v>3720</v>
      </c>
    </row>
    <row r="7" spans="2:3" x14ac:dyDescent="0.3">
      <c r="B7" s="8">
        <v>1666.1578991169279</v>
      </c>
      <c r="C7">
        <v>3825</v>
      </c>
    </row>
    <row r="8" spans="2:3" x14ac:dyDescent="0.3">
      <c r="B8" s="8">
        <v>1419.1734830819405</v>
      </c>
      <c r="C8">
        <v>3022.5</v>
      </c>
    </row>
    <row r="9" spans="2:3" x14ac:dyDescent="0.3">
      <c r="B9" s="8">
        <v>1614.5532931432208</v>
      </c>
      <c r="C9">
        <v>3720</v>
      </c>
    </row>
    <row r="10" spans="2:3" x14ac:dyDescent="0.3">
      <c r="B10" s="8">
        <v>1692.0491466708841</v>
      </c>
      <c r="C10">
        <v>3915</v>
      </c>
    </row>
    <row r="11" spans="2:3" x14ac:dyDescent="0.3">
      <c r="B11" s="8">
        <v>1730.4307967938353</v>
      </c>
      <c r="C11">
        <v>4045.5</v>
      </c>
    </row>
    <row r="12" spans="2:3" x14ac:dyDescent="0.3">
      <c r="B12" s="8">
        <v>1646.0445753231566</v>
      </c>
      <c r="C12">
        <v>3735</v>
      </c>
    </row>
    <row r="13" spans="2:3" x14ac:dyDescent="0.3">
      <c r="B13" s="8">
        <v>1697.1745844189199</v>
      </c>
      <c r="C13">
        <v>3813</v>
      </c>
    </row>
    <row r="14" spans="2:3" x14ac:dyDescent="0.3">
      <c r="B14" s="8">
        <v>1613.404739782274</v>
      </c>
      <c r="C14">
        <v>3510</v>
      </c>
    </row>
    <row r="16" spans="2:3" x14ac:dyDescent="0.3">
      <c r="B16" t="s">
        <v>77</v>
      </c>
    </row>
    <row r="17" spans="2:10" ht="15" thickBot="1" x14ac:dyDescent="0.35"/>
    <row r="18" spans="2:10" x14ac:dyDescent="0.3">
      <c r="B18" s="87" t="s">
        <v>78</v>
      </c>
      <c r="C18" s="87"/>
    </row>
    <row r="19" spans="2:10" x14ac:dyDescent="0.3">
      <c r="B19" t="s">
        <v>79</v>
      </c>
      <c r="C19">
        <v>0.88454459540210473</v>
      </c>
    </row>
    <row r="20" spans="2:10" x14ac:dyDescent="0.3">
      <c r="B20" t="s">
        <v>80</v>
      </c>
      <c r="C20">
        <v>0.78241914125507295</v>
      </c>
    </row>
    <row r="21" spans="2:10" x14ac:dyDescent="0.3">
      <c r="B21" t="s">
        <v>81</v>
      </c>
      <c r="C21">
        <v>0.76066105538058026</v>
      </c>
    </row>
    <row r="22" spans="2:10" x14ac:dyDescent="0.3">
      <c r="B22" t="s">
        <v>82</v>
      </c>
      <c r="C22">
        <v>41.830151655048226</v>
      </c>
    </row>
    <row r="23" spans="2:10" ht="15" thickBot="1" x14ac:dyDescent="0.35">
      <c r="B23" s="85" t="s">
        <v>83</v>
      </c>
      <c r="C23" s="85">
        <v>12</v>
      </c>
    </row>
    <row r="25" spans="2:10" ht="15" thickBot="1" x14ac:dyDescent="0.35">
      <c r="B25" t="s">
        <v>84</v>
      </c>
    </row>
    <row r="26" spans="2:10" x14ac:dyDescent="0.3">
      <c r="B26" s="86"/>
      <c r="C26" s="86" t="s">
        <v>89</v>
      </c>
      <c r="D26" s="86" t="s">
        <v>90</v>
      </c>
      <c r="E26" s="86" t="s">
        <v>91</v>
      </c>
      <c r="F26" s="86" t="s">
        <v>92</v>
      </c>
      <c r="G26" s="86" t="s">
        <v>93</v>
      </c>
    </row>
    <row r="27" spans="2:10" x14ac:dyDescent="0.3">
      <c r="B27" t="s">
        <v>85</v>
      </c>
      <c r="C27">
        <v>1</v>
      </c>
      <c r="D27">
        <v>62921.295861119768</v>
      </c>
      <c r="E27">
        <v>62921.295861119768</v>
      </c>
      <c r="F27">
        <v>35.959925232775824</v>
      </c>
      <c r="G27">
        <v>1.3269876860733573E-4</v>
      </c>
    </row>
    <row r="28" spans="2:10" x14ac:dyDescent="0.3">
      <c r="B28" t="s">
        <v>86</v>
      </c>
      <c r="C28">
        <v>10</v>
      </c>
      <c r="D28">
        <v>17497.615874843337</v>
      </c>
      <c r="E28">
        <v>1749.7615874843336</v>
      </c>
    </row>
    <row r="29" spans="2:10" ht="15" thickBot="1" x14ac:dyDescent="0.35">
      <c r="B29" s="85" t="s">
        <v>87</v>
      </c>
      <c r="C29" s="85">
        <v>11</v>
      </c>
      <c r="D29" s="85">
        <v>80418.911735963105</v>
      </c>
      <c r="E29" s="85"/>
      <c r="F29" s="85"/>
      <c r="G29" s="85"/>
    </row>
    <row r="30" spans="2:10" ht="15" thickBot="1" x14ac:dyDescent="0.35"/>
    <row r="31" spans="2:10" x14ac:dyDescent="0.3">
      <c r="B31" s="86"/>
      <c r="C31" s="86" t="s">
        <v>94</v>
      </c>
      <c r="D31" s="86" t="s">
        <v>82</v>
      </c>
      <c r="E31" s="86" t="s">
        <v>95</v>
      </c>
      <c r="F31" s="86" t="s">
        <v>96</v>
      </c>
      <c r="G31" s="86" t="s">
        <v>97</v>
      </c>
      <c r="H31" s="86" t="s">
        <v>98</v>
      </c>
      <c r="I31" s="86" t="s">
        <v>99</v>
      </c>
      <c r="J31" s="86" t="s">
        <v>100</v>
      </c>
    </row>
    <row r="32" spans="2:10" x14ac:dyDescent="0.3">
      <c r="B32" t="s">
        <v>88</v>
      </c>
      <c r="C32">
        <v>874.80291858657904</v>
      </c>
      <c r="D32">
        <v>124.46497264493748</v>
      </c>
      <c r="E32">
        <v>7.0285068963308932</v>
      </c>
      <c r="F32">
        <v>3.5901863869211747E-5</v>
      </c>
      <c r="G32">
        <v>597.47767732498505</v>
      </c>
      <c r="H32">
        <v>1152.128159848173</v>
      </c>
      <c r="I32">
        <v>597.47767732498505</v>
      </c>
      <c r="J32">
        <v>1152.128159848173</v>
      </c>
    </row>
    <row r="33" spans="2:10" ht="15" thickBot="1" x14ac:dyDescent="0.35">
      <c r="B33" s="85" t="s">
        <v>76</v>
      </c>
      <c r="C33" s="85">
        <v>0.20707429447162251</v>
      </c>
      <c r="D33" s="85">
        <v>3.4531607849175416E-2</v>
      </c>
      <c r="E33" s="85">
        <v>5.9966595061563943</v>
      </c>
      <c r="F33" s="85">
        <v>1.3269876860733538E-4</v>
      </c>
      <c r="G33" s="85">
        <v>0.13013307740132057</v>
      </c>
      <c r="H33" s="85">
        <v>0.28401551154192445</v>
      </c>
      <c r="I33" s="85">
        <v>0.13013307740132057</v>
      </c>
      <c r="J33" s="85">
        <v>0.28401551154192445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36D6-95D8-4FE4-9F54-2AD44779DE01}">
  <dimension ref="A1:E19"/>
  <sheetViews>
    <sheetView workbookViewId="0">
      <selection activeCell="C9" sqref="C9:E15"/>
    </sheetView>
  </sheetViews>
  <sheetFormatPr defaultRowHeight="14.4" x14ac:dyDescent="0.3"/>
  <cols>
    <col min="1" max="1" width="30.77734375" bestFit="1" customWidth="1"/>
    <col min="2" max="2" width="13.6640625" bestFit="1" customWidth="1"/>
  </cols>
  <sheetData>
    <row r="1" spans="1:5" x14ac:dyDescent="0.3">
      <c r="A1" s="1" t="s">
        <v>46</v>
      </c>
      <c r="B1" s="31">
        <v>30</v>
      </c>
    </row>
    <row r="2" spans="1:5" x14ac:dyDescent="0.3">
      <c r="A2" s="1" t="s">
        <v>47</v>
      </c>
      <c r="B2" s="29">
        <v>15</v>
      </c>
    </row>
    <row r="3" spans="1:5" x14ac:dyDescent="0.3">
      <c r="A3" s="1" t="s">
        <v>48</v>
      </c>
      <c r="B3" s="28">
        <v>0.3</v>
      </c>
    </row>
    <row r="4" spans="1:5" x14ac:dyDescent="0.3">
      <c r="A4" s="1" t="s">
        <v>49</v>
      </c>
      <c r="B4" s="28">
        <v>0.35</v>
      </c>
    </row>
    <row r="7" spans="1:5" x14ac:dyDescent="0.3">
      <c r="A7" s="1" t="s">
        <v>101</v>
      </c>
      <c r="B7" s="92">
        <f>(B1+B2)-((B3*B1)+(B2*B4))</f>
        <v>30.75</v>
      </c>
    </row>
    <row r="9" spans="1:5" x14ac:dyDescent="0.3">
      <c r="A9" t="s">
        <v>27</v>
      </c>
      <c r="B9" s="88">
        <v>16666.666666666668</v>
      </c>
      <c r="C9" s="65"/>
      <c r="D9" s="11"/>
      <c r="E9" s="8"/>
    </row>
    <row r="10" spans="1:5" x14ac:dyDescent="0.3">
      <c r="A10" t="s">
        <v>28</v>
      </c>
      <c r="B10" s="88">
        <v>74900</v>
      </c>
      <c r="C10" s="3"/>
      <c r="D10" s="12"/>
      <c r="E10" s="8"/>
    </row>
    <row r="11" spans="1:5" x14ac:dyDescent="0.3">
      <c r="A11" t="s">
        <v>30</v>
      </c>
      <c r="B11" s="88">
        <v>250</v>
      </c>
      <c r="C11" s="65"/>
      <c r="D11" s="13"/>
      <c r="E11" s="8"/>
    </row>
    <row r="12" spans="1:5" x14ac:dyDescent="0.3">
      <c r="A12" t="s">
        <v>31</v>
      </c>
      <c r="B12" s="88">
        <v>1000</v>
      </c>
      <c r="C12" s="65"/>
      <c r="D12" s="13"/>
      <c r="E12" s="8"/>
    </row>
    <row r="13" spans="1:5" x14ac:dyDescent="0.3">
      <c r="A13" t="s">
        <v>32</v>
      </c>
      <c r="B13" s="88">
        <v>250</v>
      </c>
      <c r="C13" s="65"/>
      <c r="D13" s="6"/>
      <c r="E13" s="8"/>
    </row>
    <row r="14" spans="1:5" x14ac:dyDescent="0.3">
      <c r="A14" t="s">
        <v>33</v>
      </c>
      <c r="B14" s="88">
        <v>5150.8327990450589</v>
      </c>
      <c r="C14" s="65"/>
      <c r="D14" s="6"/>
      <c r="E14" s="8"/>
    </row>
    <row r="15" spans="1:5" ht="15" thickBot="1" x14ac:dyDescent="0.35">
      <c r="A15" s="90" t="s">
        <v>102</v>
      </c>
      <c r="B15" s="91">
        <f>SUM(B9:B14)</f>
        <v>98217.499465711735</v>
      </c>
      <c r="C15" s="65"/>
      <c r="D15" s="6"/>
      <c r="E15" s="8"/>
    </row>
    <row r="16" spans="1:5" x14ac:dyDescent="0.3">
      <c r="A16" t="s">
        <v>103</v>
      </c>
      <c r="B16" s="92">
        <v>19411.872788600591</v>
      </c>
      <c r="D16" s="88"/>
      <c r="E16" s="88"/>
    </row>
    <row r="17" spans="1:5" ht="15" thickBot="1" x14ac:dyDescent="0.35">
      <c r="A17" s="85" t="s">
        <v>104</v>
      </c>
      <c r="B17" s="98">
        <f>(B15*12)+B16</f>
        <v>1198021.8663771413</v>
      </c>
      <c r="D17" s="88"/>
      <c r="E17" s="88"/>
    </row>
    <row r="18" spans="1:5" x14ac:dyDescent="0.3">
      <c r="A18" t="s">
        <v>105</v>
      </c>
      <c r="B18" s="97">
        <f>B17/B7</f>
        <v>38960.060695191591</v>
      </c>
      <c r="D18" s="88"/>
    </row>
    <row r="19" spans="1:5" ht="28.8" x14ac:dyDescent="0.3">
      <c r="A19" s="95" t="s">
        <v>109</v>
      </c>
      <c r="B19" s="96">
        <f>ROUNDUP(B18,0)</f>
        <v>38961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E91A-B8C6-44ED-8CCD-1EA3C21BC8FC}">
  <dimension ref="A1:C35"/>
  <sheetViews>
    <sheetView topLeftCell="A18" workbookViewId="0">
      <selection activeCell="B35" sqref="B35"/>
    </sheetView>
  </sheetViews>
  <sheetFormatPr defaultRowHeight="14.4" x14ac:dyDescent="0.3"/>
  <cols>
    <col min="1" max="1" width="30.77734375" bestFit="1" customWidth="1"/>
    <col min="2" max="2" width="13.6640625" bestFit="1" customWidth="1"/>
  </cols>
  <sheetData>
    <row r="1" spans="1:2" x14ac:dyDescent="0.3">
      <c r="A1" s="1" t="s">
        <v>46</v>
      </c>
      <c r="B1" s="31">
        <v>30</v>
      </c>
    </row>
    <row r="2" spans="1:2" x14ac:dyDescent="0.3">
      <c r="A2" s="1" t="s">
        <v>47</v>
      </c>
      <c r="B2" s="29">
        <v>15</v>
      </c>
    </row>
    <row r="3" spans="1:2" x14ac:dyDescent="0.3">
      <c r="A3" s="1" t="s">
        <v>48</v>
      </c>
      <c r="B3" s="28">
        <v>0.3</v>
      </c>
    </row>
    <row r="4" spans="1:2" x14ac:dyDescent="0.3">
      <c r="A4" s="1" t="s">
        <v>49</v>
      </c>
      <c r="B4" s="28">
        <v>0.35</v>
      </c>
    </row>
    <row r="7" spans="1:2" x14ac:dyDescent="0.3">
      <c r="A7" s="1" t="s">
        <v>101</v>
      </c>
      <c r="B7" s="92">
        <f>(B1+B2)-((B3*B1)+(B2*B4))</f>
        <v>30.75</v>
      </c>
    </row>
    <row r="9" spans="1:2" x14ac:dyDescent="0.3">
      <c r="A9" t="s">
        <v>27</v>
      </c>
      <c r="B9" s="88">
        <v>16666.666666666668</v>
      </c>
    </row>
    <row r="10" spans="1:2" x14ac:dyDescent="0.3">
      <c r="A10" t="s">
        <v>28</v>
      </c>
      <c r="B10" s="88">
        <v>74900</v>
      </c>
    </row>
    <row r="11" spans="1:2" x14ac:dyDescent="0.3">
      <c r="A11" t="s">
        <v>30</v>
      </c>
      <c r="B11" s="88">
        <v>250</v>
      </c>
    </row>
    <row r="12" spans="1:2" x14ac:dyDescent="0.3">
      <c r="A12" t="s">
        <v>31</v>
      </c>
      <c r="B12" s="88">
        <v>1000</v>
      </c>
    </row>
    <row r="13" spans="1:2" x14ac:dyDescent="0.3">
      <c r="A13" t="s">
        <v>32</v>
      </c>
      <c r="B13" s="88">
        <v>250</v>
      </c>
    </row>
    <row r="14" spans="1:2" x14ac:dyDescent="0.3">
      <c r="A14" t="s">
        <v>33</v>
      </c>
      <c r="B14" s="88">
        <v>5150.8327990450589</v>
      </c>
    </row>
    <row r="15" spans="1:2" ht="15" thickBot="1" x14ac:dyDescent="0.35">
      <c r="A15" s="90" t="s">
        <v>102</v>
      </c>
      <c r="B15" s="91">
        <f>SUM(B9:B14)</f>
        <v>98217.499465711735</v>
      </c>
    </row>
    <row r="16" spans="1:2" x14ac:dyDescent="0.3">
      <c r="A16" t="s">
        <v>103</v>
      </c>
      <c r="B16" s="92">
        <v>19411.872788600591</v>
      </c>
    </row>
    <row r="17" spans="1:3" x14ac:dyDescent="0.3">
      <c r="A17" t="s">
        <v>104</v>
      </c>
      <c r="B17" s="92">
        <f>(B15*12)+B16</f>
        <v>1198021.8663771413</v>
      </c>
    </row>
    <row r="18" spans="1:3" x14ac:dyDescent="0.3">
      <c r="B18" s="93"/>
    </row>
    <row r="19" spans="1:3" x14ac:dyDescent="0.3">
      <c r="A19" t="s">
        <v>106</v>
      </c>
    </row>
    <row r="20" spans="1:3" x14ac:dyDescent="0.3">
      <c r="A20" t="s">
        <v>107</v>
      </c>
      <c r="B20" s="92">
        <v>150000</v>
      </c>
    </row>
    <row r="21" spans="1:3" ht="15" thickBot="1" x14ac:dyDescent="0.35">
      <c r="A21" s="85"/>
      <c r="B21" s="85"/>
    </row>
    <row r="22" spans="1:3" x14ac:dyDescent="0.3">
      <c r="A22" t="s">
        <v>108</v>
      </c>
      <c r="B22" s="96">
        <f>(B20+B17)/B7</f>
        <v>43838.10947567939</v>
      </c>
    </row>
    <row r="23" spans="1:3" ht="28.8" x14ac:dyDescent="0.3">
      <c r="A23" s="95" t="s">
        <v>109</v>
      </c>
      <c r="B23" s="96">
        <f>ROUNDUP(B22,0)</f>
        <v>43839</v>
      </c>
    </row>
    <row r="26" spans="1:3" x14ac:dyDescent="0.3">
      <c r="A26" t="s">
        <v>36</v>
      </c>
      <c r="B26" s="89"/>
      <c r="C26" s="88" t="s">
        <v>37</v>
      </c>
    </row>
    <row r="27" spans="1:3" x14ac:dyDescent="0.3">
      <c r="A27" t="s">
        <v>38</v>
      </c>
      <c r="B27" s="94">
        <v>366</v>
      </c>
      <c r="C27" s="88" t="s">
        <v>39</v>
      </c>
    </row>
    <row r="28" spans="1:3" x14ac:dyDescent="0.3">
      <c r="A28" t="s">
        <v>40</v>
      </c>
      <c r="B28" s="94">
        <v>12</v>
      </c>
      <c r="C28" s="88" t="s">
        <v>41</v>
      </c>
    </row>
    <row r="29" spans="1:3" x14ac:dyDescent="0.3">
      <c r="A29" t="s">
        <v>42</v>
      </c>
      <c r="B29">
        <v>50</v>
      </c>
      <c r="C29" s="88" t="s">
        <v>43</v>
      </c>
    </row>
    <row r="30" spans="1:3" x14ac:dyDescent="0.3">
      <c r="A30" t="s">
        <v>44</v>
      </c>
      <c r="B30" s="94">
        <v>3</v>
      </c>
      <c r="C30" s="88" t="s">
        <v>45</v>
      </c>
    </row>
    <row r="32" spans="1:3" x14ac:dyDescent="0.3">
      <c r="A32" t="s">
        <v>110</v>
      </c>
      <c r="B32">
        <f>B29*B30</f>
        <v>150</v>
      </c>
    </row>
    <row r="33" spans="1:2" x14ac:dyDescent="0.3">
      <c r="A33" t="s">
        <v>111</v>
      </c>
      <c r="B33">
        <f>B32*B27</f>
        <v>54900</v>
      </c>
    </row>
    <row r="34" spans="1:2" x14ac:dyDescent="0.3">
      <c r="A34" t="s">
        <v>112</v>
      </c>
      <c r="B34" s="94">
        <f>B23</f>
        <v>43839</v>
      </c>
    </row>
    <row r="35" spans="1:2" x14ac:dyDescent="0.3">
      <c r="A35" t="s">
        <v>113</v>
      </c>
      <c r="B35" s="99">
        <f>B34/B33</f>
        <v>0.7985245901639344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88F9-A242-460A-95DC-33C4EFBDD011}">
  <dimension ref="B1:Y130"/>
  <sheetViews>
    <sheetView topLeftCell="M1" zoomScale="70" zoomScaleNormal="70" workbookViewId="0">
      <selection activeCell="V14" sqref="V14"/>
    </sheetView>
  </sheetViews>
  <sheetFormatPr defaultColWidth="9.109375" defaultRowHeight="14.4" x14ac:dyDescent="0.3"/>
  <cols>
    <col min="1" max="1" width="3.109375" style="7" customWidth="1"/>
    <col min="2" max="2" width="36" style="7" customWidth="1"/>
    <col min="3" max="3" width="21.109375" style="6" customWidth="1"/>
    <col min="4" max="4" width="11.109375" style="7" customWidth="1"/>
    <col min="5" max="5" width="15.44140625" style="7" customWidth="1"/>
    <col min="6" max="6" width="16.6640625" style="7" bestFit="1" customWidth="1"/>
    <col min="7" max="8" width="12.109375" style="7" customWidth="1"/>
    <col min="9" max="9" width="12.88671875" style="7" customWidth="1"/>
    <col min="10" max="10" width="10.6640625" style="7" customWidth="1"/>
    <col min="11" max="11" width="12.109375" style="7" customWidth="1"/>
    <col min="12" max="12" width="16" style="7" customWidth="1"/>
    <col min="13" max="13" width="11.5546875" style="7" customWidth="1"/>
    <col min="14" max="14" width="11.109375" style="7" customWidth="1"/>
    <col min="15" max="15" width="11.88671875" style="7" customWidth="1"/>
    <col min="16" max="16" width="11.109375" style="7" customWidth="1"/>
    <col min="17" max="18" width="10.33203125" style="7" bestFit="1" customWidth="1"/>
    <col min="19" max="19" width="30.109375" style="7" bestFit="1" customWidth="1"/>
    <col min="20" max="16384" width="9.109375" style="7"/>
  </cols>
  <sheetData>
    <row r="1" spans="2:22" s="1" customFormat="1" x14ac:dyDescent="0.3">
      <c r="B1" s="111" t="s">
        <v>0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2:22" s="1" customFormat="1" x14ac:dyDescent="0.3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2:22" s="1" customFormat="1" x14ac:dyDescent="0.3">
      <c r="B3" s="39"/>
      <c r="C3" s="39" t="s">
        <v>1</v>
      </c>
      <c r="D3" s="27" t="s">
        <v>2</v>
      </c>
      <c r="E3" s="27" t="s">
        <v>3</v>
      </c>
      <c r="F3" s="27" t="s">
        <v>4</v>
      </c>
      <c r="G3" s="27" t="s">
        <v>5</v>
      </c>
      <c r="H3" s="27" t="s">
        <v>6</v>
      </c>
      <c r="I3" s="27" t="s">
        <v>7</v>
      </c>
      <c r="J3" s="27" t="s">
        <v>8</v>
      </c>
      <c r="K3" s="27" t="s">
        <v>9</v>
      </c>
      <c r="L3" s="27" t="s">
        <v>10</v>
      </c>
      <c r="M3" s="68" t="s">
        <v>11</v>
      </c>
      <c r="N3" s="68" t="s">
        <v>12</v>
      </c>
      <c r="O3" s="68" t="s">
        <v>13</v>
      </c>
      <c r="P3" s="69" t="s">
        <v>14</v>
      </c>
      <c r="Q3" s="70" t="s">
        <v>67</v>
      </c>
      <c r="R3" s="70" t="s">
        <v>68</v>
      </c>
    </row>
    <row r="4" spans="2:22" s="1" customFormat="1" x14ac:dyDescent="0.3">
      <c r="B4" s="39"/>
      <c r="C4" s="39" t="s">
        <v>15</v>
      </c>
      <c r="D4" s="26">
        <v>43647</v>
      </c>
      <c r="E4" s="26">
        <v>43678</v>
      </c>
      <c r="F4" s="26">
        <v>43709</v>
      </c>
      <c r="G4" s="26">
        <v>43739</v>
      </c>
      <c r="H4" s="26">
        <v>43770</v>
      </c>
      <c r="I4" s="26">
        <v>43800</v>
      </c>
      <c r="J4" s="26">
        <v>43831</v>
      </c>
      <c r="K4" s="26">
        <v>43862</v>
      </c>
      <c r="L4" s="26">
        <v>43891</v>
      </c>
      <c r="M4" s="71">
        <v>43922</v>
      </c>
      <c r="N4" s="71">
        <v>43952</v>
      </c>
      <c r="O4" s="71">
        <v>43983</v>
      </c>
      <c r="P4" s="72">
        <f>D4</f>
        <v>43647</v>
      </c>
      <c r="Q4" s="72">
        <f>J4</f>
        <v>43831</v>
      </c>
      <c r="R4" s="72">
        <f>M4</f>
        <v>43922</v>
      </c>
    </row>
    <row r="5" spans="2:22" s="1" customFormat="1" x14ac:dyDescent="0.3">
      <c r="B5" s="39"/>
      <c r="C5" s="39" t="s">
        <v>16</v>
      </c>
      <c r="D5" s="26">
        <v>43677</v>
      </c>
      <c r="E5" s="26">
        <v>43708</v>
      </c>
      <c r="F5" s="26">
        <v>43738</v>
      </c>
      <c r="G5" s="26">
        <v>43769</v>
      </c>
      <c r="H5" s="26">
        <v>43799</v>
      </c>
      <c r="I5" s="26">
        <v>43830</v>
      </c>
      <c r="J5" s="26">
        <v>43861</v>
      </c>
      <c r="K5" s="26">
        <v>43890</v>
      </c>
      <c r="L5" s="26">
        <v>43921</v>
      </c>
      <c r="M5" s="71">
        <v>43951</v>
      </c>
      <c r="N5" s="71">
        <v>43982</v>
      </c>
      <c r="O5" s="71">
        <v>44012</v>
      </c>
      <c r="P5" s="72">
        <f>O5</f>
        <v>44012</v>
      </c>
      <c r="Q5" s="72">
        <f>L5</f>
        <v>43921</v>
      </c>
      <c r="R5" s="72">
        <f>O5</f>
        <v>44012</v>
      </c>
    </row>
    <row r="6" spans="2:22" s="1" customFormat="1" x14ac:dyDescent="0.3">
      <c r="B6" s="39"/>
      <c r="C6" s="39" t="s">
        <v>17</v>
      </c>
      <c r="D6" s="17">
        <f>_xlfn.DAYS(D5,D4)+1</f>
        <v>31</v>
      </c>
      <c r="E6" s="17">
        <f t="shared" ref="E6:R6" si="0">_xlfn.DAYS(E5,E4)+1</f>
        <v>31</v>
      </c>
      <c r="F6" s="17">
        <f t="shared" si="0"/>
        <v>30</v>
      </c>
      <c r="G6" s="17">
        <f t="shared" si="0"/>
        <v>31</v>
      </c>
      <c r="H6" s="17">
        <f t="shared" si="0"/>
        <v>30</v>
      </c>
      <c r="I6" s="17">
        <f t="shared" si="0"/>
        <v>31</v>
      </c>
      <c r="J6" s="17">
        <f t="shared" si="0"/>
        <v>31</v>
      </c>
      <c r="K6" s="17">
        <f t="shared" si="0"/>
        <v>29</v>
      </c>
      <c r="L6" s="17">
        <f t="shared" si="0"/>
        <v>31</v>
      </c>
      <c r="M6" s="73">
        <f t="shared" si="0"/>
        <v>30</v>
      </c>
      <c r="N6" s="73">
        <f t="shared" si="0"/>
        <v>31</v>
      </c>
      <c r="O6" s="73">
        <f t="shared" si="0"/>
        <v>30</v>
      </c>
      <c r="P6" s="73">
        <f t="shared" si="0"/>
        <v>366</v>
      </c>
      <c r="Q6" s="73">
        <f t="shared" si="0"/>
        <v>91</v>
      </c>
      <c r="R6" s="73">
        <f t="shared" si="0"/>
        <v>91</v>
      </c>
    </row>
    <row r="7" spans="2:22" s="39" customFormat="1" x14ac:dyDescent="0.3">
      <c r="M7" s="74"/>
      <c r="N7" s="74"/>
      <c r="O7" s="74"/>
      <c r="P7" s="74"/>
      <c r="Q7" s="74"/>
      <c r="R7" s="74"/>
    </row>
    <row r="8" spans="2:22" s="39" customFormat="1" x14ac:dyDescent="0.3">
      <c r="B8" s="1"/>
      <c r="C8" s="37"/>
      <c r="D8" s="37"/>
      <c r="E8" s="37"/>
      <c r="F8" s="37"/>
      <c r="G8" s="37"/>
      <c r="H8" s="37"/>
      <c r="I8" s="37"/>
      <c r="J8" s="37"/>
      <c r="K8" s="37"/>
      <c r="L8" s="37"/>
      <c r="M8" s="75"/>
      <c r="N8" s="75"/>
      <c r="O8" s="75"/>
      <c r="P8" s="75"/>
      <c r="Q8" s="74"/>
      <c r="R8" s="74"/>
    </row>
    <row r="9" spans="2:22" s="39" customFormat="1" x14ac:dyDescent="0.3">
      <c r="B9" s="64" t="s">
        <v>18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75"/>
      <c r="N9" s="75"/>
      <c r="O9" s="75"/>
      <c r="P9" s="75"/>
      <c r="Q9" s="74"/>
      <c r="R9" s="74"/>
    </row>
    <row r="10" spans="2:22" s="39" customFormat="1" x14ac:dyDescent="0.3">
      <c r="B10" s="3" t="s">
        <v>19</v>
      </c>
      <c r="C10" s="37"/>
      <c r="D10" s="37">
        <v>0.6</v>
      </c>
      <c r="E10" s="37">
        <v>0.75</v>
      </c>
      <c r="F10" s="37">
        <v>0.77</v>
      </c>
      <c r="G10" s="37">
        <v>0.8</v>
      </c>
      <c r="H10" s="37">
        <v>0.85</v>
      </c>
      <c r="I10" s="37">
        <v>0.65</v>
      </c>
      <c r="J10" s="37">
        <v>0.8</v>
      </c>
      <c r="K10" s="37">
        <v>0.9</v>
      </c>
      <c r="L10" s="37">
        <v>0.87</v>
      </c>
      <c r="M10" s="83">
        <v>0.83</v>
      </c>
      <c r="N10" s="83">
        <v>0.82</v>
      </c>
      <c r="O10" s="83">
        <v>0.78</v>
      </c>
      <c r="P10" s="76">
        <f>AVERAGE(D10:O10)</f>
        <v>0.78500000000000003</v>
      </c>
      <c r="Q10" s="76">
        <f>AVERAGE(J10:L10)</f>
        <v>0.8566666666666668</v>
      </c>
      <c r="R10" s="76">
        <f>AVERAGE(M10:O10)</f>
        <v>0.80999999999999994</v>
      </c>
      <c r="S10" s="84" t="s">
        <v>72</v>
      </c>
    </row>
    <row r="11" spans="2:22" x14ac:dyDescent="0.3">
      <c r="B11" s="65" t="s">
        <v>20</v>
      </c>
      <c r="D11" s="7">
        <v>2790</v>
      </c>
      <c r="E11" s="7">
        <v>3487.5</v>
      </c>
      <c r="F11" s="7">
        <v>3465</v>
      </c>
      <c r="G11" s="7">
        <v>3720</v>
      </c>
      <c r="H11" s="7">
        <v>3825</v>
      </c>
      <c r="I11" s="7">
        <v>3022.5</v>
      </c>
      <c r="J11" s="7">
        <v>3720</v>
      </c>
      <c r="K11" s="7">
        <v>3915</v>
      </c>
      <c r="L11" s="7">
        <v>4045.5</v>
      </c>
      <c r="M11" s="77">
        <f t="shared" ref="M11:O11" si="1">M6*$C$34*M10*$C$35</f>
        <v>1867.5</v>
      </c>
      <c r="N11" s="77">
        <f>N6*$C$34*N10*$C$35</f>
        <v>1906.5</v>
      </c>
      <c r="O11" s="77">
        <f t="shared" si="1"/>
        <v>1755</v>
      </c>
      <c r="P11" s="78">
        <f>SUM(D11:O11)</f>
        <v>37519.5</v>
      </c>
      <c r="Q11" s="78">
        <f>SUM(J11:L11)</f>
        <v>11680.5</v>
      </c>
      <c r="R11" s="78">
        <f>SUM(M11:O11)</f>
        <v>5529</v>
      </c>
    </row>
    <row r="12" spans="2:22" x14ac:dyDescent="0.3">
      <c r="B12" s="65" t="s">
        <v>21</v>
      </c>
      <c r="D12" s="8">
        <v>83700</v>
      </c>
      <c r="E12" s="8">
        <v>104625</v>
      </c>
      <c r="F12" s="8">
        <v>103950</v>
      </c>
      <c r="G12" s="8">
        <v>111600</v>
      </c>
      <c r="H12" s="8">
        <v>114750</v>
      </c>
      <c r="I12" s="8">
        <v>90675</v>
      </c>
      <c r="J12" s="8">
        <v>111600</v>
      </c>
      <c r="K12" s="8">
        <v>117450</v>
      </c>
      <c r="L12" s="8">
        <v>121365</v>
      </c>
      <c r="M12" s="79">
        <f t="shared" ref="M12:O12" si="2">M11*$C$37</f>
        <v>56025</v>
      </c>
      <c r="N12" s="79">
        <f t="shared" si="2"/>
        <v>57195</v>
      </c>
      <c r="O12" s="79">
        <f t="shared" si="2"/>
        <v>52650</v>
      </c>
      <c r="P12" s="78">
        <f>SUM(D12:O12)</f>
        <v>1125585</v>
      </c>
      <c r="Q12" s="78">
        <f t="shared" ref="Q12:Q27" si="3">SUM(J12:L12)</f>
        <v>350415</v>
      </c>
      <c r="R12" s="78">
        <f t="shared" ref="R12:R25" si="4">SUM(M12:O12)</f>
        <v>165870</v>
      </c>
    </row>
    <row r="13" spans="2:22" x14ac:dyDescent="0.3">
      <c r="B13" s="3" t="s">
        <v>22</v>
      </c>
      <c r="D13" s="8">
        <v>41850</v>
      </c>
      <c r="E13" s="8">
        <v>52312.5</v>
      </c>
      <c r="F13" s="8">
        <v>51975</v>
      </c>
      <c r="G13" s="8">
        <v>55800</v>
      </c>
      <c r="H13" s="8">
        <v>57375</v>
      </c>
      <c r="I13" s="8">
        <v>45337.5</v>
      </c>
      <c r="J13" s="8">
        <v>55800</v>
      </c>
      <c r="K13" s="8">
        <v>58725</v>
      </c>
      <c r="L13" s="8">
        <v>60682.5</v>
      </c>
      <c r="M13" s="79">
        <f t="shared" ref="M13:O13" si="5">M11*$C$38</f>
        <v>28012.5</v>
      </c>
      <c r="N13" s="79">
        <f t="shared" si="5"/>
        <v>28597.5</v>
      </c>
      <c r="O13" s="79">
        <f t="shared" si="5"/>
        <v>26325</v>
      </c>
      <c r="P13" s="78">
        <f>SUM(D13:O13)</f>
        <v>562792.5</v>
      </c>
      <c r="Q13" s="78">
        <f t="shared" si="3"/>
        <v>175207.5</v>
      </c>
      <c r="R13" s="78">
        <f t="shared" si="4"/>
        <v>82935</v>
      </c>
    </row>
    <row r="14" spans="2:22" x14ac:dyDescent="0.3">
      <c r="B14" s="64" t="s">
        <v>23</v>
      </c>
      <c r="C14" s="9"/>
      <c r="D14" s="34">
        <v>125550</v>
      </c>
      <c r="E14" s="34">
        <v>156937.5</v>
      </c>
      <c r="F14" s="34">
        <v>155925</v>
      </c>
      <c r="G14" s="34">
        <v>167400</v>
      </c>
      <c r="H14" s="34">
        <v>172125</v>
      </c>
      <c r="I14" s="34">
        <v>136012.5</v>
      </c>
      <c r="J14" s="34">
        <v>167400</v>
      </c>
      <c r="K14" s="34">
        <v>176175</v>
      </c>
      <c r="L14" s="34">
        <v>182047.5</v>
      </c>
      <c r="M14" s="80">
        <f t="shared" ref="M14:P14" si="6">SUM(M12:M13)</f>
        <v>84037.5</v>
      </c>
      <c r="N14" s="80">
        <f t="shared" si="6"/>
        <v>85792.5</v>
      </c>
      <c r="O14" s="80">
        <f t="shared" si="6"/>
        <v>78975</v>
      </c>
      <c r="P14" s="80">
        <f t="shared" si="6"/>
        <v>1688377.5</v>
      </c>
      <c r="Q14" s="80">
        <f t="shared" si="3"/>
        <v>525622.5</v>
      </c>
      <c r="R14" s="80">
        <f t="shared" si="4"/>
        <v>248805</v>
      </c>
      <c r="V14" s="104"/>
    </row>
    <row r="15" spans="2:22" x14ac:dyDescent="0.3">
      <c r="B15" s="65"/>
      <c r="M15" s="77"/>
      <c r="N15" s="77"/>
      <c r="O15" s="77"/>
      <c r="P15" s="78"/>
      <c r="Q15" s="80"/>
      <c r="R15" s="80"/>
    </row>
    <row r="16" spans="2:22" x14ac:dyDescent="0.3">
      <c r="B16" s="64" t="s">
        <v>24</v>
      </c>
      <c r="C16" s="5"/>
      <c r="M16" s="77"/>
      <c r="N16" s="77"/>
      <c r="O16" s="77"/>
      <c r="P16" s="78"/>
      <c r="Q16" s="80"/>
      <c r="R16" s="80"/>
    </row>
    <row r="17" spans="2:18" x14ac:dyDescent="0.3">
      <c r="B17" s="65" t="s">
        <v>25</v>
      </c>
      <c r="C17" s="11"/>
      <c r="D17" s="8">
        <v>25110</v>
      </c>
      <c r="E17" s="8">
        <v>31387.5</v>
      </c>
      <c r="F17" s="8">
        <v>31185</v>
      </c>
      <c r="G17" s="8">
        <v>33480</v>
      </c>
      <c r="H17" s="8">
        <v>34425</v>
      </c>
      <c r="I17" s="8">
        <v>27202.5</v>
      </c>
      <c r="J17" s="8">
        <v>33480</v>
      </c>
      <c r="K17" s="8">
        <v>35235</v>
      </c>
      <c r="L17" s="8">
        <v>36409.5</v>
      </c>
      <c r="M17" s="79">
        <f>M12*$C$39</f>
        <v>16807.5</v>
      </c>
      <c r="N17" s="79">
        <f t="shared" ref="N17:O17" si="7">N12*$C$39</f>
        <v>17158.5</v>
      </c>
      <c r="O17" s="79">
        <f t="shared" si="7"/>
        <v>15795</v>
      </c>
      <c r="P17" s="78">
        <f>SUM(D17:O17)</f>
        <v>337675.5</v>
      </c>
      <c r="Q17" s="79">
        <f t="shared" si="3"/>
        <v>105124.5</v>
      </c>
      <c r="R17" s="79">
        <f t="shared" si="4"/>
        <v>49761</v>
      </c>
    </row>
    <row r="18" spans="2:18" x14ac:dyDescent="0.3">
      <c r="B18" s="65" t="s">
        <v>26</v>
      </c>
      <c r="C18" s="11"/>
      <c r="D18" s="8">
        <v>14647.499999999998</v>
      </c>
      <c r="E18" s="8">
        <v>18309.375</v>
      </c>
      <c r="F18" s="8">
        <v>18191.25</v>
      </c>
      <c r="G18" s="8">
        <v>19530</v>
      </c>
      <c r="H18" s="8">
        <v>20081.25</v>
      </c>
      <c r="I18" s="8">
        <v>15868.124999999998</v>
      </c>
      <c r="J18" s="8">
        <v>19530</v>
      </c>
      <c r="K18" s="8">
        <v>20553.75</v>
      </c>
      <c r="L18" s="8">
        <v>21238.875</v>
      </c>
      <c r="M18" s="79">
        <f t="shared" ref="M18:O18" si="8">M13*$C$40</f>
        <v>9804.375</v>
      </c>
      <c r="N18" s="79">
        <f t="shared" si="8"/>
        <v>10009.125</v>
      </c>
      <c r="O18" s="79">
        <f t="shared" si="8"/>
        <v>9213.75</v>
      </c>
      <c r="P18" s="78">
        <f>SUM(D18:O18)</f>
        <v>196977.375</v>
      </c>
      <c r="Q18" s="79">
        <f t="shared" si="3"/>
        <v>61322.625</v>
      </c>
      <c r="R18" s="79">
        <f t="shared" si="4"/>
        <v>29027.25</v>
      </c>
    </row>
    <row r="19" spans="2:18" x14ac:dyDescent="0.3">
      <c r="B19" s="65" t="s">
        <v>27</v>
      </c>
      <c r="C19" s="11"/>
      <c r="D19" s="8">
        <v>16666.666666666668</v>
      </c>
      <c r="E19" s="8">
        <v>16666.666666666668</v>
      </c>
      <c r="F19" s="8">
        <v>16666.666666666668</v>
      </c>
      <c r="G19" s="8">
        <v>16666.666666666668</v>
      </c>
      <c r="H19" s="8">
        <v>16666.666666666668</v>
      </c>
      <c r="I19" s="8">
        <v>16666.666666666668</v>
      </c>
      <c r="J19" s="8">
        <v>16666.666666666668</v>
      </c>
      <c r="K19" s="8">
        <v>16666.666666666668</v>
      </c>
      <c r="L19" s="8">
        <v>16666.666666666668</v>
      </c>
      <c r="M19" s="79">
        <f>$C$41/12</f>
        <v>16666.666666666668</v>
      </c>
      <c r="N19" s="79">
        <f>$C$41/12</f>
        <v>16666.666666666668</v>
      </c>
      <c r="O19" s="79">
        <f>$C$41/12</f>
        <v>16666.666666666668</v>
      </c>
      <c r="P19" s="78">
        <f t="shared" ref="P19:P23" si="9">SUM(D19:O19)</f>
        <v>199999.99999999997</v>
      </c>
      <c r="Q19" s="79">
        <f t="shared" si="3"/>
        <v>50000</v>
      </c>
      <c r="R19" s="79">
        <f t="shared" si="4"/>
        <v>50000</v>
      </c>
    </row>
    <row r="20" spans="2:18" x14ac:dyDescent="0.3">
      <c r="B20" s="3" t="s">
        <v>28</v>
      </c>
      <c r="C20" s="12"/>
      <c r="D20" s="8">
        <v>74900</v>
      </c>
      <c r="E20" s="8">
        <v>74900</v>
      </c>
      <c r="F20" s="8">
        <v>74900</v>
      </c>
      <c r="G20" s="8">
        <v>74900</v>
      </c>
      <c r="H20" s="8">
        <v>74900</v>
      </c>
      <c r="I20" s="8">
        <v>74900</v>
      </c>
      <c r="J20" s="8">
        <v>74900</v>
      </c>
      <c r="K20" s="8">
        <v>74900</v>
      </c>
      <c r="L20" s="8">
        <v>74900</v>
      </c>
      <c r="M20" s="79">
        <f>SUM(F49:G52)</f>
        <v>41710</v>
      </c>
      <c r="N20" s="79">
        <f>SUM(F49:G52)</f>
        <v>41710</v>
      </c>
      <c r="O20" s="79">
        <f>SUM(F49:G52)</f>
        <v>41710</v>
      </c>
      <c r="P20" s="78">
        <f t="shared" si="9"/>
        <v>799230</v>
      </c>
      <c r="Q20" s="79">
        <f t="shared" si="3"/>
        <v>224700</v>
      </c>
      <c r="R20" s="79">
        <f t="shared" si="4"/>
        <v>125130</v>
      </c>
    </row>
    <row r="21" spans="2:18" x14ac:dyDescent="0.3">
      <c r="B21" s="65" t="s">
        <v>29</v>
      </c>
      <c r="C21" s="13"/>
      <c r="D21" s="8">
        <v>1517.1098659450499</v>
      </c>
      <c r="E21" s="8">
        <v>1641.9030393054923</v>
      </c>
      <c r="F21" s="8">
        <v>1568.5381738413184</v>
      </c>
      <c r="G21" s="8">
        <v>1605.3331911775722</v>
      </c>
      <c r="H21" s="8">
        <v>1666.1578991169279</v>
      </c>
      <c r="I21" s="8">
        <v>1419.1734830819405</v>
      </c>
      <c r="J21" s="8">
        <v>1614.5532931432208</v>
      </c>
      <c r="K21" s="8">
        <v>1692.0491466708841</v>
      </c>
      <c r="L21" s="8">
        <v>1730.43079679384</v>
      </c>
      <c r="M21" s="79">
        <f>'Q2. Utilities Regression'!$C$32 + ('Q2. Utilities Regression'!$C$33*'Updated Budget'!M11)</f>
        <v>1261.5141635123341</v>
      </c>
      <c r="N21" s="79">
        <f>'Q2. Utilities Regression'!$C$32 + ('Q2. Utilities Regression'!$C$33*'Updated Budget'!N11)</f>
        <v>1269.5900609967273</v>
      </c>
      <c r="O21" s="79">
        <f>'Q2. Utilities Regression'!$C$32 + ('Q2. Utilities Regression'!$C$33*'Updated Budget'!O11)</f>
        <v>1238.2183053842766</v>
      </c>
      <c r="P21" s="78">
        <f t="shared" si="9"/>
        <v>18224.571418969586</v>
      </c>
      <c r="Q21" s="79">
        <f t="shared" si="3"/>
        <v>5037.0332366079447</v>
      </c>
      <c r="R21" s="79">
        <f t="shared" si="4"/>
        <v>3769.3225298933376</v>
      </c>
    </row>
    <row r="22" spans="2:18" x14ac:dyDescent="0.3">
      <c r="B22" s="65" t="s">
        <v>30</v>
      </c>
      <c r="C22" s="13"/>
      <c r="D22" s="8">
        <v>250</v>
      </c>
      <c r="E22" s="8">
        <v>250</v>
      </c>
      <c r="F22" s="8">
        <v>250</v>
      </c>
      <c r="G22" s="8">
        <v>250</v>
      </c>
      <c r="H22" s="8">
        <v>250</v>
      </c>
      <c r="I22" s="8">
        <v>250</v>
      </c>
      <c r="J22" s="8">
        <v>250</v>
      </c>
      <c r="K22" s="8">
        <v>250</v>
      </c>
      <c r="L22" s="8">
        <v>250</v>
      </c>
      <c r="M22" s="79">
        <v>250</v>
      </c>
      <c r="N22" s="79">
        <v>250</v>
      </c>
      <c r="O22" s="79">
        <v>250</v>
      </c>
      <c r="P22" s="78">
        <f t="shared" si="9"/>
        <v>3000</v>
      </c>
      <c r="Q22" s="79">
        <f t="shared" si="3"/>
        <v>750</v>
      </c>
      <c r="R22" s="79">
        <f t="shared" si="4"/>
        <v>750</v>
      </c>
    </row>
    <row r="23" spans="2:18" x14ac:dyDescent="0.3">
      <c r="B23" s="65" t="s">
        <v>31</v>
      </c>
      <c r="D23" s="8">
        <v>1000</v>
      </c>
      <c r="E23" s="8">
        <v>1000</v>
      </c>
      <c r="F23" s="8">
        <v>1000</v>
      </c>
      <c r="G23" s="8">
        <v>1000</v>
      </c>
      <c r="H23" s="8">
        <v>1000</v>
      </c>
      <c r="I23" s="8">
        <v>1000</v>
      </c>
      <c r="J23" s="8">
        <v>1000</v>
      </c>
      <c r="K23" s="8">
        <v>1000</v>
      </c>
      <c r="L23" s="8">
        <v>1000</v>
      </c>
      <c r="M23" s="79">
        <v>1000</v>
      </c>
      <c r="N23" s="79">
        <v>1000</v>
      </c>
      <c r="O23" s="79">
        <v>1000</v>
      </c>
      <c r="P23" s="78">
        <f t="shared" si="9"/>
        <v>12000</v>
      </c>
      <c r="Q23" s="79">
        <f t="shared" si="3"/>
        <v>3000</v>
      </c>
      <c r="R23" s="79">
        <f t="shared" si="4"/>
        <v>3000</v>
      </c>
    </row>
    <row r="24" spans="2:18" x14ac:dyDescent="0.3">
      <c r="B24" s="65" t="s">
        <v>32</v>
      </c>
      <c r="D24" s="8">
        <v>250</v>
      </c>
      <c r="E24" s="8">
        <v>250</v>
      </c>
      <c r="F24" s="8">
        <v>250</v>
      </c>
      <c r="G24" s="8">
        <v>250</v>
      </c>
      <c r="H24" s="8">
        <v>250</v>
      </c>
      <c r="I24" s="8">
        <v>250</v>
      </c>
      <c r="J24" s="8">
        <v>250</v>
      </c>
      <c r="K24" s="8">
        <v>250</v>
      </c>
      <c r="L24" s="8">
        <v>250</v>
      </c>
      <c r="M24" s="79">
        <v>250</v>
      </c>
      <c r="N24" s="79">
        <v>250</v>
      </c>
      <c r="O24" s="79">
        <v>250</v>
      </c>
      <c r="P24" s="78">
        <f>SUM(D24:O24)</f>
        <v>3000</v>
      </c>
      <c r="Q24" s="79">
        <f t="shared" si="3"/>
        <v>750</v>
      </c>
      <c r="R24" s="79">
        <f t="shared" si="4"/>
        <v>750</v>
      </c>
    </row>
    <row r="25" spans="2:18" x14ac:dyDescent="0.3">
      <c r="B25" s="65" t="s">
        <v>69</v>
      </c>
      <c r="D25" s="8">
        <v>5150.8327990450589</v>
      </c>
      <c r="E25" s="8">
        <v>5150.8327990450589</v>
      </c>
      <c r="F25" s="8">
        <v>5150.8327990450589</v>
      </c>
      <c r="G25" s="8">
        <v>5150.8327990450589</v>
      </c>
      <c r="H25" s="8">
        <v>5150.8327990450589</v>
      </c>
      <c r="I25" s="8">
        <v>5150.8327990450589</v>
      </c>
      <c r="J25" s="8">
        <v>5150.8327990450589</v>
      </c>
      <c r="K25" s="8">
        <v>5150.8327990450589</v>
      </c>
      <c r="L25" s="8">
        <v>5150.8327990450589</v>
      </c>
      <c r="M25" s="79">
        <f>PMT(($C$44/12),$C$45,-$C$43,,0)</f>
        <v>4714.079581758253</v>
      </c>
      <c r="N25" s="79">
        <f>PMT(($C$44/12),$C$45,-$C$43,,0)</f>
        <v>4714.079581758253</v>
      </c>
      <c r="O25" s="79">
        <f>PMT(($C$44/12),$C$45,-$C$43,,0)</f>
        <v>4714.079581758253</v>
      </c>
      <c r="P25" s="78">
        <f>SUM(D25:O25)</f>
        <v>60499.733936680292</v>
      </c>
      <c r="Q25" s="79">
        <f t="shared" si="3"/>
        <v>15452.498397135176</v>
      </c>
      <c r="R25" s="79">
        <f t="shared" si="4"/>
        <v>14142.238745274759</v>
      </c>
    </row>
    <row r="26" spans="2:18" x14ac:dyDescent="0.3">
      <c r="B26" s="65"/>
      <c r="D26" s="8"/>
      <c r="E26" s="8"/>
      <c r="F26" s="8"/>
      <c r="G26" s="8"/>
      <c r="H26" s="8"/>
      <c r="I26" s="8"/>
      <c r="J26" s="8"/>
      <c r="K26" s="8"/>
      <c r="L26" s="8"/>
      <c r="M26" s="79"/>
      <c r="N26" s="79"/>
      <c r="O26" s="79"/>
      <c r="P26" s="78"/>
      <c r="Q26" s="79"/>
      <c r="R26" s="79"/>
    </row>
    <row r="27" spans="2:18" x14ac:dyDescent="0.3">
      <c r="B27" s="66" t="s">
        <v>34</v>
      </c>
      <c r="D27" s="8">
        <v>139492.10933165677</v>
      </c>
      <c r="E27" s="8">
        <v>149556.27750501723</v>
      </c>
      <c r="F27" s="8">
        <v>149162.28763955305</v>
      </c>
      <c r="G27" s="8">
        <v>152832.83265688931</v>
      </c>
      <c r="H27" s="8">
        <v>154389.90736482866</v>
      </c>
      <c r="I27" s="8">
        <v>142707.29794879368</v>
      </c>
      <c r="J27" s="8">
        <v>152842.05275885496</v>
      </c>
      <c r="K27" s="8">
        <v>155698.29861238299</v>
      </c>
      <c r="L27" s="8">
        <v>157596.30526250601</v>
      </c>
      <c r="M27" s="79">
        <f>SUM(M17:M25)</f>
        <v>92464.135411937255</v>
      </c>
      <c r="N27" s="79">
        <f>SUM(N17:N25)</f>
        <v>93027.961309421647</v>
      </c>
      <c r="O27" s="79">
        <f>SUM(O17:O25)</f>
        <v>90837.714553809201</v>
      </c>
      <c r="P27" s="79">
        <f>SUM(P17:P25)</f>
        <v>1630607.1803556499</v>
      </c>
      <c r="Q27" s="79">
        <f t="shared" si="3"/>
        <v>466136.65663374396</v>
      </c>
      <c r="R27" s="79">
        <f>SUM(M27:O27)</f>
        <v>276329.81127516809</v>
      </c>
    </row>
    <row r="28" spans="2:18" x14ac:dyDescent="0.3">
      <c r="B28" s="65"/>
      <c r="D28" s="8"/>
      <c r="E28" s="8"/>
      <c r="F28" s="8"/>
      <c r="G28" s="8"/>
      <c r="H28" s="8"/>
      <c r="I28" s="8"/>
      <c r="J28" s="8"/>
      <c r="K28" s="8"/>
      <c r="L28" s="8"/>
      <c r="M28" s="79"/>
      <c r="N28" s="79"/>
      <c r="O28" s="79"/>
      <c r="P28" s="81"/>
      <c r="Q28" s="78"/>
      <c r="R28" s="81"/>
    </row>
    <row r="29" spans="2:18" x14ac:dyDescent="0.3">
      <c r="B29" s="64" t="s">
        <v>35</v>
      </c>
      <c r="C29" s="9"/>
      <c r="D29" s="14">
        <f t="shared" ref="D29:R29" si="10">D14-D27</f>
        <v>-13942.109331656771</v>
      </c>
      <c r="E29" s="14">
        <f t="shared" si="10"/>
        <v>7381.2224949827651</v>
      </c>
      <c r="F29" s="14">
        <f t="shared" si="10"/>
        <v>6762.7123604469525</v>
      </c>
      <c r="G29" s="14">
        <f t="shared" si="10"/>
        <v>14567.16734311069</v>
      </c>
      <c r="H29" s="14">
        <f t="shared" si="10"/>
        <v>17735.092635171342</v>
      </c>
      <c r="I29" s="14">
        <f t="shared" si="10"/>
        <v>-6694.7979487936827</v>
      </c>
      <c r="J29" s="14">
        <f t="shared" si="10"/>
        <v>14557.947241145041</v>
      </c>
      <c r="K29" s="14">
        <f t="shared" si="10"/>
        <v>20476.701387617009</v>
      </c>
      <c r="L29" s="14">
        <f t="shared" si="10"/>
        <v>24451.194737493992</v>
      </c>
      <c r="M29" s="14">
        <f t="shared" si="10"/>
        <v>-8426.6354119372554</v>
      </c>
      <c r="N29" s="14">
        <f t="shared" si="10"/>
        <v>-7235.4613094216475</v>
      </c>
      <c r="O29" s="14">
        <f t="shared" si="10"/>
        <v>-11862.714553809201</v>
      </c>
      <c r="P29" s="103">
        <f t="shared" si="10"/>
        <v>57770.319644350093</v>
      </c>
      <c r="Q29" s="100">
        <f t="shared" si="10"/>
        <v>59485.843366256042</v>
      </c>
      <c r="R29" s="102">
        <f t="shared" si="10"/>
        <v>-27524.811275168089</v>
      </c>
    </row>
    <row r="30" spans="2:18" x14ac:dyDescent="0.3">
      <c r="B30" s="10"/>
      <c r="C30" s="9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2:18" x14ac:dyDescent="0.3">
      <c r="B31" s="10" t="s">
        <v>36</v>
      </c>
      <c r="C31" s="9"/>
      <c r="D31" s="14" t="s">
        <v>37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 t="s">
        <v>114</v>
      </c>
      <c r="P31" s="101">
        <f>P29/P14</f>
        <v>3.4216470928065609E-2</v>
      </c>
      <c r="Q31" s="101">
        <f t="shared" ref="Q31:R31" si="11">Q29/Q14</f>
        <v>0.11317217844794704</v>
      </c>
      <c r="R31" s="101">
        <f t="shared" si="11"/>
        <v>-0.11062804716612644</v>
      </c>
    </row>
    <row r="32" spans="2:18" x14ac:dyDescent="0.3">
      <c r="B32" s="1" t="s">
        <v>38</v>
      </c>
      <c r="C32" s="24">
        <f>SUM(D6:O6)</f>
        <v>366</v>
      </c>
      <c r="D32" s="25" t="s">
        <v>39</v>
      </c>
      <c r="E32" s="14"/>
      <c r="F32" s="14"/>
      <c r="G32" s="14"/>
      <c r="H32" s="36"/>
      <c r="I32" s="36"/>
      <c r="J32" s="36"/>
      <c r="K32" s="36"/>
      <c r="L32" s="36"/>
      <c r="M32" s="36"/>
      <c r="N32" s="36"/>
      <c r="O32" s="14"/>
      <c r="P32" s="14"/>
    </row>
    <row r="33" spans="2:25" x14ac:dyDescent="0.3">
      <c r="B33" s="1" t="s">
        <v>40</v>
      </c>
      <c r="C33" s="24">
        <v>12</v>
      </c>
      <c r="D33" s="25" t="s">
        <v>41</v>
      </c>
      <c r="E33" s="14"/>
      <c r="F33" s="14"/>
      <c r="G33" s="14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spans="2:25" x14ac:dyDescent="0.3">
      <c r="B34" s="1" t="s">
        <v>42</v>
      </c>
      <c r="C34" s="10">
        <v>25</v>
      </c>
      <c r="D34" s="25" t="s">
        <v>70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2:25" x14ac:dyDescent="0.3">
      <c r="B35" s="1" t="s">
        <v>44</v>
      </c>
      <c r="C35" s="24">
        <v>3</v>
      </c>
      <c r="D35" s="25" t="s">
        <v>45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2:25" x14ac:dyDescent="0.3">
      <c r="H36" s="67"/>
    </row>
    <row r="37" spans="2:25" x14ac:dyDescent="0.3">
      <c r="B37" s="1" t="s">
        <v>46</v>
      </c>
      <c r="C37" s="31">
        <v>30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spans="2:25" x14ac:dyDescent="0.3">
      <c r="B38" s="1" t="s">
        <v>47</v>
      </c>
      <c r="C38" s="29">
        <v>15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2:25" x14ac:dyDescent="0.3">
      <c r="B39" s="1" t="s">
        <v>48</v>
      </c>
      <c r="C39" s="28">
        <v>0.3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2:25" x14ac:dyDescent="0.3">
      <c r="B40" s="1" t="s">
        <v>49</v>
      </c>
      <c r="C40" s="28">
        <v>0.35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2:25" x14ac:dyDescent="0.3">
      <c r="B41" s="1" t="s">
        <v>27</v>
      </c>
      <c r="C41" s="30">
        <f>2000*100</f>
        <v>200000</v>
      </c>
      <c r="D41" s="25" t="s">
        <v>71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2:25" x14ac:dyDescent="0.3"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2:25" x14ac:dyDescent="0.3">
      <c r="B43" s="1" t="s">
        <v>51</v>
      </c>
      <c r="C43" s="30">
        <v>850000</v>
      </c>
      <c r="D43" s="25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2:25" x14ac:dyDescent="0.3">
      <c r="B44" s="1" t="s">
        <v>52</v>
      </c>
      <c r="C44" s="62">
        <v>0.03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2:25" x14ac:dyDescent="0.3">
      <c r="B45" s="1" t="s">
        <v>53</v>
      </c>
      <c r="C45" s="63">
        <f>20*12</f>
        <v>240</v>
      </c>
      <c r="D45" s="25" t="s">
        <v>54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2:25" ht="15" thickBot="1" x14ac:dyDescent="0.35">
      <c r="B46" s="10"/>
      <c r="C46" s="9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2:25" x14ac:dyDescent="0.3">
      <c r="B47" s="47" t="s">
        <v>55</v>
      </c>
      <c r="C47" s="48" t="s">
        <v>56</v>
      </c>
      <c r="D47" s="49"/>
      <c r="E47" s="49"/>
      <c r="F47" s="49"/>
      <c r="G47" s="49"/>
      <c r="H47" s="50"/>
      <c r="N47" s="3"/>
      <c r="O47" s="3"/>
      <c r="P47" s="39"/>
    </row>
    <row r="48" spans="2:25" x14ac:dyDescent="0.3">
      <c r="B48" s="51" t="s">
        <v>57</v>
      </c>
      <c r="C48" s="45" t="s">
        <v>58</v>
      </c>
      <c r="D48" s="44" t="s">
        <v>59</v>
      </c>
      <c r="E48" s="44" t="s">
        <v>60</v>
      </c>
      <c r="F48" s="42" t="s">
        <v>61</v>
      </c>
      <c r="G48" s="42"/>
      <c r="H48" s="52" t="s">
        <v>62</v>
      </c>
    </row>
    <row r="49" spans="2:17" x14ac:dyDescent="0.3">
      <c r="B49" s="53" t="s">
        <v>63</v>
      </c>
      <c r="C49" s="7">
        <v>1</v>
      </c>
      <c r="D49" s="15"/>
      <c r="E49" s="16"/>
      <c r="F49" s="43">
        <f>H49*C49/12</f>
        <v>7083.333333333333</v>
      </c>
      <c r="G49" s="43"/>
      <c r="H49" s="54">
        <v>85000</v>
      </c>
    </row>
    <row r="50" spans="2:17" x14ac:dyDescent="0.3">
      <c r="B50" s="53" t="s">
        <v>64</v>
      </c>
      <c r="C50" s="7">
        <v>2</v>
      </c>
      <c r="D50" s="15"/>
      <c r="E50" s="16"/>
      <c r="F50" s="43">
        <f>H50*C50/12</f>
        <v>11666.666666666666</v>
      </c>
      <c r="G50" s="43"/>
      <c r="H50" s="54">
        <v>70000</v>
      </c>
    </row>
    <row r="51" spans="2:17" ht="12.75" customHeight="1" x14ac:dyDescent="0.3">
      <c r="B51" s="55" t="s">
        <v>65</v>
      </c>
      <c r="C51" s="7">
        <v>1</v>
      </c>
      <c r="D51" s="17"/>
      <c r="E51" s="4"/>
      <c r="F51" s="21">
        <f>H51*C51/12</f>
        <v>2500</v>
      </c>
      <c r="G51" s="21"/>
      <c r="H51" s="56">
        <v>30000</v>
      </c>
      <c r="N51" s="18"/>
      <c r="O51" s="18"/>
      <c r="P51" s="18"/>
      <c r="Q51" s="18"/>
    </row>
    <row r="52" spans="2:17" ht="15" thickBot="1" x14ac:dyDescent="0.35">
      <c r="B52" s="57" t="s">
        <v>66</v>
      </c>
      <c r="C52" s="46">
        <v>2</v>
      </c>
      <c r="D52" s="58">
        <f>D6*C33*C52</f>
        <v>744</v>
      </c>
      <c r="E52" s="59">
        <v>27.5</v>
      </c>
      <c r="F52" s="60">
        <f>D52*E52</f>
        <v>20460</v>
      </c>
      <c r="G52" s="60"/>
      <c r="H52" s="61">
        <f>F52*12</f>
        <v>245520</v>
      </c>
      <c r="N52" s="18"/>
      <c r="O52" s="18"/>
      <c r="P52" s="18"/>
      <c r="Q52" s="18"/>
    </row>
    <row r="53" spans="2:17" s="10" customFormat="1" x14ac:dyDescent="0.3">
      <c r="B53" s="1"/>
      <c r="C53" s="19"/>
      <c r="D53" s="20"/>
      <c r="E53" s="20"/>
      <c r="F53" s="21"/>
      <c r="G53" s="21"/>
      <c r="N53" s="18"/>
      <c r="O53" s="18"/>
      <c r="P53" s="18"/>
      <c r="Q53" s="18"/>
    </row>
    <row r="54" spans="2:17" x14ac:dyDescent="0.3">
      <c r="I54" s="2"/>
      <c r="K54" s="22"/>
      <c r="L54" s="23"/>
      <c r="M54" s="20"/>
      <c r="N54" s="18"/>
      <c r="O54" s="18"/>
      <c r="P54" s="18"/>
      <c r="Q54" s="18"/>
    </row>
    <row r="79" spans="2:17" s="39" customFormat="1" ht="13.5" customHeight="1" x14ac:dyDescent="0.3">
      <c r="B79" s="7"/>
      <c r="C79" s="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2" ht="12.75" customHeight="1" x14ac:dyDescent="0.3"/>
    <row r="84" ht="12.75" customHeight="1" x14ac:dyDescent="0.3"/>
    <row r="87" ht="12.75" customHeight="1" x14ac:dyDescent="0.3"/>
    <row r="130" ht="30" customHeight="1" x14ac:dyDescent="0.3"/>
  </sheetData>
  <mergeCells count="1">
    <mergeCell ref="B1:P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C0F0-50F6-482F-95DB-C245A599FBDA}">
  <dimension ref="A1:B18"/>
  <sheetViews>
    <sheetView workbookViewId="0">
      <selection activeCell="B7" sqref="B7"/>
    </sheetView>
  </sheetViews>
  <sheetFormatPr defaultRowHeight="14.4" x14ac:dyDescent="0.3"/>
  <cols>
    <col min="1" max="1" width="29.77734375" bestFit="1" customWidth="1"/>
    <col min="2" max="2" width="13.6640625" bestFit="1" customWidth="1"/>
  </cols>
  <sheetData>
    <row r="1" spans="1:2" x14ac:dyDescent="0.3">
      <c r="A1" s="1" t="s">
        <v>46</v>
      </c>
      <c r="B1" s="31">
        <v>30</v>
      </c>
    </row>
    <row r="2" spans="1:2" x14ac:dyDescent="0.3">
      <c r="A2" s="1" t="s">
        <v>47</v>
      </c>
      <c r="B2" s="29">
        <v>15</v>
      </c>
    </row>
    <row r="3" spans="1:2" x14ac:dyDescent="0.3">
      <c r="A3" s="1" t="s">
        <v>48</v>
      </c>
      <c r="B3" s="28">
        <v>0.3</v>
      </c>
    </row>
    <row r="4" spans="1:2" x14ac:dyDescent="0.3">
      <c r="A4" s="1" t="s">
        <v>49</v>
      </c>
      <c r="B4" s="28">
        <v>0.35</v>
      </c>
    </row>
    <row r="7" spans="1:2" x14ac:dyDescent="0.3">
      <c r="A7" s="1" t="s">
        <v>101</v>
      </c>
      <c r="B7" s="92">
        <f>(B1+B2)-((B3*B1)+(B2*B4))</f>
        <v>30.75</v>
      </c>
    </row>
    <row r="9" spans="1:2" x14ac:dyDescent="0.3">
      <c r="A9" s="65" t="s">
        <v>27</v>
      </c>
      <c r="B9" s="78">
        <v>50000</v>
      </c>
    </row>
    <row r="10" spans="1:2" x14ac:dyDescent="0.3">
      <c r="A10" s="3" t="s">
        <v>28</v>
      </c>
      <c r="B10" s="78">
        <v>125130</v>
      </c>
    </row>
    <row r="11" spans="1:2" x14ac:dyDescent="0.3">
      <c r="A11" s="65" t="s">
        <v>29</v>
      </c>
      <c r="B11" s="78">
        <v>3769.3225298933376</v>
      </c>
    </row>
    <row r="12" spans="1:2" x14ac:dyDescent="0.3">
      <c r="A12" s="65" t="s">
        <v>30</v>
      </c>
      <c r="B12" s="78">
        <v>750</v>
      </c>
    </row>
    <row r="13" spans="1:2" x14ac:dyDescent="0.3">
      <c r="A13" s="65" t="s">
        <v>31</v>
      </c>
      <c r="B13" s="78">
        <v>3000</v>
      </c>
    </row>
    <row r="14" spans="1:2" x14ac:dyDescent="0.3">
      <c r="A14" s="65" t="s">
        <v>32</v>
      </c>
      <c r="B14" s="78">
        <v>750</v>
      </c>
    </row>
    <row r="15" spans="1:2" x14ac:dyDescent="0.3">
      <c r="A15" s="65" t="s">
        <v>69</v>
      </c>
      <c r="B15" s="78">
        <v>14142.238745274759</v>
      </c>
    </row>
    <row r="16" spans="1:2" ht="15" thickBot="1" x14ac:dyDescent="0.35">
      <c r="A16" s="85" t="s">
        <v>115</v>
      </c>
      <c r="B16" s="98">
        <f>SUM(B9:B15)</f>
        <v>197541.56127516809</v>
      </c>
    </row>
    <row r="17" spans="1:2" x14ac:dyDescent="0.3">
      <c r="A17" t="s">
        <v>105</v>
      </c>
      <c r="B17" s="97">
        <f>B16/B7</f>
        <v>6424.1158138266046</v>
      </c>
    </row>
    <row r="18" spans="1:2" ht="32.4" customHeight="1" x14ac:dyDescent="0.3">
      <c r="A18" s="95" t="s">
        <v>109</v>
      </c>
      <c r="B18" s="96">
        <f>ROUNDUP(B17,0)</f>
        <v>6425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DFF4-26BB-4BBE-A545-2A5E832A8927}">
  <dimension ref="A1:G35"/>
  <sheetViews>
    <sheetView topLeftCell="E1" workbookViewId="0">
      <selection activeCell="A7" sqref="A7:B7"/>
    </sheetView>
  </sheetViews>
  <sheetFormatPr defaultRowHeight="14.4" x14ac:dyDescent="0.3"/>
  <cols>
    <col min="1" max="1" width="30.77734375" bestFit="1" customWidth="1"/>
    <col min="2" max="2" width="13.6640625" bestFit="1" customWidth="1"/>
    <col min="6" max="6" width="53.21875" bestFit="1" customWidth="1"/>
  </cols>
  <sheetData>
    <row r="1" spans="1:2" x14ac:dyDescent="0.3">
      <c r="A1" s="1" t="s">
        <v>46</v>
      </c>
      <c r="B1" s="31">
        <v>30</v>
      </c>
    </row>
    <row r="2" spans="1:2" x14ac:dyDescent="0.3">
      <c r="A2" s="1" t="s">
        <v>47</v>
      </c>
      <c r="B2" s="29">
        <v>15</v>
      </c>
    </row>
    <row r="3" spans="1:2" x14ac:dyDescent="0.3">
      <c r="A3" s="1" t="s">
        <v>48</v>
      </c>
      <c r="B3" s="28">
        <v>0.3</v>
      </c>
    </row>
    <row r="4" spans="1:2" x14ac:dyDescent="0.3">
      <c r="A4" s="1" t="s">
        <v>49</v>
      </c>
      <c r="B4" s="28">
        <v>0.35</v>
      </c>
    </row>
    <row r="7" spans="1:2" x14ac:dyDescent="0.3">
      <c r="A7" s="1" t="s">
        <v>101</v>
      </c>
      <c r="B7" s="92">
        <f>(B1+B2)-((B3*B1)+(B2*B4))</f>
        <v>30.75</v>
      </c>
    </row>
    <row r="9" spans="1:2" x14ac:dyDescent="0.3">
      <c r="A9" s="65" t="s">
        <v>27</v>
      </c>
      <c r="B9" s="78">
        <v>50000</v>
      </c>
    </row>
    <row r="10" spans="1:2" x14ac:dyDescent="0.3">
      <c r="A10" s="3" t="s">
        <v>28</v>
      </c>
      <c r="B10" s="78">
        <v>125130</v>
      </c>
    </row>
    <row r="11" spans="1:2" x14ac:dyDescent="0.3">
      <c r="A11" s="65" t="s">
        <v>29</v>
      </c>
      <c r="B11" s="78">
        <v>3769.3225298933376</v>
      </c>
    </row>
    <row r="12" spans="1:2" x14ac:dyDescent="0.3">
      <c r="A12" s="65" t="s">
        <v>30</v>
      </c>
      <c r="B12" s="78">
        <v>750</v>
      </c>
    </row>
    <row r="13" spans="1:2" x14ac:dyDescent="0.3">
      <c r="A13" s="65" t="s">
        <v>31</v>
      </c>
      <c r="B13" s="78">
        <v>3000</v>
      </c>
    </row>
    <row r="14" spans="1:2" x14ac:dyDescent="0.3">
      <c r="A14" s="65" t="s">
        <v>32</v>
      </c>
      <c r="B14" s="78">
        <v>750</v>
      </c>
    </row>
    <row r="15" spans="1:2" x14ac:dyDescent="0.3">
      <c r="A15" s="65" t="s">
        <v>69</v>
      </c>
      <c r="B15" s="78">
        <v>14142.238745274759</v>
      </c>
    </row>
    <row r="16" spans="1:2" ht="15" thickBot="1" x14ac:dyDescent="0.35">
      <c r="A16" s="85" t="s">
        <v>115</v>
      </c>
      <c r="B16" s="98">
        <f>SUM(B9:B15)</f>
        <v>197541.56127516809</v>
      </c>
    </row>
    <row r="17" spans="1:7" x14ac:dyDescent="0.3">
      <c r="B17" s="92"/>
    </row>
    <row r="18" spans="1:7" x14ac:dyDescent="0.3">
      <c r="B18" s="93"/>
    </row>
    <row r="19" spans="1:7" x14ac:dyDescent="0.3">
      <c r="A19" t="s">
        <v>106</v>
      </c>
      <c r="F19" t="s">
        <v>106</v>
      </c>
    </row>
    <row r="20" spans="1:7" x14ac:dyDescent="0.3">
      <c r="A20" t="s">
        <v>117</v>
      </c>
      <c r="B20" s="92">
        <v>37500</v>
      </c>
      <c r="F20" t="s">
        <v>117</v>
      </c>
      <c r="G20">
        <v>12500</v>
      </c>
    </row>
    <row r="21" spans="1:7" ht="15" thickBot="1" x14ac:dyDescent="0.35">
      <c r="A21" s="85"/>
      <c r="B21" s="85"/>
    </row>
    <row r="22" spans="1:7" x14ac:dyDescent="0.3">
      <c r="A22" t="s">
        <v>108</v>
      </c>
      <c r="B22" s="96">
        <f>(B20+B16)/B7</f>
        <v>7643.6280089485554</v>
      </c>
      <c r="F22" t="s">
        <v>108</v>
      </c>
      <c r="G22">
        <v>6830.6198788672546</v>
      </c>
    </row>
    <row r="23" spans="1:7" ht="28.8" x14ac:dyDescent="0.3">
      <c r="A23" s="95" t="s">
        <v>109</v>
      </c>
      <c r="B23" s="96">
        <f>ROUNDUP(B22,0)</f>
        <v>7644</v>
      </c>
      <c r="F23" t="s">
        <v>109</v>
      </c>
      <c r="G23">
        <v>6831</v>
      </c>
    </row>
    <row r="26" spans="1:7" x14ac:dyDescent="0.3">
      <c r="A26" t="s">
        <v>36</v>
      </c>
      <c r="B26" s="89"/>
      <c r="C26" s="88" t="s">
        <v>37</v>
      </c>
      <c r="F26" t="s">
        <v>36</v>
      </c>
    </row>
    <row r="27" spans="1:7" x14ac:dyDescent="0.3">
      <c r="A27" t="s">
        <v>38</v>
      </c>
      <c r="B27" s="94">
        <v>91</v>
      </c>
      <c r="C27" s="88" t="s">
        <v>39</v>
      </c>
      <c r="F27" t="s">
        <v>38</v>
      </c>
      <c r="G27">
        <v>91</v>
      </c>
    </row>
    <row r="28" spans="1:7" x14ac:dyDescent="0.3">
      <c r="A28" t="s">
        <v>40</v>
      </c>
      <c r="B28" s="94">
        <v>12</v>
      </c>
      <c r="C28" s="88" t="s">
        <v>41</v>
      </c>
      <c r="F28" t="s">
        <v>40</v>
      </c>
      <c r="G28">
        <v>12</v>
      </c>
    </row>
    <row r="29" spans="1:7" x14ac:dyDescent="0.3">
      <c r="A29" t="s">
        <v>42</v>
      </c>
      <c r="B29">
        <v>25</v>
      </c>
      <c r="C29" s="88"/>
      <c r="F29" t="s">
        <v>42</v>
      </c>
      <c r="G29">
        <v>25</v>
      </c>
    </row>
    <row r="30" spans="1:7" x14ac:dyDescent="0.3">
      <c r="A30" t="s">
        <v>44</v>
      </c>
      <c r="B30" s="94">
        <v>3</v>
      </c>
      <c r="C30" s="88" t="s">
        <v>45</v>
      </c>
      <c r="F30" t="s">
        <v>44</v>
      </c>
      <c r="G30">
        <v>3</v>
      </c>
    </row>
    <row r="32" spans="1:7" x14ac:dyDescent="0.3">
      <c r="A32" t="s">
        <v>110</v>
      </c>
      <c r="B32">
        <f>B29*B30</f>
        <v>75</v>
      </c>
      <c r="F32" t="s">
        <v>110</v>
      </c>
      <c r="G32">
        <v>75</v>
      </c>
    </row>
    <row r="33" spans="1:7" x14ac:dyDescent="0.3">
      <c r="A33" t="s">
        <v>116</v>
      </c>
      <c r="B33">
        <f>B32*B27</f>
        <v>6825</v>
      </c>
      <c r="F33" t="s">
        <v>116</v>
      </c>
      <c r="G33">
        <v>6825</v>
      </c>
    </row>
    <row r="34" spans="1:7" x14ac:dyDescent="0.3">
      <c r="A34" t="s">
        <v>112</v>
      </c>
      <c r="B34" s="94">
        <f>B23</f>
        <v>7644</v>
      </c>
      <c r="F34" t="s">
        <v>112</v>
      </c>
      <c r="G34">
        <v>6831</v>
      </c>
    </row>
    <row r="35" spans="1:7" x14ac:dyDescent="0.3">
      <c r="A35" t="s">
        <v>113</v>
      </c>
      <c r="B35" s="99">
        <f>B34/B33</f>
        <v>1.1200000000000001</v>
      </c>
      <c r="F35" t="s">
        <v>113</v>
      </c>
      <c r="G35" s="105">
        <v>1.0008791208791208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98FA-C575-479E-8B49-6E5C3825F2CE}">
  <dimension ref="A1:B31"/>
  <sheetViews>
    <sheetView workbookViewId="0">
      <selection activeCell="A13" sqref="A13:B13"/>
    </sheetView>
  </sheetViews>
  <sheetFormatPr defaultRowHeight="14.4" x14ac:dyDescent="0.3"/>
  <cols>
    <col min="1" max="1" width="54.44140625" bestFit="1" customWidth="1"/>
    <col min="2" max="2" width="11.109375" bestFit="1" customWidth="1"/>
  </cols>
  <sheetData>
    <row r="1" spans="1:2" x14ac:dyDescent="0.3">
      <c r="A1" s="1" t="s">
        <v>46</v>
      </c>
      <c r="B1" s="31">
        <v>30</v>
      </c>
    </row>
    <row r="2" spans="1:2" x14ac:dyDescent="0.3">
      <c r="A2" s="1" t="s">
        <v>47</v>
      </c>
      <c r="B2" s="29">
        <v>15</v>
      </c>
    </row>
    <row r="3" spans="1:2" x14ac:dyDescent="0.3">
      <c r="A3" s="1" t="s">
        <v>48</v>
      </c>
      <c r="B3" s="28">
        <v>0.3</v>
      </c>
    </row>
    <row r="4" spans="1:2" x14ac:dyDescent="0.3">
      <c r="A4" s="1" t="s">
        <v>49</v>
      </c>
      <c r="B4" s="28">
        <v>0.35</v>
      </c>
    </row>
    <row r="5" spans="1:2" x14ac:dyDescent="0.3">
      <c r="A5" s="1" t="s">
        <v>120</v>
      </c>
      <c r="B5" s="106">
        <f>B3*B1</f>
        <v>9</v>
      </c>
    </row>
    <row r="6" spans="1:2" x14ac:dyDescent="0.3">
      <c r="A6" s="1" t="s">
        <v>121</v>
      </c>
      <c r="B6" s="106">
        <f>B2*B4</f>
        <v>5.25</v>
      </c>
    </row>
    <row r="8" spans="1:2" x14ac:dyDescent="0.3">
      <c r="A8" t="s">
        <v>122</v>
      </c>
      <c r="B8" s="107">
        <f>(B1+B2)*25</f>
        <v>1125</v>
      </c>
    </row>
    <row r="9" spans="1:2" x14ac:dyDescent="0.3">
      <c r="A9" s="1"/>
      <c r="B9" s="109"/>
    </row>
    <row r="10" spans="1:2" x14ac:dyDescent="0.3">
      <c r="A10" s="1" t="s">
        <v>123</v>
      </c>
      <c r="B10" s="109"/>
    </row>
    <row r="11" spans="1:2" x14ac:dyDescent="0.3">
      <c r="A11" s="1" t="s">
        <v>124</v>
      </c>
      <c r="B11">
        <f>25*83%</f>
        <v>20.75</v>
      </c>
    </row>
    <row r="12" spans="1:2" x14ac:dyDescent="0.3">
      <c r="A12" s="1" t="s">
        <v>18</v>
      </c>
      <c r="B12" s="92">
        <f>B11*45*30</f>
        <v>28012.5</v>
      </c>
    </row>
    <row r="13" spans="1:2" x14ac:dyDescent="0.3">
      <c r="A13" s="1" t="s">
        <v>129</v>
      </c>
      <c r="B13" s="92">
        <f>B11*45</f>
        <v>933.75</v>
      </c>
    </row>
    <row r="14" spans="1:2" x14ac:dyDescent="0.3">
      <c r="A14" s="1" t="s">
        <v>12</v>
      </c>
    </row>
    <row r="15" spans="1:2" x14ac:dyDescent="0.3">
      <c r="A15" s="1" t="s">
        <v>124</v>
      </c>
      <c r="B15">
        <f>25*82%</f>
        <v>20.5</v>
      </c>
    </row>
    <row r="16" spans="1:2" x14ac:dyDescent="0.3">
      <c r="A16" s="1" t="s">
        <v>18</v>
      </c>
      <c r="B16" s="92">
        <f>B15*45*31</f>
        <v>28597.5</v>
      </c>
    </row>
    <row r="17" spans="1:2" x14ac:dyDescent="0.3">
      <c r="A17" s="1" t="s">
        <v>129</v>
      </c>
      <c r="B17" s="92">
        <f>B15*45</f>
        <v>922.5</v>
      </c>
    </row>
    <row r="18" spans="1:2" x14ac:dyDescent="0.3">
      <c r="A18" t="s">
        <v>13</v>
      </c>
    </row>
    <row r="19" spans="1:2" x14ac:dyDescent="0.3">
      <c r="A19" s="1" t="s">
        <v>124</v>
      </c>
      <c r="B19">
        <f>25*78%</f>
        <v>19.5</v>
      </c>
    </row>
    <row r="20" spans="1:2" x14ac:dyDescent="0.3">
      <c r="A20" s="1" t="s">
        <v>18</v>
      </c>
      <c r="B20" s="92">
        <f>B19*45*30</f>
        <v>26325</v>
      </c>
    </row>
    <row r="21" spans="1:2" x14ac:dyDescent="0.3">
      <c r="A21" s="1" t="s">
        <v>129</v>
      </c>
      <c r="B21" s="92">
        <f>B19*45</f>
        <v>877.5</v>
      </c>
    </row>
    <row r="22" spans="1:2" x14ac:dyDescent="0.3">
      <c r="A22" t="s">
        <v>125</v>
      </c>
      <c r="B22" s="110">
        <f>B20+B16+B12</f>
        <v>82935</v>
      </c>
    </row>
    <row r="23" spans="1:2" x14ac:dyDescent="0.3">
      <c r="A23" s="1" t="s">
        <v>130</v>
      </c>
      <c r="B23" s="110">
        <f>B21+B17+B13</f>
        <v>2733.75</v>
      </c>
    </row>
    <row r="24" spans="1:2" x14ac:dyDescent="0.3">
      <c r="A24" s="1" t="s">
        <v>118</v>
      </c>
      <c r="B24" s="107">
        <f>B1-0.2*B1</f>
        <v>24</v>
      </c>
    </row>
    <row r="25" spans="1:2" x14ac:dyDescent="0.3">
      <c r="A25" s="1" t="s">
        <v>119</v>
      </c>
      <c r="B25" s="108">
        <f>B2-B2*0.2</f>
        <v>12</v>
      </c>
    </row>
    <row r="27" spans="1:2" x14ac:dyDescent="0.3">
      <c r="A27" t="s">
        <v>126</v>
      </c>
      <c r="B27" s="107">
        <f>B24+B25</f>
        <v>36</v>
      </c>
    </row>
    <row r="29" spans="1:2" x14ac:dyDescent="0.3">
      <c r="A29" t="s">
        <v>127</v>
      </c>
      <c r="B29" s="107">
        <f>B27*25</f>
        <v>900</v>
      </c>
    </row>
    <row r="31" spans="1:2" x14ac:dyDescent="0.3">
      <c r="A31" t="s">
        <v>128</v>
      </c>
      <c r="B31" s="107">
        <f>3*B29</f>
        <v>2700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F39F-B1C6-4E1C-80A5-83F887441D09}">
  <dimension ref="A1:C102"/>
  <sheetViews>
    <sheetView zoomScaleNormal="100" workbookViewId="0">
      <selection activeCell="E21" sqref="E21"/>
    </sheetView>
  </sheetViews>
  <sheetFormatPr defaultRowHeight="14.4" x14ac:dyDescent="0.3"/>
  <cols>
    <col min="2" max="2" width="27.77734375" bestFit="1" customWidth="1"/>
    <col min="3" max="3" width="23.77734375" bestFit="1" customWidth="1"/>
  </cols>
  <sheetData>
    <row r="1" spans="1:3" x14ac:dyDescent="0.3">
      <c r="B1" s="92">
        <v>150</v>
      </c>
      <c r="C1" s="89">
        <v>0.3</v>
      </c>
    </row>
    <row r="2" spans="1:3" x14ac:dyDescent="0.3">
      <c r="A2" t="s">
        <v>131</v>
      </c>
      <c r="B2" t="s">
        <v>132</v>
      </c>
      <c r="C2" t="s">
        <v>133</v>
      </c>
    </row>
    <row r="3" spans="1:3" x14ac:dyDescent="0.3">
      <c r="A3">
        <v>1</v>
      </c>
      <c r="B3" s="110">
        <f>$B$1/A3</f>
        <v>150</v>
      </c>
      <c r="C3">
        <f>('Q10. Special Consideration'!$B$1+'Q10. Special Consideration'!$B$2)*'Q11. Outsourcing Analysis'!$C$1</f>
        <v>13.5</v>
      </c>
    </row>
    <row r="4" spans="1:3" x14ac:dyDescent="0.3">
      <c r="A4">
        <v>2</v>
      </c>
      <c r="B4" s="110">
        <f t="shared" ref="B4:B42" si="0">$B$1/A4</f>
        <v>75</v>
      </c>
      <c r="C4">
        <f>('Q10. Special Consideration'!$B$1+'Q10. Special Consideration'!$B$2)*'Q11. Outsourcing Analysis'!$C$1</f>
        <v>13.5</v>
      </c>
    </row>
    <row r="5" spans="1:3" x14ac:dyDescent="0.3">
      <c r="A5">
        <v>3</v>
      </c>
      <c r="B5" s="110">
        <f t="shared" si="0"/>
        <v>50</v>
      </c>
      <c r="C5">
        <f>('Q10. Special Consideration'!$B$1+'Q10. Special Consideration'!$B$2)*'Q11. Outsourcing Analysis'!$C$1</f>
        <v>13.5</v>
      </c>
    </row>
    <row r="6" spans="1:3" x14ac:dyDescent="0.3">
      <c r="A6">
        <v>4</v>
      </c>
      <c r="B6" s="110">
        <f t="shared" si="0"/>
        <v>37.5</v>
      </c>
      <c r="C6">
        <f>('Q10. Special Consideration'!$B$1+'Q10. Special Consideration'!$B$2)*'Q11. Outsourcing Analysis'!$C$1</f>
        <v>13.5</v>
      </c>
    </row>
    <row r="7" spans="1:3" x14ac:dyDescent="0.3">
      <c r="A7">
        <v>5</v>
      </c>
      <c r="B7" s="110">
        <f t="shared" si="0"/>
        <v>30</v>
      </c>
      <c r="C7">
        <f>('Q10. Special Consideration'!$B$1+'Q10. Special Consideration'!$B$2)*'Q11. Outsourcing Analysis'!$C$1</f>
        <v>13.5</v>
      </c>
    </row>
    <row r="8" spans="1:3" x14ac:dyDescent="0.3">
      <c r="A8">
        <v>6</v>
      </c>
      <c r="B8" s="110">
        <f t="shared" si="0"/>
        <v>25</v>
      </c>
      <c r="C8">
        <f>('Q10. Special Consideration'!$B$1+'Q10. Special Consideration'!$B$2)*'Q11. Outsourcing Analysis'!$C$1</f>
        <v>13.5</v>
      </c>
    </row>
    <row r="9" spans="1:3" x14ac:dyDescent="0.3">
      <c r="A9">
        <v>7</v>
      </c>
      <c r="B9" s="110">
        <f t="shared" si="0"/>
        <v>21.428571428571427</v>
      </c>
      <c r="C9">
        <f>('Q10. Special Consideration'!$B$1+'Q10. Special Consideration'!$B$2)*'Q11. Outsourcing Analysis'!$C$1</f>
        <v>13.5</v>
      </c>
    </row>
    <row r="10" spans="1:3" x14ac:dyDescent="0.3">
      <c r="A10">
        <v>8</v>
      </c>
      <c r="B10" s="110">
        <f t="shared" si="0"/>
        <v>18.75</v>
      </c>
      <c r="C10">
        <f>('Q10. Special Consideration'!$B$1+'Q10. Special Consideration'!$B$2)*'Q11. Outsourcing Analysis'!$C$1</f>
        <v>13.5</v>
      </c>
    </row>
    <row r="11" spans="1:3" x14ac:dyDescent="0.3">
      <c r="A11">
        <v>9</v>
      </c>
      <c r="B11" s="110">
        <f t="shared" si="0"/>
        <v>16.666666666666668</v>
      </c>
      <c r="C11">
        <f>('Q10. Special Consideration'!$B$1+'Q10. Special Consideration'!$B$2)*'Q11. Outsourcing Analysis'!$C$1</f>
        <v>13.5</v>
      </c>
    </row>
    <row r="12" spans="1:3" x14ac:dyDescent="0.3">
      <c r="A12">
        <v>10</v>
      </c>
      <c r="B12" s="110">
        <f t="shared" si="0"/>
        <v>15</v>
      </c>
      <c r="C12">
        <f>('Q10. Special Consideration'!$B$1+'Q10. Special Consideration'!$B$2)*'Q11. Outsourcing Analysis'!$C$1</f>
        <v>13.5</v>
      </c>
    </row>
    <row r="13" spans="1:3" x14ac:dyDescent="0.3">
      <c r="A13">
        <v>11</v>
      </c>
      <c r="B13" s="110">
        <f t="shared" si="0"/>
        <v>13.636363636363637</v>
      </c>
      <c r="C13">
        <f>('Q10. Special Consideration'!$B$1+'Q10. Special Consideration'!$B$2)*'Q11. Outsourcing Analysis'!$C$1</f>
        <v>13.5</v>
      </c>
    </row>
    <row r="14" spans="1:3" x14ac:dyDescent="0.3">
      <c r="A14">
        <v>12</v>
      </c>
      <c r="B14" s="110">
        <f t="shared" si="0"/>
        <v>12.5</v>
      </c>
      <c r="C14">
        <f>('Q10. Special Consideration'!$B$1+'Q10. Special Consideration'!$B$2)*'Q11. Outsourcing Analysis'!$C$1</f>
        <v>13.5</v>
      </c>
    </row>
    <row r="15" spans="1:3" x14ac:dyDescent="0.3">
      <c r="A15">
        <v>13</v>
      </c>
      <c r="B15" s="110">
        <f t="shared" si="0"/>
        <v>11.538461538461538</v>
      </c>
      <c r="C15">
        <f>('Q10. Special Consideration'!$B$1+'Q10. Special Consideration'!$B$2)*'Q11. Outsourcing Analysis'!$C$1</f>
        <v>13.5</v>
      </c>
    </row>
    <row r="16" spans="1:3" x14ac:dyDescent="0.3">
      <c r="A16">
        <v>14</v>
      </c>
      <c r="B16" s="110">
        <f t="shared" si="0"/>
        <v>10.714285714285714</v>
      </c>
      <c r="C16">
        <f>('Q10. Special Consideration'!$B$1+'Q10. Special Consideration'!$B$2)*'Q11. Outsourcing Analysis'!$C$1</f>
        <v>13.5</v>
      </c>
    </row>
    <row r="17" spans="1:3" x14ac:dyDescent="0.3">
      <c r="A17">
        <v>15</v>
      </c>
      <c r="B17" s="110">
        <f t="shared" si="0"/>
        <v>10</v>
      </c>
      <c r="C17">
        <f>('Q10. Special Consideration'!$B$1+'Q10. Special Consideration'!$B$2)*'Q11. Outsourcing Analysis'!$C$1</f>
        <v>13.5</v>
      </c>
    </row>
    <row r="18" spans="1:3" x14ac:dyDescent="0.3">
      <c r="A18">
        <v>16</v>
      </c>
      <c r="B18" s="110">
        <f t="shared" si="0"/>
        <v>9.375</v>
      </c>
      <c r="C18">
        <f>('Q10. Special Consideration'!$B$1+'Q10. Special Consideration'!$B$2)*'Q11. Outsourcing Analysis'!$C$1</f>
        <v>13.5</v>
      </c>
    </row>
    <row r="19" spans="1:3" x14ac:dyDescent="0.3">
      <c r="A19">
        <v>17</v>
      </c>
      <c r="B19" s="110">
        <f t="shared" si="0"/>
        <v>8.8235294117647065</v>
      </c>
      <c r="C19">
        <f>('Q10. Special Consideration'!$B$1+'Q10. Special Consideration'!$B$2)*'Q11. Outsourcing Analysis'!$C$1</f>
        <v>13.5</v>
      </c>
    </row>
    <row r="20" spans="1:3" x14ac:dyDescent="0.3">
      <c r="A20">
        <v>18</v>
      </c>
      <c r="B20" s="110">
        <f t="shared" si="0"/>
        <v>8.3333333333333339</v>
      </c>
      <c r="C20">
        <f>('Q10. Special Consideration'!$B$1+'Q10. Special Consideration'!$B$2)*'Q11. Outsourcing Analysis'!$C$1</f>
        <v>13.5</v>
      </c>
    </row>
    <row r="21" spans="1:3" x14ac:dyDescent="0.3">
      <c r="A21">
        <v>19</v>
      </c>
      <c r="B21" s="110">
        <f t="shared" si="0"/>
        <v>7.8947368421052628</v>
      </c>
      <c r="C21">
        <f>('Q10. Special Consideration'!$B$1+'Q10. Special Consideration'!$B$2)*'Q11. Outsourcing Analysis'!$C$1</f>
        <v>13.5</v>
      </c>
    </row>
    <row r="22" spans="1:3" x14ac:dyDescent="0.3">
      <c r="A22">
        <v>20</v>
      </c>
      <c r="B22" s="110">
        <f t="shared" si="0"/>
        <v>7.5</v>
      </c>
      <c r="C22">
        <f>('Q10. Special Consideration'!$B$1+'Q10. Special Consideration'!$B$2)*'Q11. Outsourcing Analysis'!$C$1</f>
        <v>13.5</v>
      </c>
    </row>
    <row r="23" spans="1:3" x14ac:dyDescent="0.3">
      <c r="A23">
        <v>21</v>
      </c>
      <c r="B23" s="110">
        <f t="shared" si="0"/>
        <v>7.1428571428571432</v>
      </c>
      <c r="C23">
        <f>('Q10. Special Consideration'!$B$1+'Q10. Special Consideration'!$B$2)*'Q11. Outsourcing Analysis'!$C$1</f>
        <v>13.5</v>
      </c>
    </row>
    <row r="24" spans="1:3" x14ac:dyDescent="0.3">
      <c r="A24">
        <v>22</v>
      </c>
      <c r="B24" s="110">
        <f t="shared" si="0"/>
        <v>6.8181818181818183</v>
      </c>
      <c r="C24">
        <f>('Q10. Special Consideration'!$B$1+'Q10. Special Consideration'!$B$2)*'Q11. Outsourcing Analysis'!$C$1</f>
        <v>13.5</v>
      </c>
    </row>
    <row r="25" spans="1:3" x14ac:dyDescent="0.3">
      <c r="A25">
        <v>23</v>
      </c>
      <c r="B25" s="110">
        <f t="shared" si="0"/>
        <v>6.5217391304347823</v>
      </c>
      <c r="C25">
        <f>('Q10. Special Consideration'!$B$1+'Q10. Special Consideration'!$B$2)*'Q11. Outsourcing Analysis'!$C$1</f>
        <v>13.5</v>
      </c>
    </row>
    <row r="26" spans="1:3" x14ac:dyDescent="0.3">
      <c r="A26">
        <v>24</v>
      </c>
      <c r="B26" s="110">
        <f t="shared" si="0"/>
        <v>6.25</v>
      </c>
      <c r="C26">
        <f>('Q10. Special Consideration'!$B$1+'Q10. Special Consideration'!$B$2)*'Q11. Outsourcing Analysis'!$C$1</f>
        <v>13.5</v>
      </c>
    </row>
    <row r="27" spans="1:3" x14ac:dyDescent="0.3">
      <c r="A27">
        <v>25</v>
      </c>
      <c r="B27" s="110">
        <f t="shared" si="0"/>
        <v>6</v>
      </c>
      <c r="C27">
        <f>('Q10. Special Consideration'!$B$1+'Q10. Special Consideration'!$B$2)*'Q11. Outsourcing Analysis'!$C$1</f>
        <v>13.5</v>
      </c>
    </row>
    <row r="28" spans="1:3" x14ac:dyDescent="0.3">
      <c r="A28">
        <v>26</v>
      </c>
      <c r="B28" s="110">
        <f t="shared" si="0"/>
        <v>5.7692307692307692</v>
      </c>
      <c r="C28">
        <f>('Q10. Special Consideration'!$B$1+'Q10. Special Consideration'!$B$2)*'Q11. Outsourcing Analysis'!$C$1</f>
        <v>13.5</v>
      </c>
    </row>
    <row r="29" spans="1:3" x14ac:dyDescent="0.3">
      <c r="A29">
        <v>27</v>
      </c>
      <c r="B29" s="110">
        <f t="shared" si="0"/>
        <v>5.5555555555555554</v>
      </c>
      <c r="C29">
        <f>('Q10. Special Consideration'!$B$1+'Q10. Special Consideration'!$B$2)*'Q11. Outsourcing Analysis'!$C$1</f>
        <v>13.5</v>
      </c>
    </row>
    <row r="30" spans="1:3" x14ac:dyDescent="0.3">
      <c r="A30">
        <v>28</v>
      </c>
      <c r="B30" s="110">
        <f t="shared" si="0"/>
        <v>5.3571428571428568</v>
      </c>
      <c r="C30">
        <f>('Q10. Special Consideration'!$B$1+'Q10. Special Consideration'!$B$2)*'Q11. Outsourcing Analysis'!$C$1</f>
        <v>13.5</v>
      </c>
    </row>
    <row r="31" spans="1:3" x14ac:dyDescent="0.3">
      <c r="A31">
        <v>29</v>
      </c>
      <c r="B31" s="110">
        <f t="shared" si="0"/>
        <v>5.1724137931034484</v>
      </c>
      <c r="C31">
        <f>('Q10. Special Consideration'!$B$1+'Q10. Special Consideration'!$B$2)*'Q11. Outsourcing Analysis'!$C$1</f>
        <v>13.5</v>
      </c>
    </row>
    <row r="32" spans="1:3" x14ac:dyDescent="0.3">
      <c r="A32">
        <v>30</v>
      </c>
      <c r="B32" s="110">
        <f t="shared" si="0"/>
        <v>5</v>
      </c>
      <c r="C32">
        <f>('Q10. Special Consideration'!$B$1+'Q10. Special Consideration'!$B$2)*'Q11. Outsourcing Analysis'!$C$1</f>
        <v>13.5</v>
      </c>
    </row>
    <row r="33" spans="1:3" x14ac:dyDescent="0.3">
      <c r="A33">
        <v>31</v>
      </c>
      <c r="B33" s="110">
        <f t="shared" si="0"/>
        <v>4.838709677419355</v>
      </c>
      <c r="C33">
        <f>('Q10. Special Consideration'!$B$1+'Q10. Special Consideration'!$B$2)*'Q11. Outsourcing Analysis'!$C$1</f>
        <v>13.5</v>
      </c>
    </row>
    <row r="34" spans="1:3" x14ac:dyDescent="0.3">
      <c r="A34">
        <v>32</v>
      </c>
      <c r="B34" s="110">
        <f t="shared" si="0"/>
        <v>4.6875</v>
      </c>
      <c r="C34">
        <f>('Q10. Special Consideration'!$B$1+'Q10. Special Consideration'!$B$2)*'Q11. Outsourcing Analysis'!$C$1</f>
        <v>13.5</v>
      </c>
    </row>
    <row r="35" spans="1:3" x14ac:dyDescent="0.3">
      <c r="A35">
        <v>33</v>
      </c>
      <c r="B35" s="110">
        <f t="shared" si="0"/>
        <v>4.5454545454545459</v>
      </c>
      <c r="C35">
        <f>('Q10. Special Consideration'!$B$1+'Q10. Special Consideration'!$B$2)*'Q11. Outsourcing Analysis'!$C$1</f>
        <v>13.5</v>
      </c>
    </row>
    <row r="36" spans="1:3" x14ac:dyDescent="0.3">
      <c r="A36">
        <v>34</v>
      </c>
      <c r="B36" s="110">
        <f t="shared" si="0"/>
        <v>4.4117647058823533</v>
      </c>
      <c r="C36">
        <f>('Q10. Special Consideration'!$B$1+'Q10. Special Consideration'!$B$2)*'Q11. Outsourcing Analysis'!$C$1</f>
        <v>13.5</v>
      </c>
    </row>
    <row r="37" spans="1:3" x14ac:dyDescent="0.3">
      <c r="A37">
        <v>35</v>
      </c>
      <c r="B37" s="110">
        <f t="shared" si="0"/>
        <v>4.2857142857142856</v>
      </c>
      <c r="C37">
        <f>('Q10. Special Consideration'!$B$1+'Q10. Special Consideration'!$B$2)*'Q11. Outsourcing Analysis'!$C$1</f>
        <v>13.5</v>
      </c>
    </row>
    <row r="38" spans="1:3" x14ac:dyDescent="0.3">
      <c r="A38">
        <v>36</v>
      </c>
      <c r="B38" s="110">
        <f t="shared" si="0"/>
        <v>4.166666666666667</v>
      </c>
      <c r="C38">
        <f>('Q10. Special Consideration'!$B$1+'Q10. Special Consideration'!$B$2)*'Q11. Outsourcing Analysis'!$C$1</f>
        <v>13.5</v>
      </c>
    </row>
    <row r="39" spans="1:3" x14ac:dyDescent="0.3">
      <c r="A39">
        <v>37</v>
      </c>
      <c r="B39" s="110">
        <f t="shared" si="0"/>
        <v>4.0540540540540544</v>
      </c>
      <c r="C39">
        <f>('Q10. Special Consideration'!$B$1+'Q10. Special Consideration'!$B$2)*'Q11. Outsourcing Analysis'!$C$1</f>
        <v>13.5</v>
      </c>
    </row>
    <row r="40" spans="1:3" x14ac:dyDescent="0.3">
      <c r="A40">
        <v>38</v>
      </c>
      <c r="B40" s="110">
        <f t="shared" si="0"/>
        <v>3.9473684210526314</v>
      </c>
      <c r="C40">
        <f>('Q10. Special Consideration'!$B$1+'Q10. Special Consideration'!$B$2)*'Q11. Outsourcing Analysis'!$C$1</f>
        <v>13.5</v>
      </c>
    </row>
    <row r="41" spans="1:3" x14ac:dyDescent="0.3">
      <c r="A41">
        <v>39</v>
      </c>
      <c r="B41" s="110">
        <f t="shared" si="0"/>
        <v>3.8461538461538463</v>
      </c>
      <c r="C41">
        <f>('Q10. Special Consideration'!$B$1+'Q10. Special Consideration'!$B$2)*'Q11. Outsourcing Analysis'!$C$1</f>
        <v>13.5</v>
      </c>
    </row>
    <row r="42" spans="1:3" x14ac:dyDescent="0.3">
      <c r="A42">
        <v>40</v>
      </c>
      <c r="B42" s="110">
        <f t="shared" si="0"/>
        <v>3.75</v>
      </c>
      <c r="C42">
        <f>('Q10. Special Consideration'!$B$1+'Q10. Special Consideration'!$B$2)*'Q11. Outsourcing Analysis'!$C$1</f>
        <v>13.5</v>
      </c>
    </row>
    <row r="43" spans="1:3" x14ac:dyDescent="0.3">
      <c r="B43" s="110"/>
    </row>
    <row r="44" spans="1:3" x14ac:dyDescent="0.3">
      <c r="B44" s="110"/>
    </row>
    <row r="45" spans="1:3" x14ac:dyDescent="0.3">
      <c r="B45" s="110"/>
    </row>
    <row r="46" spans="1:3" x14ac:dyDescent="0.3">
      <c r="B46" s="110"/>
    </row>
    <row r="47" spans="1:3" x14ac:dyDescent="0.3">
      <c r="B47" s="110"/>
    </row>
    <row r="48" spans="1:3" x14ac:dyDescent="0.3">
      <c r="B48" s="110"/>
    </row>
    <row r="49" spans="2:2" x14ac:dyDescent="0.3">
      <c r="B49" s="110"/>
    </row>
    <row r="50" spans="2:2" x14ac:dyDescent="0.3">
      <c r="B50" s="110"/>
    </row>
    <row r="51" spans="2:2" x14ac:dyDescent="0.3">
      <c r="B51" s="110"/>
    </row>
    <row r="52" spans="2:2" x14ac:dyDescent="0.3">
      <c r="B52" s="110"/>
    </row>
    <row r="53" spans="2:2" x14ac:dyDescent="0.3">
      <c r="B53" s="110"/>
    </row>
    <row r="54" spans="2:2" x14ac:dyDescent="0.3">
      <c r="B54" s="110"/>
    </row>
    <row r="55" spans="2:2" x14ac:dyDescent="0.3">
      <c r="B55" s="110"/>
    </row>
    <row r="56" spans="2:2" x14ac:dyDescent="0.3">
      <c r="B56" s="110"/>
    </row>
    <row r="57" spans="2:2" x14ac:dyDescent="0.3">
      <c r="B57" s="110"/>
    </row>
    <row r="58" spans="2:2" x14ac:dyDescent="0.3">
      <c r="B58" s="110"/>
    </row>
    <row r="59" spans="2:2" x14ac:dyDescent="0.3">
      <c r="B59" s="110"/>
    </row>
    <row r="60" spans="2:2" x14ac:dyDescent="0.3">
      <c r="B60" s="110"/>
    </row>
    <row r="61" spans="2:2" x14ac:dyDescent="0.3">
      <c r="B61" s="110"/>
    </row>
    <row r="62" spans="2:2" x14ac:dyDescent="0.3">
      <c r="B62" s="110"/>
    </row>
    <row r="63" spans="2:2" x14ac:dyDescent="0.3">
      <c r="B63" s="110"/>
    </row>
    <row r="64" spans="2:2" x14ac:dyDescent="0.3">
      <c r="B64" s="110"/>
    </row>
    <row r="65" spans="2:2" x14ac:dyDescent="0.3">
      <c r="B65" s="110"/>
    </row>
    <row r="66" spans="2:2" x14ac:dyDescent="0.3">
      <c r="B66" s="110"/>
    </row>
    <row r="67" spans="2:2" x14ac:dyDescent="0.3">
      <c r="B67" s="110"/>
    </row>
    <row r="68" spans="2:2" x14ac:dyDescent="0.3">
      <c r="B68" s="110"/>
    </row>
    <row r="69" spans="2:2" x14ac:dyDescent="0.3">
      <c r="B69" s="110"/>
    </row>
    <row r="70" spans="2:2" x14ac:dyDescent="0.3">
      <c r="B70" s="110"/>
    </row>
    <row r="71" spans="2:2" x14ac:dyDescent="0.3">
      <c r="B71" s="110"/>
    </row>
    <row r="72" spans="2:2" x14ac:dyDescent="0.3">
      <c r="B72" s="110"/>
    </row>
    <row r="73" spans="2:2" x14ac:dyDescent="0.3">
      <c r="B73" s="110"/>
    </row>
    <row r="74" spans="2:2" x14ac:dyDescent="0.3">
      <c r="B74" s="110"/>
    </row>
    <row r="75" spans="2:2" x14ac:dyDescent="0.3">
      <c r="B75" s="110"/>
    </row>
    <row r="76" spans="2:2" x14ac:dyDescent="0.3">
      <c r="B76" s="110"/>
    </row>
    <row r="77" spans="2:2" x14ac:dyDescent="0.3">
      <c r="B77" s="110"/>
    </row>
    <row r="78" spans="2:2" x14ac:dyDescent="0.3">
      <c r="B78" s="110"/>
    </row>
    <row r="79" spans="2:2" x14ac:dyDescent="0.3">
      <c r="B79" s="110"/>
    </row>
    <row r="80" spans="2:2" x14ac:dyDescent="0.3">
      <c r="B80" s="110"/>
    </row>
    <row r="81" spans="2:2" x14ac:dyDescent="0.3">
      <c r="B81" s="110"/>
    </row>
    <row r="82" spans="2:2" x14ac:dyDescent="0.3">
      <c r="B82" s="110"/>
    </row>
    <row r="83" spans="2:2" x14ac:dyDescent="0.3">
      <c r="B83" s="110"/>
    </row>
    <row r="84" spans="2:2" x14ac:dyDescent="0.3">
      <c r="B84" s="110"/>
    </row>
    <row r="85" spans="2:2" x14ac:dyDescent="0.3">
      <c r="B85" s="110"/>
    </row>
    <row r="86" spans="2:2" x14ac:dyDescent="0.3">
      <c r="B86" s="110"/>
    </row>
    <row r="87" spans="2:2" x14ac:dyDescent="0.3">
      <c r="B87" s="110"/>
    </row>
    <row r="88" spans="2:2" x14ac:dyDescent="0.3">
      <c r="B88" s="110"/>
    </row>
    <row r="89" spans="2:2" x14ac:dyDescent="0.3">
      <c r="B89" s="110"/>
    </row>
    <row r="90" spans="2:2" x14ac:dyDescent="0.3">
      <c r="B90" s="110"/>
    </row>
    <row r="91" spans="2:2" x14ac:dyDescent="0.3">
      <c r="B91" s="110"/>
    </row>
    <row r="92" spans="2:2" x14ac:dyDescent="0.3">
      <c r="B92" s="110"/>
    </row>
    <row r="93" spans="2:2" x14ac:dyDescent="0.3">
      <c r="B93" s="110"/>
    </row>
    <row r="94" spans="2:2" x14ac:dyDescent="0.3">
      <c r="B94" s="110"/>
    </row>
    <row r="95" spans="2:2" x14ac:dyDescent="0.3">
      <c r="B95" s="110"/>
    </row>
    <row r="96" spans="2:2" x14ac:dyDescent="0.3">
      <c r="B96" s="110"/>
    </row>
    <row r="97" spans="2:2" x14ac:dyDescent="0.3">
      <c r="B97" s="110"/>
    </row>
    <row r="98" spans="2:2" x14ac:dyDescent="0.3">
      <c r="B98" s="110"/>
    </row>
    <row r="99" spans="2:2" x14ac:dyDescent="0.3">
      <c r="B99" s="110"/>
    </row>
    <row r="100" spans="2:2" x14ac:dyDescent="0.3">
      <c r="B100" s="110"/>
    </row>
    <row r="101" spans="2:2" x14ac:dyDescent="0.3">
      <c r="B101" s="110"/>
    </row>
    <row r="102" spans="2:2" x14ac:dyDescent="0.3">
      <c r="B102" s="1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3adb74-9347-4fc8-b498-eb7d889ee1e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0131BDB11A1489EE86C61EC436E15" ma:contentTypeVersion="12" ma:contentTypeDescription="Create a new document." ma:contentTypeScope="" ma:versionID="c063648c8e6946949600297a4a1fe77d">
  <xsd:schema xmlns:xsd="http://www.w3.org/2001/XMLSchema" xmlns:xs="http://www.w3.org/2001/XMLSchema" xmlns:p="http://schemas.microsoft.com/office/2006/metadata/properties" xmlns:ns3="423adb74-9347-4fc8-b498-eb7d889ee1ed" targetNamespace="http://schemas.microsoft.com/office/2006/metadata/properties" ma:root="true" ma:fieldsID="c85ef2aaf86e361f3329555d41f21eac" ns3:_="">
    <xsd:import namespace="423adb74-9347-4fc8-b498-eb7d889ee1e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adb74-9347-4fc8-b498-eb7d889ee1e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BD17BA-DC91-4744-B2E5-84469AC15621}">
  <ds:schemaRefs>
    <ds:schemaRef ds:uri="http://purl.org/dc/terms/"/>
    <ds:schemaRef ds:uri="http://schemas.microsoft.com/office/2006/metadata/properties"/>
    <ds:schemaRef ds:uri="423adb74-9347-4fc8-b498-eb7d889ee1e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AD74ED6-AA4D-48D1-8236-2989A0E77E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3adb74-9347-4fc8-b498-eb7d889ee1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731907-FFD3-4E9E-B030-F3E552115D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Budget</vt:lpstr>
      <vt:lpstr>Q2. Utilities Regression</vt:lpstr>
      <vt:lpstr>Q3. Break-Even Analysis</vt:lpstr>
      <vt:lpstr>Q4. Target Profit</vt:lpstr>
      <vt:lpstr>Updated Budget</vt:lpstr>
      <vt:lpstr>Q8. Break Even Analysis-II</vt:lpstr>
      <vt:lpstr>Q9. Target Profit - II</vt:lpstr>
      <vt:lpstr>Q10. Special Consideration</vt:lpstr>
      <vt:lpstr>Q11. Outsourcing Analysis</vt:lpstr>
      <vt:lpstr>Budget!Print_Area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2020-08-31T07:54:02Z</dcterms:created>
  <dcterms:modified xsi:type="dcterms:W3CDTF">2024-10-27T05:29:41Z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2022-02-16T08:01:01Z</vt:lpwstr>
  </property>
  <property fmtid="{D5CDD505-2E9C-101B-9397-08002B2CF9AE}" pid="4" name="MSIP_Label_51a6c3db-1667-4f49-995a-8b9973972958_Method">
    <vt:lpwstr>Privileged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d2c54ba5-6561-4374-97ae-0d3e28ed95d8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0x010100DE90131BDB11A1489EE86C61EC436E15</vt:lpwstr>
  </property>
</Properties>
</file>