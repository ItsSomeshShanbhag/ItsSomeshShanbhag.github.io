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E:\UTS Academics\Sem 3\3. Bank Lending\Assign 1\25752 Group Assignment Files - Group 11\"/>
    </mc:Choice>
  </mc:AlternateContent>
  <xr:revisionPtr revIDLastSave="0" documentId="13_ncr:1_{E2E86D08-8340-46FE-BE12-16D09B996ADD}" xr6:coauthVersionLast="47" xr6:coauthVersionMax="47" xr10:uidLastSave="{00000000-0000-0000-0000-000000000000}"/>
  <bookViews>
    <workbookView xWindow="-108" yWindow="-108" windowWidth="23256" windowHeight="12456" xr2:uid="{4A77B1F1-E9E8-48D7-ACF7-B905DD13E113}"/>
  </bookViews>
  <sheets>
    <sheet name="Customer 1" sheetId="2" r:id="rId1"/>
    <sheet name="Customer 2" sheetId="4" r:id="rId2"/>
    <sheet name="Customer 3" sheetId="1" r:id="rId3"/>
    <sheet name="Customer 4" sheetId="3" r:id="rId4"/>
    <sheet name="Customer 5" sheetId="5" r:id="rId5"/>
    <sheet name="Sb rate sheet, HEM and Points" sheetId="10" r:id="rId6"/>
  </sheets>
  <calcPr calcId="191029"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2" l="1"/>
  <c r="B30" i="2"/>
  <c r="F48" i="1"/>
  <c r="B30" i="1"/>
  <c r="B23" i="1"/>
  <c r="B20" i="1"/>
  <c r="B30" i="4"/>
  <c r="F51" i="4"/>
  <c r="B28" i="4"/>
  <c r="B15" i="4"/>
  <c r="B30" i="5"/>
  <c r="F58" i="5"/>
  <c r="B31" i="5" s="1"/>
  <c r="F59" i="3"/>
  <c r="G53" i="3" s="1"/>
  <c r="F55" i="1"/>
  <c r="F59" i="5"/>
  <c r="F60" i="3"/>
  <c r="F53" i="3" s="1"/>
  <c r="F56" i="1"/>
  <c r="F57" i="4"/>
  <c r="F56" i="4"/>
  <c r="B29" i="2"/>
  <c r="F59" i="2"/>
  <c r="F58" i="2"/>
  <c r="B27" i="2"/>
  <c r="B24" i="2"/>
  <c r="B23" i="2"/>
  <c r="B25" i="2" s="1"/>
  <c r="B20" i="2"/>
  <c r="B18" i="2"/>
  <c r="B23" i="4"/>
  <c r="B25" i="4" s="1"/>
  <c r="G43" i="2"/>
  <c r="G47" i="5"/>
  <c r="B29" i="5"/>
  <c r="B28" i="5"/>
  <c r="B27" i="5"/>
  <c r="B24" i="5"/>
  <c r="B23" i="5"/>
  <c r="B20" i="5"/>
  <c r="B19" i="5"/>
  <c r="B18" i="5"/>
  <c r="B16" i="5"/>
  <c r="B15" i="5"/>
  <c r="B10" i="5"/>
  <c r="B9" i="5"/>
  <c r="B8" i="5"/>
  <c r="B8" i="4"/>
  <c r="B7" i="5"/>
  <c r="B6" i="5"/>
  <c r="B25" i="5"/>
  <c r="B12" i="5"/>
  <c r="F51" i="3"/>
  <c r="B27" i="3"/>
  <c r="B29" i="3"/>
  <c r="B28" i="3"/>
  <c r="B24" i="3"/>
  <c r="B23" i="3"/>
  <c r="B25" i="3" s="1"/>
  <c r="B20" i="3"/>
  <c r="B19" i="3"/>
  <c r="B17" i="3"/>
  <c r="B10" i="3"/>
  <c r="B12" i="3" s="1"/>
  <c r="B7" i="3"/>
  <c r="B6" i="3"/>
  <c r="B16" i="3"/>
  <c r="B15" i="3"/>
  <c r="B29" i="1"/>
  <c r="B28" i="1"/>
  <c r="B27" i="1"/>
  <c r="B24" i="1"/>
  <c r="B25" i="1"/>
  <c r="B16" i="1"/>
  <c r="B15" i="1"/>
  <c r="B10" i="1"/>
  <c r="B12" i="1" s="1"/>
  <c r="B7" i="1"/>
  <c r="B6" i="1"/>
  <c r="I35" i="4"/>
  <c r="I34" i="4"/>
  <c r="I33" i="4"/>
  <c r="I32" i="4"/>
  <c r="I31" i="4"/>
  <c r="I30" i="4"/>
  <c r="I29" i="4"/>
  <c r="I28" i="4"/>
  <c r="I27" i="4"/>
  <c r="I36" i="4" s="1"/>
  <c r="I37" i="4" s="1" a="1"/>
  <c r="I37" i="4" s="1"/>
  <c r="B10" i="4"/>
  <c r="B29" i="4"/>
  <c r="B27" i="4"/>
  <c r="B24" i="4"/>
  <c r="B20" i="4"/>
  <c r="B19" i="4"/>
  <c r="B9" i="4"/>
  <c r="B7" i="4"/>
  <c r="B6" i="4"/>
  <c r="B16" i="4"/>
  <c r="G42" i="2"/>
  <c r="F56" i="2"/>
  <c r="B28" i="2"/>
  <c r="B17" i="2"/>
  <c r="B15" i="2"/>
  <c r="B7" i="2"/>
  <c r="B6" i="2"/>
  <c r="B30" i="3" l="1"/>
  <c r="B31" i="3"/>
  <c r="G31" i="1"/>
  <c r="G32" i="2"/>
  <c r="F47" i="5"/>
  <c r="F52" i="3"/>
  <c r="F49" i="4" l="1"/>
  <c r="F51" i="5"/>
  <c r="G50" i="5" s="1"/>
  <c r="F50" i="4"/>
  <c r="F50" i="5"/>
  <c r="J44" i="5"/>
  <c r="J43" i="5"/>
  <c r="F45" i="5"/>
  <c r="F49" i="5" s="1"/>
  <c r="F43" i="5"/>
  <c r="F42" i="5"/>
  <c r="F44" i="5" s="1"/>
  <c r="F48" i="5" s="1"/>
  <c r="G52" i="3"/>
  <c r="F50" i="3"/>
  <c r="F46" i="3"/>
  <c r="F45" i="3"/>
  <c r="F43" i="3"/>
  <c r="F42" i="3"/>
  <c r="G41" i="1"/>
  <c r="F46" i="1"/>
  <c r="F49" i="1"/>
  <c r="F45" i="1"/>
  <c r="F53" i="1" s="1"/>
  <c r="F43" i="1"/>
  <c r="F42" i="1"/>
  <c r="F44" i="1" s="1"/>
  <c r="G50" i="1"/>
  <c r="F51" i="2"/>
  <c r="F48" i="2"/>
  <c r="F47" i="2"/>
  <c r="F45" i="2"/>
  <c r="F44" i="2"/>
  <c r="F42" i="2"/>
  <c r="G50" i="4"/>
  <c r="F41" i="4"/>
  <c r="G50" i="3" l="1"/>
  <c r="B18" i="3"/>
  <c r="F47" i="1"/>
  <c r="G47" i="1" s="1"/>
  <c r="F57" i="3"/>
  <c r="B12" i="4"/>
  <c r="F50" i="2"/>
  <c r="B10" i="2"/>
  <c r="B12" i="2" s="1"/>
  <c r="F56" i="5"/>
  <c r="G48" i="5"/>
  <c r="F44" i="3"/>
  <c r="F48" i="3"/>
  <c r="F49" i="3"/>
  <c r="J45" i="5"/>
  <c r="F46" i="5" s="1"/>
  <c r="I36" i="5"/>
  <c r="I35" i="5"/>
  <c r="I34" i="5"/>
  <c r="I33" i="5"/>
  <c r="I32" i="5"/>
  <c r="I31" i="5"/>
  <c r="I30" i="5"/>
  <c r="I29" i="5"/>
  <c r="I28" i="5"/>
  <c r="J42" i="4"/>
  <c r="J41" i="4"/>
  <c r="G36" i="5"/>
  <c r="G35" i="5"/>
  <c r="G34" i="5"/>
  <c r="G33" i="5"/>
  <c r="G32" i="5"/>
  <c r="G31" i="5"/>
  <c r="G30" i="5"/>
  <c r="G29" i="5"/>
  <c r="G28" i="5"/>
  <c r="G27" i="1"/>
  <c r="G28" i="1"/>
  <c r="G29" i="1"/>
  <c r="G30" i="1"/>
  <c r="G32" i="1"/>
  <c r="G33" i="1"/>
  <c r="G34" i="1"/>
  <c r="G35" i="1"/>
  <c r="G28" i="3"/>
  <c r="G29" i="3"/>
  <c r="G30" i="3"/>
  <c r="G31" i="3"/>
  <c r="G32" i="3"/>
  <c r="G33" i="3"/>
  <c r="G34" i="3"/>
  <c r="G35" i="3"/>
  <c r="G36" i="3"/>
  <c r="G28" i="4"/>
  <c r="G29" i="4"/>
  <c r="G30" i="4"/>
  <c r="G31" i="4"/>
  <c r="G32" i="4"/>
  <c r="G33" i="4"/>
  <c r="G34" i="4"/>
  <c r="G35" i="4"/>
  <c r="G27" i="4"/>
  <c r="G36" i="2"/>
  <c r="B9" i="2" s="1"/>
  <c r="G35" i="2"/>
  <c r="G34" i="2"/>
  <c r="G33" i="2"/>
  <c r="G31" i="2"/>
  <c r="G30" i="2"/>
  <c r="G29" i="2"/>
  <c r="G28" i="2"/>
  <c r="F44" i="4"/>
  <c r="F42" i="4"/>
  <c r="F43" i="4" s="1"/>
  <c r="F47" i="3" l="1"/>
  <c r="F52" i="5"/>
  <c r="F54" i="4"/>
  <c r="F48" i="4"/>
  <c r="F47" i="4"/>
  <c r="G37" i="2"/>
  <c r="G51" i="5"/>
  <c r="G49" i="3"/>
  <c r="G48" i="3"/>
  <c r="B31" i="1"/>
  <c r="I37" i="5"/>
  <c r="I38" i="5" s="1" a="1"/>
  <c r="I38" i="5" s="1"/>
  <c r="J43" i="4"/>
  <c r="F50" i="1" l="1"/>
  <c r="G51" i="4"/>
  <c r="B31" i="4"/>
  <c r="F45" i="4"/>
  <c r="F46" i="4"/>
  <c r="G46" i="4" s="1"/>
  <c r="G52" i="2" l="1"/>
  <c r="G37" i="5"/>
  <c r="G38" i="5" s="1" a="1"/>
  <c r="G38" i="5" s="1"/>
  <c r="G37" i="3"/>
  <c r="G36" i="1"/>
  <c r="G38" i="2" a="1"/>
  <c r="G38" i="2" s="1"/>
  <c r="G36" i="4"/>
  <c r="F46" i="2"/>
  <c r="G38" i="3" l="1" a="1"/>
  <c r="G38" i="3" s="1"/>
  <c r="G37" i="1" a="1"/>
  <c r="G37" i="1" s="1"/>
  <c r="G37" i="4" a="1"/>
  <c r="G37" i="4" s="1"/>
  <c r="F49" i="2"/>
  <c r="G50" i="2" s="1"/>
  <c r="F5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<sst xmlns="http://schemas.openxmlformats.org/spreadsheetml/2006/main" count="979" uniqueCount="370">
  <si>
    <t>Customer Name</t>
  </si>
  <si>
    <t>Amount requested</t>
  </si>
  <si>
    <t>For How Long</t>
  </si>
  <si>
    <t xml:space="preserve">Proceeds of loan to be used for </t>
  </si>
  <si>
    <t>Birthdate</t>
  </si>
  <si>
    <t>No of children</t>
  </si>
  <si>
    <t>Employer</t>
  </si>
  <si>
    <t>Position</t>
  </si>
  <si>
    <t>Gross Wage</t>
  </si>
  <si>
    <t>how long</t>
  </si>
  <si>
    <t>previous home own/rent how long</t>
  </si>
  <si>
    <t>Previous employer</t>
  </si>
  <si>
    <t xml:space="preserve">Joint borrower details </t>
  </si>
  <si>
    <t>Student Bank Loan application form</t>
  </si>
  <si>
    <t>current home                 own/rent how long</t>
  </si>
  <si>
    <t>Statement of Financial position (your assets and Liabilities)</t>
  </si>
  <si>
    <t xml:space="preserve">List of assets </t>
  </si>
  <si>
    <t>balance /estimated value</t>
  </si>
  <si>
    <t>List of liabilities (include rental commitments</t>
  </si>
  <si>
    <t>Loan details</t>
  </si>
  <si>
    <t>Years at employer</t>
  </si>
  <si>
    <t>Individual Or Join Cr</t>
  </si>
  <si>
    <t>Status</t>
  </si>
  <si>
    <t>Do you bank with us (details)</t>
  </si>
  <si>
    <t>Previous employer and years service</t>
  </si>
  <si>
    <t>Credit rating</t>
  </si>
  <si>
    <t>Loan Type</t>
  </si>
  <si>
    <t xml:space="preserve">1. Loans for new and used vehicles/consumer mortgage </t>
  </si>
  <si>
    <t>2. Personal/household items loans</t>
  </si>
  <si>
    <t>3. Home equity and home improvement loans</t>
  </si>
  <si>
    <t>4. Unsecured loans</t>
  </si>
  <si>
    <t>5. Secured loans</t>
  </si>
  <si>
    <t>Cars</t>
  </si>
  <si>
    <t>Trucks</t>
  </si>
  <si>
    <t>Motorcycles</t>
  </si>
  <si>
    <t>Boats</t>
  </si>
  <si>
    <t>Campers</t>
  </si>
  <si>
    <t>max term</t>
  </si>
  <si>
    <t>5yrs</t>
  </si>
  <si>
    <t>monthly</t>
  </si>
  <si>
    <t>3yrs</t>
  </si>
  <si>
    <t>4yrs</t>
  </si>
  <si>
    <t>7yrs</t>
  </si>
  <si>
    <t>interest rate new</t>
  </si>
  <si>
    <t>interest rate used</t>
  </si>
  <si>
    <t>electronic items and white goods</t>
  </si>
  <si>
    <t>furniture and other items</t>
  </si>
  <si>
    <t xml:space="preserve">primary residences </t>
  </si>
  <si>
    <t xml:space="preserve">non-primary residences </t>
  </si>
  <si>
    <t>10yrs</t>
  </si>
  <si>
    <t>Other</t>
  </si>
  <si>
    <t>5yr</t>
  </si>
  <si>
    <t>other forms</t>
  </si>
  <si>
    <t xml:space="preserve">6. Credit cards </t>
  </si>
  <si>
    <t>normal repayment type</t>
  </si>
  <si>
    <t>Classic Card</t>
  </si>
  <si>
    <t>7. Residential Real Estate Loans</t>
  </si>
  <si>
    <t>owner occupied</t>
  </si>
  <si>
    <t>investment loan</t>
  </si>
  <si>
    <t>30yrs</t>
  </si>
  <si>
    <t>20yrs</t>
  </si>
  <si>
    <t>Acceptable credit scores non home loans</t>
  </si>
  <si>
    <t>Above 400</t>
  </si>
  <si>
    <t>between 300 and 399</t>
  </si>
  <si>
    <t>reject loan application</t>
  </si>
  <si>
    <t>sub prime customer</t>
  </si>
  <si>
    <t>standard interest rate</t>
  </si>
  <si>
    <t>increase interest rate</t>
  </si>
  <si>
    <t>Acceptable credit scores home loans</t>
  </si>
  <si>
    <t>car</t>
  </si>
  <si>
    <t xml:space="preserve">Individual </t>
  </si>
  <si>
    <t>single</t>
  </si>
  <si>
    <t>nil</t>
  </si>
  <si>
    <t>rent</t>
  </si>
  <si>
    <t>no</t>
  </si>
  <si>
    <t>married</t>
  </si>
  <si>
    <t>good</t>
  </si>
  <si>
    <t>na</t>
  </si>
  <si>
    <t>10 years</t>
  </si>
  <si>
    <t>own</t>
  </si>
  <si>
    <t xml:space="preserve">current rate </t>
  </si>
  <si>
    <t>rate for</t>
  </si>
  <si>
    <t>debt test</t>
  </si>
  <si>
    <t>home</t>
  </si>
  <si>
    <t xml:space="preserve">individual </t>
  </si>
  <si>
    <t>bank account</t>
  </si>
  <si>
    <t>Unsecured</t>
  </si>
  <si>
    <t>none</t>
  </si>
  <si>
    <t>20 years</t>
  </si>
  <si>
    <t>yes</t>
  </si>
  <si>
    <t>per month</t>
  </si>
  <si>
    <t xml:space="preserve">rent </t>
  </si>
  <si>
    <t>3 years</t>
  </si>
  <si>
    <t>credit card</t>
  </si>
  <si>
    <t>Car</t>
  </si>
  <si>
    <t>savings account</t>
  </si>
  <si>
    <t>motorcycle</t>
  </si>
  <si>
    <t>Single</t>
  </si>
  <si>
    <t>other bank savings account</t>
  </si>
  <si>
    <t>cars</t>
  </si>
  <si>
    <t>bank accounts</t>
  </si>
  <si>
    <t>home Improvement</t>
  </si>
  <si>
    <t xml:space="preserve">home loan  </t>
  </si>
  <si>
    <t>camper van</t>
  </si>
  <si>
    <t>Joint</t>
  </si>
  <si>
    <t>left home</t>
  </si>
  <si>
    <t>car loan</t>
  </si>
  <si>
    <t>superannuation</t>
  </si>
  <si>
    <t xml:space="preserve">superannuation </t>
  </si>
  <si>
    <t>Secured Offered</t>
  </si>
  <si>
    <t>2nd mortgage</t>
  </si>
  <si>
    <t>Student Bank Loan minimum interest rates and maximum terms</t>
  </si>
  <si>
    <t>15yrs</t>
  </si>
  <si>
    <t>Debt consolidation</t>
  </si>
  <si>
    <t>land and building security</t>
  </si>
  <si>
    <t>prime customer</t>
  </si>
  <si>
    <t xml:space="preserve">Retail </t>
  </si>
  <si>
    <t>Above 450</t>
  </si>
  <si>
    <t>between 325 and 449</t>
  </si>
  <si>
    <t>below 324</t>
  </si>
  <si>
    <t>below 299</t>
  </si>
  <si>
    <t xml:space="preserve">landscaping </t>
  </si>
  <si>
    <t xml:space="preserve">Kastanas, Sean </t>
  </si>
  <si>
    <t xml:space="preserve">at home </t>
  </si>
  <si>
    <t xml:space="preserve">rent room </t>
  </si>
  <si>
    <t>at home</t>
  </si>
  <si>
    <t>motorbike</t>
  </si>
  <si>
    <t xml:space="preserve">rent room at home </t>
  </si>
  <si>
    <t>Wind Eldercare</t>
  </si>
  <si>
    <t>buy new Honda motorcycle for $13,000</t>
  </si>
  <si>
    <t>Kitto, James</t>
  </si>
  <si>
    <t>Kitto, June</t>
  </si>
  <si>
    <t>11 years</t>
  </si>
  <si>
    <t>4 year</t>
  </si>
  <si>
    <t>Cook Aged Care</t>
  </si>
  <si>
    <t>7 years</t>
  </si>
  <si>
    <t>Field care</t>
  </si>
  <si>
    <t>Cotton On Stores</t>
  </si>
  <si>
    <t>Top Hat</t>
  </si>
  <si>
    <t xml:space="preserve">bank account </t>
  </si>
  <si>
    <t>$2,200 per month</t>
  </si>
  <si>
    <t>credit card $24,000 limit</t>
  </si>
  <si>
    <t>Anglian care</t>
  </si>
  <si>
    <t>Lam, Row</t>
  </si>
  <si>
    <t>Apprentice</t>
  </si>
  <si>
    <t>Loan Parents</t>
  </si>
  <si>
    <t>100 per month</t>
  </si>
  <si>
    <t>Ultimo Electrical</t>
  </si>
  <si>
    <t>Lazarus, Se</t>
  </si>
  <si>
    <t>divorced</t>
  </si>
  <si>
    <t>12 years</t>
  </si>
  <si>
    <t>5 Years</t>
  </si>
  <si>
    <t xml:space="preserve">housewife </t>
  </si>
  <si>
    <t xml:space="preserve">Senior officer </t>
  </si>
  <si>
    <t xml:space="preserve">NSW Ambulance </t>
  </si>
  <si>
    <t xml:space="preserve">family home (half Share) </t>
  </si>
  <si>
    <t>$1700 per month</t>
  </si>
  <si>
    <t>credit card limit $16,000</t>
  </si>
  <si>
    <t>loan on family home (half Share)</t>
  </si>
  <si>
    <t>half share of loan repayment to be paid out on settlement</t>
  </si>
  <si>
    <t>Mariani, Chris</t>
  </si>
  <si>
    <t>18 years</t>
  </si>
  <si>
    <t xml:space="preserve">Fleet maintenance </t>
  </si>
  <si>
    <t>Clark Crane</t>
  </si>
  <si>
    <t>Mariani, Kate</t>
  </si>
  <si>
    <t xml:space="preserve">Administrative officer </t>
  </si>
  <si>
    <t>Sydney Bus</t>
  </si>
  <si>
    <t>$1,200 per month</t>
  </si>
  <si>
    <t>Mastercard limit $25,000</t>
  </si>
  <si>
    <t>Thomas transport</t>
  </si>
  <si>
    <t>Home renovation adding bathrooms</t>
  </si>
  <si>
    <t>new credit card</t>
  </si>
  <si>
    <t>selling current family home and buy home unit valued at $560,000</t>
  </si>
  <si>
    <t>buy 2014 22ft. Daydream caravan $62,000 - deposit $13,000</t>
  </si>
  <si>
    <t>Occupation</t>
  </si>
  <si>
    <t>Category</t>
  </si>
  <si>
    <t>Points</t>
  </si>
  <si>
    <t>Self-employed 5y+</t>
  </si>
  <si>
    <t>Self-employed 4-2y</t>
  </si>
  <si>
    <t>Self-employed &lt;2y</t>
  </si>
  <si>
    <t>Senior professional/business executive</t>
  </si>
  <si>
    <t>Clerical white-collar</t>
  </si>
  <si>
    <t>Skilled trades person</t>
  </si>
  <si>
    <t>Unskilled worker</t>
  </si>
  <si>
    <t>Part time worker</t>
  </si>
  <si>
    <t>Stay-at-home partner</t>
  </si>
  <si>
    <t>Retired</t>
  </si>
  <si>
    <t>Years in current employment</t>
  </si>
  <si>
    <t>Bucket</t>
  </si>
  <si>
    <t>Over 5 years</t>
  </si>
  <si>
    <t>3 to 5 years</t>
  </si>
  <si>
    <t>1 to 2 years</t>
  </si>
  <si>
    <t>Under 1 year</t>
  </si>
  <si>
    <t>No length (retired/stay-at-home)</t>
  </si>
  <si>
    <t>Marital status</t>
  </si>
  <si>
    <t>Married</t>
  </si>
  <si>
    <t>Informal relationship</t>
  </si>
  <si>
    <t>Housing status</t>
  </si>
  <si>
    <t>Owns home</t>
  </si>
  <si>
    <t>Paying mortgage on own home</t>
  </si>
  <si>
    <t>Renting</t>
  </si>
  <si>
    <t>Renting room</t>
  </si>
  <si>
    <t>Lives with friends or family</t>
  </si>
  <si>
    <t>Years at current address (Owns/Paying mortgage)</t>
  </si>
  <si>
    <t>Over 10 years</t>
  </si>
  <si>
    <t>5 to 9 years</t>
  </si>
  <si>
    <t>2 to 4 years</t>
  </si>
  <si>
    <t>Under 2 years</t>
  </si>
  <si>
    <t>Years at current address (Rents/Room/Friends-Family)</t>
  </si>
  <si>
    <t>Number of dependent children</t>
  </si>
  <si>
    <t>None</t>
  </si>
  <si>
    <t>One to two</t>
  </si>
  <si>
    <t>Three to four</t>
  </si>
  <si>
    <t>Five or more</t>
  </si>
  <si>
    <t>Age</t>
  </si>
  <si>
    <t>Over 70 years</t>
  </si>
  <si>
    <t>50 to 69 years</t>
  </si>
  <si>
    <t>26 to 49 years</t>
  </si>
  <si>
    <t>18 to 25 years</t>
  </si>
  <si>
    <t>Under 18 years</t>
  </si>
  <si>
    <t>Existing Student Bank customer</t>
  </si>
  <si>
    <t>Yes</t>
  </si>
  <si>
    <t>No</t>
  </si>
  <si>
    <t>Other banks’ credit score class</t>
  </si>
  <si>
    <t>Good</t>
  </si>
  <si>
    <t>Fair</t>
  </si>
  <si>
    <t>Slow-paying or Poor</t>
  </si>
  <si>
    <t>Debt judgement</t>
  </si>
  <si>
    <t>No score provided</t>
  </si>
  <si>
    <t>Factor</t>
  </si>
  <si>
    <t>Selection</t>
  </si>
  <si>
    <t>Score</t>
  </si>
  <si>
    <t>Customer Occupation</t>
  </si>
  <si>
    <t>Length of time in current employment</t>
  </si>
  <si>
    <t>Marital Status</t>
  </si>
  <si>
    <t>Housing Status</t>
  </si>
  <si>
    <t>Length of time at current address</t>
  </si>
  <si>
    <t>Number of Dependent Children</t>
  </si>
  <si>
    <t>Existing Bank Customer</t>
  </si>
  <si>
    <t>Other Banks' Credit Score</t>
  </si>
  <si>
    <t xml:space="preserve">Credit score </t>
  </si>
  <si>
    <t>Loan Parameters</t>
  </si>
  <si>
    <t>Monthly Repayment</t>
  </si>
  <si>
    <t>Total amount of all loans</t>
  </si>
  <si>
    <t>Basic</t>
  </si>
  <si>
    <t>Tax</t>
  </si>
  <si>
    <t>Household Expenditure Measure (select lifestyle in Inputs)</t>
  </si>
  <si>
    <t>Gross income</t>
  </si>
  <si>
    <t>Basic living</t>
  </si>
  <si>
    <t>Basic borrowing</t>
  </si>
  <si>
    <t>Moderate living</t>
  </si>
  <si>
    <t>Moderate borrowing</t>
  </si>
  <si>
    <t>Lavish living</t>
  </si>
  <si>
    <t>Lavish borrowing</t>
  </si>
  <si>
    <t>Combined gross wage income (annual)</t>
  </si>
  <si>
    <t>Selected lifestyle</t>
  </si>
  <si>
    <t>HEM borrowing limit (from table)</t>
  </si>
  <si>
    <t>HEM</t>
  </si>
  <si>
    <t>-</t>
  </si>
  <si>
    <t>Moderate</t>
  </si>
  <si>
    <t>Lavish</t>
  </si>
  <si>
    <t>Existing loan payments and rental obligations (monthly)</t>
  </si>
  <si>
    <t>Total repayments of loans and rental 
obligations (monthly)</t>
  </si>
  <si>
    <t>Total Income</t>
  </si>
  <si>
    <t>HEM living limit (from table)</t>
  </si>
  <si>
    <t>Tax of Primary</t>
  </si>
  <si>
    <t>Tax of Secondary</t>
  </si>
  <si>
    <t>Total Tax</t>
  </si>
  <si>
    <t>Tax Calculations</t>
  </si>
  <si>
    <t>LTV - Loan-to-Value Ratio</t>
  </si>
  <si>
    <t>Deposit %</t>
  </si>
  <si>
    <t>Criteria</t>
  </si>
  <si>
    <t>DSC - Debt Service Coverage</t>
  </si>
  <si>
    <t>Benchmark amount (40%)</t>
  </si>
  <si>
    <t>Benchmark amount (35%)</t>
  </si>
  <si>
    <t>Annual amount available for debt (HEM)</t>
  </si>
  <si>
    <t>Loan Term</t>
  </si>
  <si>
    <t>Deposit</t>
  </si>
  <si>
    <t>Deposit ($13,000)</t>
  </si>
  <si>
    <t>Recommendation</t>
  </si>
  <si>
    <t>Accept</t>
  </si>
  <si>
    <t>Customer number and name</t>
  </si>
  <si>
    <t>Student Bank’s credit score</t>
  </si>
  <si>
    <t>Other banks’ credit score</t>
  </si>
  <si>
    <t>Dividend and rental income (yearly)</t>
  </si>
  <si>
    <t>Total income</t>
  </si>
  <si>
    <t>Loan amount</t>
  </si>
  <si>
    <t>Reason for loan</t>
  </si>
  <si>
    <t>Deposit amount</t>
  </si>
  <si>
    <t>Deposit % of purchase price</t>
  </si>
  <si>
    <t>Loan term</t>
  </si>
  <si>
    <t>Loan rate in % per annum</t>
  </si>
  <si>
    <t>Monthly repayment</t>
  </si>
  <si>
    <t>Existing loan payments and rental obligations</t>
  </si>
  <si>
    <t>Total repayments of loans and rental obligations</t>
  </si>
  <si>
    <t>Debt Service Coverage</t>
  </si>
  <si>
    <t>Household Expenditure Measure</t>
  </si>
  <si>
    <t>HEM borrowing limit</t>
  </si>
  <si>
    <t>Loan Application</t>
  </si>
  <si>
    <t>File Number</t>
  </si>
  <si>
    <t>Customer Number</t>
  </si>
  <si>
    <t>Identifying Information</t>
  </si>
  <si>
    <t xml:space="preserve">Gross wage income (yearly) </t>
  </si>
  <si>
    <t>Loan Information</t>
  </si>
  <si>
    <t>Repayment Information</t>
  </si>
  <si>
    <t>Total Amount of all loans</t>
  </si>
  <si>
    <t>Loan Officer Decision</t>
  </si>
  <si>
    <t>Does this loan application fit within guidelines? Explain</t>
  </si>
  <si>
    <t>No, the requested loan term of 4 years exceeds the bank's maximum allowable term of 3 years for a motorcycle loan. Furthermore, the applicants credit score of 170 is below the minimum threshold of 324 for non-home loans.</t>
  </si>
  <si>
    <t>Calculations</t>
  </si>
  <si>
    <t>As per policy maximum allowable Loan period is 3 years as opposed to the requested 4 years. From FAQ, If the loan term requested exceeds the maximum term allowed, the loan application will be rejected. Loan officers need to apply the maximum term allowed by the Student Bank loan policy to calculate monthly repayments.</t>
  </si>
  <si>
    <t>Justification: As home loan will be paid out after settlement, therefore this monthly payment is not included as an ongoing obligation. Monthly rent payments are also 0 as Applicant owns her home.</t>
  </si>
  <si>
    <t>Policy: Since DSC is less than 35%, it is acceptable.</t>
  </si>
  <si>
    <t>Justification: The applicant is a single 30 year old with no dependents who is renting a room at home. This living situation combined with a moderate income, justifies classifying is lifestyle as Basic.</t>
  </si>
  <si>
    <t>Comments</t>
  </si>
  <si>
    <t>Information</t>
  </si>
  <si>
    <t>As home loan will be paid out after settlement, therefore this monthly payment is not included as an ongoing obligation. Monthly rent payments are also 0 as Applicant owns the home.</t>
  </si>
  <si>
    <t>Since DSC is less than 35%, it is acceptable.</t>
  </si>
  <si>
    <t>The applicants are a married couple with one child, a combined income over 100,000 and significant assets including a home valued at 870,400 and super annuation at 860,000. This profile justifies classifying their lifestyle as moderate for purpose of estimating expenses.</t>
  </si>
  <si>
    <t>Not necessary for home improvements</t>
  </si>
  <si>
    <t>Selection (Main Applicant)</t>
  </si>
  <si>
    <t>Score (Main Applicant)</t>
  </si>
  <si>
    <t>Selection (Co-Applicant)</t>
  </si>
  <si>
    <t>Score (Co-Applicant)</t>
  </si>
  <si>
    <t>Not necessary for Credit Card</t>
  </si>
  <si>
    <t>Prime</t>
  </si>
  <si>
    <t>since owner occupied</t>
  </si>
  <si>
    <t>Justification: Existing home loan not included as it will be paid out on settlement.</t>
  </si>
  <si>
    <t>Justification: The applicant is a senior officer and a single parent with two children. This profile along with an income of $80,000 is why the lifestyle has been set to moderate for the purpose of estimating expenses.</t>
  </si>
  <si>
    <t>Prime-Prime</t>
  </si>
  <si>
    <t xml:space="preserve">Lower than minimum deposit : 25% </t>
  </si>
  <si>
    <t>Justification: Given their high combined income, significant assets (including a home owned which is valued at over $1.3 million and nearly $1 million in superannuation), and substantial savings, their lifestyle is classified as "Lavish".</t>
  </si>
  <si>
    <t>No, the applicants are strong contenders to get the banks approval. However the deposit of $13,000 (20.97%) falls below the bank's mandatory 25% deposit for camper van loans. The required deposit to approve the loan would be $15,500.</t>
  </si>
  <si>
    <t>From sale of half share of family home</t>
  </si>
  <si>
    <t>Not Given</t>
  </si>
  <si>
    <t>Greater than 20% minimum deposit is required</t>
  </si>
  <si>
    <t>Since the loanee will make home improvements in their primary residence</t>
  </si>
  <si>
    <t>Home improvement loans allowed up to 70% of home value less 1st mortgage. since LTV = 42.9%, it is allowed</t>
  </si>
  <si>
    <t xml:space="preserve"> Round-down to $100,000 Income Tier</t>
  </si>
  <si>
    <t>Home loan + 2.25% of credit card limit</t>
  </si>
  <si>
    <t>Total repayments of loans and rental obligations  (monthly)</t>
  </si>
  <si>
    <t>The applicant is a 17 year old apprentice who lives at home with family and is single with no dependents. Given his age, living situation and modest income, his lifestyle is classified as Basic.</t>
  </si>
  <si>
    <t>In line with Student Bank policy, monthly repayments on credit cards are calculated at 2.25% of the approved credit limit (not the outstanding balance) or $25, whichever is greater. For this application, the requested limit of $5,000 results in a monthly repayment of $112.50.</t>
  </si>
  <si>
    <t>Round-down to $50,000 Income Tier</t>
  </si>
  <si>
    <t>Round-down to $40,000 Income Tier</t>
  </si>
  <si>
    <t>Deposit is 42.86% which is greater than the required 10% minimum deposit.</t>
  </si>
  <si>
    <t>Rejected Interest Rate on Credit Card (added 1%)</t>
  </si>
  <si>
    <t>Rejected Application Rate  (added 1%)</t>
  </si>
  <si>
    <t>170 - Reject</t>
  </si>
  <si>
    <r>
      <t xml:space="preserve">DSC Ratio: </t>
    </r>
    <r>
      <rPr>
        <b/>
        <sz val="12"/>
        <color theme="1"/>
        <rFont val="Arial"/>
        <family val="2"/>
      </rPr>
      <t>15.46%</t>
    </r>
    <r>
      <rPr>
        <sz val="12"/>
        <color theme="1"/>
        <rFont val="Arial"/>
        <family val="2"/>
      </rPr>
      <t xml:space="preserve">
Benchmark Amount: </t>
    </r>
    <r>
      <rPr>
        <b/>
        <sz val="12"/>
        <color theme="1"/>
        <rFont val="Arial"/>
        <family val="2"/>
      </rPr>
      <t>$1,486.33</t>
    </r>
  </si>
  <si>
    <t>Based on basic lifestyle</t>
  </si>
  <si>
    <r>
      <rPr>
        <b/>
        <u/>
        <sz val="16"/>
        <color rgb="FFC00000"/>
        <rFont val="Arial"/>
        <family val="2"/>
      </rPr>
      <t xml:space="preserve">Reject
</t>
    </r>
    <r>
      <rPr>
        <sz val="16"/>
        <color rgb="FFC00000"/>
        <rFont val="Arial"/>
        <family val="2"/>
      </rPr>
      <t>Applicant should try re-applying with a shorter loan duration along with opening an account in Student bank. This can increase the approval chances. Moving to a rented apartment might also help the applicant increase their approval chances.</t>
    </r>
  </si>
  <si>
    <r>
      <t xml:space="preserve">DSC Ratio: </t>
    </r>
    <r>
      <rPr>
        <b/>
        <sz val="12"/>
        <color theme="1"/>
        <rFont val="Arial"/>
        <family val="2"/>
      </rPr>
      <t>5.22%</t>
    </r>
    <r>
      <rPr>
        <sz val="12"/>
        <color theme="1"/>
        <rFont val="Arial"/>
        <family val="2"/>
      </rPr>
      <t xml:space="preserve">
Benchmark Amount: </t>
    </r>
    <r>
      <rPr>
        <b/>
        <sz val="12"/>
        <color theme="1"/>
        <rFont val="Arial"/>
        <family val="2"/>
      </rPr>
      <t>$1,425.67</t>
    </r>
  </si>
  <si>
    <r>
      <t>DSC Ratio:</t>
    </r>
    <r>
      <rPr>
        <b/>
        <sz val="11"/>
        <color theme="1"/>
        <rFont val="Arial"/>
        <family val="2"/>
      </rPr>
      <t xml:space="preserve"> 37.48%</t>
    </r>
    <r>
      <rPr>
        <sz val="11"/>
        <color theme="1"/>
        <rFont val="Arial"/>
        <family val="2"/>
      </rPr>
      <t xml:space="preserve">
Benchmark Amount: </t>
    </r>
    <r>
      <rPr>
        <b/>
        <sz val="11"/>
        <color theme="1"/>
        <rFont val="Arial"/>
        <family val="2"/>
      </rPr>
      <t>$3,271.04</t>
    </r>
  </si>
  <si>
    <r>
      <t xml:space="preserve">DSC Ratio: </t>
    </r>
    <r>
      <rPr>
        <b/>
        <sz val="12"/>
        <color theme="1"/>
        <rFont val="Arial"/>
        <family val="2"/>
      </rPr>
      <t>33.53%</t>
    </r>
    <r>
      <rPr>
        <sz val="12"/>
        <color theme="1"/>
        <rFont val="Arial"/>
        <family val="2"/>
      </rPr>
      <t xml:space="preserve">
Benchmark Amount (40%): </t>
    </r>
    <r>
      <rPr>
        <b/>
        <sz val="12"/>
        <color theme="1"/>
        <rFont val="Arial"/>
        <family val="2"/>
      </rPr>
      <t>$2,717.87</t>
    </r>
  </si>
  <si>
    <t>Policy: Since DSC is less than 40%, it is acceptable. The applicant's Debt Service Coverage ratio must be 40% or lower for Residential Real Estate as per policy</t>
  </si>
  <si>
    <r>
      <t xml:space="preserve">DSC Ratio: </t>
    </r>
    <r>
      <rPr>
        <b/>
        <sz val="12"/>
        <color theme="1"/>
        <rFont val="Arial"/>
        <family val="2"/>
      </rPr>
      <t>26.72%</t>
    </r>
    <r>
      <rPr>
        <sz val="12"/>
        <color theme="1"/>
        <rFont val="Arial"/>
        <family val="2"/>
      </rPr>
      <t xml:space="preserve">
Benchmark Amount: </t>
    </r>
    <r>
      <rPr>
        <b/>
        <sz val="12"/>
        <color theme="1"/>
        <rFont val="Arial"/>
        <family val="2"/>
      </rPr>
      <t>$3,679.67</t>
    </r>
  </si>
  <si>
    <t>490 - Prime</t>
  </si>
  <si>
    <t>Round-down to $80,000 Income Tier. Loan exceeds HEM cap</t>
  </si>
  <si>
    <r>
      <rPr>
        <b/>
        <u/>
        <sz val="16"/>
        <color rgb="FFC00000"/>
        <rFont val="Arial"/>
        <family val="2"/>
      </rPr>
      <t xml:space="preserve">REJECT
</t>
    </r>
    <r>
      <rPr>
        <sz val="16"/>
        <color rgb="FFC00000"/>
        <rFont val="Arial"/>
        <family val="2"/>
      </rPr>
      <t>Row should reapply after turning 18 and may consider a joint application with Student Bank to begin building a positive credit history.</t>
    </r>
  </si>
  <si>
    <t>Round-down to $125,000 Income Tier</t>
  </si>
  <si>
    <r>
      <rPr>
        <b/>
        <u/>
        <sz val="18"/>
        <color theme="9"/>
        <rFont val="Arial"/>
        <family val="2"/>
      </rPr>
      <t>Accept (Conditional)</t>
    </r>
    <r>
      <rPr>
        <b/>
        <sz val="18"/>
        <color theme="9"/>
        <rFont val="Arial"/>
        <family val="2"/>
      </rPr>
      <t xml:space="preserve">
</t>
    </r>
    <r>
      <rPr>
        <b/>
        <sz val="18"/>
        <rFont val="Arial"/>
        <family val="2"/>
      </rPr>
      <t>Loan is conditionally approved under the Moderate lifestyle assumption, provided the existing $240,000 home loan is cleared at settlement. The borrower should also confirm the deposit and consider reducing their credit card limit to strengthen repayment capacity.</t>
    </r>
  </si>
  <si>
    <t>Calculated using 3 years as per loan guidelines as 4 years is not permissible</t>
  </si>
  <si>
    <t>Lifestyle Assessment</t>
  </si>
  <si>
    <t>Yes, The applicants are prime borrowers with an excellent credit score. The loan amount is  well within the allowable equity limit (299,280). The DSC ratio is compliant at 34.78%, just under 35% threshold.</t>
  </si>
  <si>
    <t>No. The applicant is 17 years of age. Bank policy on "Non- Desirable Loans" explicitly prohibits lending to customers aged under 18 years (Section 16.8). The applicant is legally a minor and cannot enter into a credit contract.</t>
  </si>
  <si>
    <t>Yes. The deposit percentage is higher than 10% and the DSC ratio is lower than 40%, the application also fulfils the Household Expenditure Measure test</t>
  </si>
  <si>
    <r>
      <rPr>
        <b/>
        <u/>
        <sz val="16"/>
        <color theme="9"/>
        <rFont val="Arial"/>
        <family val="2"/>
      </rPr>
      <t>Accept (Conditional)</t>
    </r>
    <r>
      <rPr>
        <b/>
        <sz val="16"/>
        <color theme="9"/>
        <rFont val="Arial"/>
        <family val="2"/>
      </rPr>
      <t xml:space="preserve">
</t>
    </r>
    <r>
      <rPr>
        <b/>
        <sz val="16"/>
        <rFont val="Arial"/>
        <family val="2"/>
      </rPr>
      <t>Accept if the applicant(s) can deposit 25% i.e. $15,500</t>
    </r>
  </si>
  <si>
    <r>
      <rPr>
        <b/>
        <sz val="12"/>
        <color rgb="FFFF0000"/>
        <rFont val="Arial"/>
        <family val="2"/>
      </rPr>
      <t>Reject</t>
    </r>
    <r>
      <rPr>
        <b/>
        <sz val="12"/>
        <color theme="1"/>
        <rFont val="Arial"/>
        <family val="2"/>
      </rPr>
      <t>. Since the credit score is –250, Student Bank policy assumes a minimum score of 0; hence, the score has been recorded as 0. Since Row is an apprentice, we have considered him as an unskilled labour and not a skilled labour.</t>
    </r>
  </si>
  <si>
    <t>Reject loan application. We considered the applicant's job as a skilled traadesperson.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</si>
</sst>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Red]\-&quot;$&quot;#,##0"/>
    <numFmt numFmtId="8" formatCode="&quot;$&quot;#,##0.00;[Red]\-&quot;$&quot;#,##0.00"/>
    <numFmt numFmtId="44" formatCode="_-&quot;$&quot;* #,##0.00_-;\-&quot;$&quot;* #,##0.00_-;_-&quot;$&quot;* &quot;-&quot;??_-;_-@_-"/>
    <numFmt numFmtId="164" formatCode="_(&quot;$&quot;* #,##0.00_);_(&quot;$&quot;* \(#,##0.00\);_(&quot;$&quot;* &quot;-&quot;??_);_(@_)"/>
  </numFmts>
  <fonts count="34" x14ac:knownFonts="1">
    <font>
      <sz val="11"/>
      <color theme="1"/>
      <name val="Calibri"/>
      <family val="2"/>
      <scheme val="minor"/>
    </font>
    <font>
      <sz val="12"/>
      <color theme="1"/>
      <name val="Arial"/>
      <family val="2"/>
    </font>
    <font>
      <sz val="11"/>
      <color theme="1"/>
      <name val="Arial"/>
      <family val="2"/>
    </font>
    <font>
      <i/>
      <sz val="11"/>
      <color theme="1"/>
      <name val="Calibri"/>
      <family val="2"/>
      <scheme val="minor"/>
    </font>
    <font>
      <sz val="11"/>
      <color theme="1"/>
      <name val="Calibri"/>
      <family val="2"/>
      <scheme val="minor"/>
    </font>
    <font>
      <b/>
      <sz val="11"/>
      <color theme="1"/>
      <name val="Calibri"/>
      <family val="2"/>
      <scheme val="minor"/>
    </font>
    <font>
      <b/>
      <sz val="11"/>
      <name val="Calibri"/>
      <family val="2"/>
    </font>
    <font>
      <b/>
      <sz val="12"/>
      <color theme="1"/>
      <name val="Calibri"/>
      <family val="2"/>
      <scheme val="minor"/>
    </font>
    <font>
      <b/>
      <sz val="12"/>
      <color theme="1"/>
      <name val="Arial"/>
      <family val="2"/>
    </font>
    <font>
      <b/>
      <sz val="11"/>
      <name val="Calibri"/>
      <family val="2"/>
    </font>
    <font>
      <u/>
      <sz val="11"/>
      <color theme="1"/>
      <name val="Calibri"/>
      <family val="2"/>
      <scheme val="minor"/>
    </font>
    <font>
      <b/>
      <sz val="12"/>
      <name val="Calibri"/>
      <family val="2"/>
    </font>
    <font>
      <b/>
      <sz val="36"/>
      <color theme="1"/>
      <name val="Arial"/>
      <family val="2"/>
    </font>
    <font>
      <sz val="14"/>
      <color theme="1"/>
      <name val="Arial"/>
      <family val="2"/>
    </font>
    <font>
      <b/>
      <sz val="22"/>
      <color theme="1"/>
      <name val="Arial"/>
      <family val="2"/>
    </font>
    <font>
      <b/>
      <sz val="11"/>
      <color theme="1"/>
      <name val="Arial"/>
      <family val="2"/>
    </font>
    <font>
      <b/>
      <sz val="16"/>
      <color theme="1"/>
      <name val="Arial"/>
      <family val="2"/>
    </font>
    <font>
      <b/>
      <sz val="18"/>
      <color theme="1"/>
      <name val="Arial"/>
      <family val="2"/>
    </font>
    <font>
      <b/>
      <sz val="16"/>
      <color rgb="FFC00000"/>
      <name val="Arial"/>
      <family val="2"/>
    </font>
    <font>
      <b/>
      <u/>
      <sz val="16"/>
      <color rgb="FFC00000"/>
      <name val="Arial"/>
      <family val="2"/>
    </font>
    <font>
      <b/>
      <sz val="20"/>
      <color theme="9"/>
      <name val="Arial"/>
      <family val="2"/>
    </font>
    <font>
      <b/>
      <sz val="14"/>
      <color theme="1"/>
      <name val="Calibri"/>
      <family val="2"/>
      <scheme val="minor"/>
    </font>
    <font>
      <b/>
      <u/>
      <sz val="12"/>
      <color theme="1"/>
      <name val="Arial"/>
      <family val="2"/>
    </font>
    <font>
      <b/>
      <sz val="14"/>
      <color theme="1"/>
      <name val="Arial"/>
      <family val="2"/>
    </font>
    <font>
      <sz val="16"/>
      <color rgb="FFC00000"/>
      <name val="Arial"/>
      <family val="2"/>
    </font>
    <font>
      <b/>
      <sz val="18"/>
      <color rgb="FFC00000"/>
      <name val="Arial"/>
      <family val="2"/>
    </font>
    <font>
      <b/>
      <u/>
      <sz val="18"/>
      <color theme="9"/>
      <name val="Arial"/>
      <family val="2"/>
    </font>
    <font>
      <b/>
      <sz val="18"/>
      <color theme="9"/>
      <name val="Arial"/>
      <family val="2"/>
    </font>
    <font>
      <b/>
      <sz val="18"/>
      <name val="Arial"/>
      <family val="2"/>
    </font>
    <font>
      <sz val="12"/>
      <color rgb="FFFF0000"/>
      <name val="Arial"/>
      <family val="2"/>
    </font>
    <font>
      <b/>
      <sz val="12"/>
      <color rgb="FFFF0000"/>
      <name val="Arial"/>
      <family val="2"/>
    </font>
    <font>
      <b/>
      <sz val="16"/>
      <color theme="9"/>
      <name val="Arial"/>
      <family val="2"/>
    </font>
    <font>
      <b/>
      <u/>
      <sz val="16"/>
      <color theme="9"/>
      <name val="Arial"/>
      <family val="2"/>
    </font>
    <font>
      <b/>
      <sz val="16"/>
      <name val="Arial"/>
      <family val="2"/>
    </font>
  </fonts>
  <fills count="16">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FCE4D6"/>
        <bgColor rgb="FFFCE4D6"/>
      </patternFill>
    </fill>
    <fill>
      <patternFill patternType="solid">
        <fgColor rgb="FFDDEBF7"/>
        <bgColor rgb="FFDDEBF7"/>
      </patternFill>
    </fill>
    <fill>
      <patternFill patternType="solid">
        <fgColor theme="5" tint="0.39997558519241921"/>
        <bgColor indexed="64"/>
      </patternFill>
    </fill>
    <fill>
      <patternFill patternType="solid">
        <fgColor rgb="FFE2EFDA"/>
        <bgColor rgb="FFE2EFDA"/>
      </patternFill>
    </fill>
    <fill>
      <patternFill patternType="solid">
        <fgColor rgb="FFFF0000"/>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s>
  <borders count="37">
    <border>
      <left/>
      <right/>
      <top/>
      <bottom/>
      <diagonal/>
    </border>
    <border>
      <left style="thin">
        <color auto="1"/>
      </left>
      <right style="thin">
        <color auto="1"/>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auto="1"/>
      </left>
      <right style="thin">
        <color auto="1"/>
      </right>
      <top style="thin">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style="thin">
        <color indexed="64"/>
      </left>
      <right style="thin">
        <color indexed="64"/>
      </right>
      <top/>
      <bottom style="thin">
        <color indexed="64"/>
      </bottom>
      <diagonal/>
    </border>
    <border>
      <left/>
      <right style="medium">
        <color indexed="64"/>
      </right>
      <top/>
      <bottom/>
      <diagonal/>
    </border>
    <border>
      <left style="thin">
        <color auto="1"/>
      </left>
      <right style="thin">
        <color auto="1"/>
      </right>
      <top style="thin">
        <color auto="1"/>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225">
    <xf numFmtId="0" fontId="0" fillId="0" borderId="0" xfId="0"/>
    <xf numFmtId="0" fontId="1" fillId="0" borderId="0" xfId="0" applyFont="1"/>
    <xf numFmtId="0" fontId="2" fillId="0" borderId="0" xfId="0" applyFont="1"/>
    <xf numFmtId="0" fontId="1" fillId="2" borderId="0" xfId="0" applyFont="1" applyFill="1"/>
    <xf numFmtId="0" fontId="1" fillId="2" borderId="0" xfId="0" applyFont="1" applyFill="1" applyAlignment="1">
      <alignment wrapText="1"/>
    </xf>
    <xf numFmtId="0" fontId="2" fillId="2" borderId="0" xfId="0" applyFont="1" applyFill="1"/>
    <xf numFmtId="0" fontId="1" fillId="4" borderId="0" xfId="0" applyFont="1" applyFill="1"/>
    <xf numFmtId="0" fontId="1" fillId="3" borderId="0" xfId="0" applyFont="1" applyFill="1" applyAlignment="1">
      <alignment wrapText="1"/>
    </xf>
    <xf numFmtId="6" fontId="1" fillId="0" borderId="0" xfId="0" applyNumberFormat="1" applyFont="1"/>
    <xf numFmtId="0" fontId="1" fillId="0" borderId="0" xfId="0" applyFont="1" applyAlignment="1">
      <alignment wrapText="1"/>
    </xf>
    <xf numFmtId="17" fontId="1" fillId="0" borderId="0" xfId="0" applyNumberFormat="1" applyFont="1"/>
    <xf numFmtId="3" fontId="1" fillId="0" borderId="0" xfId="0" applyNumberFormat="1" applyFont="1"/>
    <xf numFmtId="3" fontId="2" fillId="0" borderId="0" xfId="0" applyNumberFormat="1" applyFont="1"/>
    <xf numFmtId="6" fontId="2" fillId="0" borderId="0" xfId="0" applyNumberFormat="1" applyFont="1"/>
    <xf numFmtId="6" fontId="0" fillId="0" borderId="0" xfId="0" applyNumberFormat="1"/>
    <xf numFmtId="0" fontId="2" fillId="0" borderId="0" xfId="0" applyFont="1" applyAlignment="1">
      <alignment wrapText="1"/>
    </xf>
    <xf numFmtId="0" fontId="8" fillId="8" borderId="2" xfId="0" applyFont="1" applyFill="1" applyBorder="1" applyAlignment="1">
      <alignment horizontal="center"/>
    </xf>
    <xf numFmtId="0" fontId="8" fillId="8" borderId="3" xfId="0" applyFont="1" applyFill="1" applyBorder="1" applyAlignment="1">
      <alignment horizontal="center"/>
    </xf>
    <xf numFmtId="0" fontId="8" fillId="8" borderId="4" xfId="0" applyFont="1" applyFill="1" applyBorder="1" applyAlignment="1">
      <alignment horizontal="center"/>
    </xf>
    <xf numFmtId="0" fontId="1" fillId="0" borderId="5" xfId="0" applyFont="1" applyBorder="1"/>
    <xf numFmtId="0" fontId="1" fillId="0" borderId="1" xfId="0" applyFont="1" applyBorder="1"/>
    <xf numFmtId="0" fontId="1" fillId="0" borderId="6" xfId="0" applyFont="1" applyBorder="1" applyAlignment="1">
      <alignment horizontal="center"/>
    </xf>
    <xf numFmtId="0" fontId="1" fillId="0" borderId="5" xfId="0" applyFont="1" applyBorder="1" applyAlignment="1">
      <alignment wrapText="1"/>
    </xf>
    <xf numFmtId="0" fontId="1" fillId="0" borderId="9" xfId="0" applyFont="1" applyBorder="1"/>
    <xf numFmtId="0" fontId="1" fillId="0" borderId="10" xfId="0" applyFont="1" applyBorder="1"/>
    <xf numFmtId="0" fontId="1" fillId="2" borderId="12" xfId="0" applyFont="1" applyFill="1" applyBorder="1"/>
    <xf numFmtId="0" fontId="1" fillId="2" borderId="15" xfId="0" applyFont="1" applyFill="1" applyBorder="1"/>
    <xf numFmtId="0" fontId="8" fillId="2" borderId="11" xfId="0" applyFont="1" applyFill="1" applyBorder="1" applyAlignment="1">
      <alignment horizontal="right"/>
    </xf>
    <xf numFmtId="0" fontId="8" fillId="2" borderId="14" xfId="0" applyFont="1" applyFill="1" applyBorder="1" applyAlignment="1">
      <alignment horizontal="right"/>
    </xf>
    <xf numFmtId="0" fontId="9" fillId="6" borderId="1" xfId="0" applyFont="1" applyFill="1" applyBorder="1"/>
    <xf numFmtId="8" fontId="0" fillId="0" borderId="1" xfId="0" applyNumberFormat="1" applyBorder="1"/>
    <xf numFmtId="0" fontId="9" fillId="0" borderId="0" xfId="0" applyFont="1"/>
    <xf numFmtId="0" fontId="8" fillId="2" borderId="13" xfId="0" applyFont="1" applyFill="1" applyBorder="1" applyAlignment="1">
      <alignment horizontal="center"/>
    </xf>
    <xf numFmtId="0" fontId="8" fillId="2" borderId="16" xfId="0" applyFont="1" applyFill="1" applyBorder="1" applyAlignment="1">
      <alignment horizontal="center"/>
    </xf>
    <xf numFmtId="44" fontId="1" fillId="0" borderId="6" xfId="1" applyFont="1" applyBorder="1"/>
    <xf numFmtId="44" fontId="1" fillId="0" borderId="6" xfId="1" applyFont="1" applyFill="1" applyBorder="1"/>
    <xf numFmtId="8" fontId="5" fillId="9" borderId="0" xfId="0" applyNumberFormat="1" applyFont="1" applyFill="1"/>
    <xf numFmtId="8" fontId="7" fillId="9" borderId="0" xfId="0" applyNumberFormat="1" applyFont="1" applyFill="1" applyAlignment="1">
      <alignment horizontal="right"/>
    </xf>
    <xf numFmtId="8" fontId="5" fillId="9" borderId="1" xfId="0" applyNumberFormat="1" applyFont="1" applyFill="1" applyBorder="1"/>
    <xf numFmtId="0" fontId="8" fillId="8" borderId="7" xfId="0" applyFont="1" applyFill="1" applyBorder="1" applyAlignment="1">
      <alignment horizontal="center"/>
    </xf>
    <xf numFmtId="0" fontId="8" fillId="8" borderId="8" xfId="0" applyFont="1" applyFill="1" applyBorder="1" applyAlignment="1">
      <alignment horizontal="center"/>
    </xf>
    <xf numFmtId="8" fontId="1" fillId="0" borderId="6" xfId="1" applyNumberFormat="1" applyFont="1" applyBorder="1"/>
    <xf numFmtId="10" fontId="1" fillId="0" borderId="6" xfId="2" applyNumberFormat="1" applyFont="1" applyBorder="1" applyAlignment="1">
      <alignment horizontal="right"/>
    </xf>
    <xf numFmtId="0" fontId="6" fillId="0" borderId="0" xfId="0" applyFont="1"/>
    <xf numFmtId="0" fontId="10" fillId="0" borderId="0" xfId="0" applyFont="1"/>
    <xf numFmtId="44" fontId="1" fillId="0" borderId="1" xfId="0" applyNumberFormat="1" applyFont="1" applyBorder="1"/>
    <xf numFmtId="0" fontId="8" fillId="0" borderId="5" xfId="0" applyFont="1" applyBorder="1"/>
    <xf numFmtId="44" fontId="8" fillId="0" borderId="1" xfId="0" applyNumberFormat="1" applyFont="1" applyBorder="1"/>
    <xf numFmtId="10" fontId="1" fillId="0" borderId="6" xfId="1" applyNumberFormat="1" applyFont="1" applyFill="1" applyBorder="1"/>
    <xf numFmtId="44" fontId="5" fillId="9" borderId="0" xfId="0" applyNumberFormat="1" applyFont="1" applyFill="1"/>
    <xf numFmtId="9" fontId="0" fillId="0" borderId="0" xfId="0" applyNumberFormat="1"/>
    <xf numFmtId="10" fontId="1" fillId="0" borderId="6" xfId="1" applyNumberFormat="1" applyFont="1" applyBorder="1"/>
    <xf numFmtId="0" fontId="1" fillId="0" borderId="6" xfId="1" applyNumberFormat="1" applyFont="1" applyBorder="1"/>
    <xf numFmtId="44" fontId="1" fillId="0" borderId="0" xfId="1" applyFont="1" applyFill="1" applyBorder="1"/>
    <xf numFmtId="0" fontId="8" fillId="8" borderId="17" xfId="0" applyFont="1" applyFill="1" applyBorder="1" applyAlignment="1">
      <alignment horizontal="center"/>
    </xf>
    <xf numFmtId="0" fontId="8" fillId="2" borderId="15" xfId="0" applyFont="1" applyFill="1" applyBorder="1" applyAlignment="1">
      <alignment horizontal="center"/>
    </xf>
    <xf numFmtId="44" fontId="1" fillId="10" borderId="6" xfId="1" applyFont="1" applyFill="1" applyBorder="1"/>
    <xf numFmtId="9" fontId="1" fillId="0" borderId="6" xfId="1" applyNumberFormat="1" applyFont="1" applyFill="1" applyBorder="1"/>
    <xf numFmtId="0" fontId="13" fillId="11" borderId="2" xfId="0" applyFont="1" applyFill="1" applyBorder="1" applyAlignment="1">
      <alignment horizontal="left" vertical="center"/>
    </xf>
    <xf numFmtId="0" fontId="2" fillId="0" borderId="4" xfId="0" applyFont="1" applyBorder="1" applyAlignment="1">
      <alignment horizontal="right" vertical="center"/>
    </xf>
    <xf numFmtId="0" fontId="13" fillId="11" borderId="20" xfId="0" applyFont="1" applyFill="1" applyBorder="1" applyAlignment="1">
      <alignment horizontal="left" vertical="center"/>
    </xf>
    <xf numFmtId="0" fontId="2" fillId="0" borderId="0" xfId="0" applyFont="1" applyAlignment="1">
      <alignment horizontal="right"/>
    </xf>
    <xf numFmtId="0" fontId="15" fillId="0" borderId="2" xfId="0" applyFont="1" applyBorder="1" applyAlignment="1">
      <alignment horizontal="left" vertical="center"/>
    </xf>
    <xf numFmtId="0" fontId="15" fillId="0" borderId="5" xfId="0" applyFont="1" applyBorder="1" applyAlignment="1">
      <alignment horizontal="left" vertical="center"/>
    </xf>
    <xf numFmtId="0" fontId="2" fillId="0" borderId="6" xfId="0" applyFont="1" applyBorder="1" applyAlignment="1">
      <alignment horizontal="right" vertical="center"/>
    </xf>
    <xf numFmtId="44" fontId="2" fillId="0" borderId="6" xfId="1" applyFont="1" applyBorder="1" applyAlignment="1">
      <alignment horizontal="right" vertical="center"/>
    </xf>
    <xf numFmtId="0" fontId="15" fillId="0" borderId="20" xfId="0" applyFont="1" applyBorder="1" applyAlignment="1">
      <alignment horizontal="left" vertical="center"/>
    </xf>
    <xf numFmtId="44" fontId="2" fillId="0" borderId="21" xfId="1" applyFont="1" applyBorder="1" applyAlignment="1">
      <alignment horizontal="right" vertical="center"/>
    </xf>
    <xf numFmtId="0" fontId="15" fillId="0" borderId="0" xfId="0" applyFont="1" applyAlignment="1">
      <alignment horizontal="left" vertical="center"/>
    </xf>
    <xf numFmtId="3" fontId="2" fillId="0" borderId="0" xfId="0" applyNumberFormat="1" applyFont="1" applyAlignment="1">
      <alignment horizontal="right" vertical="center"/>
    </xf>
    <xf numFmtId="0" fontId="15" fillId="0" borderId="22" xfId="0" applyFont="1" applyBorder="1" applyAlignment="1">
      <alignment horizontal="left" vertical="center"/>
    </xf>
    <xf numFmtId="10" fontId="2" fillId="0" borderId="0" xfId="2" applyNumberFormat="1" applyFont="1" applyBorder="1" applyAlignment="1">
      <alignment horizontal="right" vertical="center"/>
    </xf>
    <xf numFmtId="0" fontId="15" fillId="0" borderId="5" xfId="0" applyFont="1" applyBorder="1"/>
    <xf numFmtId="164" fontId="2" fillId="0" borderId="6" xfId="0" applyNumberFormat="1" applyFont="1" applyBorder="1" applyAlignment="1">
      <alignment horizontal="right"/>
    </xf>
    <xf numFmtId="0" fontId="15" fillId="0" borderId="20" xfId="0" applyFont="1" applyBorder="1"/>
    <xf numFmtId="44" fontId="2" fillId="0" borderId="21" xfId="1" applyFont="1" applyBorder="1" applyAlignment="1">
      <alignment horizontal="right"/>
    </xf>
    <xf numFmtId="0" fontId="2" fillId="0" borderId="13" xfId="0" applyFont="1" applyBorder="1" applyAlignment="1">
      <alignment horizontal="left" vertical="center" wrapText="1"/>
    </xf>
    <xf numFmtId="0" fontId="15" fillId="0" borderId="14" xfId="0" applyFont="1" applyBorder="1"/>
    <xf numFmtId="0" fontId="8" fillId="2" borderId="13" xfId="0" applyFont="1" applyFill="1" applyBorder="1" applyAlignment="1">
      <alignment horizontal="center" vertical="center"/>
    </xf>
    <xf numFmtId="6" fontId="2" fillId="0" borderId="23" xfId="1" applyNumberFormat="1" applyFont="1" applyBorder="1" applyAlignment="1">
      <alignment horizontal="right" vertical="center"/>
    </xf>
    <xf numFmtId="8" fontId="2" fillId="0" borderId="6" xfId="1" applyNumberFormat="1" applyFont="1" applyBorder="1" applyAlignment="1">
      <alignment horizontal="right" vertical="center"/>
    </xf>
    <xf numFmtId="6" fontId="2" fillId="14" borderId="6" xfId="1" applyNumberFormat="1" applyFont="1" applyFill="1" applyBorder="1" applyAlignment="1">
      <alignment horizontal="right" vertical="center"/>
    </xf>
    <xf numFmtId="0" fontId="15" fillId="0" borderId="11" xfId="0" applyFont="1" applyBorder="1" applyAlignment="1">
      <alignment horizontal="left" vertical="center"/>
    </xf>
    <xf numFmtId="0" fontId="17" fillId="0" borderId="18" xfId="0" applyFont="1" applyBorder="1" applyAlignment="1">
      <alignment horizontal="center"/>
    </xf>
    <xf numFmtId="0" fontId="1" fillId="0" borderId="25" xfId="0" applyFont="1" applyBorder="1"/>
    <xf numFmtId="0" fontId="1" fillId="0" borderId="26" xfId="0" applyFont="1" applyBorder="1"/>
    <xf numFmtId="0" fontId="8" fillId="2" borderId="12" xfId="0" applyFont="1" applyFill="1" applyBorder="1" applyAlignment="1">
      <alignment horizontal="center" vertical="center"/>
    </xf>
    <xf numFmtId="0" fontId="8" fillId="8" borderId="27" xfId="0" applyFont="1" applyFill="1" applyBorder="1" applyAlignment="1">
      <alignment horizontal="center"/>
    </xf>
    <xf numFmtId="0" fontId="1" fillId="0" borderId="25" xfId="0" applyFont="1" applyBorder="1" applyAlignment="1">
      <alignment wrapText="1"/>
    </xf>
    <xf numFmtId="0" fontId="0" fillId="15" borderId="28" xfId="0" applyFill="1" applyBorder="1"/>
    <xf numFmtId="0" fontId="0" fillId="15" borderId="29" xfId="0" applyFill="1" applyBorder="1"/>
    <xf numFmtId="9" fontId="0" fillId="15" borderId="29" xfId="0" applyNumberFormat="1" applyFill="1" applyBorder="1"/>
    <xf numFmtId="0" fontId="2" fillId="15" borderId="18" xfId="0" applyFont="1" applyFill="1" applyBorder="1"/>
    <xf numFmtId="0" fontId="2" fillId="15" borderId="24" xfId="0" applyFont="1" applyFill="1" applyBorder="1"/>
    <xf numFmtId="3" fontId="2" fillId="15" borderId="24" xfId="0" applyNumberFormat="1" applyFont="1" applyFill="1" applyBorder="1"/>
    <xf numFmtId="0" fontId="0" fillId="15" borderId="24" xfId="0" applyFill="1" applyBorder="1"/>
    <xf numFmtId="0" fontId="8" fillId="8" borderId="22" xfId="0" applyFont="1" applyFill="1" applyBorder="1" applyAlignment="1">
      <alignment horizontal="center"/>
    </xf>
    <xf numFmtId="0" fontId="8" fillId="8" borderId="31" xfId="0" applyFont="1" applyFill="1" applyBorder="1" applyAlignment="1">
      <alignment horizontal="center"/>
    </xf>
    <xf numFmtId="0" fontId="8" fillId="8" borderId="23" xfId="0" applyFont="1" applyFill="1" applyBorder="1" applyAlignment="1">
      <alignment horizontal="center"/>
    </xf>
    <xf numFmtId="6" fontId="2" fillId="15" borderId="24" xfId="0" applyNumberFormat="1" applyFont="1" applyFill="1" applyBorder="1"/>
    <xf numFmtId="0" fontId="0" fillId="15" borderId="19" xfId="0" applyFill="1" applyBorder="1"/>
    <xf numFmtId="0" fontId="0" fillId="15" borderId="30" xfId="0" applyFill="1" applyBorder="1"/>
    <xf numFmtId="10" fontId="2" fillId="0" borderId="21" xfId="2" quotePrefix="1" applyNumberFormat="1" applyFont="1" applyBorder="1" applyAlignment="1">
      <alignment horizontal="right" vertical="center"/>
    </xf>
    <xf numFmtId="0" fontId="15" fillId="0" borderId="4" xfId="0" applyFont="1" applyBorder="1" applyAlignment="1">
      <alignment horizontal="right" vertical="center"/>
    </xf>
    <xf numFmtId="0" fontId="15" fillId="0" borderId="21" xfId="0" applyFont="1" applyBorder="1" applyAlignment="1">
      <alignment horizontal="right" vertical="center"/>
    </xf>
    <xf numFmtId="0" fontId="1" fillId="4" borderId="30" xfId="0" applyFont="1" applyFill="1" applyBorder="1"/>
    <xf numFmtId="0" fontId="1" fillId="4" borderId="0" xfId="0" applyFont="1" applyFill="1" applyAlignment="1">
      <alignment wrapText="1"/>
    </xf>
    <xf numFmtId="0" fontId="1" fillId="4" borderId="32" xfId="0" applyFont="1" applyFill="1" applyBorder="1" applyAlignment="1">
      <alignment wrapText="1"/>
    </xf>
    <xf numFmtId="0" fontId="1" fillId="5" borderId="30" xfId="0" applyFont="1" applyFill="1" applyBorder="1"/>
    <xf numFmtId="0" fontId="1" fillId="5" borderId="0" xfId="0" applyFont="1" applyFill="1" applyAlignment="1">
      <alignment wrapText="1"/>
    </xf>
    <xf numFmtId="0" fontId="1" fillId="5" borderId="32" xfId="0" applyFont="1" applyFill="1" applyBorder="1"/>
    <xf numFmtId="0" fontId="0" fillId="0" borderId="30" xfId="0" applyBorder="1"/>
    <xf numFmtId="10" fontId="0" fillId="0" borderId="0" xfId="0" applyNumberFormat="1"/>
    <xf numFmtId="0" fontId="0" fillId="0" borderId="32" xfId="0" applyBorder="1"/>
    <xf numFmtId="0" fontId="3" fillId="0" borderId="30" xfId="0" applyFont="1" applyBorder="1"/>
    <xf numFmtId="10" fontId="0" fillId="5" borderId="0" xfId="0" applyNumberFormat="1" applyFill="1"/>
    <xf numFmtId="0" fontId="0" fillId="5" borderId="0" xfId="0" applyFill="1"/>
    <xf numFmtId="0" fontId="0" fillId="5" borderId="32" xfId="0" applyFill="1" applyBorder="1"/>
    <xf numFmtId="0" fontId="0" fillId="5" borderId="30" xfId="0" applyFill="1" applyBorder="1"/>
    <xf numFmtId="0" fontId="1" fillId="4" borderId="32" xfId="0" applyFont="1" applyFill="1" applyBorder="1"/>
    <xf numFmtId="0" fontId="0" fillId="0" borderId="14" xfId="0" applyBorder="1"/>
    <xf numFmtId="0" fontId="0" fillId="0" borderId="15" xfId="0" applyBorder="1"/>
    <xf numFmtId="0" fontId="0" fillId="0" borderId="16" xfId="0" applyBorder="1"/>
    <xf numFmtId="0" fontId="9" fillId="6" borderId="5" xfId="0" applyFont="1" applyFill="1" applyBorder="1"/>
    <xf numFmtId="0" fontId="9" fillId="6" borderId="6" xfId="0" applyFont="1" applyFill="1" applyBorder="1"/>
    <xf numFmtId="8" fontId="0" fillId="0" borderId="5" xfId="0" applyNumberFormat="1" applyBorder="1"/>
    <xf numFmtId="8" fontId="0" fillId="0" borderId="6" xfId="0" applyNumberFormat="1" applyBorder="1"/>
    <xf numFmtId="8" fontId="0" fillId="0" borderId="20" xfId="0" applyNumberFormat="1" applyBorder="1"/>
    <xf numFmtId="8" fontId="0" fillId="0" borderId="33" xfId="0" applyNumberFormat="1" applyBorder="1"/>
    <xf numFmtId="8" fontId="0" fillId="0" borderId="21" xfId="0" applyNumberFormat="1" applyBorder="1"/>
    <xf numFmtId="0" fontId="8" fillId="4" borderId="11" xfId="0" applyFont="1" applyFill="1" applyBorder="1"/>
    <xf numFmtId="0" fontId="8" fillId="4" borderId="13" xfId="0" applyFont="1" applyFill="1" applyBorder="1"/>
    <xf numFmtId="0" fontId="6" fillId="7" borderId="5" xfId="0" applyFont="1" applyFill="1" applyBorder="1"/>
    <xf numFmtId="0" fontId="6" fillId="7" borderId="6" xfId="0" applyFont="1" applyFill="1" applyBorder="1"/>
    <xf numFmtId="0" fontId="0" fillId="0" borderId="5" xfId="0" applyBorder="1"/>
    <xf numFmtId="0" fontId="0" fillId="0" borderId="6" xfId="0" applyBorder="1"/>
    <xf numFmtId="0" fontId="6" fillId="6" borderId="30" xfId="0" applyFont="1" applyFill="1" applyBorder="1"/>
    <xf numFmtId="0" fontId="0" fillId="0" borderId="20" xfId="0" applyBorder="1"/>
    <xf numFmtId="0" fontId="0" fillId="0" borderId="21" xfId="0" applyBorder="1"/>
    <xf numFmtId="6" fontId="0" fillId="15" borderId="24" xfId="0" applyNumberFormat="1" applyFill="1" applyBorder="1"/>
    <xf numFmtId="0" fontId="2" fillId="0" borderId="6" xfId="0" applyFont="1" applyBorder="1" applyAlignment="1">
      <alignment horizontal="right" vertical="center" wrapText="1"/>
    </xf>
    <xf numFmtId="0" fontId="2" fillId="0" borderId="6" xfId="1" applyNumberFormat="1" applyFont="1" applyBorder="1" applyAlignment="1">
      <alignment horizontal="right" vertical="center"/>
    </xf>
    <xf numFmtId="44" fontId="2" fillId="0" borderId="6" xfId="0" applyNumberFormat="1" applyFont="1" applyBorder="1" applyAlignment="1">
      <alignment horizontal="right"/>
    </xf>
    <xf numFmtId="44" fontId="2" fillId="14" borderId="6" xfId="1" applyFont="1" applyFill="1" applyBorder="1" applyAlignment="1">
      <alignment horizontal="right" vertical="center"/>
    </xf>
    <xf numFmtId="0" fontId="8" fillId="2" borderId="11" xfId="0" applyFont="1" applyFill="1" applyBorder="1"/>
    <xf numFmtId="0" fontId="8" fillId="2" borderId="14" xfId="0" applyFont="1" applyFill="1" applyBorder="1"/>
    <xf numFmtId="9" fontId="2" fillId="0" borderId="0" xfId="0" applyNumberFormat="1" applyFont="1"/>
    <xf numFmtId="8" fontId="2" fillId="0" borderId="34" xfId="1" applyNumberFormat="1" applyFont="1" applyBorder="1" applyAlignment="1">
      <alignment horizontal="right" vertical="center"/>
    </xf>
    <xf numFmtId="0" fontId="0" fillId="15" borderId="32" xfId="0" applyFill="1" applyBorder="1"/>
    <xf numFmtId="44" fontId="2" fillId="0" borderId="35" xfId="1" applyFont="1" applyBorder="1" applyAlignment="1">
      <alignment horizontal="right" vertical="center"/>
    </xf>
    <xf numFmtId="44" fontId="2" fillId="0" borderId="36" xfId="1" applyFont="1" applyBorder="1" applyAlignment="1">
      <alignment horizontal="right"/>
    </xf>
    <xf numFmtId="0" fontId="2" fillId="0" borderId="35" xfId="0" applyFont="1" applyBorder="1" applyAlignment="1">
      <alignment horizontal="right" vertical="center"/>
    </xf>
    <xf numFmtId="10" fontId="2" fillId="0" borderId="36" xfId="2" applyNumberFormat="1" applyFont="1" applyBorder="1" applyAlignment="1">
      <alignment horizontal="right" vertical="center"/>
    </xf>
    <xf numFmtId="10" fontId="2" fillId="0" borderId="35" xfId="0" applyNumberFormat="1" applyFont="1" applyBorder="1" applyAlignment="1">
      <alignment horizontal="right" vertical="center"/>
    </xf>
    <xf numFmtId="0" fontId="15" fillId="0" borderId="0" xfId="0" applyFont="1" applyAlignment="1">
      <alignment horizontal="left"/>
    </xf>
    <xf numFmtId="0" fontId="8" fillId="0" borderId="0" xfId="0" applyFont="1" applyAlignment="1">
      <alignment horizontal="left"/>
    </xf>
    <xf numFmtId="0" fontId="8" fillId="0" borderId="1" xfId="0" applyFont="1" applyBorder="1" applyAlignment="1">
      <alignment horizontal="left"/>
    </xf>
    <xf numFmtId="0" fontId="8" fillId="0" borderId="1" xfId="0" applyFont="1" applyBorder="1" applyAlignment="1">
      <alignment horizontal="left" wrapText="1"/>
    </xf>
    <xf numFmtId="0" fontId="8" fillId="0" borderId="0" xfId="0" applyFont="1" applyAlignment="1">
      <alignment horizontal="left" wrapText="1"/>
    </xf>
    <xf numFmtId="0" fontId="8" fillId="0" borderId="14" xfId="0" applyFont="1" applyBorder="1"/>
    <xf numFmtId="0" fontId="20" fillId="0" borderId="16" xfId="0" applyFont="1" applyBorder="1" applyAlignment="1">
      <alignment horizontal="center" vertical="center"/>
    </xf>
    <xf numFmtId="44" fontId="2" fillId="0" borderId="23" xfId="1" applyFont="1" applyBorder="1" applyAlignment="1">
      <alignment horizontal="right" vertical="center"/>
    </xf>
    <xf numFmtId="0" fontId="8" fillId="0" borderId="18" xfId="0" applyFont="1" applyBorder="1" applyAlignment="1">
      <alignment horizontal="center"/>
    </xf>
    <xf numFmtId="44" fontId="8" fillId="0" borderId="0" xfId="0" applyNumberFormat="1" applyFont="1" applyAlignment="1">
      <alignment horizontal="left"/>
    </xf>
    <xf numFmtId="0" fontId="15" fillId="0" borderId="5" xfId="0" applyFont="1" applyBorder="1" applyAlignment="1">
      <alignment horizontal="left" vertical="center" wrapText="1"/>
    </xf>
    <xf numFmtId="8" fontId="21" fillId="9" borderId="0" xfId="0" applyNumberFormat="1" applyFont="1" applyFill="1" applyAlignment="1">
      <alignment horizontal="right"/>
    </xf>
    <xf numFmtId="0" fontId="22" fillId="0" borderId="1" xfId="0" applyFont="1" applyBorder="1" applyAlignment="1">
      <alignment horizontal="left"/>
    </xf>
    <xf numFmtId="0" fontId="23" fillId="0" borderId="18" xfId="0" applyFont="1" applyBorder="1" applyAlignment="1">
      <alignment horizontal="center"/>
    </xf>
    <xf numFmtId="9" fontId="1" fillId="0" borderId="6" xfId="1" applyNumberFormat="1" applyFont="1" applyBorder="1" applyAlignment="1">
      <alignment horizontal="right" wrapText="1"/>
    </xf>
    <xf numFmtId="0" fontId="15" fillId="0" borderId="14" xfId="0" applyFont="1" applyBorder="1" applyAlignment="1">
      <alignment vertical="center"/>
    </xf>
    <xf numFmtId="6" fontId="2" fillId="0" borderId="34" xfId="1" applyNumberFormat="1" applyFont="1" applyBorder="1" applyAlignment="1">
      <alignment horizontal="right" vertical="center"/>
    </xf>
    <xf numFmtId="8" fontId="2" fillId="0" borderId="35" xfId="1" applyNumberFormat="1" applyFont="1" applyBorder="1" applyAlignment="1">
      <alignment horizontal="right" vertical="center"/>
    </xf>
    <xf numFmtId="10" fontId="2" fillId="0" borderId="36" xfId="2" quotePrefix="1" applyNumberFormat="1" applyFont="1" applyBorder="1" applyAlignment="1">
      <alignment horizontal="right" vertical="center"/>
    </xf>
    <xf numFmtId="10" fontId="2" fillId="14" borderId="35" xfId="2" applyNumberFormat="1" applyFont="1" applyFill="1" applyBorder="1" applyAlignment="1">
      <alignment horizontal="right" vertical="center" wrapText="1"/>
    </xf>
    <xf numFmtId="8" fontId="2" fillId="0" borderId="36" xfId="1" applyNumberFormat="1" applyFont="1" applyBorder="1" applyAlignment="1">
      <alignment horizontal="right"/>
    </xf>
    <xf numFmtId="0" fontId="0" fillId="15" borderId="0" xfId="0" applyFill="1"/>
    <xf numFmtId="9" fontId="1" fillId="0" borderId="35" xfId="1" applyNumberFormat="1" applyFont="1" applyBorder="1" applyAlignment="1">
      <alignment horizontal="right" wrapText="1"/>
    </xf>
    <xf numFmtId="0" fontId="8" fillId="0" borderId="1" xfId="0" applyFont="1" applyBorder="1" applyAlignment="1">
      <alignment horizontal="left" vertical="center" wrapText="1"/>
    </xf>
    <xf numFmtId="0" fontId="18" fillId="0" borderId="15" xfId="0" applyFont="1" applyBorder="1" applyAlignment="1">
      <alignment horizontal="center" vertical="center" wrapText="1"/>
    </xf>
    <xf numFmtId="10" fontId="2" fillId="0" borderId="35" xfId="1" applyNumberFormat="1" applyFont="1" applyBorder="1" applyAlignment="1">
      <alignment horizontal="right" vertical="center"/>
    </xf>
    <xf numFmtId="9" fontId="1" fillId="0" borderId="35" xfId="1" applyNumberFormat="1" applyFont="1" applyBorder="1" applyAlignment="1">
      <alignment horizontal="right" vertical="center" wrapText="1"/>
    </xf>
    <xf numFmtId="44" fontId="2" fillId="14" borderId="35" xfId="1" applyFont="1" applyFill="1" applyBorder="1" applyAlignment="1">
      <alignment horizontal="right" vertical="center"/>
    </xf>
    <xf numFmtId="8" fontId="15" fillId="0" borderId="35" xfId="0" applyNumberFormat="1" applyFont="1" applyBorder="1" applyAlignment="1">
      <alignment horizontal="right" vertical="center"/>
    </xf>
    <xf numFmtId="44" fontId="2" fillId="0" borderId="34" xfId="1" applyFont="1" applyBorder="1" applyAlignment="1">
      <alignment horizontal="right" vertical="center"/>
    </xf>
    <xf numFmtId="44" fontId="2" fillId="0" borderId="6" xfId="0" applyNumberFormat="1" applyFont="1" applyBorder="1" applyAlignment="1">
      <alignment horizontal="right" vertical="center"/>
    </xf>
    <xf numFmtId="0" fontId="25" fillId="0" borderId="16" xfId="0" applyFont="1" applyBorder="1" applyAlignment="1">
      <alignment horizontal="center" vertical="center" wrapText="1"/>
    </xf>
    <xf numFmtId="44" fontId="29" fillId="0" borderId="6" xfId="1" applyFont="1" applyBorder="1"/>
    <xf numFmtId="0" fontId="31" fillId="0" borderId="16" xfId="0" applyFont="1" applyBorder="1" applyAlignment="1">
      <alignment horizontal="center" vertical="top" wrapText="1"/>
    </xf>
    <xf numFmtId="0" fontId="12" fillId="0" borderId="18" xfId="0" applyFont="1" applyBorder="1" applyAlignment="1">
      <alignment horizontal="center"/>
    </xf>
    <xf numFmtId="0" fontId="12" fillId="0" borderId="19" xfId="0" applyFont="1" applyBorder="1" applyAlignment="1">
      <alignment horizontal="center"/>
    </xf>
    <xf numFmtId="0" fontId="14" fillId="2" borderId="18" xfId="0" applyFont="1" applyFill="1" applyBorder="1" applyAlignment="1">
      <alignment horizontal="center"/>
    </xf>
    <xf numFmtId="0" fontId="14" fillId="2" borderId="19" xfId="0" applyFont="1" applyFill="1" applyBorder="1" applyAlignment="1">
      <alignment horizontal="center"/>
    </xf>
    <xf numFmtId="0" fontId="14" fillId="12" borderId="18" xfId="0" applyFont="1" applyFill="1" applyBorder="1" applyAlignment="1">
      <alignment horizontal="center" vertical="center"/>
    </xf>
    <xf numFmtId="0" fontId="14" fillId="12" borderId="19" xfId="0" applyFont="1" applyFill="1" applyBorder="1" applyAlignment="1">
      <alignment horizontal="center" vertical="center"/>
    </xf>
    <xf numFmtId="0" fontId="14" fillId="13" borderId="18" xfId="0" applyFont="1" applyFill="1" applyBorder="1" applyAlignment="1">
      <alignment horizontal="center" vertical="center"/>
    </xf>
    <xf numFmtId="0" fontId="14" fillId="13" borderId="19" xfId="0" applyFont="1" applyFill="1" applyBorder="1" applyAlignment="1">
      <alignment horizontal="center" vertical="center"/>
    </xf>
    <xf numFmtId="0" fontId="14" fillId="3" borderId="18" xfId="0" applyFont="1" applyFill="1" applyBorder="1" applyAlignment="1">
      <alignment horizontal="center"/>
    </xf>
    <xf numFmtId="0" fontId="14" fillId="3" borderId="19" xfId="0" applyFont="1" applyFill="1" applyBorder="1" applyAlignment="1">
      <alignment horizontal="center"/>
    </xf>
    <xf numFmtId="0" fontId="16" fillId="0" borderId="18" xfId="0" applyFont="1" applyBorder="1" applyAlignment="1">
      <alignment horizontal="center"/>
    </xf>
    <xf numFmtId="0" fontId="16" fillId="0" borderId="24" xfId="0" applyFont="1" applyBorder="1" applyAlignment="1">
      <alignment horizontal="center"/>
    </xf>
    <xf numFmtId="0" fontId="16" fillId="0" borderId="19" xfId="0" applyFont="1" applyBorder="1" applyAlignment="1">
      <alignment horizontal="center"/>
    </xf>
    <xf numFmtId="0" fontId="16" fillId="0" borderId="14" xfId="0" applyFont="1" applyBorder="1" applyAlignment="1">
      <alignment horizontal="center"/>
    </xf>
    <xf numFmtId="0" fontId="16" fillId="0" borderId="15" xfId="0" applyFont="1" applyBorder="1" applyAlignment="1">
      <alignment horizontal="center"/>
    </xf>
    <xf numFmtId="0" fontId="16" fillId="0" borderId="16" xfId="0" applyFont="1" applyBorder="1" applyAlignment="1">
      <alignment horizontal="center"/>
    </xf>
    <xf numFmtId="0" fontId="1" fillId="2" borderId="0" xfId="0" applyFont="1" applyFill="1" applyAlignment="1">
      <alignment horizontal="center" wrapText="1"/>
    </xf>
    <xf numFmtId="0" fontId="1" fillId="3" borderId="0" xfId="0" applyFont="1" applyFill="1" applyAlignment="1">
      <alignment horizontal="center" wrapText="1"/>
    </xf>
    <xf numFmtId="0" fontId="1" fillId="0" borderId="0" xfId="0" applyFont="1" applyAlignment="1">
      <alignment horizontal="left"/>
    </xf>
    <xf numFmtId="0" fontId="8" fillId="8" borderId="7" xfId="0" applyFont="1" applyFill="1" applyBorder="1" applyAlignment="1">
      <alignment horizontal="center"/>
    </xf>
    <xf numFmtId="0" fontId="8" fillId="8" borderId="8" xfId="0" applyFont="1" applyFill="1" applyBorder="1" applyAlignment="1">
      <alignment horizontal="center"/>
    </xf>
    <xf numFmtId="0" fontId="8" fillId="8" borderId="17" xfId="0" applyFont="1" applyFill="1" applyBorder="1" applyAlignment="1">
      <alignment horizontal="center"/>
    </xf>
    <xf numFmtId="0" fontId="17" fillId="0" borderId="18" xfId="0" applyFont="1" applyBorder="1" applyAlignment="1">
      <alignment horizontal="center"/>
    </xf>
    <xf numFmtId="0" fontId="17" fillId="0" borderId="24" xfId="0" applyFont="1" applyBorder="1" applyAlignment="1">
      <alignment horizontal="center"/>
    </xf>
    <xf numFmtId="0" fontId="17" fillId="0" borderId="19" xfId="0" applyFont="1" applyBorder="1" applyAlignment="1">
      <alignment horizontal="center"/>
    </xf>
    <xf numFmtId="0" fontId="17" fillId="0" borderId="18" xfId="0" applyFont="1" applyBorder="1" applyAlignment="1">
      <alignment horizontal="center" vertical="center"/>
    </xf>
    <xf numFmtId="0" fontId="17" fillId="0" borderId="24" xfId="0" applyFont="1" applyBorder="1" applyAlignment="1">
      <alignment horizontal="center" vertical="center"/>
    </xf>
    <xf numFmtId="0" fontId="17" fillId="0" borderId="19" xfId="0" applyFont="1" applyBorder="1" applyAlignment="1">
      <alignment horizontal="center" vertical="center"/>
    </xf>
    <xf numFmtId="0" fontId="1" fillId="0" borderId="0" xfId="0" applyFont="1" applyAlignment="1">
      <alignment horizontal="left" wrapText="1"/>
    </xf>
    <xf numFmtId="0" fontId="8" fillId="2" borderId="11" xfId="0" applyFont="1" applyFill="1" applyBorder="1" applyAlignment="1">
      <alignment horizontal="center"/>
    </xf>
    <xf numFmtId="0" fontId="8" fillId="2" borderId="12" xfId="0" applyFont="1" applyFill="1" applyBorder="1" applyAlignment="1">
      <alignment horizontal="center"/>
    </xf>
    <xf numFmtId="0" fontId="8" fillId="2" borderId="14" xfId="0" applyFont="1" applyFill="1" applyBorder="1" applyAlignment="1">
      <alignment horizontal="center"/>
    </xf>
    <xf numFmtId="0" fontId="8" fillId="2" borderId="15" xfId="0" applyFont="1" applyFill="1" applyBorder="1" applyAlignment="1">
      <alignment horizontal="center"/>
    </xf>
    <xf numFmtId="0" fontId="11" fillId="7" borderId="7" xfId="0" applyFont="1" applyFill="1" applyBorder="1" applyAlignment="1">
      <alignment horizontal="center"/>
    </xf>
    <xf numFmtId="0" fontId="11" fillId="7" borderId="27" xfId="0" applyFont="1" applyFill="1" applyBorder="1" applyAlignment="1">
      <alignment horizontal="center"/>
    </xf>
    <xf numFmtId="0" fontId="11" fillId="7" borderId="8" xfId="0" applyFont="1" applyFill="1" applyBorder="1" applyAlignment="1">
      <alignment horizontal="center"/>
    </xf>
    <xf numFmtId="0" fontId="8" fillId="2" borderId="13" xfId="0" applyFont="1" applyFill="1" applyBorder="1" applyAlignment="1">
      <alignment horizontal="center"/>
    </xf>
  </cellXfs>
  <cellStyles count="3">
    <cellStyle name="Currency" xfId="1" builtinId="4"/>
    <cellStyle name="Normal" xfId="0" builtinId="0"/>
    <cellStyle name="Percent" xfId="2" builtinId="5"/>
  </cellStyles>
  <dxfs count="10">
    <dxf>
      <fill>
        <patternFill>
          <bgColor theme="9"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theme="9" tint="0.59996337778862885"/>
        </patternFill>
      </fill>
    </dxf>
    <dxf>
      <fill>
        <patternFill>
          <bgColor rgb="FFFF0000"/>
        </patternFill>
      </fill>
    </dxf>
    <dxf>
      <fill>
        <patternFill>
          <bgColor theme="9" tint="0.59996337778862885"/>
        </patternFill>
      </fill>
    </dxf>
    <dxf>
      <fill>
        <patternFill>
          <bgColor theme="9" tint="0.59996337778862885"/>
        </patternFill>
      </fill>
    </dxf>
    <dxf>
      <fill>
        <patternFill>
          <bgColor rgb="FFFF0000"/>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5</xdr:col>
      <xdr:colOff>161364</xdr:colOff>
      <xdr:row>48</xdr:row>
      <xdr:rowOff>116541</xdr:rowOff>
    </xdr:from>
    <xdr:ext cx="184731" cy="264560"/>
    <xdr:sp macro="" textlink="">
      <xdr:nvSpPr>
        <xdr:cNvPr id="2" name="TextBox 1">
          <a:extLst>
            <a:ext uri="{FF2B5EF4-FFF2-40B4-BE49-F238E27FC236}">
              <a16:creationId xmlns:a16="http://schemas.microsoft.com/office/drawing/2014/main" id="{7E8DF4FB-8991-46C8-A377-63A784993334}"/>
            </a:ext>
          </a:extLst>
        </xdr:cNvPr>
        <xdr:cNvSpPr txBox="1"/>
      </xdr:nvSpPr>
      <xdr:spPr>
        <a:xfrm>
          <a:off x="6310704" y="1091408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5</xdr:col>
      <xdr:colOff>161364</xdr:colOff>
      <xdr:row>53</xdr:row>
      <xdr:rowOff>116541</xdr:rowOff>
    </xdr:from>
    <xdr:ext cx="184731" cy="264560"/>
    <xdr:sp macro="" textlink="">
      <xdr:nvSpPr>
        <xdr:cNvPr id="3" name="TextBox 2">
          <a:extLst>
            <a:ext uri="{FF2B5EF4-FFF2-40B4-BE49-F238E27FC236}">
              <a16:creationId xmlns:a16="http://schemas.microsoft.com/office/drawing/2014/main" id="{DB9BF03A-1B48-4A25-8DFA-5AFCD7E992FB}"/>
            </a:ext>
          </a:extLst>
        </xdr:cNvPr>
        <xdr:cNvSpPr txBox="1"/>
      </xdr:nvSpPr>
      <xdr:spPr>
        <a:xfrm>
          <a:off x="4916244" y="98701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5</xdr:col>
      <xdr:colOff>161364</xdr:colOff>
      <xdr:row>42</xdr:row>
      <xdr:rowOff>116541</xdr:rowOff>
    </xdr:from>
    <xdr:ext cx="184731" cy="264560"/>
    <xdr:sp macro="" textlink="">
      <xdr:nvSpPr>
        <xdr:cNvPr id="2" name="TextBox 1">
          <a:extLst>
            <a:ext uri="{FF2B5EF4-FFF2-40B4-BE49-F238E27FC236}">
              <a16:creationId xmlns:a16="http://schemas.microsoft.com/office/drawing/2014/main" id="{34A652EC-1913-4667-B760-0ADF0AB367B9}"/>
            </a:ext>
          </a:extLst>
        </xdr:cNvPr>
        <xdr:cNvSpPr txBox="1"/>
      </xdr:nvSpPr>
      <xdr:spPr>
        <a:xfrm>
          <a:off x="4916244" y="98701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5</xdr:col>
      <xdr:colOff>161364</xdr:colOff>
      <xdr:row>51</xdr:row>
      <xdr:rowOff>116541</xdr:rowOff>
    </xdr:from>
    <xdr:ext cx="184731" cy="264560"/>
    <xdr:sp macro="" textlink="">
      <xdr:nvSpPr>
        <xdr:cNvPr id="3" name="TextBox 2">
          <a:extLst>
            <a:ext uri="{FF2B5EF4-FFF2-40B4-BE49-F238E27FC236}">
              <a16:creationId xmlns:a16="http://schemas.microsoft.com/office/drawing/2014/main" id="{5E7819F1-01E9-450F-AB93-706B6E7E6917}"/>
            </a:ext>
          </a:extLst>
        </xdr:cNvPr>
        <xdr:cNvSpPr txBox="1"/>
      </xdr:nvSpPr>
      <xdr:spPr>
        <a:xfrm>
          <a:off x="4916244" y="104645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161364</xdr:colOff>
      <xdr:row>46</xdr:row>
      <xdr:rowOff>116541</xdr:rowOff>
    </xdr:from>
    <xdr:ext cx="184731" cy="264560"/>
    <xdr:sp macro="" textlink="">
      <xdr:nvSpPr>
        <xdr:cNvPr id="2" name="TextBox 1">
          <a:extLst>
            <a:ext uri="{FF2B5EF4-FFF2-40B4-BE49-F238E27FC236}">
              <a16:creationId xmlns:a16="http://schemas.microsoft.com/office/drawing/2014/main" id="{0466EFA7-47AB-4A69-BCF1-205E8E628137}"/>
            </a:ext>
          </a:extLst>
        </xdr:cNvPr>
        <xdr:cNvSpPr txBox="1"/>
      </xdr:nvSpPr>
      <xdr:spPr>
        <a:xfrm>
          <a:off x="4916244" y="98701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5</xdr:col>
      <xdr:colOff>161364</xdr:colOff>
      <xdr:row>51</xdr:row>
      <xdr:rowOff>0</xdr:rowOff>
    </xdr:from>
    <xdr:ext cx="184731" cy="264560"/>
    <xdr:sp macro="" textlink="">
      <xdr:nvSpPr>
        <xdr:cNvPr id="3" name="TextBox 2">
          <a:extLst>
            <a:ext uri="{FF2B5EF4-FFF2-40B4-BE49-F238E27FC236}">
              <a16:creationId xmlns:a16="http://schemas.microsoft.com/office/drawing/2014/main" id="{3E9F552E-4C51-4FE0-A352-B86BB2D8A10C}"/>
            </a:ext>
          </a:extLst>
        </xdr:cNvPr>
        <xdr:cNvSpPr txBox="1"/>
      </xdr:nvSpPr>
      <xdr:spPr>
        <a:xfrm>
          <a:off x="4916244" y="104645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5</xdr:col>
      <xdr:colOff>161364</xdr:colOff>
      <xdr:row>51</xdr:row>
      <xdr:rowOff>0</xdr:rowOff>
    </xdr:from>
    <xdr:ext cx="184731" cy="264560"/>
    <xdr:sp macro="" textlink="">
      <xdr:nvSpPr>
        <xdr:cNvPr id="4" name="TextBox 3">
          <a:extLst>
            <a:ext uri="{FF2B5EF4-FFF2-40B4-BE49-F238E27FC236}">
              <a16:creationId xmlns:a16="http://schemas.microsoft.com/office/drawing/2014/main" id="{88FF6291-88CA-4780-B204-E57DA04324C5}"/>
            </a:ext>
          </a:extLst>
        </xdr:cNvPr>
        <xdr:cNvSpPr txBox="1"/>
      </xdr:nvSpPr>
      <xdr:spPr>
        <a:xfrm>
          <a:off x="4123764" y="1091789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5</xdr:col>
      <xdr:colOff>161364</xdr:colOff>
      <xdr:row>43</xdr:row>
      <xdr:rowOff>116541</xdr:rowOff>
    </xdr:from>
    <xdr:ext cx="184731" cy="264560"/>
    <xdr:sp macro="" textlink="">
      <xdr:nvSpPr>
        <xdr:cNvPr id="5" name="TextBox 4">
          <a:extLst>
            <a:ext uri="{FF2B5EF4-FFF2-40B4-BE49-F238E27FC236}">
              <a16:creationId xmlns:a16="http://schemas.microsoft.com/office/drawing/2014/main" id="{606467F0-89EC-4C55-9A9F-0178DA16ABE8}"/>
            </a:ext>
          </a:extLst>
        </xdr:cNvPr>
        <xdr:cNvSpPr txBox="1"/>
      </xdr:nvSpPr>
      <xdr:spPr>
        <a:xfrm>
          <a:off x="4123764" y="912719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5</xdr:col>
      <xdr:colOff>161364</xdr:colOff>
      <xdr:row>46</xdr:row>
      <xdr:rowOff>116541</xdr:rowOff>
    </xdr:from>
    <xdr:ext cx="184731" cy="264560"/>
    <xdr:sp macro="" textlink="">
      <xdr:nvSpPr>
        <xdr:cNvPr id="2" name="TextBox 1">
          <a:extLst>
            <a:ext uri="{FF2B5EF4-FFF2-40B4-BE49-F238E27FC236}">
              <a16:creationId xmlns:a16="http://schemas.microsoft.com/office/drawing/2014/main" id="{EF5E9B04-EAAD-4927-822A-AD67DEA07E73}"/>
            </a:ext>
          </a:extLst>
        </xdr:cNvPr>
        <xdr:cNvSpPr txBox="1"/>
      </xdr:nvSpPr>
      <xdr:spPr>
        <a:xfrm>
          <a:off x="4916244" y="98701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5</xdr:col>
      <xdr:colOff>161364</xdr:colOff>
      <xdr:row>54</xdr:row>
      <xdr:rowOff>116541</xdr:rowOff>
    </xdr:from>
    <xdr:ext cx="184731" cy="264560"/>
    <xdr:sp macro="" textlink="">
      <xdr:nvSpPr>
        <xdr:cNvPr id="3" name="TextBox 2">
          <a:extLst>
            <a:ext uri="{FF2B5EF4-FFF2-40B4-BE49-F238E27FC236}">
              <a16:creationId xmlns:a16="http://schemas.microsoft.com/office/drawing/2014/main" id="{855C2C8E-2307-477F-9EB7-2CB356C42586}"/>
            </a:ext>
          </a:extLst>
        </xdr:cNvPr>
        <xdr:cNvSpPr txBox="1"/>
      </xdr:nvSpPr>
      <xdr:spPr>
        <a:xfrm>
          <a:off x="4916244" y="104645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5</xdr:col>
      <xdr:colOff>161364</xdr:colOff>
      <xdr:row>54</xdr:row>
      <xdr:rowOff>116541</xdr:rowOff>
    </xdr:from>
    <xdr:ext cx="184731" cy="264560"/>
    <xdr:sp macro="" textlink="">
      <xdr:nvSpPr>
        <xdr:cNvPr id="4" name="TextBox 3">
          <a:extLst>
            <a:ext uri="{FF2B5EF4-FFF2-40B4-BE49-F238E27FC236}">
              <a16:creationId xmlns:a16="http://schemas.microsoft.com/office/drawing/2014/main" id="{75A4AF71-BB68-4A0D-A507-ED49326B3879}"/>
            </a:ext>
          </a:extLst>
        </xdr:cNvPr>
        <xdr:cNvSpPr txBox="1"/>
      </xdr:nvSpPr>
      <xdr:spPr>
        <a:xfrm>
          <a:off x="4123764" y="1091789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5</xdr:col>
      <xdr:colOff>161364</xdr:colOff>
      <xdr:row>43</xdr:row>
      <xdr:rowOff>116541</xdr:rowOff>
    </xdr:from>
    <xdr:ext cx="184731" cy="264560"/>
    <xdr:sp macro="" textlink="">
      <xdr:nvSpPr>
        <xdr:cNvPr id="5" name="TextBox 4">
          <a:extLst>
            <a:ext uri="{FF2B5EF4-FFF2-40B4-BE49-F238E27FC236}">
              <a16:creationId xmlns:a16="http://schemas.microsoft.com/office/drawing/2014/main" id="{E914BB8A-449A-4D96-BE25-AA4E60F460A4}"/>
            </a:ext>
          </a:extLst>
        </xdr:cNvPr>
        <xdr:cNvSpPr txBox="1"/>
      </xdr:nvSpPr>
      <xdr:spPr>
        <a:xfrm>
          <a:off x="4123764" y="912719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5</xdr:col>
      <xdr:colOff>161364</xdr:colOff>
      <xdr:row>44</xdr:row>
      <xdr:rowOff>116541</xdr:rowOff>
    </xdr:from>
    <xdr:ext cx="184731" cy="264560"/>
    <xdr:sp macro="" textlink="">
      <xdr:nvSpPr>
        <xdr:cNvPr id="2" name="TextBox 1">
          <a:extLst>
            <a:ext uri="{FF2B5EF4-FFF2-40B4-BE49-F238E27FC236}">
              <a16:creationId xmlns:a16="http://schemas.microsoft.com/office/drawing/2014/main" id="{1AE0504C-D49B-4553-B116-16B63BCD14BA}"/>
            </a:ext>
          </a:extLst>
        </xdr:cNvPr>
        <xdr:cNvSpPr txBox="1"/>
      </xdr:nvSpPr>
      <xdr:spPr>
        <a:xfrm>
          <a:off x="4916244" y="98701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5</xdr:col>
      <xdr:colOff>161364</xdr:colOff>
      <xdr:row>53</xdr:row>
      <xdr:rowOff>116541</xdr:rowOff>
    </xdr:from>
    <xdr:ext cx="184731" cy="264560"/>
    <xdr:sp macro="" textlink="">
      <xdr:nvSpPr>
        <xdr:cNvPr id="3" name="TextBox 2">
          <a:extLst>
            <a:ext uri="{FF2B5EF4-FFF2-40B4-BE49-F238E27FC236}">
              <a16:creationId xmlns:a16="http://schemas.microsoft.com/office/drawing/2014/main" id="{8E9A235D-485F-48C6-BFC1-78D5DB9E36F8}"/>
            </a:ext>
          </a:extLst>
        </xdr:cNvPr>
        <xdr:cNvSpPr txBox="1"/>
      </xdr:nvSpPr>
      <xdr:spPr>
        <a:xfrm>
          <a:off x="4916244" y="104645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5</xdr:col>
      <xdr:colOff>161364</xdr:colOff>
      <xdr:row>44</xdr:row>
      <xdr:rowOff>116541</xdr:rowOff>
    </xdr:from>
    <xdr:ext cx="184731" cy="264560"/>
    <xdr:sp macro="" textlink="">
      <xdr:nvSpPr>
        <xdr:cNvPr id="4" name="TextBox 3">
          <a:extLst>
            <a:ext uri="{FF2B5EF4-FFF2-40B4-BE49-F238E27FC236}">
              <a16:creationId xmlns:a16="http://schemas.microsoft.com/office/drawing/2014/main" id="{259B0EDA-A8A7-417F-9302-938F4E48EBAA}"/>
            </a:ext>
          </a:extLst>
        </xdr:cNvPr>
        <xdr:cNvSpPr txBox="1"/>
      </xdr:nvSpPr>
      <xdr:spPr>
        <a:xfrm>
          <a:off x="4123764" y="99177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5</xdr:col>
      <xdr:colOff>161364</xdr:colOff>
      <xdr:row>47</xdr:row>
      <xdr:rowOff>116541</xdr:rowOff>
    </xdr:from>
    <xdr:ext cx="184731" cy="264560"/>
    <xdr:sp macro="" textlink="">
      <xdr:nvSpPr>
        <xdr:cNvPr id="5" name="TextBox 4">
          <a:extLst>
            <a:ext uri="{FF2B5EF4-FFF2-40B4-BE49-F238E27FC236}">
              <a16:creationId xmlns:a16="http://schemas.microsoft.com/office/drawing/2014/main" id="{71BE523E-7919-43BA-9AFC-4EC9644717D7}"/>
            </a:ext>
          </a:extLst>
        </xdr:cNvPr>
        <xdr:cNvSpPr txBox="1"/>
      </xdr:nvSpPr>
      <xdr:spPr>
        <a:xfrm>
          <a:off x="4123764" y="1039401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B6C5C-EE7A-47F5-8382-1D3330C96227}">
  <sheetPr codeName="Sheet2"/>
  <dimension ref="A1:M59"/>
  <sheetViews>
    <sheetView tabSelected="1" zoomScale="76" zoomScaleNormal="70" workbookViewId="0">
      <selection activeCell="B10" sqref="B10"/>
    </sheetView>
  </sheetViews>
  <sheetFormatPr defaultRowHeight="14.4" x14ac:dyDescent="0.3"/>
  <cols>
    <col min="1" max="1" width="60.109375" bestFit="1" customWidth="1"/>
    <col min="2" max="2" width="46.44140625" customWidth="1"/>
    <col min="3" max="3" width="57.6640625" style="154" customWidth="1"/>
    <col min="4" max="4" width="2.44140625" style="90" customWidth="1"/>
    <col min="5" max="5" width="64.33203125" bestFit="1" customWidth="1"/>
    <col min="6" max="6" width="23.5546875" bestFit="1" customWidth="1"/>
    <col min="7" max="7" width="26.5546875" bestFit="1" customWidth="1"/>
    <col min="8" max="8" width="15.6640625" bestFit="1" customWidth="1"/>
    <col min="9" max="9" width="27.5546875" bestFit="1" customWidth="1"/>
    <col min="10" max="10" width="11.88671875" bestFit="1" customWidth="1"/>
    <col min="11" max="11" width="9.6640625" bestFit="1" customWidth="1"/>
    <col min="12" max="12" width="31.6640625" bestFit="1" customWidth="1"/>
    <col min="13" max="13" width="2.109375" style="90" customWidth="1"/>
  </cols>
  <sheetData>
    <row r="1" spans="1:13" ht="45.6" thickBot="1" x14ac:dyDescent="0.8">
      <c r="A1" s="188" t="s">
        <v>298</v>
      </c>
      <c r="B1" s="189"/>
      <c r="D1" s="89"/>
      <c r="E1" s="198" t="s">
        <v>315</v>
      </c>
      <c r="F1" s="199"/>
      <c r="G1" s="199"/>
      <c r="H1" s="199"/>
      <c r="I1" s="199"/>
      <c r="J1" s="199"/>
      <c r="K1" s="199"/>
      <c r="L1" s="200"/>
      <c r="M1" s="89"/>
    </row>
    <row r="2" spans="1:13" ht="17.399999999999999" x14ac:dyDescent="0.3">
      <c r="A2" s="58" t="s">
        <v>299</v>
      </c>
      <c r="B2" s="103">
        <v>11</v>
      </c>
    </row>
    <row r="3" spans="1:13" ht="18" thickBot="1" x14ac:dyDescent="0.35">
      <c r="A3" s="60" t="s">
        <v>300</v>
      </c>
      <c r="B3" s="104">
        <v>1</v>
      </c>
    </row>
    <row r="4" spans="1:13" ht="16.2" thickBot="1" x14ac:dyDescent="0.35">
      <c r="E4" s="3" t="s">
        <v>13</v>
      </c>
      <c r="F4" s="3"/>
      <c r="G4" s="3"/>
      <c r="H4" s="1"/>
      <c r="I4" s="1"/>
      <c r="J4" s="1"/>
      <c r="K4" s="1"/>
      <c r="L4" s="1"/>
    </row>
    <row r="5" spans="1:13" ht="28.8" thickBot="1" x14ac:dyDescent="0.55000000000000004">
      <c r="A5" s="190" t="s">
        <v>301</v>
      </c>
      <c r="B5" s="191"/>
      <c r="C5" s="83" t="s">
        <v>314</v>
      </c>
      <c r="E5" s="6" t="s">
        <v>19</v>
      </c>
      <c r="F5" s="1"/>
      <c r="G5" s="1"/>
      <c r="H5" s="1"/>
      <c r="I5" s="1"/>
      <c r="J5" s="1"/>
      <c r="K5" s="1"/>
      <c r="L5" s="1"/>
    </row>
    <row r="6" spans="1:13" ht="30.6" x14ac:dyDescent="0.3">
      <c r="A6" s="62" t="s">
        <v>281</v>
      </c>
      <c r="B6" s="59" t="str">
        <f>E9</f>
        <v xml:space="preserve">Kastanas, Sean </v>
      </c>
      <c r="E6" s="7" t="s">
        <v>1</v>
      </c>
      <c r="F6" s="7" t="s">
        <v>26</v>
      </c>
      <c r="G6" s="7" t="s">
        <v>21</v>
      </c>
      <c r="H6" s="7" t="s">
        <v>109</v>
      </c>
      <c r="I6" s="7" t="s">
        <v>2</v>
      </c>
      <c r="J6" s="205" t="s">
        <v>3</v>
      </c>
      <c r="K6" s="205"/>
      <c r="L6" s="205"/>
    </row>
    <row r="7" spans="1:13" ht="38.1" customHeight="1" x14ac:dyDescent="0.3">
      <c r="A7" s="63" t="s">
        <v>214</v>
      </c>
      <c r="B7" s="64">
        <f>DATEDIF(DATE(1994,4,1), DATE(2025,8,1), "Y")</f>
        <v>31</v>
      </c>
      <c r="C7" s="155"/>
      <c r="E7" s="8">
        <v>9500</v>
      </c>
      <c r="F7" s="1" t="s">
        <v>96</v>
      </c>
      <c r="G7" s="1" t="s">
        <v>70</v>
      </c>
      <c r="H7" s="1" t="s">
        <v>96</v>
      </c>
      <c r="I7" s="1">
        <v>4</v>
      </c>
      <c r="J7" s="206" t="s">
        <v>129</v>
      </c>
      <c r="K7" s="206"/>
      <c r="L7" s="206"/>
    </row>
    <row r="8" spans="1:13" ht="31.2" x14ac:dyDescent="0.3">
      <c r="A8" s="63" t="s">
        <v>282</v>
      </c>
      <c r="B8" s="151" t="s">
        <v>348</v>
      </c>
      <c r="C8" s="157" t="s">
        <v>369</v>
      </c>
      <c r="D8" s="148"/>
      <c r="E8" s="3" t="s">
        <v>0</v>
      </c>
      <c r="F8" s="3" t="s">
        <v>4</v>
      </c>
      <c r="G8" s="4" t="s">
        <v>22</v>
      </c>
      <c r="H8" s="4" t="s">
        <v>5</v>
      </c>
      <c r="I8" s="204" t="s">
        <v>14</v>
      </c>
      <c r="J8" s="204"/>
      <c r="K8" s="204" t="s">
        <v>10</v>
      </c>
      <c r="L8" s="204"/>
    </row>
    <row r="9" spans="1:13" ht="34.5" customHeight="1" x14ac:dyDescent="0.3">
      <c r="A9" s="63" t="s">
        <v>283</v>
      </c>
      <c r="B9" s="151">
        <f>G36</f>
        <v>0</v>
      </c>
      <c r="C9" s="156" t="s">
        <v>334</v>
      </c>
      <c r="D9" s="148"/>
      <c r="E9" s="1" t="s">
        <v>122</v>
      </c>
      <c r="F9" s="10">
        <v>34425</v>
      </c>
      <c r="G9" s="1" t="s">
        <v>97</v>
      </c>
      <c r="H9" s="1"/>
      <c r="I9" s="1" t="s">
        <v>123</v>
      </c>
      <c r="J9" s="1" t="s">
        <v>124</v>
      </c>
      <c r="K9" s="1" t="s">
        <v>125</v>
      </c>
      <c r="L9" s="1"/>
    </row>
    <row r="10" spans="1:13" ht="30.6" x14ac:dyDescent="0.3">
      <c r="A10" s="63" t="s">
        <v>302</v>
      </c>
      <c r="B10" s="65">
        <f>F47</f>
        <v>50960</v>
      </c>
      <c r="C10" s="155"/>
      <c r="E10" s="3" t="s">
        <v>6</v>
      </c>
      <c r="F10" s="3" t="s">
        <v>7</v>
      </c>
      <c r="G10" s="4" t="s">
        <v>20</v>
      </c>
      <c r="H10" s="3" t="s">
        <v>8</v>
      </c>
      <c r="I10" s="204" t="s">
        <v>24</v>
      </c>
      <c r="J10" s="204"/>
      <c r="K10" s="4" t="s">
        <v>25</v>
      </c>
      <c r="L10" s="3" t="s">
        <v>23</v>
      </c>
    </row>
    <row r="11" spans="1:13" ht="31.5" customHeight="1" x14ac:dyDescent="0.3">
      <c r="A11" s="63" t="s">
        <v>284</v>
      </c>
      <c r="B11" s="151">
        <v>0</v>
      </c>
      <c r="C11" s="156" t="s">
        <v>334</v>
      </c>
      <c r="D11" s="148"/>
      <c r="E11" s="1" t="s">
        <v>128</v>
      </c>
      <c r="F11" s="1" t="s">
        <v>121</v>
      </c>
      <c r="G11" s="1">
        <v>4</v>
      </c>
      <c r="H11" s="11">
        <v>50960</v>
      </c>
      <c r="I11" s="1"/>
      <c r="J11" s="1"/>
      <c r="K11" s="1" t="s">
        <v>87</v>
      </c>
      <c r="L11" s="1" t="s">
        <v>74</v>
      </c>
    </row>
    <row r="12" spans="1:13" ht="16.2" thickBot="1" x14ac:dyDescent="0.35">
      <c r="A12" s="66" t="s">
        <v>285</v>
      </c>
      <c r="B12" s="67">
        <f>B10+B11</f>
        <v>50960</v>
      </c>
      <c r="C12" s="155"/>
      <c r="E12" s="6" t="s">
        <v>12</v>
      </c>
      <c r="F12" s="6"/>
      <c r="G12" s="1"/>
      <c r="H12" s="1"/>
      <c r="I12" s="1"/>
      <c r="J12" s="1"/>
      <c r="K12" s="1"/>
      <c r="L12" s="1"/>
    </row>
    <row r="13" spans="1:13" ht="16.2" thickBot="1" x14ac:dyDescent="0.35">
      <c r="A13" s="68"/>
      <c r="B13" s="69"/>
      <c r="C13" s="155"/>
      <c r="D13" s="91"/>
      <c r="E13" s="3" t="s">
        <v>0</v>
      </c>
      <c r="F13" s="3" t="s">
        <v>4</v>
      </c>
      <c r="G13" s="4" t="s">
        <v>22</v>
      </c>
      <c r="H13" s="4" t="s">
        <v>5</v>
      </c>
      <c r="I13" s="204" t="s">
        <v>14</v>
      </c>
      <c r="J13" s="204"/>
      <c r="K13" s="204" t="s">
        <v>10</v>
      </c>
      <c r="L13" s="204"/>
    </row>
    <row r="14" spans="1:13" ht="27.9" customHeight="1" thickBot="1" x14ac:dyDescent="0.35">
      <c r="A14" s="192" t="s">
        <v>303</v>
      </c>
      <c r="B14" s="193"/>
      <c r="C14" s="155"/>
      <c r="E14" s="1"/>
      <c r="F14" s="10"/>
      <c r="G14" s="1"/>
      <c r="H14" s="1"/>
      <c r="I14" s="1"/>
      <c r="J14" s="1"/>
      <c r="K14" s="1"/>
      <c r="L14" s="1"/>
    </row>
    <row r="15" spans="1:13" ht="30.6" x14ac:dyDescent="0.3">
      <c r="A15" s="70" t="s">
        <v>286</v>
      </c>
      <c r="B15" s="79">
        <f>E7</f>
        <v>9500</v>
      </c>
      <c r="C15" s="155"/>
      <c r="E15" s="3" t="s">
        <v>6</v>
      </c>
      <c r="F15" s="3" t="s">
        <v>7</v>
      </c>
      <c r="G15" s="4" t="s">
        <v>20</v>
      </c>
      <c r="H15" s="3" t="s">
        <v>8</v>
      </c>
      <c r="I15" s="204" t="s">
        <v>24</v>
      </c>
      <c r="J15" s="204"/>
      <c r="K15" s="4" t="s">
        <v>25</v>
      </c>
      <c r="L15" s="3" t="s">
        <v>23</v>
      </c>
    </row>
    <row r="16" spans="1:13" ht="35.4" customHeight="1" x14ac:dyDescent="0.3">
      <c r="A16" s="63" t="s">
        <v>287</v>
      </c>
      <c r="B16" s="64" t="s">
        <v>129</v>
      </c>
      <c r="C16" s="155"/>
      <c r="E16" s="1"/>
      <c r="F16" s="1"/>
      <c r="G16" s="1"/>
      <c r="H16" s="1"/>
      <c r="I16" s="1"/>
      <c r="J16" s="1"/>
      <c r="K16" s="1"/>
      <c r="L16" s="1"/>
    </row>
    <row r="17" spans="1:12" ht="15.6" x14ac:dyDescent="0.3">
      <c r="A17" s="63" t="s">
        <v>288</v>
      </c>
      <c r="B17" s="80">
        <f>13000-9500</f>
        <v>3500</v>
      </c>
      <c r="C17" s="155"/>
      <c r="E17" s="3" t="s">
        <v>15</v>
      </c>
      <c r="F17" s="3"/>
      <c r="G17" s="3"/>
      <c r="H17" s="3"/>
      <c r="I17" s="3"/>
      <c r="J17" s="3"/>
      <c r="K17" s="3"/>
      <c r="L17" s="3"/>
    </row>
    <row r="18" spans="1:12" ht="15.6" x14ac:dyDescent="0.3">
      <c r="A18" s="63" t="s">
        <v>289</v>
      </c>
      <c r="B18" s="153">
        <f>(13000-9500)/13000</f>
        <v>0.26923076923076922</v>
      </c>
      <c r="C18" s="156" t="s">
        <v>335</v>
      </c>
      <c r="D18" s="148"/>
      <c r="E18" s="3" t="s">
        <v>16</v>
      </c>
      <c r="F18" s="3"/>
      <c r="G18" s="3"/>
      <c r="H18" s="3"/>
      <c r="I18" s="3" t="s">
        <v>17</v>
      </c>
      <c r="J18" s="3"/>
      <c r="K18" s="3"/>
      <c r="L18" s="3"/>
    </row>
    <row r="19" spans="1:12" ht="109.2" x14ac:dyDescent="0.3">
      <c r="A19" s="63" t="s">
        <v>290</v>
      </c>
      <c r="B19" s="151">
        <v>4</v>
      </c>
      <c r="C19" s="157" t="s">
        <v>310</v>
      </c>
      <c r="D19" s="148"/>
      <c r="E19" s="2" t="s">
        <v>98</v>
      </c>
      <c r="F19" s="2"/>
      <c r="G19" s="2"/>
      <c r="H19" s="2"/>
      <c r="I19" s="12">
        <v>3280</v>
      </c>
      <c r="J19" s="2"/>
      <c r="K19" s="2"/>
      <c r="L19" s="2"/>
    </row>
    <row r="20" spans="1:12" ht="16.2" thickBot="1" x14ac:dyDescent="0.35">
      <c r="A20" s="66" t="s">
        <v>291</v>
      </c>
      <c r="B20" s="152">
        <f>'Sb rate sheet, HEM and Points'!B6+1%</f>
        <v>0.11</v>
      </c>
      <c r="C20" s="156" t="s">
        <v>347</v>
      </c>
      <c r="D20" s="148"/>
      <c r="E20" s="2" t="s">
        <v>107</v>
      </c>
      <c r="F20" s="2"/>
      <c r="G20" s="2"/>
      <c r="H20" s="2"/>
      <c r="I20" s="12">
        <v>43200</v>
      </c>
      <c r="J20" s="2"/>
      <c r="K20" s="2"/>
      <c r="L20" s="2"/>
    </row>
    <row r="21" spans="1:12" ht="16.2" thickBot="1" x14ac:dyDescent="0.35">
      <c r="A21" s="68"/>
      <c r="B21" s="71"/>
      <c r="C21" s="155"/>
      <c r="E21" s="2" t="s">
        <v>126</v>
      </c>
      <c r="F21" s="2"/>
      <c r="G21" s="2"/>
      <c r="H21" s="2"/>
      <c r="I21" s="12">
        <v>2400</v>
      </c>
      <c r="J21" s="2"/>
      <c r="K21" s="2"/>
      <c r="L21" s="2"/>
    </row>
    <row r="22" spans="1:12" ht="28.8" thickBot="1" x14ac:dyDescent="0.35">
      <c r="A22" s="194" t="s">
        <v>304</v>
      </c>
      <c r="B22" s="195"/>
      <c r="C22" s="155"/>
      <c r="E22" s="2"/>
      <c r="F22" s="2"/>
      <c r="G22" s="2"/>
      <c r="H22" s="2"/>
      <c r="I22" s="12"/>
      <c r="J22" s="2"/>
      <c r="K22" s="2"/>
      <c r="L22" s="2"/>
    </row>
    <row r="23" spans="1:12" ht="31.2" x14ac:dyDescent="0.3">
      <c r="A23" s="70" t="s">
        <v>292</v>
      </c>
      <c r="B23" s="147">
        <f>PMT((('Sb rate sheet, HEM and Points'!B6)/12),3*12,-E7)</f>
        <v>306.53827834145613</v>
      </c>
      <c r="C23" s="157" t="s">
        <v>362</v>
      </c>
      <c r="D23" s="148"/>
      <c r="E23" s="3" t="s">
        <v>18</v>
      </c>
      <c r="F23" s="3"/>
      <c r="G23" s="3"/>
      <c r="H23" s="3"/>
      <c r="I23" s="3" t="s">
        <v>17</v>
      </c>
      <c r="J23" s="3"/>
      <c r="K23" s="5"/>
      <c r="L23" s="5"/>
    </row>
    <row r="24" spans="1:12" ht="63" thickBot="1" x14ac:dyDescent="0.35">
      <c r="A24" s="63" t="s">
        <v>293</v>
      </c>
      <c r="B24" s="149">
        <f>I24</f>
        <v>350</v>
      </c>
      <c r="C24" s="157" t="s">
        <v>316</v>
      </c>
      <c r="D24" s="148"/>
      <c r="E24" s="2" t="s">
        <v>127</v>
      </c>
      <c r="F24" s="2"/>
      <c r="G24" s="2"/>
      <c r="H24" s="2"/>
      <c r="I24" s="12">
        <v>350</v>
      </c>
      <c r="J24" s="2" t="s">
        <v>90</v>
      </c>
      <c r="K24" s="2"/>
      <c r="L24" s="2"/>
    </row>
    <row r="25" spans="1:12" ht="16.2" thickBot="1" x14ac:dyDescent="0.35">
      <c r="A25" s="63" t="s">
        <v>294</v>
      </c>
      <c r="B25" s="34">
        <f>SUM(B23:B24)</f>
        <v>656.53827834145613</v>
      </c>
      <c r="C25" s="155"/>
      <c r="E25" s="92"/>
      <c r="F25" s="93"/>
      <c r="G25" s="93"/>
      <c r="H25" s="93"/>
      <c r="I25" s="94"/>
      <c r="J25" s="93"/>
      <c r="K25" s="93"/>
      <c r="L25" s="93"/>
    </row>
    <row r="26" spans="1:12" ht="33" thickBot="1" x14ac:dyDescent="0.45">
      <c r="A26" s="63" t="s">
        <v>295</v>
      </c>
      <c r="B26" s="168" t="s">
        <v>349</v>
      </c>
      <c r="C26" s="156" t="s">
        <v>312</v>
      </c>
      <c r="D26" s="148"/>
      <c r="E26" s="201" t="s">
        <v>309</v>
      </c>
      <c r="F26" s="202"/>
      <c r="G26" s="203"/>
      <c r="H26" s="2"/>
      <c r="I26" s="12"/>
      <c r="J26" s="2"/>
      <c r="K26" s="2"/>
      <c r="L26" s="2"/>
    </row>
    <row r="27" spans="1:12" ht="15.6" x14ac:dyDescent="0.3">
      <c r="A27" s="63" t="s">
        <v>305</v>
      </c>
      <c r="B27" s="34">
        <f>E7</f>
        <v>9500</v>
      </c>
      <c r="C27" s="155"/>
      <c r="E27" s="54" t="s">
        <v>229</v>
      </c>
      <c r="F27" s="17" t="s">
        <v>230</v>
      </c>
      <c r="G27" s="18" t="s">
        <v>231</v>
      </c>
      <c r="H27" s="2"/>
      <c r="I27" s="12"/>
      <c r="J27" s="2"/>
      <c r="K27" s="2"/>
      <c r="L27" s="2"/>
    </row>
    <row r="28" spans="1:12" ht="15.6" x14ac:dyDescent="0.3">
      <c r="A28" s="63" t="s">
        <v>267</v>
      </c>
      <c r="B28" s="65">
        <f>IF(H11&lt;=18200,0, IF(H11&lt;=45000,(H11-18200)*0.16, IF(H11&lt;=135000,4288+(H11-45000)*0.3, IF(H11&lt;=190000,31288+(H11-135000)*0.37,51638+(H11-190000)*0.45))))</f>
        <v>6076</v>
      </c>
      <c r="C28" s="155"/>
      <c r="E28" s="84" t="s">
        <v>232</v>
      </c>
      <c r="F28" s="20" t="s">
        <v>182</v>
      </c>
      <c r="G28" s="21">
        <f>IFERROR(_xlfn.XLOOKUP(F28,'Sb rate sheet, HEM and Points'!I:I,'Sb rate sheet, HEM and Points'!J:J,,0),"")</f>
        <v>90</v>
      </c>
      <c r="H28" s="2"/>
      <c r="I28" s="12"/>
      <c r="J28" s="2"/>
      <c r="K28" s="2"/>
      <c r="L28" s="2"/>
    </row>
    <row r="29" spans="1:12" ht="62.4" x14ac:dyDescent="0.3">
      <c r="A29" s="63" t="s">
        <v>363</v>
      </c>
      <c r="B29" s="182" t="str">
        <f>F55</f>
        <v>Basic</v>
      </c>
      <c r="C29" s="157" t="s">
        <v>313</v>
      </c>
      <c r="D29" s="148"/>
      <c r="E29" s="84" t="s">
        <v>233</v>
      </c>
      <c r="F29" s="20" t="s">
        <v>190</v>
      </c>
      <c r="G29" s="21">
        <f>IFERROR(_xlfn.XLOOKUP(F29,'Sb rate sheet, HEM and Points'!I:I,'Sb rate sheet, HEM and Points'!J:J,,0),"")</f>
        <v>40</v>
      </c>
      <c r="H29" s="2"/>
      <c r="I29" s="12"/>
      <c r="J29" s="2"/>
      <c r="K29" s="2"/>
      <c r="L29" s="2"/>
    </row>
    <row r="30" spans="1:12" ht="15.6" x14ac:dyDescent="0.3">
      <c r="A30" s="72" t="s">
        <v>296</v>
      </c>
      <c r="B30" s="73">
        <f>B12-B28-F59</f>
        <v>12484</v>
      </c>
      <c r="C30" s="158" t="s">
        <v>350</v>
      </c>
      <c r="E30" s="84" t="s">
        <v>234</v>
      </c>
      <c r="F30" s="20" t="s">
        <v>97</v>
      </c>
      <c r="G30" s="21">
        <f>IFERROR(_xlfn.XLOOKUP(F30,'Sb rate sheet, HEM and Points'!I:I,'Sb rate sheet, HEM and Points'!J:J,,0),"")</f>
        <v>20</v>
      </c>
    </row>
    <row r="31" spans="1:12" ht="16.2" thickBot="1" x14ac:dyDescent="0.35">
      <c r="A31" s="74" t="s">
        <v>297</v>
      </c>
      <c r="B31" s="150">
        <f>IF(F55="Basic",_xlfn.XLOOKUP(F56,'Sb rate sheet, HEM and Points'!A47:A57,'Sb rate sheet, HEM and Points'!C47:C57,,-1),IF(F55="Moderate",_xlfn.XLOOKUP(F56,'Sb rate sheet, HEM and Points'!A47:A57,'Sb rate sheet, HEM and Points'!E47:E57,,-1),IF(F55="Lavish",_xlfn.XLOOKUP(F56,'Sb rate sheet, HEM and Points'!A47:A57,'Sb rate sheet, HEM and Points'!G47:G57,,-1),"")))</f>
        <v>170500</v>
      </c>
      <c r="C31" s="156" t="s">
        <v>343</v>
      </c>
      <c r="D31" s="148"/>
      <c r="E31" s="84" t="s">
        <v>235</v>
      </c>
      <c r="F31" s="20" t="s">
        <v>201</v>
      </c>
      <c r="G31" s="21">
        <f>IFERROR(_xlfn.XLOOKUP(F31,'Sb rate sheet, HEM and Points'!I:I,'Sb rate sheet, HEM and Points'!J:J,,0),"")</f>
        <v>-50</v>
      </c>
    </row>
    <row r="32" spans="1:12" ht="16.2" thickBot="1" x14ac:dyDescent="0.35">
      <c r="A32" s="2"/>
      <c r="B32" s="61"/>
      <c r="C32" s="155"/>
      <c r="E32" s="84" t="s">
        <v>236</v>
      </c>
      <c r="F32" s="20" t="s">
        <v>206</v>
      </c>
      <c r="G32" s="21">
        <f>_xlfn.XLOOKUP(F32,'Sb rate sheet, HEM and Points'!$I$51:$I$55,'Sb rate sheet, HEM and Points'!$J$51:$J$55,,0)</f>
        <v>10</v>
      </c>
    </row>
    <row r="33" spans="1:7" ht="28.8" thickBot="1" x14ac:dyDescent="0.55000000000000004">
      <c r="A33" s="196" t="s">
        <v>306</v>
      </c>
      <c r="B33" s="197"/>
      <c r="E33" s="84" t="s">
        <v>237</v>
      </c>
      <c r="F33" s="20" t="s">
        <v>210</v>
      </c>
      <c r="G33" s="21">
        <f>IFERROR(_xlfn.XLOOKUP(F33,'Sb rate sheet, HEM and Points'!I:I,'Sb rate sheet, HEM and Points'!J:J,,0),"")</f>
        <v>-20</v>
      </c>
    </row>
    <row r="34" spans="1:7" ht="69" x14ac:dyDescent="0.3">
      <c r="A34" s="82" t="s">
        <v>307</v>
      </c>
      <c r="B34" s="76" t="s">
        <v>308</v>
      </c>
      <c r="C34" s="166"/>
      <c r="E34" s="84" t="s">
        <v>214</v>
      </c>
      <c r="F34" s="20" t="s">
        <v>217</v>
      </c>
      <c r="G34" s="21">
        <f>IFERROR(_xlfn.XLOOKUP(F34,'Sb rate sheet, HEM and Points'!I:I,'Sb rate sheet, HEM and Points'!J:J,,0),"")</f>
        <v>80</v>
      </c>
    </row>
    <row r="35" spans="1:7" ht="184.8" thickBot="1" x14ac:dyDescent="0.35">
      <c r="A35" s="169" t="s">
        <v>279</v>
      </c>
      <c r="B35" s="178" t="s">
        <v>351</v>
      </c>
      <c r="C35" s="177"/>
      <c r="D35" s="148"/>
      <c r="E35" s="84" t="s">
        <v>238</v>
      </c>
      <c r="F35" s="20" t="s">
        <v>222</v>
      </c>
      <c r="G35" s="21">
        <f>IFERROR(_xlfn.XLOOKUP(F35,'Sb rate sheet, HEM and Points'!I:I,'Sb rate sheet, HEM and Points'!J:J,,0),"")</f>
        <v>0</v>
      </c>
    </row>
    <row r="36" spans="1:7" ht="16.2" thickBot="1" x14ac:dyDescent="0.35">
      <c r="E36" s="85" t="s">
        <v>239</v>
      </c>
      <c r="F36" s="24" t="s">
        <v>228</v>
      </c>
      <c r="G36" s="21">
        <f>IFERROR(_xlfn.XLOOKUP(F36,'Sb rate sheet, HEM and Points'!I:I,'Sb rate sheet, HEM and Points'!J:J,,0),"")</f>
        <v>0</v>
      </c>
    </row>
    <row r="37" spans="1:7" ht="15.6" x14ac:dyDescent="0.3">
      <c r="E37" s="86" t="s">
        <v>240</v>
      </c>
      <c r="F37" s="25"/>
      <c r="G37" s="78">
        <f>SUM(G28:G36)</f>
        <v>170</v>
      </c>
    </row>
    <row r="38" spans="1:7" ht="16.2" thickBot="1" x14ac:dyDescent="0.35">
      <c r="E38" s="55" t="s">
        <v>175</v>
      </c>
      <c r="F38" s="26"/>
      <c r="G38" s="33" t="str" cm="1">
        <f t="array" ref="G38">_xlfn.IFS(G37&gt;400, "Prime customer",G37&gt;=300, "Sub-prime customer",G37&lt;300, "Reject loan application")</f>
        <v>Reject loan application</v>
      </c>
    </row>
    <row r="39" spans="1:7" ht="15.6" x14ac:dyDescent="0.3">
      <c r="E39" s="1"/>
      <c r="F39" s="1"/>
      <c r="G39" s="1"/>
    </row>
    <row r="40" spans="1:7" ht="16.2" thickBot="1" x14ac:dyDescent="0.35">
      <c r="E40" s="1"/>
      <c r="F40" s="1"/>
      <c r="G40" s="1"/>
    </row>
    <row r="41" spans="1:7" ht="15.6" x14ac:dyDescent="0.3">
      <c r="E41" s="87" t="s">
        <v>241</v>
      </c>
      <c r="F41" s="40"/>
      <c r="G41" s="40" t="s">
        <v>271</v>
      </c>
    </row>
    <row r="42" spans="1:7" ht="15.6" x14ac:dyDescent="0.3">
      <c r="E42" s="84" t="s">
        <v>270</v>
      </c>
      <c r="F42" s="51">
        <f>(13000-9500)/13000</f>
        <v>0.26923076923076922</v>
      </c>
      <c r="G42" s="51" t="str">
        <f>IF(F42&gt;20%,"Yes","Reject")</f>
        <v>Yes</v>
      </c>
    </row>
    <row r="43" spans="1:7" ht="15.6" x14ac:dyDescent="0.3">
      <c r="E43" s="84" t="s">
        <v>276</v>
      </c>
      <c r="F43" s="52">
        <v>4</v>
      </c>
      <c r="G43" s="51" t="str">
        <f>IF(F43&lt;=3,"Yes","Reject")</f>
        <v>Reject</v>
      </c>
    </row>
    <row r="44" spans="1:7" ht="15.6" x14ac:dyDescent="0.3">
      <c r="E44" s="84" t="s">
        <v>242</v>
      </c>
      <c r="F44" s="34">
        <f>PMT((('Sb rate sheet, HEM and Points'!B6)/12),4*12,-E7)</f>
        <v>240.94454263009828</v>
      </c>
      <c r="G44" s="41"/>
    </row>
    <row r="45" spans="1:7" ht="15.6" x14ac:dyDescent="0.3">
      <c r="E45" s="84" t="s">
        <v>261</v>
      </c>
      <c r="F45" s="34">
        <f>I24</f>
        <v>350</v>
      </c>
      <c r="G45" s="34"/>
    </row>
    <row r="46" spans="1:7" ht="30.6" x14ac:dyDescent="0.3">
      <c r="E46" s="88" t="s">
        <v>262</v>
      </c>
      <c r="F46" s="34">
        <f>SUM(F44:F45)</f>
        <v>590.94454263009834</v>
      </c>
      <c r="G46" s="34"/>
    </row>
    <row r="47" spans="1:7" ht="15.6" x14ac:dyDescent="0.3">
      <c r="E47" s="84" t="s">
        <v>263</v>
      </c>
      <c r="F47" s="35">
        <f>H11</f>
        <v>50960</v>
      </c>
      <c r="G47" s="34"/>
    </row>
    <row r="48" spans="1:7" ht="15.6" x14ac:dyDescent="0.3">
      <c r="E48" s="84" t="s">
        <v>245</v>
      </c>
      <c r="F48" s="35">
        <f>IF(H11&lt;=18200,0, IF(H11&lt;=45000,(H11-18200)*0.16, IF(H11&lt;=135000,4288+(H11-45000)*0.3, IF(H11&lt;=190000,31288+(H11-135000)*0.37,51638+(H11-190000)*0.45))))</f>
        <v>6076</v>
      </c>
      <c r="G48" s="34"/>
    </row>
    <row r="49" spans="5:8" ht="15.6" x14ac:dyDescent="0.3">
      <c r="E49" s="84" t="s">
        <v>272</v>
      </c>
      <c r="F49" s="42">
        <f>F46/(H11/12)</f>
        <v>0.13915491584696194</v>
      </c>
      <c r="G49" s="34"/>
    </row>
    <row r="50" spans="5:8" ht="15.6" x14ac:dyDescent="0.3">
      <c r="E50" s="88" t="s">
        <v>274</v>
      </c>
      <c r="F50" s="35">
        <f>0.35*(F47/12)</f>
        <v>1486.3333333333333</v>
      </c>
      <c r="G50" s="51" t="str">
        <f>IF(F49&lt;35%,"Yes","No")</f>
        <v>Yes</v>
      </c>
      <c r="H50">
        <v>1486.3333333333333</v>
      </c>
    </row>
    <row r="51" spans="5:8" ht="15.6" x14ac:dyDescent="0.3">
      <c r="E51" s="84" t="s">
        <v>243</v>
      </c>
      <c r="F51" s="35">
        <f>E7</f>
        <v>9500</v>
      </c>
      <c r="G51" s="35"/>
    </row>
    <row r="52" spans="5:8" ht="15.6" x14ac:dyDescent="0.3">
      <c r="E52" s="84" t="s">
        <v>275</v>
      </c>
      <c r="F52" s="35">
        <f>F47-F48-F59</f>
        <v>12484</v>
      </c>
      <c r="G52" s="35" t="str">
        <f>IF(F58&gt;F51,"Yes","No")</f>
        <v>Yes</v>
      </c>
    </row>
    <row r="53" spans="5:8" ht="15.6" x14ac:dyDescent="0.3">
      <c r="E53" s="1"/>
      <c r="F53" s="53"/>
      <c r="G53" s="53"/>
    </row>
    <row r="55" spans="5:8" ht="15.6" x14ac:dyDescent="0.3">
      <c r="E55" s="31" t="s">
        <v>255</v>
      </c>
      <c r="F55" s="37" t="s">
        <v>244</v>
      </c>
    </row>
    <row r="56" spans="5:8" x14ac:dyDescent="0.3">
      <c r="E56" s="31" t="s">
        <v>254</v>
      </c>
      <c r="F56" s="36">
        <f>H11</f>
        <v>50960</v>
      </c>
    </row>
    <row r="58" spans="5:8" x14ac:dyDescent="0.3">
      <c r="E58" s="31" t="s">
        <v>256</v>
      </c>
      <c r="F58" s="38">
        <f>IF(F55="Basic",_xlfn.XLOOKUP(F56,'Sb rate sheet, HEM and Points'!$A$47:$A$58,'Sb rate sheet, HEM and Points'!$C$47:$C$58,,-1),IF(F55="Moderate",_xlfn.XLOOKUP(F56,'Sb rate sheet, HEM and Points'!$A$47:$A$58,'Sb rate sheet, HEM and Points'!$E$47:$E$58,,-1),IF(F55="Lavish",_xlfn.XLOOKUP(F56,'Sb rate sheet, HEM and Points'!$A$47:$A$58,'Sb rate sheet, HEM and Points'!$G$47:$G$58,,-1),"")))</f>
        <v>170500</v>
      </c>
    </row>
    <row r="59" spans="5:8" x14ac:dyDescent="0.3">
      <c r="E59" s="43" t="s">
        <v>264</v>
      </c>
      <c r="F59" s="38">
        <f>IF(F55="Basic",_xlfn.XLOOKUP(F56,'Sb rate sheet, HEM and Points'!$A$47:$A$58,'Sb rate sheet, HEM and Points'!$B$47:$B$58,,-1),IF(F55="Moderate",_xlfn.XLOOKUP(F56,'Sb rate sheet, HEM and Points'!$A$47:$A$58,'Sb rate sheet, HEM and Points'!$D$47:$D$58,,-1),IF(F55="Lavish",_xlfn.XLOOKUP(F56,'Sb rate sheet, HEM and Points'!$A$47:$A$58,'Sb rate sheet, HEM and Points'!$F$47:$F$58,,-1),"")))</f>
        <v>32400</v>
      </c>
    </row>
  </sheetData>
  <mergeCells count="15">
    <mergeCell ref="E1:L1"/>
    <mergeCell ref="E26:G26"/>
    <mergeCell ref="K13:L13"/>
    <mergeCell ref="I13:J13"/>
    <mergeCell ref="I10:J10"/>
    <mergeCell ref="K8:L8"/>
    <mergeCell ref="I8:J8"/>
    <mergeCell ref="I15:J15"/>
    <mergeCell ref="J6:L6"/>
    <mergeCell ref="J7:L7"/>
    <mergeCell ref="A1:B1"/>
    <mergeCell ref="A5:B5"/>
    <mergeCell ref="A14:B14"/>
    <mergeCell ref="A22:B22"/>
    <mergeCell ref="A33:B33"/>
  </mergeCells>
  <conditionalFormatting sqref="G42">
    <cfRule type="containsText" dxfId="9" priority="1" operator="containsText" text="Yes">
      <formula>NOT(ISERROR(SEARCH("Yes",G42)))</formula>
    </cfRule>
  </conditionalFormatting>
  <conditionalFormatting sqref="G42:G52">
    <cfRule type="containsText" dxfId="8" priority="3" operator="containsText" text="Reject">
      <formula>NOT(ISERROR(SEARCH("Reject",G42)))</formula>
    </cfRule>
  </conditionalFormatting>
  <conditionalFormatting sqref="G47:G52">
    <cfRule type="containsText" dxfId="7" priority="4" operator="containsText" text="Yes">
      <formula>NOT(ISERROR(SEARCH("Yes",G47)))</formula>
    </cfRule>
  </conditionalFormatting>
  <pageMargins left="0.7" right="0.7" top="0.75" bottom="0.75" header="0.3" footer="0.3"/>
  <pageSetup paperSize="9" orientation="portrait" horizontalDpi="0" verticalDpi="0"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3C720445-237E-46A2-88DC-0BC368F09648}">
          <x14:formula1>
            <xm:f>'Sb rate sheet, HEM and Points'!$I$5:$I$14</xm:f>
          </x14:formula1>
          <xm:sqref>F28</xm:sqref>
        </x14:dataValidation>
        <x14:dataValidation type="list" allowBlank="1" showInputMessage="1" showErrorMessage="1" xr:uid="{DFD4B7AF-C5A3-46B9-9CF1-5D22DDAAC665}">
          <x14:formula1>
            <xm:f>'Sb rate sheet, HEM and Points'!$I$19:$I$23</xm:f>
          </x14:formula1>
          <xm:sqref>F29</xm:sqref>
        </x14:dataValidation>
        <x14:dataValidation type="list" allowBlank="1" showInputMessage="1" showErrorMessage="1" xr:uid="{0F913901-94AA-4DC3-9A9A-97D115907B8B}">
          <x14:formula1>
            <xm:f>'Sb rate sheet, HEM and Points'!$I$28:$I$30</xm:f>
          </x14:formula1>
          <xm:sqref>F30</xm:sqref>
        </x14:dataValidation>
        <x14:dataValidation type="list" allowBlank="1" showInputMessage="1" showErrorMessage="1" xr:uid="{5A86DB8C-075E-4F8D-BAD4-5C607970CA03}">
          <x14:formula1>
            <xm:f>'Sb rate sheet, HEM and Points'!$I$35:$I$39</xm:f>
          </x14:formula1>
          <xm:sqref>F31</xm:sqref>
        </x14:dataValidation>
        <x14:dataValidation type="list" allowBlank="1" showInputMessage="1" showErrorMessage="1" xr:uid="{B360417A-25EC-49C7-98C4-FE29DD794C87}">
          <x14:formula1>
            <xm:f>'Sb rate sheet, HEM and Points'!$I$44:$I$47</xm:f>
          </x14:formula1>
          <xm:sqref>F32</xm:sqref>
        </x14:dataValidation>
        <x14:dataValidation type="list" allowBlank="1" showInputMessage="1" showErrorMessage="1" xr:uid="{642975A5-0FCF-43D5-A376-29AB01955877}">
          <x14:formula1>
            <xm:f>'Sb rate sheet, HEM and Points'!$I$60:$I$63</xm:f>
          </x14:formula1>
          <xm:sqref>F33</xm:sqref>
        </x14:dataValidation>
        <x14:dataValidation type="list" allowBlank="1" showInputMessage="1" showErrorMessage="1" xr:uid="{CFBE6025-9895-473F-98AB-FA4EAF8DB423}">
          <x14:formula1>
            <xm:f>'Sb rate sheet, HEM and Points'!$I$68:$I$72</xm:f>
          </x14:formula1>
          <xm:sqref>F34</xm:sqref>
        </x14:dataValidation>
        <x14:dataValidation type="list" allowBlank="1" showInputMessage="1" showErrorMessage="1" xr:uid="{5043FE68-F164-4E12-BC15-E7D19F77A9F7}">
          <x14:formula1>
            <xm:f>'Sb rate sheet, HEM and Points'!$I$77:$I$78</xm:f>
          </x14:formula1>
          <xm:sqref>F35</xm:sqref>
        </x14:dataValidation>
        <x14:dataValidation type="list" allowBlank="1" showInputMessage="1" showErrorMessage="1" xr:uid="{DBB295F7-4E53-4656-B903-E4F8FB9267AB}">
          <x14:formula1>
            <xm:f>'Sb rate sheet, HEM and Points'!$I$83:$I$87</xm:f>
          </x14:formula1>
          <xm:sqref>F36</xm:sqref>
        </x14:dataValidation>
        <x14:dataValidation type="list" allowBlank="1" showInputMessage="1" showErrorMessage="1" xr:uid="{1E3867DD-00CE-4670-AEFA-D27E3AE430C6}">
          <x14:formula1>
            <xm:f>'Sb rate sheet, HEM and Points'!$I$91:$I$93</xm:f>
          </x14:formula1>
          <xm:sqref>F55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6FE57-2CD7-44CC-93F9-57D3C420C410}">
  <sheetPr codeName="Sheet3"/>
  <dimension ref="A1:M57"/>
  <sheetViews>
    <sheetView zoomScale="70" zoomScaleNormal="70" workbookViewId="0">
      <selection activeCell="B15" sqref="B15"/>
    </sheetView>
  </sheetViews>
  <sheetFormatPr defaultRowHeight="15.6" x14ac:dyDescent="0.3"/>
  <cols>
    <col min="1" max="1" width="60.109375" style="2" bestFit="1" customWidth="1"/>
    <col min="2" max="2" width="46.44140625" style="2" customWidth="1"/>
    <col min="3" max="3" width="57.6640625" style="155" customWidth="1"/>
    <col min="4" max="4" width="2.44140625" style="90" customWidth="1"/>
    <col min="5" max="5" width="59.44140625" bestFit="1" customWidth="1"/>
    <col min="6" max="6" width="31.6640625" bestFit="1" customWidth="1"/>
    <col min="7" max="7" width="26.44140625" bestFit="1" customWidth="1"/>
    <col min="8" max="8" width="28.88671875" bestFit="1" customWidth="1"/>
    <col min="9" max="9" width="37.6640625" bestFit="1" customWidth="1"/>
    <col min="10" max="10" width="20.33203125" bestFit="1" customWidth="1"/>
    <col min="11" max="11" width="19.44140625" bestFit="1" customWidth="1"/>
    <col min="12" max="12" width="32.109375" bestFit="1" customWidth="1"/>
    <col min="13" max="13" width="2.6640625" style="90" customWidth="1"/>
    <col min="14" max="14" width="26.5546875" bestFit="1" customWidth="1"/>
  </cols>
  <sheetData>
    <row r="1" spans="1:13" ht="45.6" thickBot="1" x14ac:dyDescent="0.8">
      <c r="A1" s="188" t="s">
        <v>298</v>
      </c>
      <c r="B1" s="189"/>
      <c r="D1" s="89"/>
      <c r="E1" s="210" t="s">
        <v>315</v>
      </c>
      <c r="F1" s="211"/>
      <c r="G1" s="211"/>
      <c r="H1" s="211"/>
      <c r="I1" s="211"/>
      <c r="J1" s="211"/>
      <c r="K1" s="211"/>
      <c r="L1" s="212"/>
      <c r="M1" s="89"/>
    </row>
    <row r="2" spans="1:13" ht="17.399999999999999" x14ac:dyDescent="0.3">
      <c r="A2" s="58" t="s">
        <v>299</v>
      </c>
      <c r="B2" s="103">
        <v>11</v>
      </c>
      <c r="E2" s="3" t="s">
        <v>13</v>
      </c>
      <c r="F2" s="3"/>
      <c r="G2" s="3"/>
      <c r="H2" s="1"/>
      <c r="I2" s="1"/>
      <c r="J2" s="1"/>
      <c r="K2" s="1"/>
      <c r="L2" s="1"/>
    </row>
    <row r="3" spans="1:13" ht="36.6" customHeight="1" thickBot="1" x14ac:dyDescent="0.35">
      <c r="A3" s="60" t="s">
        <v>300</v>
      </c>
      <c r="B3" s="104">
        <v>2</v>
      </c>
      <c r="E3" s="6" t="s">
        <v>19</v>
      </c>
      <c r="F3" s="1"/>
      <c r="G3" s="1"/>
      <c r="H3" s="1"/>
      <c r="I3" s="1"/>
      <c r="J3" s="1"/>
      <c r="K3" s="1"/>
      <c r="L3" s="1"/>
    </row>
    <row r="4" spans="1:13" ht="16.2" thickBot="1" x14ac:dyDescent="0.35">
      <c r="E4" s="7" t="s">
        <v>1</v>
      </c>
      <c r="F4" s="7" t="s">
        <v>26</v>
      </c>
      <c r="G4" s="7" t="s">
        <v>21</v>
      </c>
      <c r="H4" s="7" t="s">
        <v>109</v>
      </c>
      <c r="I4" s="7" t="s">
        <v>2</v>
      </c>
      <c r="J4" s="205" t="s">
        <v>3</v>
      </c>
      <c r="K4" s="205"/>
      <c r="L4" s="205"/>
    </row>
    <row r="5" spans="1:13" ht="29.1" customHeight="1" thickBot="1" x14ac:dyDescent="0.55000000000000004">
      <c r="A5" s="190" t="s">
        <v>301</v>
      </c>
      <c r="B5" s="191"/>
      <c r="C5" s="162" t="s">
        <v>314</v>
      </c>
      <c r="E5" s="8">
        <v>63500</v>
      </c>
      <c r="F5" s="1" t="s">
        <v>101</v>
      </c>
      <c r="G5" s="1" t="s">
        <v>104</v>
      </c>
      <c r="H5" s="1" t="s">
        <v>110</v>
      </c>
      <c r="I5" s="1">
        <v>15</v>
      </c>
      <c r="J5" s="206" t="s">
        <v>170</v>
      </c>
      <c r="K5" s="206"/>
      <c r="L5" s="206"/>
    </row>
    <row r="6" spans="1:13" x14ac:dyDescent="0.3">
      <c r="A6" s="62" t="s">
        <v>281</v>
      </c>
      <c r="B6" s="59" t="str">
        <f>_xlfn.CONCAT(E7," ","-"," ", E12,)</f>
        <v>Kitto, James - Kitto, June</v>
      </c>
      <c r="E6" s="3" t="s">
        <v>0</v>
      </c>
      <c r="F6" s="3" t="s">
        <v>4</v>
      </c>
      <c r="G6" s="4" t="s">
        <v>22</v>
      </c>
      <c r="H6" s="4" t="s">
        <v>5</v>
      </c>
      <c r="I6" s="204" t="s">
        <v>14</v>
      </c>
      <c r="J6" s="204"/>
      <c r="K6" s="204" t="s">
        <v>10</v>
      </c>
      <c r="L6" s="204"/>
    </row>
    <row r="7" spans="1:13" ht="34.5" customHeight="1" x14ac:dyDescent="0.3">
      <c r="A7" s="63" t="s">
        <v>214</v>
      </c>
      <c r="B7" s="64" t="str">
        <f ca="1">_xlfn.CONCAT(DATEDIF($F$7,TODAY(),"Y"),"-",DATEDIF($F$12,TODAY(),"Y"))</f>
        <v>37-34</v>
      </c>
      <c r="E7" s="1" t="s">
        <v>130</v>
      </c>
      <c r="F7" s="10">
        <v>32051</v>
      </c>
      <c r="G7" s="1" t="s">
        <v>75</v>
      </c>
      <c r="H7" s="1">
        <v>1</v>
      </c>
      <c r="I7" s="1" t="s">
        <v>79</v>
      </c>
      <c r="J7" s="1" t="s">
        <v>132</v>
      </c>
      <c r="K7" s="1" t="s">
        <v>73</v>
      </c>
      <c r="L7" s="1" t="s">
        <v>133</v>
      </c>
    </row>
    <row r="8" spans="1:13" x14ac:dyDescent="0.3">
      <c r="A8" s="63" t="s">
        <v>282</v>
      </c>
      <c r="B8" s="151" t="str">
        <f>_xlfn.CONCAT(G36,"-",I36)</f>
        <v>630-620</v>
      </c>
      <c r="C8" s="156" t="s">
        <v>329</v>
      </c>
      <c r="D8" s="148"/>
      <c r="E8" s="3" t="s">
        <v>6</v>
      </c>
      <c r="F8" s="3" t="s">
        <v>7</v>
      </c>
      <c r="G8" s="4" t="s">
        <v>20</v>
      </c>
      <c r="H8" s="3" t="s">
        <v>8</v>
      </c>
      <c r="I8" s="204" t="s">
        <v>24</v>
      </c>
      <c r="J8" s="204"/>
      <c r="K8" s="4" t="s">
        <v>25</v>
      </c>
      <c r="L8" s="3" t="s">
        <v>23</v>
      </c>
    </row>
    <row r="9" spans="1:13" x14ac:dyDescent="0.3">
      <c r="A9" s="63" t="s">
        <v>283</v>
      </c>
      <c r="B9" s="64" t="str">
        <f>_xlfn.CONCAT(K9,"-",K14)</f>
        <v>good-good</v>
      </c>
      <c r="E9" s="1" t="s">
        <v>142</v>
      </c>
      <c r="F9" s="15" t="s">
        <v>134</v>
      </c>
      <c r="G9" s="1" t="s">
        <v>135</v>
      </c>
      <c r="H9" s="11">
        <v>63650</v>
      </c>
      <c r="I9" s="1">
        <v>3</v>
      </c>
      <c r="J9" s="1" t="s">
        <v>136</v>
      </c>
      <c r="K9" s="1" t="s">
        <v>76</v>
      </c>
      <c r="L9" s="1" t="s">
        <v>74</v>
      </c>
    </row>
    <row r="10" spans="1:13" ht="27.9" customHeight="1" x14ac:dyDescent="0.3">
      <c r="A10" s="63" t="s">
        <v>302</v>
      </c>
      <c r="B10" s="65">
        <f>H9+H14</f>
        <v>112150</v>
      </c>
      <c r="E10" s="6" t="s">
        <v>12</v>
      </c>
      <c r="F10" s="6"/>
      <c r="G10" s="1"/>
      <c r="H10" s="1"/>
      <c r="I10" s="1"/>
      <c r="J10" s="1"/>
      <c r="K10" s="1"/>
      <c r="L10" s="1"/>
    </row>
    <row r="11" spans="1:13" x14ac:dyDescent="0.3">
      <c r="A11" s="63" t="s">
        <v>284</v>
      </c>
      <c r="B11" s="64">
        <v>0</v>
      </c>
      <c r="E11" s="3" t="s">
        <v>0</v>
      </c>
      <c r="F11" s="3" t="s">
        <v>4</v>
      </c>
      <c r="G11" s="4" t="s">
        <v>22</v>
      </c>
      <c r="H11" s="4" t="s">
        <v>5</v>
      </c>
      <c r="I11" s="204" t="s">
        <v>14</v>
      </c>
      <c r="J11" s="204"/>
      <c r="K11" s="204" t="s">
        <v>10</v>
      </c>
      <c r="L11" s="204"/>
    </row>
    <row r="12" spans="1:13" ht="33.9" customHeight="1" thickBot="1" x14ac:dyDescent="0.35">
      <c r="A12" s="66" t="s">
        <v>285</v>
      </c>
      <c r="B12" s="67">
        <f>B10+B11</f>
        <v>112150</v>
      </c>
      <c r="E12" s="1" t="s">
        <v>131</v>
      </c>
      <c r="F12" s="10">
        <v>33482</v>
      </c>
      <c r="G12" s="1" t="s">
        <v>75</v>
      </c>
      <c r="H12" s="1">
        <v>1</v>
      </c>
      <c r="I12" s="1" t="s">
        <v>79</v>
      </c>
      <c r="J12" s="1" t="s">
        <v>132</v>
      </c>
      <c r="K12" s="1" t="s">
        <v>73</v>
      </c>
      <c r="L12" s="1" t="s">
        <v>133</v>
      </c>
    </row>
    <row r="13" spans="1:13" ht="16.2" thickBot="1" x14ac:dyDescent="0.35">
      <c r="A13" s="68"/>
      <c r="B13" s="69"/>
      <c r="D13" s="91"/>
      <c r="E13" s="3" t="s">
        <v>6</v>
      </c>
      <c r="F13" s="3" t="s">
        <v>7</v>
      </c>
      <c r="G13" s="4" t="s">
        <v>20</v>
      </c>
      <c r="H13" s="3" t="s">
        <v>8</v>
      </c>
      <c r="I13" s="204" t="s">
        <v>24</v>
      </c>
      <c r="J13" s="204"/>
      <c r="K13" s="4" t="s">
        <v>25</v>
      </c>
      <c r="L13" s="3" t="s">
        <v>23</v>
      </c>
    </row>
    <row r="14" spans="1:13" ht="28.8" thickBot="1" x14ac:dyDescent="0.35">
      <c r="A14" s="192" t="s">
        <v>303</v>
      </c>
      <c r="B14" s="193"/>
      <c r="E14" s="1" t="s">
        <v>137</v>
      </c>
      <c r="F14" s="1" t="s">
        <v>116</v>
      </c>
      <c r="G14" s="1">
        <v>11</v>
      </c>
      <c r="H14" s="1">
        <v>48500</v>
      </c>
      <c r="I14" s="1" t="s">
        <v>92</v>
      </c>
      <c r="J14" s="1" t="s">
        <v>138</v>
      </c>
      <c r="K14" s="1" t="s">
        <v>76</v>
      </c>
      <c r="L14" s="1" t="s">
        <v>74</v>
      </c>
    </row>
    <row r="15" spans="1:13" ht="46.8" x14ac:dyDescent="0.3">
      <c r="A15" s="70" t="s">
        <v>286</v>
      </c>
      <c r="B15" s="170">
        <f>E5</f>
        <v>63500</v>
      </c>
      <c r="C15" s="157" t="s">
        <v>337</v>
      </c>
      <c r="D15" s="148"/>
      <c r="E15" s="3" t="s">
        <v>15</v>
      </c>
      <c r="F15" s="3"/>
      <c r="G15" s="3"/>
      <c r="H15" s="3"/>
      <c r="I15" s="3"/>
      <c r="J15" s="3"/>
      <c r="K15" s="3"/>
      <c r="L15" s="3"/>
    </row>
    <row r="16" spans="1:13" x14ac:dyDescent="0.3">
      <c r="A16" s="63" t="s">
        <v>287</v>
      </c>
      <c r="B16" s="64" t="str">
        <f>J5</f>
        <v>Home renovation adding bathrooms</v>
      </c>
      <c r="E16" s="3" t="s">
        <v>16</v>
      </c>
      <c r="F16" s="3"/>
      <c r="G16" s="3"/>
      <c r="H16" s="3"/>
      <c r="I16" s="3" t="s">
        <v>17</v>
      </c>
      <c r="J16" s="3"/>
      <c r="K16" s="3"/>
      <c r="L16" s="3"/>
    </row>
    <row r="17" spans="1:12" x14ac:dyDescent="0.3">
      <c r="A17" s="63" t="s">
        <v>288</v>
      </c>
      <c r="B17" s="171" t="s">
        <v>258</v>
      </c>
      <c r="C17" s="156" t="s">
        <v>319</v>
      </c>
      <c r="D17" s="148"/>
      <c r="E17" s="2" t="s">
        <v>69</v>
      </c>
      <c r="F17" s="2"/>
      <c r="G17" s="2"/>
      <c r="H17" s="2"/>
      <c r="I17" s="13">
        <v>36500</v>
      </c>
      <c r="J17" s="2"/>
      <c r="K17" s="2"/>
      <c r="L17" s="2"/>
    </row>
    <row r="18" spans="1:12" x14ac:dyDescent="0.3">
      <c r="A18" s="63" t="s">
        <v>289</v>
      </c>
      <c r="B18" s="171" t="s">
        <v>258</v>
      </c>
      <c r="C18" s="156" t="s">
        <v>319</v>
      </c>
      <c r="D18" s="148"/>
      <c r="E18" s="2" t="s">
        <v>83</v>
      </c>
      <c r="F18" s="2"/>
      <c r="G18" s="2"/>
      <c r="H18" s="2"/>
      <c r="I18" s="13">
        <v>870400</v>
      </c>
      <c r="J18" s="2"/>
      <c r="K18" s="2"/>
      <c r="L18" s="2"/>
    </row>
    <row r="19" spans="1:12" x14ac:dyDescent="0.3">
      <c r="A19" s="63" t="s">
        <v>290</v>
      </c>
      <c r="B19" s="64">
        <f>I5</f>
        <v>15</v>
      </c>
      <c r="C19" s="158"/>
      <c r="E19" s="2" t="s">
        <v>139</v>
      </c>
      <c r="F19" s="2"/>
      <c r="G19" s="2"/>
      <c r="H19" s="2"/>
      <c r="I19" s="13">
        <v>23500</v>
      </c>
      <c r="J19" s="2"/>
      <c r="K19" s="2"/>
      <c r="L19" s="2"/>
    </row>
    <row r="20" spans="1:12" ht="31.8" thickBot="1" x14ac:dyDescent="0.35">
      <c r="A20" s="66" t="s">
        <v>291</v>
      </c>
      <c r="B20" s="172">
        <f>'Sb rate sheet, HEM and Points'!B15</f>
        <v>5.2499999999999998E-2</v>
      </c>
      <c r="C20" s="157" t="s">
        <v>336</v>
      </c>
      <c r="D20" s="148"/>
      <c r="E20" s="2" t="s">
        <v>107</v>
      </c>
      <c r="F20" s="2"/>
      <c r="G20" s="2"/>
      <c r="H20" s="2"/>
      <c r="I20" s="13">
        <v>864900</v>
      </c>
      <c r="J20" s="2"/>
      <c r="K20" s="2"/>
      <c r="L20" s="2"/>
    </row>
    <row r="21" spans="1:12" ht="16.2" thickBot="1" x14ac:dyDescent="0.35">
      <c r="A21" s="68"/>
      <c r="B21" s="71"/>
      <c r="E21" s="3" t="s">
        <v>18</v>
      </c>
      <c r="F21" s="3"/>
      <c r="G21" s="3"/>
      <c r="H21" s="3"/>
      <c r="I21" s="3" t="s">
        <v>17</v>
      </c>
      <c r="J21" s="3"/>
      <c r="K21" s="5"/>
      <c r="L21" s="5"/>
    </row>
    <row r="22" spans="1:12" ht="28.8" thickBot="1" x14ac:dyDescent="0.35">
      <c r="A22" s="194" t="s">
        <v>304</v>
      </c>
      <c r="B22" s="195"/>
      <c r="E22" s="2" t="s">
        <v>102</v>
      </c>
      <c r="F22" s="2"/>
      <c r="G22" s="2"/>
      <c r="H22" s="2"/>
      <c r="I22" s="13">
        <v>310000</v>
      </c>
      <c r="J22" s="2" t="s">
        <v>140</v>
      </c>
      <c r="K22" s="2"/>
      <c r="L22" s="2"/>
    </row>
    <row r="23" spans="1:12" ht="16.2" thickBot="1" x14ac:dyDescent="0.35">
      <c r="A23" s="70" t="s">
        <v>292</v>
      </c>
      <c r="B23" s="161">
        <f>PMT((('Sb rate sheet, HEM and Points'!B15)/12),I5*12,-E5)</f>
        <v>510.46234930763563</v>
      </c>
      <c r="D23" s="101"/>
      <c r="E23" s="2" t="s">
        <v>141</v>
      </c>
      <c r="I23" s="13">
        <v>3680</v>
      </c>
    </row>
    <row r="24" spans="1:12" ht="33.75" customHeight="1" thickBot="1" x14ac:dyDescent="0.35">
      <c r="A24" s="164" t="s">
        <v>261</v>
      </c>
      <c r="B24" s="149">
        <f>2200+(2.25%*24000)</f>
        <v>2740</v>
      </c>
      <c r="C24" s="157" t="s">
        <v>339</v>
      </c>
      <c r="D24" s="148"/>
      <c r="E24" s="92"/>
      <c r="F24" s="95"/>
      <c r="G24" s="95"/>
      <c r="H24" s="95"/>
      <c r="I24" s="99"/>
      <c r="J24" s="95"/>
      <c r="K24" s="95"/>
      <c r="L24" s="95"/>
    </row>
    <row r="25" spans="1:12" ht="23.4" thickBot="1" x14ac:dyDescent="0.35">
      <c r="A25" s="164" t="s">
        <v>340</v>
      </c>
      <c r="B25" s="65">
        <f>SUM(B23:B24)</f>
        <v>3250.4623493076356</v>
      </c>
      <c r="C25" s="163"/>
      <c r="E25" s="213" t="s">
        <v>309</v>
      </c>
      <c r="F25" s="214"/>
      <c r="G25" s="214"/>
      <c r="H25" s="214"/>
      <c r="I25" s="214"/>
      <c r="J25" s="215"/>
    </row>
    <row r="26" spans="1:12" ht="27.6" x14ac:dyDescent="0.3">
      <c r="A26" s="63" t="s">
        <v>295</v>
      </c>
      <c r="B26" s="173" t="s">
        <v>353</v>
      </c>
      <c r="C26" s="157" t="s">
        <v>317</v>
      </c>
      <c r="D26" s="148"/>
      <c r="E26" s="96" t="s">
        <v>229</v>
      </c>
      <c r="F26" s="97" t="s">
        <v>320</v>
      </c>
      <c r="G26" s="98" t="s">
        <v>321</v>
      </c>
      <c r="H26" s="97" t="s">
        <v>322</v>
      </c>
      <c r="I26" s="98" t="s">
        <v>323</v>
      </c>
    </row>
    <row r="27" spans="1:12" x14ac:dyDescent="0.3">
      <c r="A27" s="63" t="s">
        <v>305</v>
      </c>
      <c r="B27" s="143">
        <f>E5+I22+(2.25%*24000*12)</f>
        <v>379980</v>
      </c>
      <c r="E27" s="19" t="s">
        <v>232</v>
      </c>
      <c r="F27" s="20" t="s">
        <v>182</v>
      </c>
      <c r="G27" s="21">
        <f>IFERROR(_xlfn.XLOOKUP(F27,'Sb rate sheet, HEM and Points'!$I:$I,'Sb rate sheet, HEM and Points'!$J:$J,,0),"")</f>
        <v>90</v>
      </c>
      <c r="H27" s="20" t="s">
        <v>181</v>
      </c>
      <c r="I27" s="21">
        <f>IFERROR(_xlfn.XLOOKUP(H27,'Sb rate sheet, HEM and Points'!$I:$I,'Sb rate sheet, HEM and Points'!$J:$J,,0),"")</f>
        <v>50</v>
      </c>
    </row>
    <row r="28" spans="1:12" x14ac:dyDescent="0.3">
      <c r="A28" s="63" t="s">
        <v>267</v>
      </c>
      <c r="B28" s="65">
        <f>J43</f>
        <v>15221</v>
      </c>
      <c r="E28" s="19" t="s">
        <v>233</v>
      </c>
      <c r="F28" s="20" t="s">
        <v>189</v>
      </c>
      <c r="G28" s="21">
        <f>IFERROR(_xlfn.XLOOKUP(F28,'Sb rate sheet, HEM and Points'!$I:$I,'Sb rate sheet, HEM and Points'!$J:$J,,0),"")</f>
        <v>70</v>
      </c>
      <c r="H28" s="20" t="s">
        <v>189</v>
      </c>
      <c r="I28" s="21">
        <f>IFERROR(_xlfn.XLOOKUP(H28,'Sb rate sheet, HEM and Points'!$I:$I,'Sb rate sheet, HEM and Points'!$J:$J,,0),"")</f>
        <v>70</v>
      </c>
    </row>
    <row r="29" spans="1:12" ht="93.6" x14ac:dyDescent="0.3">
      <c r="A29" s="63" t="s">
        <v>363</v>
      </c>
      <c r="B29" s="182" t="str">
        <f>F53</f>
        <v>Moderate</v>
      </c>
      <c r="C29" s="157" t="s">
        <v>318</v>
      </c>
      <c r="D29" s="148"/>
      <c r="E29" s="19" t="s">
        <v>234</v>
      </c>
      <c r="F29" s="20" t="s">
        <v>195</v>
      </c>
      <c r="G29" s="21">
        <f>IFERROR(_xlfn.XLOOKUP(F29,'Sb rate sheet, HEM and Points'!$I:$I,'Sb rate sheet, HEM and Points'!$J:$J,,0),"")</f>
        <v>70</v>
      </c>
      <c r="H29" s="20" t="s">
        <v>195</v>
      </c>
      <c r="I29" s="21">
        <f>IFERROR(_xlfn.XLOOKUP(H29,'Sb rate sheet, HEM and Points'!$I:$I,'Sb rate sheet, HEM and Points'!$J:$J,,0),"")</f>
        <v>70</v>
      </c>
    </row>
    <row r="30" spans="1:12" x14ac:dyDescent="0.3">
      <c r="A30" s="72" t="s">
        <v>296</v>
      </c>
      <c r="B30" s="73">
        <f>B12-B28-F57</f>
        <v>51569</v>
      </c>
      <c r="E30" s="19" t="s">
        <v>235</v>
      </c>
      <c r="F30" s="20" t="s">
        <v>199</v>
      </c>
      <c r="G30" s="21">
        <f>IFERROR(_xlfn.XLOOKUP(F30,'Sb rate sheet, HEM and Points'!$I:$I,'Sb rate sheet, HEM and Points'!$J:$J,,0),"")</f>
        <v>70</v>
      </c>
      <c r="H30" s="20" t="s">
        <v>198</v>
      </c>
      <c r="I30" s="21">
        <f>IFERROR(_xlfn.XLOOKUP(H30,'Sb rate sheet, HEM and Points'!$I:$I,'Sb rate sheet, HEM and Points'!$J:$J,,0),"")</f>
        <v>100</v>
      </c>
    </row>
    <row r="31" spans="1:12" ht="16.2" thickBot="1" x14ac:dyDescent="0.35">
      <c r="A31" s="74" t="s">
        <v>297</v>
      </c>
      <c r="B31" s="174">
        <f>F56</f>
        <v>405500</v>
      </c>
      <c r="C31" s="156" t="s">
        <v>338</v>
      </c>
      <c r="D31" s="148"/>
      <c r="E31" s="19" t="s">
        <v>236</v>
      </c>
      <c r="F31" s="20" t="s">
        <v>204</v>
      </c>
      <c r="G31" s="21">
        <f>IFERROR(_xlfn.XLOOKUP(F31,'Sb rate sheet, HEM and Points'!$I:$I,'Sb rate sheet, HEM and Points'!$J:$J,,0),"")</f>
        <v>100</v>
      </c>
      <c r="H31" s="20" t="s">
        <v>204</v>
      </c>
      <c r="I31" s="21">
        <f>IFERROR(_xlfn.XLOOKUP(H31,'Sb rate sheet, HEM and Points'!$I:$I,'Sb rate sheet, HEM and Points'!$J:$J,,0),"")</f>
        <v>100</v>
      </c>
    </row>
    <row r="32" spans="1:12" ht="16.2" thickBot="1" x14ac:dyDescent="0.35">
      <c r="B32" s="61"/>
      <c r="E32" s="19" t="s">
        <v>237</v>
      </c>
      <c r="F32" s="20" t="s">
        <v>211</v>
      </c>
      <c r="G32" s="21">
        <f>IFERROR(_xlfn.XLOOKUP(F32,'Sb rate sheet, HEM and Points'!$I:$I,'Sb rate sheet, HEM and Points'!$J:$J,,0),"")</f>
        <v>50</v>
      </c>
      <c r="H32" s="20" t="s">
        <v>211</v>
      </c>
      <c r="I32" s="21">
        <f>IFERROR(_xlfn.XLOOKUP(H32,'Sb rate sheet, HEM and Points'!$I:$I,'Sb rate sheet, HEM and Points'!$J:$J,,0),"")</f>
        <v>50</v>
      </c>
    </row>
    <row r="33" spans="1:10" ht="28.8" thickBot="1" x14ac:dyDescent="0.55000000000000004">
      <c r="A33" s="196" t="s">
        <v>306</v>
      </c>
      <c r="B33" s="197"/>
      <c r="E33" s="19" t="s">
        <v>214</v>
      </c>
      <c r="F33" s="20" t="s">
        <v>217</v>
      </c>
      <c r="G33" s="21">
        <f>IFERROR(_xlfn.XLOOKUP(F33,'Sb rate sheet, HEM and Points'!$I:$I,'Sb rate sheet, HEM and Points'!$J:$J,,0),"")</f>
        <v>80</v>
      </c>
      <c r="H33" s="20" t="s">
        <v>217</v>
      </c>
      <c r="I33" s="21">
        <f>IFERROR(_xlfn.XLOOKUP(H33,'Sb rate sheet, HEM and Points'!$I:$I,'Sb rate sheet, HEM and Points'!$J:$J,,0),"")</f>
        <v>80</v>
      </c>
    </row>
    <row r="34" spans="1:10" ht="69" x14ac:dyDescent="0.3">
      <c r="A34" s="82" t="s">
        <v>307</v>
      </c>
      <c r="B34" s="76" t="s">
        <v>364</v>
      </c>
      <c r="E34" s="19" t="s">
        <v>238</v>
      </c>
      <c r="F34" s="20" t="s">
        <v>222</v>
      </c>
      <c r="G34" s="21">
        <f>IFERROR(_xlfn.XLOOKUP(F34,'Sb rate sheet, HEM and Points'!$I:$I,'Sb rate sheet, HEM and Points'!$J:$J,,0),"")</f>
        <v>0</v>
      </c>
      <c r="H34" s="20" t="s">
        <v>222</v>
      </c>
      <c r="I34" s="21">
        <f>IFERROR(_xlfn.XLOOKUP(H34,'Sb rate sheet, HEM and Points'!$I:$I,'Sb rate sheet, HEM and Points'!$J:$J,,0),"")</f>
        <v>0</v>
      </c>
    </row>
    <row r="35" spans="1:10" ht="25.2" thickBot="1" x14ac:dyDescent="0.35">
      <c r="A35" s="159" t="s">
        <v>279</v>
      </c>
      <c r="B35" s="160" t="s">
        <v>280</v>
      </c>
      <c r="E35" s="23" t="s">
        <v>239</v>
      </c>
      <c r="F35" s="24" t="s">
        <v>224</v>
      </c>
      <c r="G35" s="21">
        <f>IFERROR(_xlfn.XLOOKUP(F35,'Sb rate sheet, HEM and Points'!$I:$I,'Sb rate sheet, HEM and Points'!$J:$J,,0),"")</f>
        <v>100</v>
      </c>
      <c r="H35" s="24" t="s">
        <v>224</v>
      </c>
      <c r="I35" s="21">
        <f>IFERROR(_xlfn.XLOOKUP(H35,'Sb rate sheet, HEM and Points'!$I:$I,'Sb rate sheet, HEM and Points'!$J:$J,,0),"")</f>
        <v>100</v>
      </c>
    </row>
    <row r="36" spans="1:10" x14ac:dyDescent="0.3">
      <c r="E36" s="27" t="s">
        <v>240</v>
      </c>
      <c r="F36" s="25"/>
      <c r="G36" s="32">
        <f>SUM(G27:G35)</f>
        <v>630</v>
      </c>
      <c r="H36" s="25"/>
      <c r="I36" s="32">
        <f>SUM(I27:I35)</f>
        <v>620</v>
      </c>
    </row>
    <row r="37" spans="1:10" ht="16.2" thickBot="1" x14ac:dyDescent="0.35">
      <c r="E37" s="28" t="s">
        <v>175</v>
      </c>
      <c r="F37" s="26"/>
      <c r="G37" s="33" t="str" cm="1">
        <f t="array" ref="G37">_xlfn.IFS(G36&gt;400, "Prime customer",G36&gt;=300, "Sub-prime customer",G36&lt;300, "Reject loan application")</f>
        <v>Prime customer</v>
      </c>
      <c r="H37" s="26"/>
      <c r="I37" s="33" t="str" cm="1">
        <f t="array" ref="I37">_xlfn.IFS(I36&gt;400, "Prime customer",I36&gt;=300, "Sub-prime customer",I36&lt;300, "Reject loan application")</f>
        <v>Prime customer</v>
      </c>
    </row>
    <row r="38" spans="1:10" x14ac:dyDescent="0.3">
      <c r="E38" s="1"/>
      <c r="F38" s="1"/>
      <c r="G38" s="1"/>
    </row>
    <row r="39" spans="1:10" ht="16.2" thickBot="1" x14ac:dyDescent="0.35">
      <c r="E39" s="1"/>
      <c r="F39" s="1"/>
      <c r="G39" s="1"/>
    </row>
    <row r="40" spans="1:10" x14ac:dyDescent="0.3">
      <c r="E40" s="207" t="s">
        <v>241</v>
      </c>
      <c r="F40" s="208"/>
      <c r="G40" s="40" t="s">
        <v>271</v>
      </c>
      <c r="I40" s="207" t="s">
        <v>268</v>
      </c>
      <c r="J40" s="209"/>
    </row>
    <row r="41" spans="1:10" x14ac:dyDescent="0.3">
      <c r="E41" s="19" t="s">
        <v>242</v>
      </c>
      <c r="F41" s="41">
        <f>PMT((('Sb rate sheet, HEM and Points'!B15)/12),I5*12,-E5)</f>
        <v>510.46234930763563</v>
      </c>
      <c r="G41" s="51"/>
      <c r="I41" s="19" t="s">
        <v>265</v>
      </c>
      <c r="J41" s="45">
        <f>IF(H9&lt;=18200,0, IF(H9&lt;=45000,(H9-18200)*0.16, IF(H9&lt;=135000,4288+(H9-45000)*0.3, IF(H9&lt;=190000,31288+(H9-135000)*0.37,51638+(H9-190000)*0.45))))</f>
        <v>9883</v>
      </c>
    </row>
    <row r="42" spans="1:10" x14ac:dyDescent="0.3">
      <c r="E42" s="19" t="s">
        <v>261</v>
      </c>
      <c r="F42" s="34">
        <f>2200+(2.25%*24000)</f>
        <v>2740</v>
      </c>
      <c r="G42" s="41"/>
      <c r="I42" s="19" t="s">
        <v>266</v>
      </c>
      <c r="J42" s="45">
        <f>IF(H14&lt;=18200,0, IF(H14&lt;=45000,(H14-18200)*0.16, IF(H14&lt;=135000,4288+(H14-45000)*0.3, IF(H14&lt;=190000,31288+(H14-135000)*0.37,51638+(H14-190000)*0.45))))</f>
        <v>5338</v>
      </c>
    </row>
    <row r="43" spans="1:10" ht="30.6" x14ac:dyDescent="0.3">
      <c r="E43" s="22" t="s">
        <v>262</v>
      </c>
      <c r="F43" s="41">
        <f>SUM(F41:F42)</f>
        <v>3250.4623493076356</v>
      </c>
      <c r="G43" s="34"/>
      <c r="I43" s="46" t="s">
        <v>267</v>
      </c>
      <c r="J43" s="47">
        <f>SUM(J41:J42)</f>
        <v>15221</v>
      </c>
    </row>
    <row r="44" spans="1:10" x14ac:dyDescent="0.3">
      <c r="E44" s="19" t="s">
        <v>263</v>
      </c>
      <c r="F44" s="35">
        <f>H9+H14</f>
        <v>112150</v>
      </c>
      <c r="G44" s="34"/>
    </row>
    <row r="45" spans="1:10" x14ac:dyDescent="0.3">
      <c r="E45" s="19" t="s">
        <v>245</v>
      </c>
      <c r="F45" s="35">
        <f>J43</f>
        <v>15221</v>
      </c>
      <c r="G45" s="34"/>
    </row>
    <row r="46" spans="1:10" x14ac:dyDescent="0.3">
      <c r="E46" s="19" t="s">
        <v>272</v>
      </c>
      <c r="F46" s="42">
        <f>F43/((H9+H14)/12)</f>
        <v>0.34779802221749107</v>
      </c>
      <c r="G46" s="51" t="str">
        <f>IF(F46&lt;35%,"Yes","No")</f>
        <v>Yes</v>
      </c>
    </row>
    <row r="47" spans="1:10" x14ac:dyDescent="0.3">
      <c r="E47" s="22" t="s">
        <v>274</v>
      </c>
      <c r="F47" s="35">
        <f>0.35*(F44/12)</f>
        <v>3271.0416666666665</v>
      </c>
      <c r="G47" s="51"/>
    </row>
    <row r="48" spans="1:10" x14ac:dyDescent="0.3">
      <c r="E48" s="22" t="s">
        <v>273</v>
      </c>
      <c r="F48" s="35">
        <f>0.4*(F44/12)</f>
        <v>3738.3333333333339</v>
      </c>
      <c r="G48" s="35"/>
      <c r="H48" s="44"/>
    </row>
    <row r="49" spans="5:7" x14ac:dyDescent="0.3">
      <c r="E49" s="19" t="s">
        <v>243</v>
      </c>
      <c r="F49" s="35">
        <f>E5+I22+(2.25%*24000*12)</f>
        <v>379980</v>
      </c>
      <c r="G49" s="35"/>
    </row>
    <row r="50" spans="5:7" x14ac:dyDescent="0.3">
      <c r="E50" s="19" t="s">
        <v>269</v>
      </c>
      <c r="F50" s="48">
        <f>(I22+E5)/I18</f>
        <v>0.42911305147058826</v>
      </c>
      <c r="G50" s="35" t="str">
        <f>IF(((70%*I18)-I22)&gt;E5,"Yes","No")</f>
        <v>Yes</v>
      </c>
    </row>
    <row r="51" spans="5:7" x14ac:dyDescent="0.3">
      <c r="E51" s="19" t="s">
        <v>275</v>
      </c>
      <c r="F51" s="35">
        <f>F44-F45-F57</f>
        <v>51569</v>
      </c>
      <c r="G51" s="35" t="str">
        <f>IF(F56&gt;F49,"Yes","No")</f>
        <v>Yes</v>
      </c>
    </row>
    <row r="53" spans="5:7" x14ac:dyDescent="0.3">
      <c r="E53" s="31" t="s">
        <v>255</v>
      </c>
      <c r="F53" s="37" t="s">
        <v>259</v>
      </c>
    </row>
    <row r="54" spans="5:7" x14ac:dyDescent="0.3">
      <c r="E54" s="31" t="s">
        <v>254</v>
      </c>
      <c r="F54" s="49">
        <f>F44</f>
        <v>112150</v>
      </c>
    </row>
    <row r="56" spans="5:7" x14ac:dyDescent="0.3">
      <c r="E56" s="31" t="s">
        <v>256</v>
      </c>
      <c r="F56" s="38">
        <f>IF(F53="Basic",_xlfn.XLOOKUP(F54,'Sb rate sheet, HEM and Points'!$A$47:$A$58,'Sb rate sheet, HEM and Points'!$C$47:$C$58,,-1),IF(F53="Moderate",_xlfn.XLOOKUP(F54,'Sb rate sheet, HEM and Points'!$A$47:$A$58,'Sb rate sheet, HEM and Points'!$E$47:$E$58,,-1),IF(F53="Lavish",_xlfn.XLOOKUP(F54,'Sb rate sheet, HEM and Points'!$A$47:$A$58,'Sb rate sheet, HEM and Points'!$G$47:$G$58,,-1),"")))</f>
        <v>405500</v>
      </c>
    </row>
    <row r="57" spans="5:7" x14ac:dyDescent="0.3">
      <c r="E57" s="43" t="s">
        <v>264</v>
      </c>
      <c r="F57" s="38">
        <f>IF(F53="Basic",_xlfn.XLOOKUP(F54,'Sb rate sheet, HEM and Points'!$A$47:$A$58,'Sb rate sheet, HEM and Points'!$B$47:$B$58,,-1),IF(F53="Moderate",_xlfn.XLOOKUP(F54,'Sb rate sheet, HEM and Points'!$A$47:$A$58,'Sb rate sheet, HEM and Points'!$D$47:$D$58,,-1),IF(F53="Lavish",_xlfn.XLOOKUP(F54,'Sb rate sheet, HEM and Points'!$A$47:$A$58,'Sb rate sheet, HEM and Points'!$F$47:$F$58,,-1),"")))</f>
        <v>45360</v>
      </c>
    </row>
  </sheetData>
  <mergeCells count="17">
    <mergeCell ref="E1:L1"/>
    <mergeCell ref="E25:J25"/>
    <mergeCell ref="A1:B1"/>
    <mergeCell ref="A5:B5"/>
    <mergeCell ref="A14:B14"/>
    <mergeCell ref="A22:B22"/>
    <mergeCell ref="A33:B33"/>
    <mergeCell ref="E40:F40"/>
    <mergeCell ref="J4:L4"/>
    <mergeCell ref="J5:L5"/>
    <mergeCell ref="I13:J13"/>
    <mergeCell ref="I6:J6"/>
    <mergeCell ref="K6:L6"/>
    <mergeCell ref="I8:J8"/>
    <mergeCell ref="I11:J11"/>
    <mergeCell ref="K11:L11"/>
    <mergeCell ref="I40:J40"/>
  </mergeCells>
  <conditionalFormatting sqref="G41:G51">
    <cfRule type="containsText" dxfId="6" priority="3" operator="containsText" text="Yes">
      <formula>NOT(ISERROR(SEARCH("Yes",G41)))</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C8922373-920B-4473-82F0-B28AB43AABE1}">
          <x14:formula1>
            <xm:f>'Sb rate sheet, HEM and Points'!$I$91:$I$93</xm:f>
          </x14:formula1>
          <xm:sqref>F53</xm:sqref>
        </x14:dataValidation>
        <x14:dataValidation type="list" allowBlank="1" showInputMessage="1" showErrorMessage="1" xr:uid="{646A1B98-ACBA-48EA-A487-8468BED3215C}">
          <x14:formula1>
            <xm:f>'Sb rate sheet, HEM and Points'!$I$83:$I$87</xm:f>
          </x14:formula1>
          <xm:sqref>F35 H35</xm:sqref>
        </x14:dataValidation>
        <x14:dataValidation type="list" allowBlank="1" showInputMessage="1" showErrorMessage="1" xr:uid="{6A66491F-FA8A-4631-AA53-AE8CEF5C1D47}">
          <x14:formula1>
            <xm:f>'Sb rate sheet, HEM and Points'!$I$77:$I$78</xm:f>
          </x14:formula1>
          <xm:sqref>F34 H34</xm:sqref>
        </x14:dataValidation>
        <x14:dataValidation type="list" allowBlank="1" showInputMessage="1" showErrorMessage="1" xr:uid="{99D29D73-8717-4789-BE65-6DE5BA937A69}">
          <x14:formula1>
            <xm:f>'Sb rate sheet, HEM and Points'!$I$68:$I$72</xm:f>
          </x14:formula1>
          <xm:sqref>F33 H33</xm:sqref>
        </x14:dataValidation>
        <x14:dataValidation type="list" allowBlank="1" showInputMessage="1" showErrorMessage="1" xr:uid="{BB6570D8-862A-4720-ADA2-13661FC06827}">
          <x14:formula1>
            <xm:f>'Sb rate sheet, HEM and Points'!$I$60:$I$63</xm:f>
          </x14:formula1>
          <xm:sqref>F32 H32</xm:sqref>
        </x14:dataValidation>
        <x14:dataValidation type="list" allowBlank="1" showInputMessage="1" showErrorMessage="1" xr:uid="{803EDA0E-1070-4F16-B0AB-A5A0FCB4AE0B}">
          <x14:formula1>
            <xm:f>'Sb rate sheet, HEM and Points'!$I$44:$I$47</xm:f>
          </x14:formula1>
          <xm:sqref>F31 H31</xm:sqref>
        </x14:dataValidation>
        <x14:dataValidation type="list" allowBlank="1" showInputMessage="1" showErrorMessage="1" xr:uid="{ACE93F97-477F-4599-BBBC-FB17C479E395}">
          <x14:formula1>
            <xm:f>'Sb rate sheet, HEM and Points'!$I$35:$I$39</xm:f>
          </x14:formula1>
          <xm:sqref>F30 H30</xm:sqref>
        </x14:dataValidation>
        <x14:dataValidation type="list" allowBlank="1" showInputMessage="1" showErrorMessage="1" xr:uid="{780AB0F9-A4B4-40EA-A275-BAAF21B57397}">
          <x14:formula1>
            <xm:f>'Sb rate sheet, HEM and Points'!$I$28:$I$30</xm:f>
          </x14:formula1>
          <xm:sqref>F29 H29</xm:sqref>
        </x14:dataValidation>
        <x14:dataValidation type="list" allowBlank="1" showInputMessage="1" showErrorMessage="1" xr:uid="{CDAF5D83-71B0-4BB8-A510-FB515E4AFDC8}">
          <x14:formula1>
            <xm:f>'Sb rate sheet, HEM and Points'!$I$19:$I$23</xm:f>
          </x14:formula1>
          <xm:sqref>F28 H28</xm:sqref>
        </x14:dataValidation>
        <x14:dataValidation type="list" allowBlank="1" showInputMessage="1" showErrorMessage="1" xr:uid="{1C132C5C-9E61-47EB-8AAC-91CF909FC304}">
          <x14:formula1>
            <xm:f>'Sb rate sheet, HEM and Points'!$I$5:$I$14</xm:f>
          </x14:formula1>
          <xm:sqref>F27 H27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2AA0E-1845-44A1-9B3A-A38EA00F7BAC}">
  <sheetPr codeName="Sheet4"/>
  <dimension ref="A1:M172"/>
  <sheetViews>
    <sheetView zoomScale="70" zoomScaleNormal="70" workbookViewId="0">
      <selection activeCell="C8" sqref="C8"/>
    </sheetView>
  </sheetViews>
  <sheetFormatPr defaultRowHeight="15.6" x14ac:dyDescent="0.3"/>
  <cols>
    <col min="1" max="1" width="65.44140625" style="2" bestFit="1" customWidth="1"/>
    <col min="2" max="2" width="46.44140625" style="2" customWidth="1"/>
    <col min="3" max="3" width="57.6640625" style="155" customWidth="1"/>
    <col min="4" max="4" width="2.44140625" style="90" customWidth="1"/>
    <col min="5" max="5" width="59.44140625" bestFit="1" customWidth="1"/>
    <col min="6" max="6" width="56.6640625" bestFit="1" customWidth="1"/>
    <col min="7" max="7" width="27.6640625" bestFit="1" customWidth="1"/>
    <col min="8" max="8" width="25.5546875" bestFit="1" customWidth="1"/>
    <col min="9" max="9" width="13.88671875" bestFit="1" customWidth="1"/>
    <col min="10" max="10" width="14.44140625" customWidth="1"/>
    <col min="11" max="11" width="13.109375" bestFit="1" customWidth="1"/>
    <col min="12" max="12" width="30.6640625" bestFit="1" customWidth="1"/>
    <col min="13" max="13" width="2" style="90" customWidth="1"/>
  </cols>
  <sheetData>
    <row r="1" spans="1:13" ht="45.6" thickBot="1" x14ac:dyDescent="0.8">
      <c r="A1" s="188" t="s">
        <v>298</v>
      </c>
      <c r="B1" s="189"/>
      <c r="D1" s="89"/>
      <c r="E1" s="210" t="s">
        <v>315</v>
      </c>
      <c r="F1" s="211"/>
      <c r="G1" s="211"/>
      <c r="H1" s="211"/>
      <c r="I1" s="211"/>
      <c r="J1" s="211"/>
      <c r="K1" s="211"/>
      <c r="L1" s="212"/>
      <c r="M1" s="89"/>
    </row>
    <row r="2" spans="1:13" ht="17.399999999999999" x14ac:dyDescent="0.3">
      <c r="A2" s="58" t="s">
        <v>299</v>
      </c>
      <c r="B2" s="103">
        <v>11</v>
      </c>
      <c r="E2" s="3" t="s">
        <v>13</v>
      </c>
      <c r="F2" s="3"/>
      <c r="G2" s="3"/>
      <c r="H2" s="1"/>
      <c r="I2" s="1"/>
      <c r="J2" s="1"/>
      <c r="K2" s="1"/>
      <c r="L2" s="1"/>
    </row>
    <row r="3" spans="1:13" ht="33.6" customHeight="1" thickBot="1" x14ac:dyDescent="0.35">
      <c r="A3" s="60" t="s">
        <v>300</v>
      </c>
      <c r="B3" s="104">
        <v>3</v>
      </c>
      <c r="E3" s="6" t="s">
        <v>19</v>
      </c>
      <c r="F3" s="1"/>
      <c r="G3" s="1"/>
      <c r="H3" s="1"/>
      <c r="I3" s="1"/>
      <c r="J3" s="1"/>
      <c r="K3" s="1"/>
      <c r="L3" s="1"/>
    </row>
    <row r="4" spans="1:13" ht="31.2" thickBot="1" x14ac:dyDescent="0.35">
      <c r="E4" s="7" t="s">
        <v>1</v>
      </c>
      <c r="F4" s="7" t="s">
        <v>26</v>
      </c>
      <c r="G4" s="7" t="s">
        <v>21</v>
      </c>
      <c r="H4" s="7" t="s">
        <v>109</v>
      </c>
      <c r="I4" s="7" t="s">
        <v>2</v>
      </c>
      <c r="J4" s="205" t="s">
        <v>3</v>
      </c>
      <c r="K4" s="205"/>
      <c r="L4" s="205"/>
    </row>
    <row r="5" spans="1:13" ht="30" customHeight="1" thickBot="1" x14ac:dyDescent="0.55000000000000004">
      <c r="A5" s="190" t="s">
        <v>301</v>
      </c>
      <c r="B5" s="191"/>
      <c r="C5" s="162" t="s">
        <v>314</v>
      </c>
      <c r="E5" s="8">
        <v>5000</v>
      </c>
      <c r="F5" s="1" t="s">
        <v>93</v>
      </c>
      <c r="G5" s="1" t="s">
        <v>70</v>
      </c>
      <c r="H5" s="1" t="s">
        <v>86</v>
      </c>
      <c r="I5" s="1"/>
      <c r="J5" s="206" t="s">
        <v>171</v>
      </c>
      <c r="K5" s="206"/>
      <c r="L5" s="206"/>
    </row>
    <row r="6" spans="1:13" ht="21.9" customHeight="1" x14ac:dyDescent="0.3">
      <c r="A6" s="62" t="s">
        <v>281</v>
      </c>
      <c r="B6" s="59" t="str">
        <f>E7</f>
        <v>Lam, Row</v>
      </c>
      <c r="E6" s="3" t="s">
        <v>0</v>
      </c>
      <c r="F6" s="3" t="s">
        <v>4</v>
      </c>
      <c r="G6" s="4" t="s">
        <v>22</v>
      </c>
      <c r="H6" s="4" t="s">
        <v>5</v>
      </c>
      <c r="I6" s="204" t="s">
        <v>14</v>
      </c>
      <c r="J6" s="204"/>
      <c r="K6" s="204" t="s">
        <v>10</v>
      </c>
      <c r="L6" s="204"/>
    </row>
    <row r="7" spans="1:13" ht="29.1" customHeight="1" x14ac:dyDescent="0.3">
      <c r="A7" s="63" t="s">
        <v>214</v>
      </c>
      <c r="B7" s="64">
        <f>DATEDIF(DATE(2008,1,1), DATE(2025,8,1), "Y")</f>
        <v>17</v>
      </c>
      <c r="E7" s="1" t="s">
        <v>143</v>
      </c>
      <c r="F7" s="10">
        <v>39448</v>
      </c>
      <c r="G7" s="1" t="s">
        <v>71</v>
      </c>
      <c r="H7" s="1" t="s">
        <v>72</v>
      </c>
      <c r="I7" s="1" t="s">
        <v>125</v>
      </c>
      <c r="J7" s="1"/>
      <c r="K7" s="1"/>
      <c r="L7" s="1"/>
    </row>
    <row r="8" spans="1:13" ht="78" x14ac:dyDescent="0.3">
      <c r="A8" s="63" t="s">
        <v>282</v>
      </c>
      <c r="B8" s="151">
        <v>0</v>
      </c>
      <c r="C8" s="157" t="s">
        <v>368</v>
      </c>
      <c r="D8" s="148"/>
      <c r="E8" s="3" t="s">
        <v>6</v>
      </c>
      <c r="F8" s="3" t="s">
        <v>7</v>
      </c>
      <c r="G8" s="4" t="s">
        <v>20</v>
      </c>
      <c r="H8" s="3" t="s">
        <v>8</v>
      </c>
      <c r="I8" s="204" t="s">
        <v>24</v>
      </c>
      <c r="J8" s="204"/>
      <c r="K8" s="4" t="s">
        <v>25</v>
      </c>
      <c r="L8" s="3" t="s">
        <v>23</v>
      </c>
    </row>
    <row r="9" spans="1:13" x14ac:dyDescent="0.3">
      <c r="A9" s="63" t="s">
        <v>283</v>
      </c>
      <c r="B9" s="64" t="s">
        <v>210</v>
      </c>
      <c r="E9" s="1" t="s">
        <v>147</v>
      </c>
      <c r="F9" s="2" t="s">
        <v>144</v>
      </c>
      <c r="G9" s="1">
        <v>2</v>
      </c>
      <c r="H9" s="11">
        <v>48880</v>
      </c>
      <c r="I9" s="1"/>
      <c r="J9" s="1"/>
      <c r="K9" s="1" t="s">
        <v>87</v>
      </c>
      <c r="L9" s="1" t="s">
        <v>89</v>
      </c>
    </row>
    <row r="10" spans="1:13" ht="35.1" customHeight="1" x14ac:dyDescent="0.3">
      <c r="A10" s="63" t="s">
        <v>302</v>
      </c>
      <c r="B10" s="65">
        <f>H9</f>
        <v>48880</v>
      </c>
      <c r="E10" s="6" t="s">
        <v>12</v>
      </c>
      <c r="F10" s="6"/>
      <c r="G10" s="1"/>
      <c r="H10" s="1"/>
      <c r="I10" s="1"/>
      <c r="J10" s="1"/>
      <c r="K10" s="1"/>
      <c r="L10" s="1"/>
    </row>
    <row r="11" spans="1:13" ht="18" customHeight="1" x14ac:dyDescent="0.3">
      <c r="A11" s="63" t="s">
        <v>284</v>
      </c>
      <c r="B11" s="184">
        <v>0</v>
      </c>
      <c r="E11" s="3" t="s">
        <v>0</v>
      </c>
      <c r="F11" s="3" t="s">
        <v>4</v>
      </c>
      <c r="G11" s="4" t="s">
        <v>22</v>
      </c>
      <c r="H11" s="4" t="s">
        <v>5</v>
      </c>
      <c r="I11" s="204" t="s">
        <v>14</v>
      </c>
      <c r="J11" s="204"/>
      <c r="K11" s="204" t="s">
        <v>10</v>
      </c>
      <c r="L11" s="204"/>
    </row>
    <row r="12" spans="1:13" ht="30.9" customHeight="1" thickBot="1" x14ac:dyDescent="0.35">
      <c r="A12" s="66" t="s">
        <v>285</v>
      </c>
      <c r="B12" s="67">
        <f>B10+B11</f>
        <v>48880</v>
      </c>
      <c r="E12" s="1"/>
      <c r="F12" s="1"/>
      <c r="G12" s="1"/>
      <c r="H12" s="1"/>
      <c r="I12" s="1"/>
      <c r="J12" s="1"/>
      <c r="K12" s="1"/>
      <c r="L12" s="1"/>
    </row>
    <row r="13" spans="1:13" ht="21" customHeight="1" thickBot="1" x14ac:dyDescent="0.35">
      <c r="A13" s="68"/>
      <c r="B13" s="69"/>
      <c r="D13" s="91"/>
      <c r="E13" s="3" t="s">
        <v>6</v>
      </c>
      <c r="F13" s="3" t="s">
        <v>7</v>
      </c>
      <c r="G13" s="4" t="s">
        <v>20</v>
      </c>
      <c r="H13" s="3" t="s">
        <v>8</v>
      </c>
      <c r="I13" s="204" t="s">
        <v>24</v>
      </c>
      <c r="J13" s="204"/>
      <c r="K13" s="4" t="s">
        <v>25</v>
      </c>
      <c r="L13" s="3" t="s">
        <v>23</v>
      </c>
    </row>
    <row r="14" spans="1:13" ht="28.8" thickBot="1" x14ac:dyDescent="0.35">
      <c r="A14" s="192" t="s">
        <v>303</v>
      </c>
      <c r="B14" s="193"/>
      <c r="E14" s="1"/>
      <c r="F14" s="1"/>
      <c r="G14" s="1"/>
      <c r="H14" s="1"/>
      <c r="I14" s="1"/>
      <c r="J14" s="1"/>
      <c r="K14" s="1"/>
      <c r="L14" s="1"/>
    </row>
    <row r="15" spans="1:13" x14ac:dyDescent="0.3">
      <c r="A15" s="70" t="s">
        <v>286</v>
      </c>
      <c r="B15" s="161">
        <f>E5</f>
        <v>5000</v>
      </c>
      <c r="E15" s="3" t="s">
        <v>15</v>
      </c>
      <c r="F15" s="3"/>
      <c r="G15" s="3"/>
      <c r="H15" s="3"/>
      <c r="I15" s="3"/>
      <c r="J15" s="3"/>
      <c r="K15" s="3"/>
      <c r="L15" s="3"/>
    </row>
    <row r="16" spans="1:13" x14ac:dyDescent="0.3">
      <c r="A16" s="63" t="s">
        <v>287</v>
      </c>
      <c r="B16" s="64" t="str">
        <f>J5</f>
        <v>new credit card</v>
      </c>
      <c r="E16" s="3" t="s">
        <v>16</v>
      </c>
      <c r="F16" s="3"/>
      <c r="G16" s="3"/>
      <c r="H16" s="3" t="s">
        <v>17</v>
      </c>
      <c r="I16" s="3"/>
      <c r="J16" s="3"/>
      <c r="K16" s="3"/>
      <c r="L16" s="3"/>
    </row>
    <row r="17" spans="1:12" x14ac:dyDescent="0.3">
      <c r="A17" s="63" t="s">
        <v>288</v>
      </c>
      <c r="B17" s="171" t="s">
        <v>258</v>
      </c>
      <c r="C17" s="156" t="s">
        <v>324</v>
      </c>
      <c r="D17" s="148"/>
      <c r="E17" s="2" t="s">
        <v>94</v>
      </c>
      <c r="F17" s="2"/>
      <c r="G17" s="2"/>
      <c r="H17" s="13">
        <v>13500</v>
      </c>
      <c r="J17" s="2"/>
      <c r="K17" s="2"/>
      <c r="L17" s="2"/>
    </row>
    <row r="18" spans="1:12" x14ac:dyDescent="0.3">
      <c r="A18" s="63" t="s">
        <v>289</v>
      </c>
      <c r="B18" s="171" t="s">
        <v>258</v>
      </c>
      <c r="C18" s="156" t="s">
        <v>324</v>
      </c>
      <c r="D18" s="148"/>
      <c r="E18" s="2" t="s">
        <v>95</v>
      </c>
      <c r="F18" s="2"/>
      <c r="G18" s="2"/>
      <c r="H18" s="13">
        <v>3490</v>
      </c>
      <c r="I18" s="2"/>
      <c r="J18" s="2"/>
      <c r="K18" s="2"/>
      <c r="L18" s="2"/>
    </row>
    <row r="19" spans="1:12" x14ac:dyDescent="0.3">
      <c r="A19" s="63" t="s">
        <v>290</v>
      </c>
      <c r="B19" s="171" t="s">
        <v>258</v>
      </c>
      <c r="C19" s="156" t="s">
        <v>324</v>
      </c>
      <c r="D19" s="148"/>
      <c r="E19" s="2" t="s">
        <v>107</v>
      </c>
      <c r="F19" s="2"/>
      <c r="G19" s="2"/>
      <c r="H19" s="13">
        <v>12030</v>
      </c>
      <c r="I19" s="2"/>
      <c r="J19" s="2"/>
      <c r="K19" s="2"/>
      <c r="L19" s="2"/>
    </row>
    <row r="20" spans="1:12" ht="16.2" thickBot="1" x14ac:dyDescent="0.35">
      <c r="A20" s="66" t="s">
        <v>291</v>
      </c>
      <c r="B20" s="172">
        <f>'Sb rate sheet, HEM and Points'!B27+1%</f>
        <v>0.19</v>
      </c>
      <c r="C20" s="157" t="s">
        <v>346</v>
      </c>
      <c r="D20" s="148"/>
      <c r="E20" s="2"/>
      <c r="F20" s="2"/>
      <c r="G20" s="2"/>
      <c r="H20" s="2"/>
      <c r="I20" s="2"/>
      <c r="J20" s="2"/>
      <c r="K20" s="2"/>
      <c r="L20" s="2"/>
    </row>
    <row r="21" spans="1:12" ht="16.2" thickBot="1" x14ac:dyDescent="0.35">
      <c r="A21" s="68"/>
      <c r="B21" s="71"/>
      <c r="E21" s="3" t="s">
        <v>18</v>
      </c>
      <c r="F21" s="3"/>
      <c r="G21" s="3"/>
      <c r="H21" s="3" t="s">
        <v>17</v>
      </c>
      <c r="I21" s="3"/>
      <c r="J21" s="3"/>
      <c r="K21" s="5"/>
      <c r="L21" s="5"/>
    </row>
    <row r="22" spans="1:12" ht="28.8" thickBot="1" x14ac:dyDescent="0.35">
      <c r="A22" s="194" t="s">
        <v>304</v>
      </c>
      <c r="B22" s="195"/>
      <c r="E22" s="2" t="s">
        <v>145</v>
      </c>
      <c r="F22" s="2"/>
      <c r="G22" s="2"/>
      <c r="H22" s="13">
        <v>5000</v>
      </c>
      <c r="I22" s="2" t="s">
        <v>146</v>
      </c>
      <c r="J22" s="2"/>
      <c r="K22" s="2"/>
      <c r="L22" s="2"/>
    </row>
    <row r="23" spans="1:12" ht="94.2" thickBot="1" x14ac:dyDescent="0.35">
      <c r="A23" s="70" t="s">
        <v>292</v>
      </c>
      <c r="B23" s="183">
        <f>5000*2.25%</f>
        <v>112.5</v>
      </c>
      <c r="C23" s="157" t="s">
        <v>342</v>
      </c>
      <c r="D23" s="175"/>
      <c r="E23" s="92"/>
      <c r="F23" s="93"/>
      <c r="G23" s="93"/>
      <c r="H23" s="99"/>
      <c r="I23" s="93"/>
      <c r="J23" s="93"/>
      <c r="K23" s="93"/>
      <c r="L23" s="93"/>
    </row>
    <row r="24" spans="1:12" ht="23.4" thickBot="1" x14ac:dyDescent="0.45">
      <c r="A24" s="63" t="s">
        <v>293</v>
      </c>
      <c r="B24" s="65">
        <f>100</f>
        <v>100</v>
      </c>
      <c r="C24" s="158"/>
      <c r="E24" s="210" t="s">
        <v>309</v>
      </c>
      <c r="F24" s="211"/>
      <c r="G24" s="211"/>
      <c r="H24" s="211"/>
      <c r="I24" s="211"/>
      <c r="J24" s="211"/>
      <c r="K24" s="211"/>
      <c r="L24" s="212"/>
    </row>
    <row r="25" spans="1:12" x14ac:dyDescent="0.3">
      <c r="A25" s="63" t="s">
        <v>294</v>
      </c>
      <c r="B25" s="65">
        <f>SUM(B23:B24)</f>
        <v>212.5</v>
      </c>
      <c r="I25" s="2"/>
      <c r="J25" s="2"/>
      <c r="K25" s="2"/>
      <c r="L25" s="2"/>
    </row>
    <row r="26" spans="1:12" ht="31.2" x14ac:dyDescent="0.3">
      <c r="A26" s="63" t="s">
        <v>295</v>
      </c>
      <c r="B26" s="176" t="s">
        <v>352</v>
      </c>
      <c r="C26" s="157" t="s">
        <v>317</v>
      </c>
      <c r="D26" s="148"/>
      <c r="E26" s="96" t="s">
        <v>229</v>
      </c>
      <c r="F26" s="97" t="s">
        <v>230</v>
      </c>
      <c r="G26" s="98" t="s">
        <v>231</v>
      </c>
      <c r="I26" s="2"/>
      <c r="J26" s="2"/>
      <c r="K26" s="2"/>
      <c r="L26" s="2"/>
    </row>
    <row r="27" spans="1:12" x14ac:dyDescent="0.3">
      <c r="A27" s="63" t="s">
        <v>305</v>
      </c>
      <c r="B27" s="81">
        <f>H22+E5</f>
        <v>10000</v>
      </c>
      <c r="E27" s="19" t="s">
        <v>232</v>
      </c>
      <c r="F27" s="20" t="s">
        <v>183</v>
      </c>
      <c r="G27" s="21">
        <f>IFERROR(_xlfn.XLOOKUP(F27,'Sb rate sheet, HEM and Points'!$I:$I,'Sb rate sheet, HEM and Points'!$J:$J,,0),"")</f>
        <v>30</v>
      </c>
      <c r="I27" s="2"/>
      <c r="J27" s="2"/>
      <c r="K27" s="2"/>
      <c r="L27" s="2"/>
    </row>
    <row r="28" spans="1:12" x14ac:dyDescent="0.3">
      <c r="A28" s="63" t="s">
        <v>267</v>
      </c>
      <c r="B28" s="65">
        <f>IF(H9&lt;=18200,0, IF(H9&lt;=45000,(H9-18200)*0.16, IF(H9&lt;=135000,4288+(H9-45000)*0.3, IF(H9&lt;=190000,31288+(H9-135000)*0.37,51638+(H9-190000)*0.45))))</f>
        <v>5452</v>
      </c>
      <c r="E28" s="19" t="s">
        <v>233</v>
      </c>
      <c r="F28" s="20" t="s">
        <v>191</v>
      </c>
      <c r="G28" s="21">
        <f>IFERROR(_xlfn.XLOOKUP(F28,'Sb rate sheet, HEM and Points'!$I:$I,'Sb rate sheet, HEM and Points'!$J:$J,,0),"")</f>
        <v>10</v>
      </c>
      <c r="I28" s="2"/>
      <c r="J28" s="2"/>
      <c r="K28" s="2"/>
      <c r="L28" s="2"/>
    </row>
    <row r="29" spans="1:12" ht="62.4" x14ac:dyDescent="0.3">
      <c r="A29" s="63" t="s">
        <v>363</v>
      </c>
      <c r="B29" s="182" t="str">
        <f>F52</f>
        <v>Basic</v>
      </c>
      <c r="C29" s="177" t="s">
        <v>341</v>
      </c>
      <c r="D29" s="148"/>
      <c r="E29" s="19" t="s">
        <v>234</v>
      </c>
      <c r="F29" s="20" t="s">
        <v>97</v>
      </c>
      <c r="G29" s="21">
        <f>IFERROR(_xlfn.XLOOKUP(F29,'Sb rate sheet, HEM and Points'!$I:$I,'Sb rate sheet, HEM and Points'!$J:$J,,0),"")</f>
        <v>20</v>
      </c>
      <c r="I29" s="2"/>
      <c r="J29" s="2"/>
      <c r="K29" s="2"/>
      <c r="L29" s="2"/>
    </row>
    <row r="30" spans="1:12" x14ac:dyDescent="0.3">
      <c r="A30" s="72" t="s">
        <v>296</v>
      </c>
      <c r="B30" s="73">
        <f>B12-B28-F56</f>
        <v>11028</v>
      </c>
      <c r="E30" s="19" t="s">
        <v>235</v>
      </c>
      <c r="F30" s="20" t="s">
        <v>202</v>
      </c>
      <c r="G30" s="21">
        <f>IFERROR(_xlfn.XLOOKUP(F30,'Sb rate sheet, HEM and Points'!$I:$I,'Sb rate sheet, HEM and Points'!$J:$J,,0),"")</f>
        <v>-70</v>
      </c>
      <c r="I30" s="2"/>
      <c r="J30" s="2"/>
      <c r="K30" s="2"/>
      <c r="L30" s="2"/>
    </row>
    <row r="31" spans="1:12" ht="16.2" thickBot="1" x14ac:dyDescent="0.35">
      <c r="A31" s="74" t="s">
        <v>297</v>
      </c>
      <c r="B31" s="150">
        <f>F55</f>
        <v>60000</v>
      </c>
      <c r="C31" s="156" t="s">
        <v>344</v>
      </c>
      <c r="D31" s="148"/>
      <c r="E31" s="19" t="s">
        <v>236</v>
      </c>
      <c r="F31" s="20" t="s">
        <v>204</v>
      </c>
      <c r="G31" s="21">
        <f>_xlfn.XLOOKUP(F31,'Sb rate sheet, HEM and Points'!$I$51:$I$55,'Sb rate sheet, HEM and Points'!$J$51:$J$55,,0)</f>
        <v>80</v>
      </c>
      <c r="I31" s="2"/>
      <c r="J31" s="2"/>
      <c r="K31" s="2"/>
      <c r="L31" s="2"/>
    </row>
    <row r="32" spans="1:12" ht="16.2" thickBot="1" x14ac:dyDescent="0.35">
      <c r="B32" s="61"/>
      <c r="E32" s="19" t="s">
        <v>237</v>
      </c>
      <c r="F32" s="20" t="s">
        <v>210</v>
      </c>
      <c r="G32" s="21">
        <f>IFERROR(_xlfn.XLOOKUP(F32,'Sb rate sheet, HEM and Points'!$I:$I,'Sb rate sheet, HEM and Points'!$J:$J,,0),"")</f>
        <v>-20</v>
      </c>
      <c r="I32" s="2"/>
      <c r="J32" s="2"/>
      <c r="K32" s="2"/>
      <c r="L32" s="2"/>
    </row>
    <row r="33" spans="1:12" ht="28.8" thickBot="1" x14ac:dyDescent="0.55000000000000004">
      <c r="A33" s="196" t="s">
        <v>306</v>
      </c>
      <c r="B33" s="197"/>
      <c r="E33" s="19" t="s">
        <v>214</v>
      </c>
      <c r="F33" s="20" t="s">
        <v>219</v>
      </c>
      <c r="G33" s="21">
        <f>IFERROR(_xlfn.XLOOKUP(F33,'Sb rate sheet, HEM and Points'!$I:$I,'Sb rate sheet, HEM and Points'!$J:$J,,0),"")</f>
        <v>-400</v>
      </c>
      <c r="I33" s="2"/>
      <c r="J33" s="2"/>
      <c r="K33" s="2"/>
      <c r="L33" s="2"/>
    </row>
    <row r="34" spans="1:12" ht="69" x14ac:dyDescent="0.3">
      <c r="A34" s="82" t="s">
        <v>307</v>
      </c>
      <c r="B34" s="76" t="s">
        <v>365</v>
      </c>
      <c r="C34" s="166"/>
      <c r="E34" s="19" t="s">
        <v>238</v>
      </c>
      <c r="F34" s="20" t="s">
        <v>221</v>
      </c>
      <c r="G34" s="21">
        <f>IFERROR(_xlfn.XLOOKUP(F34,'Sb rate sheet, HEM and Points'!$I:$I,'Sb rate sheet, HEM and Points'!$J:$J,,0),"")</f>
        <v>100</v>
      </c>
      <c r="I34" s="2"/>
      <c r="J34" s="2"/>
      <c r="K34" s="2"/>
      <c r="L34" s="2"/>
    </row>
    <row r="35" spans="1:12" ht="123.6" thickBot="1" x14ac:dyDescent="0.35">
      <c r="A35" s="77" t="s">
        <v>279</v>
      </c>
      <c r="B35" s="178" t="s">
        <v>359</v>
      </c>
      <c r="C35" s="177"/>
      <c r="D35" s="148"/>
      <c r="E35" s="23" t="s">
        <v>239</v>
      </c>
      <c r="F35" s="24" t="s">
        <v>228</v>
      </c>
      <c r="G35" s="21">
        <f>IFERROR(_xlfn.XLOOKUP(F35,'Sb rate sheet, HEM and Points'!$I:$I,'Sb rate sheet, HEM and Points'!$J:$J,,0),"")</f>
        <v>0</v>
      </c>
      <c r="I35" s="2"/>
      <c r="J35" s="2"/>
      <c r="K35" s="2"/>
      <c r="L35" s="2"/>
    </row>
    <row r="36" spans="1:12" x14ac:dyDescent="0.3">
      <c r="E36" s="27" t="s">
        <v>240</v>
      </c>
      <c r="F36" s="25"/>
      <c r="G36" s="32">
        <f>SUM(G27:G35)</f>
        <v>-250</v>
      </c>
      <c r="I36" s="2"/>
      <c r="J36" s="2"/>
      <c r="K36" s="2"/>
      <c r="L36" s="2"/>
    </row>
    <row r="37" spans="1:12" ht="16.2" thickBot="1" x14ac:dyDescent="0.35">
      <c r="E37" s="28" t="s">
        <v>175</v>
      </c>
      <c r="F37" s="26"/>
      <c r="G37" s="33" t="str" cm="1">
        <f t="array" ref="G37">_xlfn.IFS(G36&gt;400, "Prime customer",G36&gt;=300, "Sub-prime customer",G36&lt;300, "Reject loan application")</f>
        <v>Reject loan application</v>
      </c>
      <c r="I37" s="2"/>
      <c r="J37" s="2"/>
      <c r="K37" s="2"/>
      <c r="L37" s="2"/>
    </row>
    <row r="38" spans="1:12" x14ac:dyDescent="0.3">
      <c r="E38" s="1"/>
      <c r="F38" s="1"/>
      <c r="G38" s="1"/>
      <c r="I38" s="2"/>
      <c r="J38" s="2"/>
      <c r="K38" s="2"/>
      <c r="L38" s="2"/>
    </row>
    <row r="39" spans="1:12" ht="16.2" thickBot="1" x14ac:dyDescent="0.35">
      <c r="E39" s="1"/>
      <c r="F39" s="1"/>
      <c r="G39" s="1"/>
      <c r="I39" s="2"/>
      <c r="J39" s="2"/>
      <c r="K39" s="2"/>
      <c r="L39" s="2"/>
    </row>
    <row r="40" spans="1:12" x14ac:dyDescent="0.3">
      <c r="E40" s="39" t="s">
        <v>241</v>
      </c>
      <c r="F40" s="40"/>
      <c r="G40" s="40" t="s">
        <v>271</v>
      </c>
      <c r="I40" s="2"/>
      <c r="J40" s="2"/>
      <c r="K40" s="2"/>
      <c r="L40" s="2"/>
    </row>
    <row r="41" spans="1:12" x14ac:dyDescent="0.3">
      <c r="E41" s="19" t="s">
        <v>214</v>
      </c>
      <c r="F41" s="52">
        <v>17</v>
      </c>
      <c r="G41" s="51" t="str">
        <f>IF(F41&gt;=18,"Yes","Reject")</f>
        <v>Reject</v>
      </c>
      <c r="I41" s="2"/>
      <c r="J41" s="2"/>
      <c r="K41" s="2"/>
      <c r="L41" s="2"/>
    </row>
    <row r="42" spans="1:12" x14ac:dyDescent="0.3">
      <c r="E42" s="19" t="s">
        <v>242</v>
      </c>
      <c r="F42" s="41">
        <f>5000*2.25%</f>
        <v>112.5</v>
      </c>
      <c r="G42" s="51"/>
      <c r="I42" s="2"/>
      <c r="J42" s="2"/>
      <c r="K42" s="2"/>
      <c r="L42" s="2"/>
    </row>
    <row r="43" spans="1:12" x14ac:dyDescent="0.3">
      <c r="E43" s="19" t="s">
        <v>261</v>
      </c>
      <c r="F43" s="34">
        <f>100</f>
        <v>100</v>
      </c>
      <c r="G43" s="41"/>
      <c r="I43" s="2"/>
      <c r="J43" s="2"/>
      <c r="K43" s="2"/>
      <c r="L43" s="2"/>
    </row>
    <row r="44" spans="1:12" ht="30.6" x14ac:dyDescent="0.3">
      <c r="E44" s="22" t="s">
        <v>262</v>
      </c>
      <c r="F44" s="34">
        <f>SUM(F42:F43)</f>
        <v>212.5</v>
      </c>
      <c r="G44" s="34"/>
      <c r="I44" s="2"/>
      <c r="J44" s="2"/>
      <c r="K44" s="2"/>
      <c r="L44" s="2"/>
    </row>
    <row r="45" spans="1:12" x14ac:dyDescent="0.3">
      <c r="E45" s="19" t="s">
        <v>263</v>
      </c>
      <c r="F45" s="35">
        <f>H9</f>
        <v>48880</v>
      </c>
      <c r="G45" s="34"/>
      <c r="I45" s="2"/>
      <c r="J45" s="2"/>
      <c r="K45" s="2"/>
      <c r="L45" s="2"/>
    </row>
    <row r="46" spans="1:12" x14ac:dyDescent="0.3">
      <c r="E46" s="19" t="s">
        <v>245</v>
      </c>
      <c r="F46" s="35">
        <f>IF(H9&lt;=18200,0, IF(H9&lt;=45000,(H9-18200)*0.16, IF(H9&lt;=135000,4288+(H9-45000)*0.3, IF(H9&lt;=190000,31288+(H9-135000)*0.37,51638+(H9-190000)*0.45))))</f>
        <v>5452</v>
      </c>
      <c r="G46" s="34"/>
      <c r="I46" s="2"/>
      <c r="J46" s="2"/>
      <c r="K46" s="2"/>
      <c r="L46" s="2"/>
    </row>
    <row r="47" spans="1:12" x14ac:dyDescent="0.3">
      <c r="E47" s="19" t="s">
        <v>272</v>
      </c>
      <c r="F47" s="42">
        <f>F44/((H9+H14)/12)</f>
        <v>5.2168576104746317E-2</v>
      </c>
      <c r="G47" s="51" t="str">
        <f>IF(F47&lt;35%,"Yes","No")</f>
        <v>Yes</v>
      </c>
      <c r="I47" s="2"/>
      <c r="J47" s="2"/>
      <c r="K47" s="2"/>
      <c r="L47" s="2"/>
    </row>
    <row r="48" spans="1:12" x14ac:dyDescent="0.3">
      <c r="E48" s="22" t="s">
        <v>274</v>
      </c>
      <c r="F48" s="35">
        <f>0.35*(F45/12)</f>
        <v>1425.6666666666667</v>
      </c>
      <c r="G48" s="35"/>
      <c r="I48" s="2"/>
      <c r="J48" s="2"/>
      <c r="K48" s="2"/>
      <c r="L48" s="2"/>
    </row>
    <row r="49" spans="5:12" x14ac:dyDescent="0.3">
      <c r="E49" s="19" t="s">
        <v>243</v>
      </c>
      <c r="F49" s="35">
        <f>H22+E5</f>
        <v>10000</v>
      </c>
      <c r="G49" s="35"/>
      <c r="I49" s="2"/>
      <c r="J49" s="2"/>
      <c r="K49" s="2"/>
      <c r="L49" s="2"/>
    </row>
    <row r="50" spans="5:12" x14ac:dyDescent="0.3">
      <c r="E50" s="19" t="s">
        <v>275</v>
      </c>
      <c r="F50" s="35">
        <f>F45-F46-F56</f>
        <v>11028</v>
      </c>
      <c r="G50" s="35" t="str">
        <f>IF(F52&gt;F49,"Yes","No")</f>
        <v>Yes</v>
      </c>
      <c r="I50" s="2"/>
      <c r="J50" s="2"/>
      <c r="K50" s="2"/>
      <c r="L50" s="2"/>
    </row>
    <row r="51" spans="5:12" x14ac:dyDescent="0.3">
      <c r="E51" s="1"/>
      <c r="F51" s="53"/>
      <c r="G51" s="1"/>
      <c r="I51" s="2"/>
      <c r="J51" s="2"/>
      <c r="K51" s="2"/>
      <c r="L51" s="2"/>
    </row>
    <row r="52" spans="5:12" ht="18" x14ac:dyDescent="0.35">
      <c r="E52" s="31" t="s">
        <v>255</v>
      </c>
      <c r="F52" s="165" t="s">
        <v>244</v>
      </c>
      <c r="G52" s="1"/>
      <c r="I52" s="2"/>
      <c r="J52" s="2"/>
      <c r="K52" s="2"/>
      <c r="L52" s="2"/>
    </row>
    <row r="53" spans="5:12" x14ac:dyDescent="0.3">
      <c r="E53" s="31" t="s">
        <v>254</v>
      </c>
      <c r="F53" s="49">
        <f>F45</f>
        <v>48880</v>
      </c>
      <c r="I53" s="2"/>
      <c r="J53" s="2"/>
      <c r="K53" s="2"/>
      <c r="L53" s="2"/>
    </row>
    <row r="54" spans="5:12" x14ac:dyDescent="0.3">
      <c r="I54" s="2"/>
      <c r="J54" s="2"/>
      <c r="K54" s="2"/>
      <c r="L54" s="2"/>
    </row>
    <row r="55" spans="5:12" x14ac:dyDescent="0.3">
      <c r="E55" s="31" t="s">
        <v>256</v>
      </c>
      <c r="F55" s="38">
        <f>IF(F52="Basic",_xlfn.XLOOKUP(F53,'Sb rate sheet, HEM and Points'!$A$47:$A$58,'Sb rate sheet, HEM and Points'!$C$47:$C$58,,-1),IF(F52="Moderate",_xlfn.XLOOKUP(F53,'Sb rate sheet, HEM and Points'!$A$47:$A$58,'Sb rate sheet, HEM and Points'!$E$47:$E$58,,-1),IF(F52="Lavish",_xlfn.XLOOKUP(F53,'Sb rate sheet, HEM and Points'!$A$47:$A$58,'Sb rate sheet, HEM and Points'!$G$47:$G$58,,-1),"")))</f>
        <v>60000</v>
      </c>
      <c r="H55" s="2"/>
      <c r="I55" s="2"/>
      <c r="J55" s="2"/>
      <c r="K55" s="2"/>
      <c r="L55" s="2"/>
    </row>
    <row r="56" spans="5:12" x14ac:dyDescent="0.3">
      <c r="E56" s="43" t="s">
        <v>264</v>
      </c>
      <c r="F56" s="38">
        <f>IF(F52="Basic",_xlfn.XLOOKUP(F53,'Sb rate sheet, HEM and Points'!$A$47:$A$58,'Sb rate sheet, HEM and Points'!$B$47:$B$58,,-1),IF(F52="Moderate",_xlfn.XLOOKUP(F53,'Sb rate sheet, HEM and Points'!$A$47:$A$58,'Sb rate sheet, HEM and Points'!$D$47:$D$58,,-1),IF(F52="Lavish",_xlfn.XLOOKUP(F53,'Sb rate sheet, HEM and Points'!$A$47:$A$58,'Sb rate sheet, HEM and Points'!$F$47:$F$58,,-1),"")))</f>
        <v>32400</v>
      </c>
      <c r="H56" s="2"/>
      <c r="I56" s="2"/>
      <c r="J56" s="2"/>
      <c r="K56" s="2"/>
      <c r="L56" s="2"/>
    </row>
    <row r="57" spans="5:12" x14ac:dyDescent="0.3">
      <c r="E57" s="2"/>
      <c r="F57" s="2"/>
      <c r="G57" s="2"/>
      <c r="H57" s="2"/>
      <c r="I57" s="2"/>
      <c r="J57" s="2"/>
      <c r="K57" s="2"/>
      <c r="L57" s="2"/>
    </row>
    <row r="58" spans="5:12" x14ac:dyDescent="0.3">
      <c r="E58" s="2"/>
      <c r="F58" s="2"/>
      <c r="G58" s="2"/>
      <c r="H58" s="2"/>
      <c r="I58" s="2"/>
      <c r="J58" s="2"/>
      <c r="K58" s="2"/>
      <c r="L58" s="2"/>
    </row>
    <row r="59" spans="5:12" x14ac:dyDescent="0.3">
      <c r="E59" s="2"/>
      <c r="F59" s="2"/>
      <c r="G59" s="2"/>
      <c r="H59" s="2"/>
      <c r="I59" s="2"/>
      <c r="J59" s="2"/>
      <c r="K59" s="2"/>
      <c r="L59" s="2"/>
    </row>
    <row r="60" spans="5:12" x14ac:dyDescent="0.3">
      <c r="E60" s="2"/>
      <c r="F60" s="2"/>
      <c r="G60" s="2"/>
      <c r="H60" s="2"/>
      <c r="I60" s="2"/>
      <c r="J60" s="2"/>
      <c r="K60" s="2"/>
      <c r="L60" s="2"/>
    </row>
    <row r="61" spans="5:12" x14ac:dyDescent="0.3">
      <c r="E61" s="2"/>
      <c r="F61" s="2"/>
      <c r="G61" s="2"/>
      <c r="H61" s="2"/>
      <c r="I61" s="2"/>
      <c r="J61" s="2"/>
      <c r="K61" s="2"/>
      <c r="L61" s="2"/>
    </row>
    <row r="62" spans="5:12" x14ac:dyDescent="0.3">
      <c r="E62" s="2"/>
      <c r="F62" s="2"/>
      <c r="G62" s="2"/>
      <c r="H62" s="2"/>
      <c r="I62" s="2"/>
      <c r="J62" s="2"/>
      <c r="K62" s="2"/>
      <c r="L62" s="2"/>
    </row>
    <row r="63" spans="5:12" x14ac:dyDescent="0.3">
      <c r="E63" s="2"/>
      <c r="F63" s="2"/>
      <c r="G63" s="2"/>
      <c r="H63" s="2"/>
      <c r="I63" s="2"/>
      <c r="J63" s="2"/>
      <c r="K63" s="2"/>
      <c r="L63" s="2"/>
    </row>
    <row r="64" spans="5:12" x14ac:dyDescent="0.3">
      <c r="E64" s="2"/>
      <c r="F64" s="2"/>
      <c r="G64" s="2"/>
      <c r="H64" s="2"/>
      <c r="I64" s="2"/>
      <c r="J64" s="2"/>
      <c r="K64" s="2"/>
      <c r="L64" s="2"/>
    </row>
    <row r="65" spans="5:12" x14ac:dyDescent="0.3">
      <c r="E65" s="2"/>
      <c r="F65" s="2"/>
      <c r="G65" s="2"/>
      <c r="H65" s="2"/>
      <c r="I65" s="2"/>
      <c r="J65" s="2"/>
      <c r="K65" s="2"/>
      <c r="L65" s="2"/>
    </row>
    <row r="66" spans="5:12" x14ac:dyDescent="0.3">
      <c r="E66" s="2"/>
      <c r="F66" s="2"/>
      <c r="G66" s="2"/>
      <c r="H66" s="2"/>
      <c r="I66" s="2"/>
      <c r="J66" s="2"/>
      <c r="K66" s="2"/>
      <c r="L66" s="2"/>
    </row>
    <row r="67" spans="5:12" x14ac:dyDescent="0.3">
      <c r="E67" s="2"/>
      <c r="F67" s="2"/>
      <c r="G67" s="2"/>
      <c r="H67" s="2"/>
      <c r="I67" s="2"/>
      <c r="J67" s="2"/>
      <c r="K67" s="2"/>
      <c r="L67" s="2"/>
    </row>
    <row r="68" spans="5:12" x14ac:dyDescent="0.3">
      <c r="E68" s="2"/>
      <c r="F68" s="2"/>
      <c r="G68" s="2"/>
      <c r="H68" s="2"/>
      <c r="I68" s="2"/>
      <c r="J68" s="2"/>
      <c r="K68" s="2"/>
      <c r="L68" s="2"/>
    </row>
    <row r="69" spans="5:12" x14ac:dyDescent="0.3">
      <c r="E69" s="2"/>
      <c r="F69" s="2"/>
      <c r="G69" s="2"/>
      <c r="H69" s="2"/>
      <c r="I69" s="2"/>
      <c r="J69" s="2"/>
      <c r="K69" s="2"/>
      <c r="L69" s="2"/>
    </row>
    <row r="70" spans="5:12" x14ac:dyDescent="0.3">
      <c r="E70" s="2"/>
      <c r="F70" s="2"/>
      <c r="G70" s="2"/>
      <c r="H70" s="2"/>
      <c r="I70" s="2"/>
      <c r="J70" s="2"/>
      <c r="K70" s="2"/>
      <c r="L70" s="2"/>
    </row>
    <row r="71" spans="5:12" x14ac:dyDescent="0.3">
      <c r="E71" s="2"/>
      <c r="F71" s="2"/>
      <c r="G71" s="2"/>
      <c r="H71" s="2"/>
      <c r="I71" s="2"/>
      <c r="J71" s="2"/>
      <c r="K71" s="2"/>
      <c r="L71" s="2"/>
    </row>
    <row r="72" spans="5:12" x14ac:dyDescent="0.3">
      <c r="E72" s="2"/>
      <c r="F72" s="2"/>
      <c r="G72" s="2"/>
      <c r="H72" s="2"/>
      <c r="I72" s="2"/>
      <c r="J72" s="2"/>
      <c r="K72" s="2"/>
      <c r="L72" s="2"/>
    </row>
    <row r="73" spans="5:12" x14ac:dyDescent="0.3">
      <c r="E73" s="2"/>
      <c r="F73" s="2"/>
      <c r="G73" s="2"/>
      <c r="H73" s="2"/>
      <c r="I73" s="2"/>
      <c r="J73" s="2"/>
      <c r="K73" s="2"/>
      <c r="L73" s="2"/>
    </row>
    <row r="74" spans="5:12" x14ac:dyDescent="0.3">
      <c r="E74" s="2"/>
      <c r="F74" s="2"/>
      <c r="G74" s="2"/>
      <c r="H74" s="2"/>
      <c r="I74" s="2"/>
      <c r="J74" s="2"/>
      <c r="K74" s="2"/>
      <c r="L74" s="2"/>
    </row>
    <row r="75" spans="5:12" x14ac:dyDescent="0.3">
      <c r="E75" s="2"/>
      <c r="F75" s="2"/>
      <c r="G75" s="2"/>
      <c r="H75" s="2"/>
      <c r="I75" s="2"/>
      <c r="J75" s="2"/>
      <c r="K75" s="2"/>
      <c r="L75" s="2"/>
    </row>
    <row r="76" spans="5:12" x14ac:dyDescent="0.3">
      <c r="E76" s="2"/>
      <c r="F76" s="2"/>
      <c r="G76" s="2"/>
      <c r="H76" s="2"/>
      <c r="I76" s="2"/>
      <c r="J76" s="2"/>
      <c r="K76" s="2"/>
      <c r="L76" s="2"/>
    </row>
    <row r="77" spans="5:12" x14ac:dyDescent="0.3">
      <c r="E77" s="2"/>
      <c r="F77" s="2"/>
      <c r="G77" s="2"/>
      <c r="H77" s="2"/>
      <c r="I77" s="2"/>
      <c r="J77" s="2"/>
      <c r="K77" s="2"/>
      <c r="L77" s="2"/>
    </row>
    <row r="78" spans="5:12" x14ac:dyDescent="0.3">
      <c r="E78" s="2"/>
      <c r="F78" s="2"/>
      <c r="G78" s="2"/>
      <c r="H78" s="2"/>
      <c r="I78" s="2"/>
      <c r="J78" s="2"/>
      <c r="K78" s="2"/>
      <c r="L78" s="2"/>
    </row>
    <row r="79" spans="5:12" x14ac:dyDescent="0.3">
      <c r="E79" s="2"/>
      <c r="F79" s="2"/>
      <c r="G79" s="2"/>
      <c r="H79" s="2"/>
      <c r="I79" s="2"/>
      <c r="J79" s="2"/>
      <c r="K79" s="2"/>
      <c r="L79" s="2"/>
    </row>
    <row r="80" spans="5:12" x14ac:dyDescent="0.3">
      <c r="E80" s="2"/>
      <c r="F80" s="2"/>
      <c r="G80" s="2"/>
      <c r="H80" s="2"/>
      <c r="I80" s="2"/>
      <c r="J80" s="2"/>
      <c r="K80" s="2"/>
      <c r="L80" s="2"/>
    </row>
    <row r="81" spans="5:12" x14ac:dyDescent="0.3">
      <c r="E81" s="2"/>
      <c r="F81" s="2"/>
      <c r="G81" s="2"/>
      <c r="H81" s="2"/>
      <c r="I81" s="2"/>
      <c r="J81" s="2"/>
      <c r="K81" s="2"/>
      <c r="L81" s="2"/>
    </row>
    <row r="82" spans="5:12" x14ac:dyDescent="0.3">
      <c r="E82" s="2"/>
      <c r="F82" s="2"/>
      <c r="G82" s="2"/>
      <c r="H82" s="2"/>
      <c r="I82" s="2"/>
      <c r="J82" s="2"/>
      <c r="K82" s="2"/>
      <c r="L82" s="2"/>
    </row>
    <row r="83" spans="5:12" x14ac:dyDescent="0.3">
      <c r="E83" s="2"/>
      <c r="F83" s="2"/>
      <c r="G83" s="2"/>
      <c r="H83" s="2"/>
      <c r="I83" s="2"/>
      <c r="J83" s="2"/>
      <c r="K83" s="2"/>
      <c r="L83" s="2"/>
    </row>
    <row r="84" spans="5:12" x14ac:dyDescent="0.3">
      <c r="E84" s="2"/>
      <c r="F84" s="2"/>
      <c r="G84" s="2"/>
      <c r="H84" s="2"/>
      <c r="I84" s="2"/>
      <c r="J84" s="2"/>
      <c r="K84" s="2"/>
      <c r="L84" s="2"/>
    </row>
    <row r="85" spans="5:12" x14ac:dyDescent="0.3">
      <c r="E85" s="2"/>
      <c r="F85" s="2"/>
      <c r="G85" s="2"/>
      <c r="H85" s="2"/>
      <c r="I85" s="2"/>
      <c r="J85" s="2"/>
      <c r="K85" s="2"/>
      <c r="L85" s="2"/>
    </row>
    <row r="86" spans="5:12" x14ac:dyDescent="0.3">
      <c r="E86" s="2"/>
      <c r="F86" s="2"/>
      <c r="G86" s="2"/>
      <c r="H86" s="2"/>
      <c r="I86" s="2"/>
      <c r="J86" s="2"/>
      <c r="K86" s="2"/>
      <c r="L86" s="2"/>
    </row>
    <row r="87" spans="5:12" x14ac:dyDescent="0.3">
      <c r="E87" s="2"/>
      <c r="F87" s="2"/>
      <c r="G87" s="2"/>
      <c r="H87" s="2"/>
      <c r="I87" s="2"/>
      <c r="J87" s="2"/>
      <c r="K87" s="2"/>
      <c r="L87" s="2"/>
    </row>
    <row r="88" spans="5:12" x14ac:dyDescent="0.3">
      <c r="E88" s="2"/>
      <c r="F88" s="2"/>
      <c r="G88" s="2"/>
      <c r="H88" s="2"/>
      <c r="I88" s="2"/>
      <c r="J88" s="2"/>
      <c r="K88" s="2"/>
      <c r="L88" s="2"/>
    </row>
    <row r="89" spans="5:12" x14ac:dyDescent="0.3">
      <c r="E89" s="2"/>
      <c r="F89" s="2"/>
      <c r="G89" s="2"/>
      <c r="H89" s="2"/>
      <c r="I89" s="2"/>
      <c r="J89" s="2"/>
      <c r="K89" s="2"/>
      <c r="L89" s="2"/>
    </row>
    <row r="90" spans="5:12" x14ac:dyDescent="0.3">
      <c r="E90" s="2"/>
      <c r="F90" s="2"/>
      <c r="G90" s="2"/>
      <c r="H90" s="2"/>
      <c r="I90" s="2"/>
      <c r="J90" s="2"/>
      <c r="K90" s="2"/>
      <c r="L90" s="2"/>
    </row>
    <row r="91" spans="5:12" x14ac:dyDescent="0.3">
      <c r="E91" s="2"/>
      <c r="F91" s="2"/>
      <c r="G91" s="2"/>
      <c r="H91" s="2"/>
      <c r="I91" s="2"/>
      <c r="J91" s="2"/>
      <c r="K91" s="2"/>
      <c r="L91" s="2"/>
    </row>
    <row r="92" spans="5:12" x14ac:dyDescent="0.3">
      <c r="E92" s="2"/>
      <c r="F92" s="2"/>
      <c r="G92" s="2"/>
      <c r="H92" s="2"/>
      <c r="I92" s="2"/>
      <c r="J92" s="2"/>
      <c r="K92" s="2"/>
      <c r="L92" s="2"/>
    </row>
    <row r="93" spans="5:12" x14ac:dyDescent="0.3">
      <c r="E93" s="2"/>
      <c r="F93" s="2"/>
      <c r="G93" s="2"/>
      <c r="H93" s="2"/>
      <c r="I93" s="2"/>
      <c r="J93" s="2"/>
      <c r="K93" s="2"/>
      <c r="L93" s="2"/>
    </row>
    <row r="94" spans="5:12" x14ac:dyDescent="0.3">
      <c r="E94" s="2"/>
      <c r="F94" s="2"/>
      <c r="G94" s="2"/>
      <c r="H94" s="2"/>
      <c r="I94" s="2"/>
      <c r="J94" s="2"/>
      <c r="K94" s="2"/>
      <c r="L94" s="2"/>
    </row>
    <row r="95" spans="5:12" x14ac:dyDescent="0.3">
      <c r="E95" s="2"/>
      <c r="F95" s="2"/>
      <c r="G95" s="2"/>
      <c r="H95" s="2"/>
      <c r="I95" s="2"/>
      <c r="J95" s="2"/>
      <c r="K95" s="2"/>
      <c r="L95" s="2"/>
    </row>
    <row r="96" spans="5:12" x14ac:dyDescent="0.3">
      <c r="E96" s="2"/>
      <c r="F96" s="2"/>
      <c r="G96" s="2"/>
      <c r="H96" s="2"/>
      <c r="I96" s="2"/>
      <c r="J96" s="2"/>
      <c r="K96" s="2"/>
      <c r="L96" s="2"/>
    </row>
    <row r="97" spans="5:12" x14ac:dyDescent="0.3">
      <c r="E97" s="2"/>
      <c r="F97" s="2"/>
      <c r="G97" s="2"/>
      <c r="H97" s="2"/>
      <c r="I97" s="2"/>
      <c r="J97" s="2"/>
      <c r="K97" s="2"/>
      <c r="L97" s="2"/>
    </row>
    <row r="98" spans="5:12" x14ac:dyDescent="0.3">
      <c r="E98" s="2"/>
      <c r="F98" s="2"/>
      <c r="G98" s="2"/>
      <c r="H98" s="2"/>
      <c r="I98" s="2"/>
      <c r="J98" s="2"/>
      <c r="K98" s="2"/>
      <c r="L98" s="2"/>
    </row>
    <row r="99" spans="5:12" x14ac:dyDescent="0.3">
      <c r="E99" s="2"/>
      <c r="F99" s="2"/>
      <c r="G99" s="2"/>
      <c r="H99" s="2"/>
      <c r="I99" s="2"/>
      <c r="J99" s="2"/>
      <c r="K99" s="2"/>
      <c r="L99" s="2"/>
    </row>
    <row r="100" spans="5:12" x14ac:dyDescent="0.3">
      <c r="E100" s="2"/>
      <c r="F100" s="2"/>
      <c r="G100" s="2"/>
      <c r="H100" s="2"/>
      <c r="I100" s="2"/>
      <c r="J100" s="2"/>
      <c r="K100" s="2"/>
      <c r="L100" s="2"/>
    </row>
    <row r="101" spans="5:12" x14ac:dyDescent="0.3">
      <c r="E101" s="2"/>
      <c r="F101" s="2"/>
      <c r="G101" s="2"/>
      <c r="H101" s="2"/>
      <c r="I101" s="2"/>
      <c r="J101" s="2"/>
      <c r="K101" s="2"/>
      <c r="L101" s="2"/>
    </row>
    <row r="102" spans="5:12" x14ac:dyDescent="0.3">
      <c r="E102" s="2"/>
      <c r="F102" s="2"/>
      <c r="G102" s="2"/>
      <c r="H102" s="2"/>
      <c r="I102" s="2"/>
      <c r="J102" s="2"/>
      <c r="K102" s="2"/>
      <c r="L102" s="2"/>
    </row>
    <row r="103" spans="5:12" x14ac:dyDescent="0.3">
      <c r="E103" s="2"/>
      <c r="F103" s="2"/>
      <c r="G103" s="2"/>
      <c r="H103" s="2"/>
      <c r="I103" s="2"/>
      <c r="J103" s="2"/>
      <c r="K103" s="2"/>
      <c r="L103" s="2"/>
    </row>
    <row r="104" spans="5:12" x14ac:dyDescent="0.3">
      <c r="E104" s="2"/>
      <c r="F104" s="2"/>
      <c r="G104" s="2"/>
      <c r="H104" s="2"/>
      <c r="I104" s="2"/>
      <c r="J104" s="2"/>
      <c r="K104" s="2"/>
      <c r="L104" s="2"/>
    </row>
    <row r="105" spans="5:12" x14ac:dyDescent="0.3">
      <c r="E105" s="2"/>
      <c r="F105" s="2"/>
      <c r="G105" s="2"/>
      <c r="H105" s="2"/>
      <c r="I105" s="2"/>
      <c r="J105" s="2"/>
      <c r="K105" s="2"/>
      <c r="L105" s="2"/>
    </row>
    <row r="106" spans="5:12" x14ac:dyDescent="0.3">
      <c r="E106" s="2"/>
      <c r="F106" s="2"/>
      <c r="G106" s="2"/>
      <c r="H106" s="2"/>
      <c r="I106" s="2"/>
      <c r="J106" s="2"/>
      <c r="K106" s="2"/>
      <c r="L106" s="2"/>
    </row>
    <row r="107" spans="5:12" x14ac:dyDescent="0.3">
      <c r="E107" s="2"/>
      <c r="F107" s="2"/>
      <c r="G107" s="2"/>
      <c r="H107" s="2"/>
      <c r="I107" s="2"/>
      <c r="J107" s="2"/>
      <c r="K107" s="2"/>
      <c r="L107" s="2"/>
    </row>
    <row r="108" spans="5:12" x14ac:dyDescent="0.3">
      <c r="E108" s="2"/>
      <c r="F108" s="2"/>
      <c r="G108" s="2"/>
      <c r="H108" s="2"/>
      <c r="I108" s="2"/>
      <c r="J108" s="2"/>
      <c r="K108" s="2"/>
      <c r="L108" s="2"/>
    </row>
    <row r="109" spans="5:12" x14ac:dyDescent="0.3">
      <c r="E109" s="2"/>
      <c r="F109" s="2"/>
      <c r="G109" s="2"/>
      <c r="H109" s="2"/>
      <c r="I109" s="2"/>
      <c r="J109" s="2"/>
      <c r="K109" s="2"/>
      <c r="L109" s="2"/>
    </row>
    <row r="110" spans="5:12" x14ac:dyDescent="0.3">
      <c r="E110" s="2"/>
      <c r="F110" s="2"/>
      <c r="G110" s="2"/>
      <c r="H110" s="2"/>
      <c r="I110" s="2"/>
      <c r="J110" s="2"/>
      <c r="K110" s="2"/>
      <c r="L110" s="2"/>
    </row>
    <row r="111" spans="5:12" x14ac:dyDescent="0.3">
      <c r="E111" s="2"/>
      <c r="F111" s="2"/>
      <c r="G111" s="2"/>
      <c r="H111" s="2"/>
      <c r="I111" s="2"/>
      <c r="J111" s="2"/>
      <c r="K111" s="2"/>
      <c r="L111" s="2"/>
    </row>
    <row r="112" spans="5:12" x14ac:dyDescent="0.3">
      <c r="E112" s="2"/>
      <c r="F112" s="2"/>
      <c r="G112" s="2"/>
      <c r="H112" s="2"/>
      <c r="I112" s="2"/>
      <c r="J112" s="2"/>
      <c r="K112" s="2"/>
      <c r="L112" s="2"/>
    </row>
    <row r="113" spans="5:12" x14ac:dyDescent="0.3">
      <c r="E113" s="2"/>
      <c r="F113" s="2"/>
      <c r="G113" s="2"/>
      <c r="H113" s="2"/>
      <c r="I113" s="2"/>
      <c r="J113" s="2"/>
      <c r="K113" s="2"/>
      <c r="L113" s="2"/>
    </row>
    <row r="114" spans="5:12" x14ac:dyDescent="0.3">
      <c r="E114" s="2"/>
      <c r="F114" s="2"/>
      <c r="G114" s="2"/>
      <c r="H114" s="2"/>
      <c r="I114" s="2"/>
      <c r="J114" s="2"/>
      <c r="K114" s="2"/>
      <c r="L114" s="2"/>
    </row>
    <row r="115" spans="5:12" x14ac:dyDescent="0.3">
      <c r="E115" s="2"/>
      <c r="F115" s="2"/>
      <c r="G115" s="2"/>
      <c r="H115" s="2"/>
      <c r="I115" s="2"/>
      <c r="J115" s="2"/>
      <c r="K115" s="2"/>
      <c r="L115" s="2"/>
    </row>
    <row r="116" spans="5:12" x14ac:dyDescent="0.3">
      <c r="E116" s="2"/>
      <c r="F116" s="2"/>
      <c r="G116" s="2"/>
      <c r="H116" s="2"/>
      <c r="I116" s="2"/>
      <c r="J116" s="2"/>
      <c r="K116" s="2"/>
      <c r="L116" s="2"/>
    </row>
    <row r="117" spans="5:12" x14ac:dyDescent="0.3">
      <c r="E117" s="2"/>
      <c r="F117" s="2"/>
      <c r="G117" s="2"/>
      <c r="H117" s="2"/>
      <c r="I117" s="2"/>
      <c r="J117" s="2"/>
      <c r="K117" s="2"/>
      <c r="L117" s="2"/>
    </row>
    <row r="118" spans="5:12" x14ac:dyDescent="0.3">
      <c r="E118" s="2"/>
      <c r="F118" s="2"/>
      <c r="G118" s="2"/>
      <c r="H118" s="2"/>
      <c r="I118" s="2"/>
      <c r="J118" s="2"/>
      <c r="K118" s="2"/>
      <c r="L118" s="2"/>
    </row>
    <row r="119" spans="5:12" x14ac:dyDescent="0.3">
      <c r="E119" s="2"/>
      <c r="F119" s="2"/>
      <c r="G119" s="2"/>
      <c r="H119" s="2"/>
      <c r="I119" s="2"/>
      <c r="J119" s="2"/>
      <c r="K119" s="2"/>
      <c r="L119" s="2"/>
    </row>
    <row r="120" spans="5:12" x14ac:dyDescent="0.3">
      <c r="E120" s="2"/>
      <c r="F120" s="2"/>
      <c r="G120" s="2"/>
      <c r="H120" s="2"/>
      <c r="I120" s="2"/>
      <c r="J120" s="2"/>
      <c r="K120" s="2"/>
      <c r="L120" s="2"/>
    </row>
    <row r="121" spans="5:12" x14ac:dyDescent="0.3">
      <c r="E121" s="2"/>
      <c r="F121" s="2"/>
      <c r="G121" s="2"/>
      <c r="H121" s="2"/>
      <c r="I121" s="2"/>
      <c r="J121" s="2"/>
      <c r="K121" s="2"/>
      <c r="L121" s="2"/>
    </row>
    <row r="122" spans="5:12" x14ac:dyDescent="0.3">
      <c r="E122" s="2"/>
      <c r="F122" s="2"/>
      <c r="G122" s="2"/>
      <c r="H122" s="2"/>
      <c r="I122" s="2"/>
      <c r="J122" s="2"/>
      <c r="K122" s="2"/>
      <c r="L122" s="2"/>
    </row>
    <row r="123" spans="5:12" x14ac:dyDescent="0.3">
      <c r="E123" s="2"/>
      <c r="F123" s="2"/>
      <c r="G123" s="2"/>
      <c r="H123" s="2"/>
      <c r="I123" s="2"/>
      <c r="J123" s="2"/>
      <c r="K123" s="2"/>
      <c r="L123" s="2"/>
    </row>
    <row r="124" spans="5:12" x14ac:dyDescent="0.3">
      <c r="E124" s="2"/>
      <c r="F124" s="2"/>
      <c r="G124" s="2"/>
      <c r="H124" s="2"/>
      <c r="I124" s="2"/>
      <c r="J124" s="2"/>
      <c r="K124" s="2"/>
      <c r="L124" s="2"/>
    </row>
    <row r="125" spans="5:12" x14ac:dyDescent="0.3">
      <c r="E125" s="2"/>
      <c r="F125" s="2"/>
      <c r="G125" s="2"/>
      <c r="H125" s="2"/>
      <c r="I125" s="2"/>
      <c r="J125" s="2"/>
      <c r="K125" s="2"/>
      <c r="L125" s="2"/>
    </row>
    <row r="126" spans="5:12" x14ac:dyDescent="0.3">
      <c r="E126" s="2"/>
      <c r="F126" s="2"/>
      <c r="G126" s="2"/>
      <c r="H126" s="2"/>
      <c r="I126" s="2"/>
      <c r="J126" s="2"/>
      <c r="K126" s="2"/>
      <c r="L126" s="2"/>
    </row>
    <row r="127" spans="5:12" x14ac:dyDescent="0.3">
      <c r="E127" s="2"/>
      <c r="F127" s="2"/>
      <c r="G127" s="2"/>
      <c r="H127" s="2"/>
      <c r="I127" s="2"/>
      <c r="J127" s="2"/>
      <c r="K127" s="2"/>
      <c r="L127" s="2"/>
    </row>
    <row r="128" spans="5:12" x14ac:dyDescent="0.3">
      <c r="E128" s="2"/>
      <c r="F128" s="2"/>
      <c r="G128" s="2"/>
      <c r="H128" s="2"/>
      <c r="I128" s="2"/>
      <c r="J128" s="2"/>
      <c r="K128" s="2"/>
      <c r="L128" s="2"/>
    </row>
    <row r="129" spans="5:12" x14ac:dyDescent="0.3">
      <c r="E129" s="2"/>
      <c r="F129" s="2"/>
      <c r="G129" s="2"/>
      <c r="H129" s="2"/>
      <c r="I129" s="2"/>
      <c r="J129" s="2"/>
      <c r="K129" s="2"/>
      <c r="L129" s="2"/>
    </row>
    <row r="130" spans="5:12" x14ac:dyDescent="0.3">
      <c r="E130" s="2"/>
      <c r="F130" s="2"/>
      <c r="G130" s="2"/>
      <c r="H130" s="2"/>
      <c r="I130" s="2"/>
      <c r="J130" s="2"/>
      <c r="K130" s="2"/>
      <c r="L130" s="2"/>
    </row>
    <row r="131" spans="5:12" x14ac:dyDescent="0.3">
      <c r="E131" s="2"/>
      <c r="F131" s="2"/>
      <c r="G131" s="2"/>
      <c r="H131" s="2"/>
      <c r="I131" s="2"/>
      <c r="J131" s="2"/>
      <c r="K131" s="2"/>
      <c r="L131" s="2"/>
    </row>
    <row r="132" spans="5:12" x14ac:dyDescent="0.3">
      <c r="E132" s="2"/>
      <c r="F132" s="2"/>
      <c r="G132" s="2"/>
      <c r="H132" s="2"/>
      <c r="I132" s="2"/>
      <c r="J132" s="2"/>
      <c r="K132" s="2"/>
      <c r="L132" s="2"/>
    </row>
    <row r="133" spans="5:12" x14ac:dyDescent="0.3">
      <c r="E133" s="2"/>
      <c r="F133" s="2"/>
      <c r="G133" s="2"/>
      <c r="H133" s="2"/>
      <c r="I133" s="2"/>
      <c r="J133" s="2"/>
      <c r="K133" s="2"/>
      <c r="L133" s="2"/>
    </row>
    <row r="134" spans="5:12" x14ac:dyDescent="0.3">
      <c r="E134" s="2"/>
      <c r="F134" s="2"/>
      <c r="G134" s="2"/>
      <c r="H134" s="2"/>
      <c r="I134" s="2"/>
      <c r="J134" s="2"/>
      <c r="K134" s="2"/>
      <c r="L134" s="2"/>
    </row>
    <row r="135" spans="5:12" x14ac:dyDescent="0.3">
      <c r="E135" s="2"/>
      <c r="F135" s="2"/>
      <c r="G135" s="2"/>
      <c r="H135" s="2"/>
      <c r="I135" s="2"/>
      <c r="J135" s="2"/>
      <c r="K135" s="2"/>
      <c r="L135" s="2"/>
    </row>
    <row r="136" spans="5:12" x14ac:dyDescent="0.3">
      <c r="E136" s="2"/>
      <c r="F136" s="2"/>
      <c r="G136" s="2"/>
      <c r="H136" s="2"/>
      <c r="I136" s="2"/>
      <c r="J136" s="2"/>
      <c r="K136" s="2"/>
      <c r="L136" s="2"/>
    </row>
    <row r="137" spans="5:12" x14ac:dyDescent="0.3">
      <c r="E137" s="2"/>
      <c r="F137" s="2"/>
      <c r="G137" s="2"/>
      <c r="H137" s="2"/>
      <c r="I137" s="2"/>
      <c r="J137" s="2"/>
      <c r="K137" s="2"/>
      <c r="L137" s="2"/>
    </row>
    <row r="138" spans="5:12" x14ac:dyDescent="0.3">
      <c r="E138" s="2"/>
      <c r="F138" s="2"/>
      <c r="G138" s="2"/>
      <c r="H138" s="2"/>
      <c r="I138" s="2"/>
      <c r="J138" s="2"/>
      <c r="K138" s="2"/>
      <c r="L138" s="2"/>
    </row>
    <row r="139" spans="5:12" x14ac:dyDescent="0.3">
      <c r="E139" s="2"/>
      <c r="F139" s="2"/>
      <c r="G139" s="2"/>
      <c r="H139" s="2"/>
      <c r="I139" s="2"/>
      <c r="J139" s="2"/>
      <c r="K139" s="2"/>
      <c r="L139" s="2"/>
    </row>
    <row r="140" spans="5:12" x14ac:dyDescent="0.3">
      <c r="E140" s="2"/>
      <c r="F140" s="2"/>
      <c r="G140" s="2"/>
      <c r="H140" s="2"/>
      <c r="I140" s="2"/>
      <c r="J140" s="2"/>
      <c r="K140" s="2"/>
      <c r="L140" s="2"/>
    </row>
    <row r="141" spans="5:12" x14ac:dyDescent="0.3">
      <c r="E141" s="2"/>
      <c r="F141" s="2"/>
      <c r="G141" s="2"/>
      <c r="H141" s="2"/>
      <c r="I141" s="2"/>
      <c r="J141" s="2"/>
      <c r="K141" s="2"/>
      <c r="L141" s="2"/>
    </row>
    <row r="142" spans="5:12" x14ac:dyDescent="0.3">
      <c r="E142" s="2"/>
      <c r="F142" s="2"/>
      <c r="G142" s="2"/>
      <c r="H142" s="2"/>
      <c r="I142" s="2"/>
      <c r="J142" s="2"/>
      <c r="K142" s="2"/>
      <c r="L142" s="2"/>
    </row>
    <row r="143" spans="5:12" x14ac:dyDescent="0.3">
      <c r="E143" s="2"/>
      <c r="F143" s="2"/>
      <c r="G143" s="2"/>
      <c r="H143" s="2"/>
      <c r="I143" s="2"/>
      <c r="J143" s="2"/>
      <c r="K143" s="2"/>
      <c r="L143" s="2"/>
    </row>
    <row r="144" spans="5:12" x14ac:dyDescent="0.3">
      <c r="E144" s="2"/>
      <c r="F144" s="2"/>
      <c r="G144" s="2"/>
      <c r="H144" s="2"/>
      <c r="I144" s="2"/>
      <c r="J144" s="2"/>
      <c r="K144" s="2"/>
      <c r="L144" s="2"/>
    </row>
    <row r="145" spans="5:12" x14ac:dyDescent="0.3">
      <c r="E145" s="2"/>
      <c r="F145" s="2"/>
      <c r="G145" s="2"/>
      <c r="H145" s="2"/>
      <c r="I145" s="2"/>
      <c r="J145" s="2"/>
      <c r="K145" s="2"/>
      <c r="L145" s="2"/>
    </row>
    <row r="146" spans="5:12" x14ac:dyDescent="0.3">
      <c r="E146" s="2"/>
      <c r="F146" s="2"/>
      <c r="G146" s="2"/>
      <c r="H146" s="2"/>
      <c r="I146" s="2"/>
      <c r="J146" s="2"/>
      <c r="K146" s="2"/>
      <c r="L146" s="2"/>
    </row>
    <row r="147" spans="5:12" x14ac:dyDescent="0.3">
      <c r="E147" s="2"/>
      <c r="F147" s="2"/>
      <c r="G147" s="2"/>
      <c r="H147" s="2"/>
      <c r="I147" s="2"/>
      <c r="J147" s="2"/>
      <c r="K147" s="2"/>
      <c r="L147" s="2"/>
    </row>
    <row r="148" spans="5:12" x14ac:dyDescent="0.3">
      <c r="E148" s="2"/>
      <c r="F148" s="2"/>
      <c r="G148" s="2"/>
      <c r="H148" s="2"/>
      <c r="I148" s="2"/>
      <c r="J148" s="2"/>
      <c r="K148" s="2"/>
      <c r="L148" s="2"/>
    </row>
    <row r="149" spans="5:12" x14ac:dyDescent="0.3">
      <c r="E149" s="2"/>
      <c r="F149" s="2"/>
      <c r="G149" s="2"/>
      <c r="H149" s="2"/>
      <c r="I149" s="2"/>
      <c r="J149" s="2"/>
      <c r="K149" s="2"/>
      <c r="L149" s="2"/>
    </row>
    <row r="150" spans="5:12" x14ac:dyDescent="0.3">
      <c r="E150" s="2"/>
      <c r="F150" s="2"/>
      <c r="G150" s="2"/>
      <c r="H150" s="2"/>
      <c r="I150" s="2"/>
      <c r="J150" s="2"/>
      <c r="K150" s="2"/>
      <c r="L150" s="2"/>
    </row>
    <row r="151" spans="5:12" x14ac:dyDescent="0.3">
      <c r="E151" s="2"/>
      <c r="F151" s="2"/>
      <c r="G151" s="2"/>
      <c r="H151" s="2"/>
      <c r="I151" s="2"/>
      <c r="J151" s="2"/>
      <c r="K151" s="2"/>
      <c r="L151" s="2"/>
    </row>
    <row r="152" spans="5:12" x14ac:dyDescent="0.3">
      <c r="E152" s="2"/>
      <c r="F152" s="2"/>
      <c r="G152" s="2"/>
      <c r="H152" s="2"/>
      <c r="I152" s="2"/>
      <c r="J152" s="2"/>
      <c r="K152" s="2"/>
      <c r="L152" s="2"/>
    </row>
    <row r="153" spans="5:12" x14ac:dyDescent="0.3">
      <c r="E153" s="2"/>
      <c r="F153" s="2"/>
      <c r="G153" s="2"/>
      <c r="H153" s="2"/>
      <c r="I153" s="2"/>
      <c r="J153" s="2"/>
      <c r="K153" s="2"/>
      <c r="L153" s="2"/>
    </row>
    <row r="154" spans="5:12" x14ac:dyDescent="0.3">
      <c r="E154" s="2"/>
      <c r="F154" s="2"/>
      <c r="G154" s="2"/>
      <c r="H154" s="2"/>
      <c r="I154" s="2"/>
      <c r="J154" s="2"/>
      <c r="K154" s="2"/>
      <c r="L154" s="2"/>
    </row>
    <row r="155" spans="5:12" x14ac:dyDescent="0.3">
      <c r="E155" s="2"/>
      <c r="F155" s="2"/>
      <c r="G155" s="2"/>
      <c r="H155" s="2"/>
      <c r="I155" s="2"/>
      <c r="J155" s="2"/>
      <c r="K155" s="2"/>
      <c r="L155" s="2"/>
    </row>
    <row r="156" spans="5:12" x14ac:dyDescent="0.3">
      <c r="E156" s="2"/>
      <c r="F156" s="2"/>
      <c r="G156" s="2"/>
      <c r="H156" s="2"/>
      <c r="I156" s="2"/>
      <c r="J156" s="2"/>
      <c r="K156" s="2"/>
      <c r="L156" s="2"/>
    </row>
    <row r="157" spans="5:12" x14ac:dyDescent="0.3">
      <c r="E157" s="2"/>
      <c r="F157" s="2"/>
      <c r="G157" s="2"/>
      <c r="H157" s="2"/>
      <c r="I157" s="2"/>
      <c r="J157" s="2"/>
      <c r="K157" s="2"/>
      <c r="L157" s="2"/>
    </row>
    <row r="158" spans="5:12" x14ac:dyDescent="0.3">
      <c r="E158" s="2"/>
      <c r="F158" s="2"/>
      <c r="G158" s="2"/>
      <c r="H158" s="2"/>
      <c r="I158" s="2"/>
      <c r="J158" s="2"/>
      <c r="K158" s="2"/>
      <c r="L158" s="2"/>
    </row>
    <row r="159" spans="5:12" x14ac:dyDescent="0.3">
      <c r="E159" s="2"/>
      <c r="F159" s="2"/>
      <c r="G159" s="2"/>
      <c r="H159" s="2"/>
      <c r="I159" s="2"/>
      <c r="J159" s="2"/>
      <c r="K159" s="2"/>
      <c r="L159" s="2"/>
    </row>
    <row r="160" spans="5:12" x14ac:dyDescent="0.3">
      <c r="E160" s="2"/>
      <c r="F160" s="2"/>
      <c r="G160" s="2"/>
      <c r="H160" s="2"/>
      <c r="I160" s="2"/>
      <c r="J160" s="2"/>
      <c r="K160" s="2"/>
      <c r="L160" s="2"/>
    </row>
    <row r="161" spans="5:12" x14ac:dyDescent="0.3">
      <c r="E161" s="2"/>
      <c r="F161" s="2"/>
      <c r="G161" s="2"/>
      <c r="H161" s="2"/>
      <c r="I161" s="2"/>
      <c r="J161" s="2"/>
      <c r="K161" s="2"/>
      <c r="L161" s="2"/>
    </row>
    <row r="162" spans="5:12" x14ac:dyDescent="0.3">
      <c r="E162" s="2"/>
      <c r="F162" s="2"/>
      <c r="G162" s="2"/>
      <c r="H162" s="2"/>
      <c r="I162" s="2"/>
      <c r="J162" s="2"/>
      <c r="K162" s="2"/>
      <c r="L162" s="2"/>
    </row>
    <row r="163" spans="5:12" x14ac:dyDescent="0.3">
      <c r="E163" s="2"/>
      <c r="F163" s="2"/>
      <c r="G163" s="2"/>
      <c r="H163" s="2"/>
      <c r="I163" s="2"/>
      <c r="J163" s="2"/>
      <c r="K163" s="2"/>
      <c r="L163" s="2"/>
    </row>
    <row r="164" spans="5:12" x14ac:dyDescent="0.3">
      <c r="E164" s="2"/>
      <c r="F164" s="2"/>
      <c r="G164" s="2"/>
      <c r="H164" s="2"/>
      <c r="I164" s="2"/>
      <c r="J164" s="2"/>
      <c r="K164" s="2"/>
      <c r="L164" s="2"/>
    </row>
    <row r="165" spans="5:12" x14ac:dyDescent="0.3">
      <c r="E165" s="2"/>
      <c r="F165" s="2"/>
      <c r="G165" s="2"/>
      <c r="H165" s="2"/>
      <c r="I165" s="2"/>
      <c r="J165" s="2"/>
      <c r="K165" s="2"/>
      <c r="L165" s="2"/>
    </row>
    <row r="166" spans="5:12" x14ac:dyDescent="0.3">
      <c r="E166" s="2"/>
      <c r="F166" s="2"/>
      <c r="G166" s="2"/>
      <c r="H166" s="2"/>
      <c r="I166" s="2"/>
      <c r="J166" s="2"/>
      <c r="K166" s="2"/>
      <c r="L166" s="2"/>
    </row>
    <row r="167" spans="5:12" x14ac:dyDescent="0.3">
      <c r="E167" s="2"/>
      <c r="F167" s="2"/>
      <c r="G167" s="2"/>
      <c r="H167" s="2"/>
      <c r="I167" s="2"/>
      <c r="J167" s="2"/>
      <c r="K167" s="2"/>
      <c r="L167" s="2"/>
    </row>
    <row r="168" spans="5:12" x14ac:dyDescent="0.3">
      <c r="E168" s="2"/>
      <c r="F168" s="2"/>
      <c r="G168" s="2"/>
      <c r="H168" s="2"/>
      <c r="I168" s="2"/>
      <c r="J168" s="2"/>
      <c r="K168" s="2"/>
      <c r="L168" s="2"/>
    </row>
    <row r="169" spans="5:12" x14ac:dyDescent="0.3">
      <c r="E169" s="2"/>
      <c r="F169" s="2"/>
      <c r="G169" s="2"/>
      <c r="H169" s="2"/>
      <c r="I169" s="2"/>
      <c r="J169" s="2"/>
      <c r="K169" s="2"/>
      <c r="L169" s="2"/>
    </row>
    <row r="170" spans="5:12" x14ac:dyDescent="0.3">
      <c r="E170" s="2"/>
      <c r="F170" s="2"/>
      <c r="G170" s="2"/>
      <c r="H170" s="2"/>
      <c r="I170" s="2"/>
      <c r="J170" s="2"/>
      <c r="K170" s="2"/>
      <c r="L170" s="2"/>
    </row>
    <row r="171" spans="5:12" x14ac:dyDescent="0.3">
      <c r="E171" s="2"/>
      <c r="F171" s="2"/>
      <c r="G171" s="2"/>
      <c r="H171" s="2"/>
      <c r="I171" s="2"/>
      <c r="J171" s="2"/>
      <c r="K171" s="2"/>
      <c r="L171" s="2"/>
    </row>
    <row r="172" spans="5:12" x14ac:dyDescent="0.3">
      <c r="E172" s="2"/>
      <c r="F172" s="2"/>
      <c r="G172" s="2"/>
    </row>
  </sheetData>
  <mergeCells count="15">
    <mergeCell ref="E1:L1"/>
    <mergeCell ref="E24:L24"/>
    <mergeCell ref="A1:B1"/>
    <mergeCell ref="A5:B5"/>
    <mergeCell ref="A14:B14"/>
    <mergeCell ref="A22:B22"/>
    <mergeCell ref="A33:B33"/>
    <mergeCell ref="J4:L4"/>
    <mergeCell ref="J5:L5"/>
    <mergeCell ref="I13:J13"/>
    <mergeCell ref="I6:J6"/>
    <mergeCell ref="K6:L6"/>
    <mergeCell ref="I8:J8"/>
    <mergeCell ref="I11:J11"/>
    <mergeCell ref="K11:L11"/>
  </mergeCells>
  <conditionalFormatting sqref="G41">
    <cfRule type="containsText" dxfId="5" priority="2" operator="containsText" text="Reject">
      <formula>NOT(ISERROR(SEARCH("Reject",G41)))</formula>
    </cfRule>
  </conditionalFormatting>
  <conditionalFormatting sqref="G42:G50">
    <cfRule type="containsText" dxfId="4" priority="3" operator="containsText" text="Yes">
      <formula>NOT(ISERROR(SEARCH("Yes",G42)))</formula>
    </cfRule>
  </conditionalFormatting>
  <pageMargins left="0.7" right="0.7" top="0.75" bottom="0.75" header="0.3" footer="0.3"/>
  <pageSetup paperSize="9" orientation="landscape" horizontalDpi="0" verticalDpi="0"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60BA5431-4CA7-4D96-A94B-76C385FB9C2B}">
          <x14:formula1>
            <xm:f>'Sb rate sheet, HEM and Points'!$I$91:$I$93</xm:f>
          </x14:formula1>
          <xm:sqref>F52</xm:sqref>
        </x14:dataValidation>
        <x14:dataValidation type="list" allowBlank="1" showInputMessage="1" showErrorMessage="1" xr:uid="{D1A66CA7-2671-4BD8-85EA-37A9D485B04E}">
          <x14:formula1>
            <xm:f>'Sb rate sheet, HEM and Points'!$I$83:$I$87</xm:f>
          </x14:formula1>
          <xm:sqref>F35</xm:sqref>
        </x14:dataValidation>
        <x14:dataValidation type="list" allowBlank="1" showInputMessage="1" showErrorMessage="1" xr:uid="{FD195171-97B8-4281-B07C-E1574A1E1212}">
          <x14:formula1>
            <xm:f>'Sb rate sheet, HEM and Points'!$I$77:$I$78</xm:f>
          </x14:formula1>
          <xm:sqref>F34</xm:sqref>
        </x14:dataValidation>
        <x14:dataValidation type="list" allowBlank="1" showInputMessage="1" showErrorMessage="1" xr:uid="{D32D969F-B018-4A99-B9F5-11B250FA0562}">
          <x14:formula1>
            <xm:f>'Sb rate sheet, HEM and Points'!$I$68:$I$72</xm:f>
          </x14:formula1>
          <xm:sqref>F33</xm:sqref>
        </x14:dataValidation>
        <x14:dataValidation type="list" allowBlank="1" showInputMessage="1" showErrorMessage="1" xr:uid="{D9AE8F2B-4FB7-4A30-860A-57D0F925A9CA}">
          <x14:formula1>
            <xm:f>'Sb rate sheet, HEM and Points'!$I$60:$I$63</xm:f>
          </x14:formula1>
          <xm:sqref>F32</xm:sqref>
        </x14:dataValidation>
        <x14:dataValidation type="list" allowBlank="1" showInputMessage="1" showErrorMessage="1" xr:uid="{2E1E4FD8-2748-4E24-A1B9-4E7764B7432E}">
          <x14:formula1>
            <xm:f>'Sb rate sheet, HEM and Points'!$I$44:$I$47</xm:f>
          </x14:formula1>
          <xm:sqref>F31</xm:sqref>
        </x14:dataValidation>
        <x14:dataValidation type="list" allowBlank="1" showInputMessage="1" showErrorMessage="1" xr:uid="{9375F4E8-ED9A-45CB-91BB-30B28B11A4C9}">
          <x14:formula1>
            <xm:f>'Sb rate sheet, HEM and Points'!$I$35:$I$39</xm:f>
          </x14:formula1>
          <xm:sqref>F30</xm:sqref>
        </x14:dataValidation>
        <x14:dataValidation type="list" allowBlank="1" showInputMessage="1" showErrorMessage="1" xr:uid="{35F11352-A3B7-4822-A7A0-FD923A110428}">
          <x14:formula1>
            <xm:f>'Sb rate sheet, HEM and Points'!$I$28:$I$30</xm:f>
          </x14:formula1>
          <xm:sqref>F29</xm:sqref>
        </x14:dataValidation>
        <x14:dataValidation type="list" allowBlank="1" showInputMessage="1" showErrorMessage="1" xr:uid="{D4C9C8B8-CB1A-401C-A9A7-48E8A0268675}">
          <x14:formula1>
            <xm:f>'Sb rate sheet, HEM and Points'!$I$19:$I$23</xm:f>
          </x14:formula1>
          <xm:sqref>F28</xm:sqref>
        </x14:dataValidation>
        <x14:dataValidation type="list" allowBlank="1" showInputMessage="1" showErrorMessage="1" xr:uid="{04AD0860-C235-4A27-B523-6772807C644B}">
          <x14:formula1>
            <xm:f>'Sb rate sheet, HEM and Points'!$I$5:$I$14</xm:f>
          </x14:formula1>
          <xm:sqref>F27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2EEA5-83FA-48C6-9746-6EE442B8894D}">
  <sheetPr codeName="Sheet5"/>
  <dimension ref="A1:M60"/>
  <sheetViews>
    <sheetView zoomScale="70" zoomScaleNormal="70" workbookViewId="0">
      <selection activeCell="B35" sqref="B35"/>
    </sheetView>
  </sheetViews>
  <sheetFormatPr defaultRowHeight="15.6" x14ac:dyDescent="0.3"/>
  <cols>
    <col min="1" max="1" width="65.44140625" style="2" bestFit="1" customWidth="1"/>
    <col min="2" max="2" width="46.44140625" style="2" customWidth="1"/>
    <col min="3" max="3" width="57.6640625" style="155" customWidth="1"/>
    <col min="4" max="4" width="2.44140625" style="90" customWidth="1"/>
    <col min="5" max="5" width="42.33203125" customWidth="1"/>
    <col min="6" max="6" width="45.44140625" bestFit="1" customWidth="1"/>
    <col min="7" max="7" width="21.88671875" bestFit="1" customWidth="1"/>
    <col min="8" max="8" width="22.6640625" bestFit="1" customWidth="1"/>
    <col min="9" max="9" width="25.5546875" bestFit="1" customWidth="1"/>
    <col min="10" max="10" width="16.109375" bestFit="1" customWidth="1"/>
    <col min="11" max="11" width="52.44140625" bestFit="1" customWidth="1"/>
    <col min="12" max="12" width="29.6640625" bestFit="1" customWidth="1"/>
    <col min="13" max="13" width="2.88671875" style="90" customWidth="1"/>
  </cols>
  <sheetData>
    <row r="1" spans="1:13" ht="45.6" thickBot="1" x14ac:dyDescent="0.8">
      <c r="A1" s="188" t="s">
        <v>298</v>
      </c>
      <c r="B1" s="189"/>
      <c r="D1" s="89"/>
      <c r="E1" s="210" t="s">
        <v>315</v>
      </c>
      <c r="F1" s="211"/>
      <c r="G1" s="211"/>
      <c r="H1" s="211"/>
      <c r="I1" s="211"/>
      <c r="J1" s="211"/>
      <c r="K1" s="211"/>
      <c r="L1" s="212"/>
      <c r="M1" s="89"/>
    </row>
    <row r="2" spans="1:13" ht="17.399999999999999" x14ac:dyDescent="0.3">
      <c r="A2" s="58" t="s">
        <v>299</v>
      </c>
      <c r="B2" s="103">
        <v>11</v>
      </c>
      <c r="E2" s="3" t="s">
        <v>13</v>
      </c>
      <c r="F2" s="3"/>
      <c r="G2" s="3"/>
      <c r="H2" s="1"/>
      <c r="I2" s="1"/>
      <c r="J2" s="1"/>
      <c r="K2" s="1"/>
      <c r="L2" s="1"/>
    </row>
    <row r="3" spans="1:13" ht="39.9" customHeight="1" thickBot="1" x14ac:dyDescent="0.35">
      <c r="A3" s="60" t="s">
        <v>300</v>
      </c>
      <c r="B3" s="104">
        <v>4</v>
      </c>
      <c r="E3" s="6" t="s">
        <v>19</v>
      </c>
      <c r="F3" s="1"/>
      <c r="G3" s="1"/>
      <c r="H3" s="1"/>
      <c r="I3" s="1"/>
      <c r="J3" s="1"/>
      <c r="K3" s="1"/>
      <c r="L3" s="1"/>
    </row>
    <row r="4" spans="1:13" ht="32.4" customHeight="1" thickBot="1" x14ac:dyDescent="0.35">
      <c r="E4" s="7" t="s">
        <v>1</v>
      </c>
      <c r="F4" s="7" t="s">
        <v>26</v>
      </c>
      <c r="G4" s="7" t="s">
        <v>21</v>
      </c>
      <c r="H4" s="7" t="s">
        <v>109</v>
      </c>
      <c r="I4" s="7" t="s">
        <v>2</v>
      </c>
      <c r="J4" s="205" t="s">
        <v>3</v>
      </c>
      <c r="K4" s="205"/>
      <c r="L4" s="205"/>
    </row>
    <row r="5" spans="1:13" ht="33.6" customHeight="1" thickBot="1" x14ac:dyDescent="0.55000000000000004">
      <c r="A5" s="190" t="s">
        <v>301</v>
      </c>
      <c r="B5" s="191"/>
      <c r="C5" s="167" t="s">
        <v>314</v>
      </c>
      <c r="E5" s="8">
        <v>320000</v>
      </c>
      <c r="F5" s="1" t="s">
        <v>83</v>
      </c>
      <c r="G5" s="1" t="s">
        <v>84</v>
      </c>
      <c r="H5" s="1" t="s">
        <v>83</v>
      </c>
      <c r="I5" s="1">
        <v>30</v>
      </c>
      <c r="J5" s="216" t="s">
        <v>172</v>
      </c>
      <c r="K5" s="216"/>
      <c r="L5" s="216"/>
    </row>
    <row r="6" spans="1:13" x14ac:dyDescent="0.3">
      <c r="A6" s="62" t="s">
        <v>281</v>
      </c>
      <c r="B6" s="59" t="str">
        <f>E7</f>
        <v>Lazarus, Se</v>
      </c>
      <c r="E6" s="3" t="s">
        <v>0</v>
      </c>
      <c r="F6" s="3" t="s">
        <v>4</v>
      </c>
      <c r="G6" s="4" t="s">
        <v>22</v>
      </c>
      <c r="H6" s="4" t="s">
        <v>5</v>
      </c>
      <c r="I6" s="204" t="s">
        <v>14</v>
      </c>
      <c r="J6" s="204"/>
      <c r="K6" s="204" t="s">
        <v>10</v>
      </c>
      <c r="L6" s="204"/>
    </row>
    <row r="7" spans="1:13" ht="33.9" customHeight="1" x14ac:dyDescent="0.3">
      <c r="A7" s="63" t="s">
        <v>214</v>
      </c>
      <c r="B7" s="64">
        <f>DATEDIF(DATE(1990,7,1), DATE(2025,8,1), "Y")</f>
        <v>35</v>
      </c>
      <c r="E7" s="1" t="s">
        <v>148</v>
      </c>
      <c r="F7" s="10">
        <v>33055</v>
      </c>
      <c r="G7" s="1" t="s">
        <v>149</v>
      </c>
      <c r="H7" s="1">
        <v>2</v>
      </c>
      <c r="I7" s="1" t="s">
        <v>79</v>
      </c>
      <c r="J7" s="1" t="s">
        <v>150</v>
      </c>
      <c r="K7" s="1" t="s">
        <v>91</v>
      </c>
      <c r="L7" s="1" t="s">
        <v>151</v>
      </c>
    </row>
    <row r="8" spans="1:13" x14ac:dyDescent="0.3">
      <c r="A8" s="63" t="s">
        <v>282</v>
      </c>
      <c r="B8" s="151" t="s">
        <v>357</v>
      </c>
      <c r="C8" s="157" t="s">
        <v>325</v>
      </c>
      <c r="D8" s="148"/>
      <c r="E8" s="3" t="s">
        <v>6</v>
      </c>
      <c r="F8" s="3" t="s">
        <v>7</v>
      </c>
      <c r="G8" s="4" t="s">
        <v>20</v>
      </c>
      <c r="H8" s="3" t="s">
        <v>8</v>
      </c>
      <c r="I8" s="204" t="s">
        <v>24</v>
      </c>
      <c r="J8" s="204"/>
      <c r="K8" s="4" t="s">
        <v>25</v>
      </c>
      <c r="L8" s="3" t="s">
        <v>23</v>
      </c>
    </row>
    <row r="9" spans="1:13" x14ac:dyDescent="0.3">
      <c r="A9" s="63" t="s">
        <v>283</v>
      </c>
      <c r="B9" s="64" t="s">
        <v>210</v>
      </c>
      <c r="E9" s="1" t="s">
        <v>154</v>
      </c>
      <c r="F9" s="15" t="s">
        <v>153</v>
      </c>
      <c r="G9" s="1">
        <v>10</v>
      </c>
      <c r="H9" s="13">
        <v>81536</v>
      </c>
      <c r="I9" s="1" t="s">
        <v>152</v>
      </c>
      <c r="J9" s="1"/>
      <c r="K9" s="1" t="s">
        <v>77</v>
      </c>
      <c r="L9" s="1" t="s">
        <v>74</v>
      </c>
    </row>
    <row r="10" spans="1:13" ht="27" customHeight="1" x14ac:dyDescent="0.3">
      <c r="A10" s="63" t="s">
        <v>302</v>
      </c>
      <c r="B10" s="65">
        <f>H9</f>
        <v>81536</v>
      </c>
      <c r="E10" s="6" t="s">
        <v>12</v>
      </c>
      <c r="F10" s="6"/>
      <c r="G10" s="1"/>
      <c r="H10" s="1"/>
      <c r="I10" s="1"/>
      <c r="J10" s="1"/>
      <c r="K10" s="1"/>
      <c r="L10" s="1"/>
    </row>
    <row r="11" spans="1:13" x14ac:dyDescent="0.3">
      <c r="A11" s="63" t="s">
        <v>284</v>
      </c>
      <c r="B11" s="64">
        <v>0</v>
      </c>
      <c r="E11" s="3" t="s">
        <v>0</v>
      </c>
      <c r="F11" s="3" t="s">
        <v>4</v>
      </c>
      <c r="G11" s="4" t="s">
        <v>22</v>
      </c>
      <c r="H11" s="4" t="s">
        <v>5</v>
      </c>
      <c r="I11" s="204" t="s">
        <v>14</v>
      </c>
      <c r="J11" s="204"/>
      <c r="K11" s="204" t="s">
        <v>10</v>
      </c>
      <c r="L11" s="204"/>
    </row>
    <row r="12" spans="1:13" ht="35.4" customHeight="1" thickBot="1" x14ac:dyDescent="0.35">
      <c r="A12" s="66" t="s">
        <v>285</v>
      </c>
      <c r="B12" s="67">
        <f>B10+B11</f>
        <v>81536</v>
      </c>
    </row>
    <row r="13" spans="1:13" ht="16.2" thickBot="1" x14ac:dyDescent="0.35">
      <c r="A13" s="68"/>
      <c r="B13" s="69"/>
      <c r="D13" s="91"/>
      <c r="E13" s="3" t="s">
        <v>6</v>
      </c>
      <c r="F13" s="3" t="s">
        <v>7</v>
      </c>
      <c r="G13" s="4" t="s">
        <v>20</v>
      </c>
      <c r="H13" s="3" t="s">
        <v>8</v>
      </c>
      <c r="I13" s="204" t="s">
        <v>24</v>
      </c>
      <c r="J13" s="204"/>
      <c r="K13" s="4" t="s">
        <v>25</v>
      </c>
      <c r="L13" s="3" t="s">
        <v>23</v>
      </c>
    </row>
    <row r="14" spans="1:13" ht="28.8" thickBot="1" x14ac:dyDescent="0.35">
      <c r="A14" s="192" t="s">
        <v>303</v>
      </c>
      <c r="B14" s="193"/>
    </row>
    <row r="15" spans="1:13" x14ac:dyDescent="0.3">
      <c r="A15" s="70" t="s">
        <v>286</v>
      </c>
      <c r="B15" s="161">
        <f>E5</f>
        <v>320000</v>
      </c>
      <c r="E15" s="3" t="s">
        <v>15</v>
      </c>
      <c r="F15" s="3"/>
      <c r="G15" s="3"/>
      <c r="H15" s="3"/>
      <c r="I15" s="3"/>
      <c r="J15" s="3"/>
      <c r="K15" s="3"/>
      <c r="L15" s="3"/>
    </row>
    <row r="16" spans="1:13" ht="27.6" x14ac:dyDescent="0.3">
      <c r="A16" s="63" t="s">
        <v>287</v>
      </c>
      <c r="B16" s="140" t="str">
        <f>J5</f>
        <v>selling current family home and buy home unit valued at $560,000</v>
      </c>
      <c r="E16" s="3" t="s">
        <v>16</v>
      </c>
      <c r="F16" s="3"/>
      <c r="G16" s="3"/>
      <c r="H16" s="3"/>
      <c r="I16" s="3" t="s">
        <v>17</v>
      </c>
      <c r="J16" s="3"/>
      <c r="K16" s="3"/>
      <c r="L16" s="3"/>
    </row>
    <row r="17" spans="1:12" x14ac:dyDescent="0.3">
      <c r="A17" s="63" t="s">
        <v>288</v>
      </c>
      <c r="B17" s="149">
        <f>560000-E5</f>
        <v>240000</v>
      </c>
      <c r="C17" s="156" t="s">
        <v>333</v>
      </c>
      <c r="D17" s="148"/>
      <c r="E17" s="2" t="s">
        <v>69</v>
      </c>
      <c r="F17" s="2"/>
      <c r="G17" s="2"/>
      <c r="H17" s="2"/>
      <c r="I17" s="13">
        <v>5780</v>
      </c>
      <c r="J17" s="2"/>
      <c r="K17" s="2"/>
      <c r="L17" s="2"/>
    </row>
    <row r="18" spans="1:12" ht="31.2" x14ac:dyDescent="0.3">
      <c r="A18" s="63" t="s">
        <v>289</v>
      </c>
      <c r="B18" s="179">
        <f>F50/560000</f>
        <v>0.42857142857142855</v>
      </c>
      <c r="C18" s="157" t="s">
        <v>345</v>
      </c>
      <c r="D18" s="148"/>
      <c r="E18" s="2" t="s">
        <v>100</v>
      </c>
      <c r="F18" s="2"/>
      <c r="G18" s="2"/>
      <c r="H18" s="2"/>
      <c r="I18" s="13">
        <v>34000</v>
      </c>
      <c r="J18" s="2"/>
      <c r="K18" s="2"/>
      <c r="L18" s="2"/>
    </row>
    <row r="19" spans="1:12" x14ac:dyDescent="0.3">
      <c r="A19" s="63" t="s">
        <v>290</v>
      </c>
      <c r="B19" s="141">
        <f>I5</f>
        <v>30</v>
      </c>
      <c r="E19" s="2" t="s">
        <v>107</v>
      </c>
      <c r="F19" s="2"/>
      <c r="G19" s="2"/>
      <c r="H19" s="2"/>
      <c r="I19" s="13">
        <v>327000</v>
      </c>
      <c r="J19" s="2"/>
      <c r="K19" s="2"/>
      <c r="L19" s="2"/>
    </row>
    <row r="20" spans="1:12" ht="16.2" thickBot="1" x14ac:dyDescent="0.35">
      <c r="A20" s="66" t="s">
        <v>291</v>
      </c>
      <c r="B20" s="172">
        <f>'Sb rate sheet, HEM and Points'!C31</f>
        <v>0.06</v>
      </c>
      <c r="C20" s="157" t="s">
        <v>326</v>
      </c>
      <c r="D20" s="148"/>
      <c r="E20" s="2" t="s">
        <v>155</v>
      </c>
      <c r="F20" s="2"/>
      <c r="G20" s="2"/>
      <c r="H20" s="2"/>
      <c r="I20" s="13">
        <v>480000</v>
      </c>
      <c r="J20" s="2"/>
      <c r="K20" s="2"/>
      <c r="L20" s="2"/>
    </row>
    <row r="21" spans="1:12" ht="16.2" thickBot="1" x14ac:dyDescent="0.35">
      <c r="A21" s="68"/>
      <c r="B21" s="71"/>
      <c r="E21" s="3" t="s">
        <v>18</v>
      </c>
      <c r="F21" s="3"/>
      <c r="G21" s="3"/>
      <c r="H21" s="3"/>
      <c r="I21" s="3" t="s">
        <v>17</v>
      </c>
      <c r="J21" s="3"/>
      <c r="K21" s="5"/>
      <c r="L21" s="5"/>
    </row>
    <row r="22" spans="1:12" ht="28.8" thickBot="1" x14ac:dyDescent="0.35">
      <c r="A22" s="194" t="s">
        <v>304</v>
      </c>
      <c r="B22" s="195"/>
      <c r="E22" s="2" t="s">
        <v>158</v>
      </c>
      <c r="F22" s="2"/>
      <c r="G22" s="2"/>
      <c r="H22" s="2"/>
      <c r="I22" s="13">
        <v>240000</v>
      </c>
      <c r="J22" s="2" t="s">
        <v>156</v>
      </c>
      <c r="K22" s="2" t="s">
        <v>159</v>
      </c>
      <c r="L22" s="2"/>
    </row>
    <row r="23" spans="1:12" ht="16.2" thickBot="1" x14ac:dyDescent="0.35">
      <c r="A23" s="70" t="s">
        <v>292</v>
      </c>
      <c r="B23" s="161">
        <f>PMT((('Sb rate sheet, HEM and Points'!C31)/12),I5*12,-E5)</f>
        <v>1918.5616804888073</v>
      </c>
      <c r="C23" s="158"/>
      <c r="D23" s="101"/>
      <c r="E23" s="2" t="s">
        <v>157</v>
      </c>
      <c r="I23" s="14">
        <v>2300</v>
      </c>
    </row>
    <row r="24" spans="1:12" ht="63" thickBot="1" x14ac:dyDescent="0.35">
      <c r="A24" s="63" t="s">
        <v>293</v>
      </c>
      <c r="B24" s="149">
        <f>(2.25%*16000)</f>
        <v>360</v>
      </c>
      <c r="C24" s="157" t="s">
        <v>311</v>
      </c>
      <c r="D24" s="148"/>
      <c r="E24" s="92"/>
      <c r="F24" s="95"/>
      <c r="G24" s="95"/>
      <c r="H24" s="95"/>
      <c r="I24" s="139"/>
      <c r="J24" s="95"/>
      <c r="K24" s="95"/>
      <c r="L24" s="100"/>
    </row>
    <row r="25" spans="1:12" ht="23.4" thickBot="1" x14ac:dyDescent="0.45">
      <c r="A25" s="63" t="s">
        <v>294</v>
      </c>
      <c r="B25" s="65">
        <f>SUM(B23:B24)</f>
        <v>2278.5616804888073</v>
      </c>
      <c r="E25" s="210" t="s">
        <v>309</v>
      </c>
      <c r="F25" s="211"/>
      <c r="G25" s="211"/>
      <c r="H25" s="211"/>
      <c r="I25" s="211"/>
      <c r="J25" s="211"/>
      <c r="K25" s="211"/>
      <c r="L25" s="212"/>
    </row>
    <row r="26" spans="1:12" ht="63" thickBot="1" x14ac:dyDescent="0.35">
      <c r="A26" s="63" t="s">
        <v>295</v>
      </c>
      <c r="B26" s="180" t="s">
        <v>354</v>
      </c>
      <c r="C26" s="157" t="s">
        <v>355</v>
      </c>
      <c r="D26" s="148"/>
    </row>
    <row r="27" spans="1:12" ht="31.2" x14ac:dyDescent="0.3">
      <c r="A27" s="63" t="s">
        <v>305</v>
      </c>
      <c r="B27" s="181">
        <f>E5+(2.25%*16000*12)</f>
        <v>324320</v>
      </c>
      <c r="C27" s="157" t="s">
        <v>327</v>
      </c>
      <c r="D27" s="148"/>
      <c r="E27" s="16" t="s">
        <v>229</v>
      </c>
      <c r="F27" s="17" t="s">
        <v>230</v>
      </c>
      <c r="G27" s="18" t="s">
        <v>231</v>
      </c>
    </row>
    <row r="28" spans="1:12" x14ac:dyDescent="0.3">
      <c r="A28" s="63" t="s">
        <v>267</v>
      </c>
      <c r="B28" s="65">
        <f>IF(H9&lt;=18200,0, IF(H9&lt;=45000,(H9-18200)*0.16, IF(H9&lt;=135000,4288+(H9-45000)*0.3, IF(H9&lt;=190000,31288+(H9-135000)*0.37,51638+(H9-190000)*0.45))))</f>
        <v>15248.8</v>
      </c>
      <c r="E28" s="19" t="s">
        <v>232</v>
      </c>
      <c r="F28" s="20" t="s">
        <v>180</v>
      </c>
      <c r="G28" s="21">
        <f>IFERROR(_xlfn.XLOOKUP(F28,'Sb rate sheet, HEM and Points'!$I:$I,'Sb rate sheet, HEM and Points'!$J:$J,,0),"")</f>
        <v>100</v>
      </c>
    </row>
    <row r="29" spans="1:12" ht="78" x14ac:dyDescent="0.3">
      <c r="A29" s="63" t="s">
        <v>363</v>
      </c>
      <c r="B29" s="182" t="str">
        <f>F56</f>
        <v>Moderate</v>
      </c>
      <c r="C29" s="177" t="s">
        <v>328</v>
      </c>
      <c r="D29" s="148"/>
      <c r="E29" s="19" t="s">
        <v>233</v>
      </c>
      <c r="F29" s="20" t="s">
        <v>189</v>
      </c>
      <c r="G29" s="21">
        <f>IFERROR(_xlfn.XLOOKUP(F29,'Sb rate sheet, HEM and Points'!$I:$I,'Sb rate sheet, HEM and Points'!$J:$J,,0),"")</f>
        <v>70</v>
      </c>
    </row>
    <row r="30" spans="1:12" x14ac:dyDescent="0.3">
      <c r="A30" s="72" t="s">
        <v>296</v>
      </c>
      <c r="B30" s="142">
        <f>B12-B28-F60</f>
        <v>25087.199999999997</v>
      </c>
      <c r="C30" s="163"/>
      <c r="E30" s="19" t="s">
        <v>234</v>
      </c>
      <c r="F30" s="20" t="s">
        <v>97</v>
      </c>
      <c r="G30" s="21">
        <f>IFERROR(_xlfn.XLOOKUP(F30,'Sb rate sheet, HEM and Points'!$I:$I,'Sb rate sheet, HEM and Points'!$J:$J,,0),"")</f>
        <v>20</v>
      </c>
    </row>
    <row r="31" spans="1:12" ht="31.8" thickBot="1" x14ac:dyDescent="0.35">
      <c r="A31" s="74" t="s">
        <v>297</v>
      </c>
      <c r="B31" s="150">
        <f>F59</f>
        <v>266900</v>
      </c>
      <c r="C31" s="157" t="s">
        <v>358</v>
      </c>
      <c r="D31" s="148"/>
      <c r="E31" s="19" t="s">
        <v>235</v>
      </c>
      <c r="F31" s="20" t="s">
        <v>199</v>
      </c>
      <c r="G31" s="21">
        <f>IFERROR(_xlfn.XLOOKUP(F31,'Sb rate sheet, HEM and Points'!$I:$I,'Sb rate sheet, HEM and Points'!$J:$J,,0),"")</f>
        <v>70</v>
      </c>
    </row>
    <row r="32" spans="1:12" ht="16.2" thickBot="1" x14ac:dyDescent="0.35">
      <c r="B32" s="61"/>
      <c r="E32" s="19" t="s">
        <v>236</v>
      </c>
      <c r="F32" s="20" t="s">
        <v>204</v>
      </c>
      <c r="G32" s="21">
        <f>IFERROR(_xlfn.XLOOKUP(F32,'Sb rate sheet, HEM and Points'!$I:$I,'Sb rate sheet, HEM and Points'!$J:$J,,0),"")</f>
        <v>100</v>
      </c>
    </row>
    <row r="33" spans="1:7" ht="28.8" thickBot="1" x14ac:dyDescent="0.55000000000000004">
      <c r="A33" s="196" t="s">
        <v>306</v>
      </c>
      <c r="B33" s="197"/>
      <c r="E33" s="19" t="s">
        <v>237</v>
      </c>
      <c r="F33" s="20" t="s">
        <v>211</v>
      </c>
      <c r="G33" s="21">
        <f>IFERROR(_xlfn.XLOOKUP(F33,'Sb rate sheet, HEM and Points'!$I:$I,'Sb rate sheet, HEM and Points'!$J:$J,,0),"")</f>
        <v>50</v>
      </c>
    </row>
    <row r="34" spans="1:7" ht="55.2" x14ac:dyDescent="0.3">
      <c r="A34" s="82" t="s">
        <v>307</v>
      </c>
      <c r="B34" s="76" t="s">
        <v>366</v>
      </c>
      <c r="C34" s="166"/>
      <c r="E34" s="19" t="s">
        <v>214</v>
      </c>
      <c r="F34" s="20" t="s">
        <v>217</v>
      </c>
      <c r="G34" s="21">
        <f>IFERROR(_xlfn.XLOOKUP(F34,'Sb rate sheet, HEM and Points'!$I:$I,'Sb rate sheet, HEM and Points'!$J:$J,,0),"")</f>
        <v>80</v>
      </c>
    </row>
    <row r="35" spans="1:7" ht="297" thickBot="1" x14ac:dyDescent="0.35">
      <c r="A35" s="77" t="s">
        <v>279</v>
      </c>
      <c r="B35" s="185" t="s">
        <v>361</v>
      </c>
      <c r="C35" s="177"/>
      <c r="E35" s="19" t="s">
        <v>238</v>
      </c>
      <c r="F35" s="20" t="s">
        <v>222</v>
      </c>
      <c r="G35" s="21">
        <f>IFERROR(_xlfn.XLOOKUP(F35,'Sb rate sheet, HEM and Points'!$I:$I,'Sb rate sheet, HEM and Points'!$J:$J,,0),"")</f>
        <v>0</v>
      </c>
    </row>
    <row r="36" spans="1:7" ht="16.2" thickBot="1" x14ac:dyDescent="0.35">
      <c r="E36" s="23" t="s">
        <v>239</v>
      </c>
      <c r="F36" s="24" t="s">
        <v>228</v>
      </c>
      <c r="G36" s="21">
        <f>IFERROR(_xlfn.XLOOKUP(F36,'Sb rate sheet, HEM and Points'!$I:$I,'Sb rate sheet, HEM and Points'!$J:$J,,0),"")</f>
        <v>0</v>
      </c>
    </row>
    <row r="37" spans="1:7" x14ac:dyDescent="0.3">
      <c r="E37" s="27" t="s">
        <v>240</v>
      </c>
      <c r="F37" s="25"/>
      <c r="G37" s="32">
        <f>SUM(G28:G36)</f>
        <v>490</v>
      </c>
    </row>
    <row r="38" spans="1:7" ht="16.2" thickBot="1" x14ac:dyDescent="0.35">
      <c r="E38" s="28" t="s">
        <v>175</v>
      </c>
      <c r="F38" s="26"/>
      <c r="G38" s="33" t="str" cm="1">
        <f t="array" ref="G38">_xlfn.IFS(G37&gt;400, "Prime customer",G37&gt;=300, "Sub-prime customer",G37&lt;300, "Reject loan application")</f>
        <v>Prime customer</v>
      </c>
    </row>
    <row r="39" spans="1:7" x14ac:dyDescent="0.3">
      <c r="E39" s="1"/>
      <c r="F39" s="1"/>
      <c r="G39" s="1"/>
    </row>
    <row r="40" spans="1:7" ht="16.2" thickBot="1" x14ac:dyDescent="0.35">
      <c r="E40" s="1"/>
      <c r="F40" s="1"/>
      <c r="G40" s="1"/>
    </row>
    <row r="41" spans="1:7" x14ac:dyDescent="0.3">
      <c r="E41" s="207" t="s">
        <v>241</v>
      </c>
      <c r="F41" s="208"/>
      <c r="G41" s="40" t="s">
        <v>271</v>
      </c>
    </row>
    <row r="42" spans="1:7" x14ac:dyDescent="0.3">
      <c r="E42" s="19" t="s">
        <v>242</v>
      </c>
      <c r="F42" s="34">
        <f>PMT((('Sb rate sheet, HEM and Points'!C31)/12),I5*12,-E5)</f>
        <v>1918.5616804888073</v>
      </c>
      <c r="G42" s="51"/>
    </row>
    <row r="43" spans="1:7" x14ac:dyDescent="0.3">
      <c r="E43" s="19" t="s">
        <v>261</v>
      </c>
      <c r="F43" s="34">
        <f>(2.25%*16000)</f>
        <v>360</v>
      </c>
      <c r="G43" s="41"/>
    </row>
    <row r="44" spans="1:7" ht="30.6" x14ac:dyDescent="0.3">
      <c r="E44" s="22" t="s">
        <v>262</v>
      </c>
      <c r="F44" s="34">
        <f>SUM(F42:F43)</f>
        <v>2278.5616804888073</v>
      </c>
      <c r="G44" s="34"/>
    </row>
    <row r="45" spans="1:7" x14ac:dyDescent="0.3">
      <c r="E45" s="19" t="s">
        <v>263</v>
      </c>
      <c r="F45" s="35">
        <f>H9</f>
        <v>81536</v>
      </c>
      <c r="G45" s="34"/>
    </row>
    <row r="46" spans="1:7" x14ac:dyDescent="0.3">
      <c r="E46" s="19" t="s">
        <v>245</v>
      </c>
      <c r="F46" s="35">
        <f>IF(H9&lt;=18200,0, IF(H9&lt;=45000,(H9-18200)*0.16, IF(H9&lt;=135000,4288+(H9-45000)*0.3, IF(H9&lt;=190000,31288+(H9-135000)*0.37,51638+(H9-190000)*0.45))))</f>
        <v>15248.8</v>
      </c>
      <c r="G46" s="34"/>
    </row>
    <row r="47" spans="1:7" x14ac:dyDescent="0.3">
      <c r="E47" s="19" t="s">
        <v>272</v>
      </c>
      <c r="F47" s="42">
        <f>F44/((H9+H14)/12)</f>
        <v>0.33534561624148457</v>
      </c>
      <c r="G47" s="34"/>
    </row>
    <row r="48" spans="1:7" x14ac:dyDescent="0.3">
      <c r="E48" s="22" t="s">
        <v>274</v>
      </c>
      <c r="F48" s="35">
        <f>0.35*(F45/12)</f>
        <v>2378.1333333333332</v>
      </c>
      <c r="G48" s="51" t="str">
        <f>IF(F47&lt;35%,"Yes","No")</f>
        <v>Yes</v>
      </c>
    </row>
    <row r="49" spans="5:7" x14ac:dyDescent="0.3">
      <c r="E49" s="22" t="s">
        <v>273</v>
      </c>
      <c r="F49" s="35">
        <f>0.4*(F45/12)</f>
        <v>2717.8666666666668</v>
      </c>
      <c r="G49" s="51" t="str">
        <f>IF(F47&lt;35%,"Yes","No")</f>
        <v>Yes</v>
      </c>
    </row>
    <row r="50" spans="5:7" x14ac:dyDescent="0.3">
      <c r="E50" s="22" t="s">
        <v>277</v>
      </c>
      <c r="F50" s="35">
        <f>560000-E5</f>
        <v>240000</v>
      </c>
      <c r="G50" s="51">
        <f>F50/560000</f>
        <v>0.42857142857142855</v>
      </c>
    </row>
    <row r="51" spans="5:7" x14ac:dyDescent="0.3">
      <c r="E51" s="19" t="s">
        <v>243</v>
      </c>
      <c r="F51" s="35">
        <f>E5+(2.25%*16000*12)</f>
        <v>324320</v>
      </c>
      <c r="G51" s="35"/>
    </row>
    <row r="52" spans="5:7" x14ac:dyDescent="0.3">
      <c r="E52" s="19" t="s">
        <v>269</v>
      </c>
      <c r="F52" s="48">
        <f>E5/560000</f>
        <v>0.5714285714285714</v>
      </c>
      <c r="G52" s="35" t="str">
        <f>IF(F52&lt;90%,"Yes","No")</f>
        <v>Yes</v>
      </c>
    </row>
    <row r="53" spans="5:7" x14ac:dyDescent="0.3">
      <c r="E53" s="19" t="s">
        <v>275</v>
      </c>
      <c r="F53" s="35">
        <f>F45-F46-F60</f>
        <v>25087.199999999997</v>
      </c>
      <c r="G53" s="56" t="str">
        <f>IF(F59&gt;F51,"Yes","Reject")</f>
        <v>Reject</v>
      </c>
    </row>
    <row r="54" spans="5:7" x14ac:dyDescent="0.3">
      <c r="E54" s="1"/>
      <c r="F54" s="53"/>
      <c r="G54" s="1"/>
    </row>
    <row r="55" spans="5:7" x14ac:dyDescent="0.3">
      <c r="G55" s="1"/>
    </row>
    <row r="56" spans="5:7" x14ac:dyDescent="0.3">
      <c r="E56" s="31" t="s">
        <v>255</v>
      </c>
      <c r="F56" s="37" t="s">
        <v>259</v>
      </c>
      <c r="G56" s="1"/>
    </row>
    <row r="57" spans="5:7" x14ac:dyDescent="0.3">
      <c r="E57" s="31" t="s">
        <v>254</v>
      </c>
      <c r="F57" s="49">
        <f>F45</f>
        <v>81536</v>
      </c>
    </row>
    <row r="59" spans="5:7" x14ac:dyDescent="0.3">
      <c r="E59" s="31" t="s">
        <v>256</v>
      </c>
      <c r="F59" s="38">
        <f>IF(F56="Basic",_xlfn.XLOOKUP(F57,'Sb rate sheet, HEM and Points'!$A$47:$A$58,'Sb rate sheet, HEM and Points'!$C$47:$C$58,,-1),IF(F56="Moderate",_xlfn.XLOOKUP(F57,'Sb rate sheet, HEM and Points'!$A$47:$A$58,'Sb rate sheet, HEM and Points'!$E$47:$E$58,,-1),IF(F56="Lavish",_xlfn.XLOOKUP(F57,'Sb rate sheet, HEM and Points'!$A$47:$A$58,'Sb rate sheet, HEM and Points'!$G$47:$G$58,,-1),"")))</f>
        <v>266900</v>
      </c>
    </row>
    <row r="60" spans="5:7" x14ac:dyDescent="0.3">
      <c r="E60" s="43" t="s">
        <v>264</v>
      </c>
      <c r="F60" s="38">
        <f>IF(F56="Basic",_xlfn.XLOOKUP(F57,'Sb rate sheet, HEM and Points'!$A$47:$A$58,'Sb rate sheet, HEM and Points'!$B$47:$B$58,,-1),IF(F56="Moderate",_xlfn.XLOOKUP(F57,'Sb rate sheet, HEM and Points'!$A$47:$A$58,'Sb rate sheet, HEM and Points'!$D$47:$D$58,,-1),IF(F56="Lavish",_xlfn.XLOOKUP(F57,'Sb rate sheet, HEM and Points'!$A$47:$A$58,'Sb rate sheet, HEM and Points'!$F$47:$F$58,,-1),"")))</f>
        <v>41200</v>
      </c>
    </row>
  </sheetData>
  <mergeCells count="16">
    <mergeCell ref="E1:L1"/>
    <mergeCell ref="A1:B1"/>
    <mergeCell ref="A5:B5"/>
    <mergeCell ref="A14:B14"/>
    <mergeCell ref="A22:B22"/>
    <mergeCell ref="A33:B33"/>
    <mergeCell ref="E41:F41"/>
    <mergeCell ref="J4:L4"/>
    <mergeCell ref="J5:L5"/>
    <mergeCell ref="I13:J13"/>
    <mergeCell ref="I6:J6"/>
    <mergeCell ref="K6:L6"/>
    <mergeCell ref="I8:J8"/>
    <mergeCell ref="I11:J11"/>
    <mergeCell ref="K11:L11"/>
    <mergeCell ref="E25:L25"/>
  </mergeCells>
  <conditionalFormatting sqref="G42:G53">
    <cfRule type="containsText" dxfId="3" priority="2" operator="containsText" text="Yes">
      <formula>NOT(ISERROR(SEARCH("Yes",G42)))</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0">
        <x14:dataValidation type="list" allowBlank="1" showInputMessage="1" showErrorMessage="1" xr:uid="{5D0E9397-386C-4343-8023-E91A96F3FC34}">
          <x14:formula1>
            <xm:f>'Sb rate sheet, HEM and Points'!$I$91:$I$93</xm:f>
          </x14:formula1>
          <xm:sqref>F56</xm:sqref>
        </x14:dataValidation>
        <x14:dataValidation type="list" allowBlank="1" showInputMessage="1" showErrorMessage="1" xr:uid="{C6835A0E-B51F-43E1-A4FB-BD56B00B27BF}">
          <x14:formula1>
            <xm:f>'Sb rate sheet, HEM and Points'!$I$83:$I$87</xm:f>
          </x14:formula1>
          <xm:sqref>F36</xm:sqref>
        </x14:dataValidation>
        <x14:dataValidation type="list" allowBlank="1" showInputMessage="1" showErrorMessage="1" xr:uid="{E4B86BCA-94C5-4FCD-A4F9-1126A7A2827B}">
          <x14:formula1>
            <xm:f>'Sb rate sheet, HEM and Points'!$I$77:$I$78</xm:f>
          </x14:formula1>
          <xm:sqref>F35</xm:sqref>
        </x14:dataValidation>
        <x14:dataValidation type="list" allowBlank="1" showInputMessage="1" showErrorMessage="1" xr:uid="{AB66A91E-BF71-4368-B7C3-21736755D5B4}">
          <x14:formula1>
            <xm:f>'Sb rate sheet, HEM and Points'!$I$68:$I$72</xm:f>
          </x14:formula1>
          <xm:sqref>F34</xm:sqref>
        </x14:dataValidation>
        <x14:dataValidation type="list" allowBlank="1" showInputMessage="1" showErrorMessage="1" xr:uid="{CBFB0407-FA6F-4B39-BFE8-D71B4CB07143}">
          <x14:formula1>
            <xm:f>'Sb rate sheet, HEM and Points'!$I$60:$I$63</xm:f>
          </x14:formula1>
          <xm:sqref>F33</xm:sqref>
        </x14:dataValidation>
        <x14:dataValidation type="list" allowBlank="1" showInputMessage="1" showErrorMessage="1" xr:uid="{672EC5E2-5102-4013-A9F0-831D96634D79}">
          <x14:formula1>
            <xm:f>'Sb rate sheet, HEM and Points'!$I$44:$I$47</xm:f>
          </x14:formula1>
          <xm:sqref>F32</xm:sqref>
        </x14:dataValidation>
        <x14:dataValidation type="list" allowBlank="1" showInputMessage="1" showErrorMessage="1" xr:uid="{2648576D-BC20-4935-A557-EFF47FD22A5B}">
          <x14:formula1>
            <xm:f>'Sb rate sheet, HEM and Points'!$I$35:$I$39</xm:f>
          </x14:formula1>
          <xm:sqref>F31</xm:sqref>
        </x14:dataValidation>
        <x14:dataValidation type="list" allowBlank="1" showInputMessage="1" showErrorMessage="1" xr:uid="{D2056B3B-4161-407A-8094-B23783789FCD}">
          <x14:formula1>
            <xm:f>'Sb rate sheet, HEM and Points'!$I$28:$I$30</xm:f>
          </x14:formula1>
          <xm:sqref>F30</xm:sqref>
        </x14:dataValidation>
        <x14:dataValidation type="list" allowBlank="1" showInputMessage="1" showErrorMessage="1" xr:uid="{376DA773-3185-41A2-B170-029343A51C94}">
          <x14:formula1>
            <xm:f>'Sb rate sheet, HEM and Points'!$I$19:$I$23</xm:f>
          </x14:formula1>
          <xm:sqref>F29</xm:sqref>
        </x14:dataValidation>
        <x14:dataValidation type="list" allowBlank="1" showInputMessage="1" showErrorMessage="1" xr:uid="{A68C02DF-CA9F-45FA-A203-93E85FF8AFFA}">
          <x14:formula1>
            <xm:f>'Sb rate sheet, HEM and Points'!$I$5:$I$14</xm:f>
          </x14:formula1>
          <xm:sqref>F28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F808D-22A7-4583-8CFA-393288DFC5ED}">
  <sheetPr codeName="Sheet6"/>
  <dimension ref="A1:M1048576"/>
  <sheetViews>
    <sheetView zoomScale="70" zoomScaleNormal="70" workbookViewId="0">
      <selection activeCell="C10" sqref="C10"/>
    </sheetView>
  </sheetViews>
  <sheetFormatPr defaultRowHeight="15.6" x14ac:dyDescent="0.3"/>
  <cols>
    <col min="1" max="1" width="65.44140625" style="2" bestFit="1" customWidth="1"/>
    <col min="2" max="2" width="46.44140625" style="2" customWidth="1"/>
    <col min="3" max="3" width="57.6640625" style="155" customWidth="1"/>
    <col min="4" max="4" width="2.44140625" style="90" customWidth="1"/>
    <col min="5" max="5" width="59.44140625" bestFit="1" customWidth="1"/>
    <col min="6" max="6" width="45.44140625" bestFit="1" customWidth="1"/>
    <col min="7" max="7" width="21.88671875" bestFit="1" customWidth="1"/>
    <col min="8" max="8" width="28.5546875" bestFit="1" customWidth="1"/>
    <col min="9" max="9" width="39.6640625" bestFit="1" customWidth="1"/>
    <col min="10" max="10" width="41.44140625" bestFit="1" customWidth="1"/>
    <col min="11" max="11" width="19" bestFit="1" customWidth="1"/>
    <col min="12" max="12" width="31.33203125" bestFit="1" customWidth="1"/>
    <col min="13" max="13" width="3" style="90" customWidth="1"/>
  </cols>
  <sheetData>
    <row r="1" spans="1:13" ht="45.6" thickBot="1" x14ac:dyDescent="0.8">
      <c r="A1" s="188" t="s">
        <v>298</v>
      </c>
      <c r="B1" s="189"/>
      <c r="D1" s="89"/>
      <c r="E1" s="210" t="s">
        <v>315</v>
      </c>
      <c r="F1" s="211"/>
      <c r="G1" s="211"/>
      <c r="H1" s="211"/>
      <c r="I1" s="211"/>
      <c r="J1" s="211"/>
      <c r="K1" s="211"/>
      <c r="L1" s="212"/>
      <c r="M1" s="89"/>
    </row>
    <row r="2" spans="1:13" ht="17.399999999999999" x14ac:dyDescent="0.3">
      <c r="A2" s="58" t="s">
        <v>299</v>
      </c>
      <c r="B2" s="103">
        <v>11</v>
      </c>
      <c r="E2" s="3" t="s">
        <v>13</v>
      </c>
      <c r="F2" s="3"/>
      <c r="G2" s="3"/>
      <c r="H2" s="1"/>
      <c r="I2" s="1"/>
      <c r="J2" s="1"/>
      <c r="K2" s="1"/>
      <c r="L2" s="1"/>
    </row>
    <row r="3" spans="1:13" ht="38.4" customHeight="1" thickBot="1" x14ac:dyDescent="0.35">
      <c r="A3" s="60" t="s">
        <v>300</v>
      </c>
      <c r="B3" s="104">
        <v>5</v>
      </c>
      <c r="E3" s="6" t="s">
        <v>19</v>
      </c>
      <c r="F3" s="1"/>
      <c r="G3" s="1"/>
      <c r="H3" s="1"/>
      <c r="I3" s="1"/>
      <c r="J3" s="1"/>
      <c r="K3" s="1"/>
      <c r="L3" s="1"/>
    </row>
    <row r="4" spans="1:13" ht="16.2" thickBot="1" x14ac:dyDescent="0.35">
      <c r="E4" s="7" t="s">
        <v>1</v>
      </c>
      <c r="F4" s="7" t="s">
        <v>26</v>
      </c>
      <c r="G4" s="7" t="s">
        <v>21</v>
      </c>
      <c r="H4" s="7" t="s">
        <v>109</v>
      </c>
      <c r="I4" s="7" t="s">
        <v>2</v>
      </c>
      <c r="J4" s="205" t="s">
        <v>3</v>
      </c>
      <c r="K4" s="205"/>
      <c r="L4" s="205"/>
    </row>
    <row r="5" spans="1:13" ht="29.1" customHeight="1" thickBot="1" x14ac:dyDescent="0.55000000000000004">
      <c r="A5" s="190" t="s">
        <v>301</v>
      </c>
      <c r="B5" s="191"/>
      <c r="C5" s="162" t="s">
        <v>314</v>
      </c>
      <c r="E5" s="8">
        <v>49000</v>
      </c>
      <c r="F5" s="1" t="s">
        <v>103</v>
      </c>
      <c r="G5" s="1" t="s">
        <v>104</v>
      </c>
      <c r="H5" s="1" t="s">
        <v>103</v>
      </c>
      <c r="I5" s="1">
        <v>5</v>
      </c>
      <c r="J5" s="206" t="s">
        <v>173</v>
      </c>
      <c r="K5" s="206"/>
      <c r="L5" s="206"/>
    </row>
    <row r="6" spans="1:13" x14ac:dyDescent="0.3">
      <c r="A6" s="62" t="s">
        <v>281</v>
      </c>
      <c r="B6" s="59" t="str">
        <f>_xlfn.CONCAT(E7," ","-"," ", E12,)</f>
        <v>Mariani, Chris - Mariani, Kate</v>
      </c>
      <c r="E6" s="3" t="s">
        <v>0</v>
      </c>
      <c r="F6" s="3" t="s">
        <v>4</v>
      </c>
      <c r="G6" s="4" t="s">
        <v>22</v>
      </c>
      <c r="H6" s="4" t="s">
        <v>5</v>
      </c>
      <c r="I6" s="204" t="s">
        <v>14</v>
      </c>
      <c r="J6" s="204"/>
      <c r="K6" s="204" t="s">
        <v>10</v>
      </c>
      <c r="L6" s="204"/>
    </row>
    <row r="7" spans="1:13" ht="36.6" customHeight="1" x14ac:dyDescent="0.3">
      <c r="A7" s="63" t="s">
        <v>214</v>
      </c>
      <c r="B7" s="64" t="str">
        <f ca="1">_xlfn.CONCAT(DATEDIF($F$7,TODAY(),"Y"),"-",DATEDIF($F$12,TODAY(),"Y"))</f>
        <v>56-53</v>
      </c>
      <c r="E7" s="1" t="s">
        <v>160</v>
      </c>
      <c r="F7" s="10">
        <v>25385</v>
      </c>
      <c r="G7" s="1" t="s">
        <v>75</v>
      </c>
      <c r="H7" s="1" t="s">
        <v>105</v>
      </c>
      <c r="I7" s="1" t="s">
        <v>79</v>
      </c>
      <c r="J7" s="1" t="s">
        <v>161</v>
      </c>
      <c r="K7" s="1" t="s">
        <v>79</v>
      </c>
      <c r="L7" s="1" t="s">
        <v>78</v>
      </c>
    </row>
    <row r="8" spans="1:13" ht="35.4" customHeight="1" x14ac:dyDescent="0.3">
      <c r="A8" s="63" t="s">
        <v>282</v>
      </c>
      <c r="B8" s="151" t="str">
        <f>_xlfn.CONCAT(G37,"-",I37)</f>
        <v>650-610</v>
      </c>
      <c r="C8" s="156" t="s">
        <v>329</v>
      </c>
      <c r="D8" s="148"/>
      <c r="E8" s="3" t="s">
        <v>6</v>
      </c>
      <c r="F8" s="3" t="s">
        <v>7</v>
      </c>
      <c r="G8" s="4" t="s">
        <v>20</v>
      </c>
      <c r="H8" s="3" t="s">
        <v>8</v>
      </c>
      <c r="I8" s="204" t="s">
        <v>24</v>
      </c>
      <c r="J8" s="204"/>
      <c r="K8" s="4" t="s">
        <v>25</v>
      </c>
      <c r="L8" s="3" t="s">
        <v>23</v>
      </c>
    </row>
    <row r="9" spans="1:13" x14ac:dyDescent="0.3">
      <c r="A9" s="63" t="s">
        <v>283</v>
      </c>
      <c r="B9" s="64" t="str">
        <f>_xlfn.CONCAT(F36,"-",H36)</f>
        <v>Good-Good</v>
      </c>
      <c r="E9" s="1" t="s">
        <v>169</v>
      </c>
      <c r="F9" s="9" t="s">
        <v>162</v>
      </c>
      <c r="G9" s="1" t="s">
        <v>132</v>
      </c>
      <c r="H9" s="11">
        <v>74930</v>
      </c>
      <c r="I9" s="1" t="s">
        <v>163</v>
      </c>
      <c r="J9" s="1" t="s">
        <v>150</v>
      </c>
      <c r="K9" s="1" t="s">
        <v>76</v>
      </c>
      <c r="L9" s="1" t="s">
        <v>95</v>
      </c>
    </row>
    <row r="10" spans="1:13" ht="33" customHeight="1" x14ac:dyDescent="0.3">
      <c r="A10" s="63" t="s">
        <v>302</v>
      </c>
      <c r="B10" s="65">
        <f>H9+H14</f>
        <v>126160</v>
      </c>
      <c r="E10" s="6" t="s">
        <v>12</v>
      </c>
      <c r="F10" s="6"/>
      <c r="G10" s="1"/>
      <c r="H10" s="1"/>
      <c r="I10" s="1"/>
      <c r="J10" s="1"/>
      <c r="K10" s="1"/>
      <c r="L10" s="1"/>
    </row>
    <row r="11" spans="1:13" x14ac:dyDescent="0.3">
      <c r="A11" s="63" t="s">
        <v>284</v>
      </c>
      <c r="B11" s="64">
        <v>0</v>
      </c>
      <c r="E11" s="3" t="s">
        <v>0</v>
      </c>
      <c r="F11" s="3" t="s">
        <v>4</v>
      </c>
      <c r="G11" s="4" t="s">
        <v>22</v>
      </c>
      <c r="H11" s="4" t="s">
        <v>5</v>
      </c>
      <c r="I11" s="204" t="s">
        <v>14</v>
      </c>
      <c r="J11" s="204"/>
      <c r="K11" s="204" t="s">
        <v>10</v>
      </c>
      <c r="L11" s="204"/>
    </row>
    <row r="12" spans="1:13" ht="36.6" customHeight="1" thickBot="1" x14ac:dyDescent="0.35">
      <c r="A12" s="66" t="s">
        <v>285</v>
      </c>
      <c r="B12" s="67">
        <f>B10+B11</f>
        <v>126160</v>
      </c>
      <c r="E12" s="1" t="s">
        <v>164</v>
      </c>
      <c r="F12" s="10">
        <v>26359</v>
      </c>
      <c r="G12" s="1" t="s">
        <v>75</v>
      </c>
      <c r="H12" s="1" t="s">
        <v>105</v>
      </c>
      <c r="I12" s="1" t="s">
        <v>79</v>
      </c>
      <c r="J12" s="1" t="s">
        <v>161</v>
      </c>
      <c r="K12" s="1" t="s">
        <v>79</v>
      </c>
      <c r="L12" s="1" t="s">
        <v>78</v>
      </c>
    </row>
    <row r="13" spans="1:13" ht="16.2" thickBot="1" x14ac:dyDescent="0.35">
      <c r="A13" s="68"/>
      <c r="B13" s="69"/>
      <c r="D13" s="91"/>
      <c r="E13" s="3" t="s">
        <v>6</v>
      </c>
      <c r="F13" s="3" t="s">
        <v>7</v>
      </c>
      <c r="G13" s="4" t="s">
        <v>20</v>
      </c>
      <c r="H13" s="3" t="s">
        <v>8</v>
      </c>
      <c r="I13" s="4" t="s">
        <v>11</v>
      </c>
      <c r="J13" s="3" t="s">
        <v>9</v>
      </c>
      <c r="K13" s="4" t="s">
        <v>25</v>
      </c>
      <c r="L13" s="3" t="s">
        <v>23</v>
      </c>
    </row>
    <row r="14" spans="1:13" ht="28.8" thickBot="1" x14ac:dyDescent="0.35">
      <c r="A14" s="192" t="s">
        <v>303</v>
      </c>
      <c r="B14" s="193"/>
      <c r="E14" s="1" t="s">
        <v>166</v>
      </c>
      <c r="F14" s="15" t="s">
        <v>165</v>
      </c>
      <c r="G14" s="1" t="s">
        <v>88</v>
      </c>
      <c r="H14" s="11">
        <v>51230</v>
      </c>
      <c r="I14" s="1"/>
      <c r="J14" s="1"/>
      <c r="K14" s="1" t="s">
        <v>76</v>
      </c>
      <c r="L14" s="1" t="s">
        <v>95</v>
      </c>
    </row>
    <row r="15" spans="1:13" x14ac:dyDescent="0.3">
      <c r="A15" s="70" t="s">
        <v>286</v>
      </c>
      <c r="B15" s="161">
        <f>E5</f>
        <v>49000</v>
      </c>
      <c r="E15" s="3" t="s">
        <v>15</v>
      </c>
      <c r="F15" s="3"/>
      <c r="G15" s="3"/>
      <c r="H15" s="3"/>
      <c r="I15" s="3"/>
      <c r="J15" s="3"/>
      <c r="K15" s="3"/>
      <c r="L15" s="3"/>
    </row>
    <row r="16" spans="1:13" ht="27.6" x14ac:dyDescent="0.3">
      <c r="A16" s="63" t="s">
        <v>287</v>
      </c>
      <c r="B16" s="140" t="str">
        <f>J5</f>
        <v>buy 2014 22ft. Daydream caravan $62,000 - deposit $13,000</v>
      </c>
      <c r="E16" s="3" t="s">
        <v>16</v>
      </c>
      <c r="F16" s="3"/>
      <c r="G16" s="3"/>
      <c r="H16" s="3"/>
      <c r="I16" s="3" t="s">
        <v>17</v>
      </c>
      <c r="J16" s="3"/>
      <c r="K16" s="3"/>
      <c r="L16" s="3"/>
    </row>
    <row r="17" spans="1:12" x14ac:dyDescent="0.3">
      <c r="A17" s="63" t="s">
        <v>288</v>
      </c>
      <c r="B17" s="65">
        <v>13000</v>
      </c>
      <c r="E17" s="2" t="s">
        <v>85</v>
      </c>
      <c r="F17" s="2"/>
      <c r="G17" s="2"/>
      <c r="H17" s="2"/>
      <c r="I17" s="13">
        <v>16500</v>
      </c>
      <c r="J17" s="2"/>
      <c r="K17" s="2"/>
      <c r="L17" s="2"/>
    </row>
    <row r="18" spans="1:12" x14ac:dyDescent="0.3">
      <c r="A18" s="63" t="s">
        <v>289</v>
      </c>
      <c r="B18" s="179">
        <f>13000/62000</f>
        <v>0.20967741935483872</v>
      </c>
      <c r="C18" s="156" t="s">
        <v>330</v>
      </c>
      <c r="D18" s="148"/>
      <c r="E18" s="2" t="s">
        <v>108</v>
      </c>
      <c r="I18" s="13">
        <v>974240</v>
      </c>
      <c r="J18" s="2"/>
      <c r="K18" s="2"/>
      <c r="L18" s="2"/>
    </row>
    <row r="19" spans="1:12" x14ac:dyDescent="0.3">
      <c r="A19" s="63" t="s">
        <v>290</v>
      </c>
      <c r="B19" s="141">
        <f>I5</f>
        <v>5</v>
      </c>
      <c r="E19" s="2" t="s">
        <v>99</v>
      </c>
      <c r="F19" s="2"/>
      <c r="G19" s="2"/>
      <c r="H19" s="2"/>
      <c r="I19" s="13">
        <v>149500</v>
      </c>
      <c r="J19" s="2"/>
      <c r="K19" s="2"/>
      <c r="L19" s="2"/>
    </row>
    <row r="20" spans="1:12" ht="16.2" thickBot="1" x14ac:dyDescent="0.35">
      <c r="A20" s="66" t="s">
        <v>291</v>
      </c>
      <c r="B20" s="102">
        <f>'Sb rate sheet, HEM and Points'!B8</f>
        <v>0.10249999999999999</v>
      </c>
      <c r="C20" s="158"/>
      <c r="E20" s="2" t="s">
        <v>83</v>
      </c>
      <c r="F20" s="2"/>
      <c r="G20" s="2"/>
      <c r="H20" s="2"/>
      <c r="I20" s="13">
        <v>1346000</v>
      </c>
      <c r="J20" s="2"/>
      <c r="K20" s="2"/>
      <c r="L20" s="2"/>
    </row>
    <row r="21" spans="1:12" ht="16.2" thickBot="1" x14ac:dyDescent="0.35">
      <c r="A21" s="68"/>
      <c r="B21" s="71"/>
      <c r="E21" s="3" t="s">
        <v>18</v>
      </c>
      <c r="F21" s="3"/>
      <c r="G21" s="3"/>
      <c r="H21" s="3"/>
      <c r="I21" s="3" t="s">
        <v>17</v>
      </c>
      <c r="J21" s="3"/>
      <c r="K21" s="5"/>
      <c r="L21" s="5"/>
    </row>
    <row r="22" spans="1:12" ht="28.8" thickBot="1" x14ac:dyDescent="0.35">
      <c r="A22" s="194" t="s">
        <v>304</v>
      </c>
      <c r="B22" s="195"/>
      <c r="E22" s="2" t="s">
        <v>106</v>
      </c>
      <c r="F22" s="2"/>
      <c r="G22" s="2"/>
      <c r="H22" s="2"/>
      <c r="I22" s="13">
        <v>54000</v>
      </c>
      <c r="J22" s="2" t="s">
        <v>167</v>
      </c>
      <c r="K22" s="2"/>
      <c r="L22" s="2"/>
    </row>
    <row r="23" spans="1:12" ht="16.2" thickBot="1" x14ac:dyDescent="0.35">
      <c r="A23" s="70" t="s">
        <v>292</v>
      </c>
      <c r="B23" s="161">
        <f>PMT((('Sb rate sheet, HEM and Points'!B8)/12),I5*12,-E5)</f>
        <v>1047.1429278944202</v>
      </c>
      <c r="D23" s="101"/>
      <c r="E23" s="2" t="s">
        <v>168</v>
      </c>
      <c r="I23" s="14">
        <v>2360</v>
      </c>
    </row>
    <row r="24" spans="1:12" ht="16.2" thickBot="1" x14ac:dyDescent="0.35">
      <c r="A24" s="63" t="s">
        <v>293</v>
      </c>
      <c r="B24" s="65">
        <f>1200+(2.25%*25000)</f>
        <v>1762.5</v>
      </c>
      <c r="C24" s="158"/>
      <c r="E24" s="92"/>
      <c r="F24" s="95"/>
      <c r="G24" s="95"/>
      <c r="H24" s="95"/>
      <c r="I24" s="139"/>
      <c r="J24" s="95"/>
      <c r="K24" s="95"/>
      <c r="L24" s="100"/>
    </row>
    <row r="25" spans="1:12" ht="23.4" thickBot="1" x14ac:dyDescent="0.45">
      <c r="A25" s="63" t="s">
        <v>294</v>
      </c>
      <c r="B25" s="65">
        <f>SUM(B23:B24)</f>
        <v>2809.6429278944202</v>
      </c>
      <c r="C25" s="158"/>
      <c r="E25" s="210" t="s">
        <v>309</v>
      </c>
      <c r="F25" s="211"/>
      <c r="G25" s="211"/>
      <c r="H25" s="211"/>
      <c r="I25" s="211"/>
      <c r="J25" s="211"/>
      <c r="K25" s="211"/>
      <c r="L25" s="212"/>
    </row>
    <row r="26" spans="1:12" ht="31.8" thickBot="1" x14ac:dyDescent="0.35">
      <c r="A26" s="63" t="s">
        <v>295</v>
      </c>
      <c r="B26" s="180" t="s">
        <v>356</v>
      </c>
      <c r="C26" s="157" t="s">
        <v>312</v>
      </c>
      <c r="D26" s="148"/>
    </row>
    <row r="27" spans="1:12" x14ac:dyDescent="0.3">
      <c r="A27" s="63" t="s">
        <v>305</v>
      </c>
      <c r="B27" s="143">
        <f>E5+I22+(2.25%*25000*12)</f>
        <v>109750</v>
      </c>
      <c r="C27" s="158"/>
      <c r="E27" s="16" t="s">
        <v>229</v>
      </c>
      <c r="F27" s="17" t="s">
        <v>230</v>
      </c>
      <c r="G27" s="18" t="s">
        <v>231</v>
      </c>
      <c r="H27" s="16" t="s">
        <v>322</v>
      </c>
      <c r="I27" s="18" t="s">
        <v>323</v>
      </c>
    </row>
    <row r="28" spans="1:12" x14ac:dyDescent="0.3">
      <c r="A28" s="63" t="s">
        <v>267</v>
      </c>
      <c r="B28" s="65">
        <f>J45</f>
        <v>19424</v>
      </c>
      <c r="C28" s="158"/>
      <c r="E28" s="19" t="s">
        <v>232</v>
      </c>
      <c r="F28" s="20" t="s">
        <v>182</v>
      </c>
      <c r="G28" s="21">
        <f>IFERROR(_xlfn.XLOOKUP(F28,'Sb rate sheet, HEM and Points'!$I:$I,'Sb rate sheet, HEM and Points'!$J:$J,,0),"")</f>
        <v>90</v>
      </c>
      <c r="H28" s="19" t="s">
        <v>181</v>
      </c>
      <c r="I28" s="21">
        <f>IFERROR(_xlfn.XLOOKUP(H28,'Sb rate sheet, HEM and Points'!$I:$I,'Sb rate sheet, HEM and Points'!$J:$J,,0),"")</f>
        <v>50</v>
      </c>
    </row>
    <row r="29" spans="1:12" ht="78" x14ac:dyDescent="0.3">
      <c r="A29" s="63" t="s">
        <v>363</v>
      </c>
      <c r="B29" s="182" t="str">
        <f>F55</f>
        <v>Lavish</v>
      </c>
      <c r="C29" s="157" t="s">
        <v>331</v>
      </c>
      <c r="D29" s="148"/>
      <c r="E29" s="19" t="s">
        <v>233</v>
      </c>
      <c r="F29" s="20" t="s">
        <v>189</v>
      </c>
      <c r="G29" s="21">
        <f>IFERROR(_xlfn.XLOOKUP(F29,'Sb rate sheet, HEM and Points'!$I:$I,'Sb rate sheet, HEM and Points'!$J:$J,,0),"")</f>
        <v>70</v>
      </c>
      <c r="H29" s="19" t="s">
        <v>189</v>
      </c>
      <c r="I29" s="21">
        <f>IFERROR(_xlfn.XLOOKUP(H29,'Sb rate sheet, HEM and Points'!$I:$I,'Sb rate sheet, HEM and Points'!$J:$J,,0),"")</f>
        <v>70</v>
      </c>
    </row>
    <row r="30" spans="1:12" x14ac:dyDescent="0.3">
      <c r="A30" s="72" t="s">
        <v>296</v>
      </c>
      <c r="B30" s="142">
        <f>B12-B28-F59</f>
        <v>38416</v>
      </c>
      <c r="C30" s="158"/>
      <c r="E30" s="19" t="s">
        <v>234</v>
      </c>
      <c r="F30" s="20" t="s">
        <v>195</v>
      </c>
      <c r="G30" s="21">
        <f>IFERROR(_xlfn.XLOOKUP(F30,'Sb rate sheet, HEM and Points'!$I:$I,'Sb rate sheet, HEM and Points'!$J:$J,,0),"")</f>
        <v>70</v>
      </c>
      <c r="H30" s="19" t="s">
        <v>195</v>
      </c>
      <c r="I30" s="21">
        <f>IFERROR(_xlfn.XLOOKUP(H30,'Sb rate sheet, HEM and Points'!$I:$I,'Sb rate sheet, HEM and Points'!$J:$J,,0),"")</f>
        <v>70</v>
      </c>
    </row>
    <row r="31" spans="1:12" ht="16.2" thickBot="1" x14ac:dyDescent="0.35">
      <c r="A31" s="74" t="s">
        <v>297</v>
      </c>
      <c r="B31" s="75">
        <f>F58</f>
        <v>465600</v>
      </c>
      <c r="C31" s="158" t="s">
        <v>360</v>
      </c>
      <c r="E31" s="19" t="s">
        <v>235</v>
      </c>
      <c r="F31" s="20" t="s">
        <v>198</v>
      </c>
      <c r="G31" s="21">
        <f>IFERROR(_xlfn.XLOOKUP(F31,'Sb rate sheet, HEM and Points'!$I:$I,'Sb rate sheet, HEM and Points'!$J:$J,,0),"")</f>
        <v>100</v>
      </c>
      <c r="H31" s="19" t="s">
        <v>198</v>
      </c>
      <c r="I31" s="21">
        <f>IFERROR(_xlfn.XLOOKUP(H31,'Sb rate sheet, HEM and Points'!$I:$I,'Sb rate sheet, HEM and Points'!$J:$J,,0),"")</f>
        <v>100</v>
      </c>
    </row>
    <row r="32" spans="1:12" ht="16.2" thickBot="1" x14ac:dyDescent="0.35">
      <c r="B32" s="61"/>
      <c r="C32" s="163"/>
      <c r="E32" s="19" t="s">
        <v>236</v>
      </c>
      <c r="F32" s="20" t="s">
        <v>204</v>
      </c>
      <c r="G32" s="21">
        <f>IFERROR(_xlfn.XLOOKUP(F32,'Sb rate sheet, HEM and Points'!$I:$I,'Sb rate sheet, HEM and Points'!$J:$J,,0),"")</f>
        <v>100</v>
      </c>
      <c r="H32" s="19" t="s">
        <v>204</v>
      </c>
      <c r="I32" s="21">
        <f>IFERROR(_xlfn.XLOOKUP(H32,'Sb rate sheet, HEM and Points'!$I:$I,'Sb rate sheet, HEM and Points'!$J:$J,,0),"")</f>
        <v>100</v>
      </c>
    </row>
    <row r="33" spans="1:10" ht="28.8" thickBot="1" x14ac:dyDescent="0.55000000000000004">
      <c r="A33" s="196" t="s">
        <v>306</v>
      </c>
      <c r="B33" s="197"/>
      <c r="E33" s="19" t="s">
        <v>237</v>
      </c>
      <c r="F33" s="20" t="s">
        <v>210</v>
      </c>
      <c r="G33" s="21">
        <f>IFERROR(_xlfn.XLOOKUP(F33,'Sb rate sheet, HEM and Points'!$I:$I,'Sb rate sheet, HEM and Points'!$J:$J,,0),"")</f>
        <v>-20</v>
      </c>
      <c r="H33" s="19" t="s">
        <v>210</v>
      </c>
      <c r="I33" s="21">
        <f>IFERROR(_xlfn.XLOOKUP(H33,'Sb rate sheet, HEM and Points'!$I:$I,'Sb rate sheet, HEM and Points'!$J:$J,,0),"")</f>
        <v>-20</v>
      </c>
    </row>
    <row r="34" spans="1:10" ht="82.8" x14ac:dyDescent="0.3">
      <c r="A34" s="82" t="s">
        <v>307</v>
      </c>
      <c r="B34" s="76" t="s">
        <v>332</v>
      </c>
      <c r="C34" s="166"/>
      <c r="E34" s="19" t="s">
        <v>214</v>
      </c>
      <c r="F34" s="20" t="s">
        <v>216</v>
      </c>
      <c r="G34" s="21">
        <f>IFERROR(_xlfn.XLOOKUP(F34,'Sb rate sheet, HEM and Points'!$I:$I,'Sb rate sheet, HEM and Points'!$J:$J,,0),"")</f>
        <v>40</v>
      </c>
      <c r="H34" s="19" t="s">
        <v>216</v>
      </c>
      <c r="I34" s="21">
        <f>IFERROR(_xlfn.XLOOKUP(H34,'Sb rate sheet, HEM and Points'!$I:$I,'Sb rate sheet, HEM and Points'!$J:$J,,0),"")</f>
        <v>40</v>
      </c>
    </row>
    <row r="35" spans="1:10" ht="63.6" thickBot="1" x14ac:dyDescent="0.35">
      <c r="A35" s="77" t="s">
        <v>279</v>
      </c>
      <c r="B35" s="187" t="s">
        <v>367</v>
      </c>
      <c r="C35" s="177"/>
      <c r="E35" s="19" t="s">
        <v>238</v>
      </c>
      <c r="F35" s="20" t="s">
        <v>221</v>
      </c>
      <c r="G35" s="21">
        <f>IFERROR(_xlfn.XLOOKUP(F35,'Sb rate sheet, HEM and Points'!$I:$I,'Sb rate sheet, HEM and Points'!$J:$J,,0),"")</f>
        <v>100</v>
      </c>
      <c r="H35" s="19" t="s">
        <v>221</v>
      </c>
      <c r="I35" s="21">
        <f>IFERROR(_xlfn.XLOOKUP(H35,'Sb rate sheet, HEM and Points'!$I:$I,'Sb rate sheet, HEM and Points'!$J:$J,,0),"")</f>
        <v>100</v>
      </c>
    </row>
    <row r="36" spans="1:10" ht="16.2" thickBot="1" x14ac:dyDescent="0.35">
      <c r="E36" s="23" t="s">
        <v>239</v>
      </c>
      <c r="F36" s="24" t="s">
        <v>224</v>
      </c>
      <c r="G36" s="21">
        <f>IFERROR(_xlfn.XLOOKUP(F36,'Sb rate sheet, HEM and Points'!$I:$I,'Sb rate sheet, HEM and Points'!$J:$J,,0),"")</f>
        <v>100</v>
      </c>
      <c r="H36" s="23" t="s">
        <v>224</v>
      </c>
      <c r="I36" s="21">
        <f>IFERROR(_xlfn.XLOOKUP(H36,'Sb rate sheet, HEM and Points'!$I:$I,'Sb rate sheet, HEM and Points'!$J:$J,,0),"")</f>
        <v>100</v>
      </c>
    </row>
    <row r="37" spans="1:10" x14ac:dyDescent="0.3">
      <c r="E37" s="217" t="s">
        <v>240</v>
      </c>
      <c r="F37" s="218"/>
      <c r="G37" s="32">
        <f>SUM(G28:G36)</f>
        <v>650</v>
      </c>
      <c r="H37" s="144"/>
      <c r="I37" s="32">
        <f>SUM(I28:I36)</f>
        <v>610</v>
      </c>
    </row>
    <row r="38" spans="1:10" ht="16.2" thickBot="1" x14ac:dyDescent="0.35">
      <c r="B38" s="146"/>
      <c r="E38" s="219" t="s">
        <v>175</v>
      </c>
      <c r="F38" s="220"/>
      <c r="G38" s="33" t="str" cm="1">
        <f t="array" ref="G38">_xlfn.IFS(G37&gt;400, "Prime customer",G37&gt;=300, "Sub-prime customer",G37&lt;300, "Reject loan application")</f>
        <v>Prime customer</v>
      </c>
      <c r="H38" s="145"/>
      <c r="I38" s="33" t="str" cm="1">
        <f t="array" ref="I38">_xlfn.IFS(I37&gt;400, "Prime customer",I37&gt;=300, "Sub-prime customer",I37&lt;300, "Reject loan application")</f>
        <v>Prime customer</v>
      </c>
    </row>
    <row r="39" spans="1:10" x14ac:dyDescent="0.3">
      <c r="E39" s="1"/>
      <c r="F39" s="1"/>
      <c r="G39" s="1"/>
    </row>
    <row r="40" spans="1:10" ht="16.2" thickBot="1" x14ac:dyDescent="0.35">
      <c r="E40" s="1"/>
      <c r="F40" s="1"/>
      <c r="G40" s="1"/>
    </row>
    <row r="41" spans="1:10" ht="16.2" thickBot="1" x14ac:dyDescent="0.35">
      <c r="E41" s="207" t="s">
        <v>241</v>
      </c>
      <c r="F41" s="208"/>
      <c r="G41" s="1"/>
    </row>
    <row r="42" spans="1:10" x14ac:dyDescent="0.3">
      <c r="E42" s="19" t="s">
        <v>242</v>
      </c>
      <c r="F42" s="34">
        <f>PMT((('Sb rate sheet, HEM and Points'!B8)/12),I5*12,-E5)</f>
        <v>1047.1429278944202</v>
      </c>
      <c r="G42" s="41"/>
      <c r="I42" s="207" t="s">
        <v>268</v>
      </c>
      <c r="J42" s="209"/>
    </row>
    <row r="43" spans="1:10" x14ac:dyDescent="0.3">
      <c r="E43" s="19" t="s">
        <v>261</v>
      </c>
      <c r="F43" s="34">
        <f>1200+(2.25%*25000)</f>
        <v>1762.5</v>
      </c>
      <c r="G43" s="34"/>
      <c r="I43" s="19" t="s">
        <v>265</v>
      </c>
      <c r="J43" s="45">
        <f>IF(H9&lt;=18200,0, IF(H9&lt;=45000,(H9-18200)*0.16, IF(H9&lt;=135000,4288+(H9-45000)*0.3, IF(H9&lt;=190000,31288+(H9-135000)*0.37,51638+(H9-190000)*0.45))))</f>
        <v>13267</v>
      </c>
    </row>
    <row r="44" spans="1:10" ht="30.6" x14ac:dyDescent="0.3">
      <c r="E44" s="22" t="s">
        <v>262</v>
      </c>
      <c r="F44" s="34">
        <f>SUM(F42:F43)</f>
        <v>2809.6429278944202</v>
      </c>
      <c r="G44" s="34"/>
      <c r="I44" s="19" t="s">
        <v>266</v>
      </c>
      <c r="J44" s="45">
        <f>IF(H14&lt;=18200,0,IF(H14&lt;=45000,(H14-18200)*0.16,IF(H14&lt;=135000,4288+(H14-45000)*0.3,IF(H14&lt;=190000,31288+(H14-135000)*0.37,51638+(H14-190000)*0.45))))</f>
        <v>6157</v>
      </c>
    </row>
    <row r="45" spans="1:10" x14ac:dyDescent="0.3">
      <c r="E45" s="19" t="s">
        <v>263</v>
      </c>
      <c r="F45" s="35">
        <f>H9+H14</f>
        <v>126160</v>
      </c>
      <c r="G45" s="34"/>
      <c r="I45" s="46" t="s">
        <v>267</v>
      </c>
      <c r="J45" s="47">
        <f>SUM(J43:J44)</f>
        <v>19424</v>
      </c>
    </row>
    <row r="46" spans="1:10" x14ac:dyDescent="0.3">
      <c r="E46" s="19" t="s">
        <v>245</v>
      </c>
      <c r="F46" s="35">
        <f>J45</f>
        <v>19424</v>
      </c>
      <c r="G46" s="34"/>
    </row>
    <row r="47" spans="1:10" x14ac:dyDescent="0.3">
      <c r="E47" s="19" t="s">
        <v>278</v>
      </c>
      <c r="F47" s="57">
        <f>13000/62000</f>
        <v>0.20967741935483872</v>
      </c>
      <c r="G47" s="186" t="str">
        <f>IF((F47/62000)&gt;25%,"Yes","No")</f>
        <v>No</v>
      </c>
      <c r="H47" s="50"/>
    </row>
    <row r="48" spans="1:10" x14ac:dyDescent="0.3">
      <c r="E48" s="19" t="s">
        <v>272</v>
      </c>
      <c r="F48" s="42">
        <f>F44/(F45/12)</f>
        <v>0.26724568115672986</v>
      </c>
      <c r="G48" s="51" t="str">
        <f>IF(F48&lt;35%,"Yes","No")</f>
        <v>Yes</v>
      </c>
    </row>
    <row r="49" spans="5:7" x14ac:dyDescent="0.3">
      <c r="E49" s="22" t="s">
        <v>274</v>
      </c>
      <c r="F49" s="35">
        <f>0.35*(F45/12)</f>
        <v>3679.6666666666665</v>
      </c>
      <c r="G49" s="35"/>
    </row>
    <row r="50" spans="5:7" x14ac:dyDescent="0.3">
      <c r="E50" s="19" t="s">
        <v>243</v>
      </c>
      <c r="F50" s="35">
        <f>E5+I22+(2.25%*25000*12)</f>
        <v>109750</v>
      </c>
      <c r="G50" s="35" t="str">
        <f>IF(F51&lt;90%,"Yes","No")</f>
        <v>Yes</v>
      </c>
    </row>
    <row r="51" spans="5:7" x14ac:dyDescent="0.3">
      <c r="E51" s="19" t="s">
        <v>269</v>
      </c>
      <c r="F51" s="48">
        <f>E5/62000</f>
        <v>0.79032258064516125</v>
      </c>
      <c r="G51" s="35" t="str">
        <f>IF(F56&gt;F50,"Yes","No")</f>
        <v>Yes</v>
      </c>
    </row>
    <row r="52" spans="5:7" x14ac:dyDescent="0.3">
      <c r="E52" s="19" t="s">
        <v>275</v>
      </c>
      <c r="F52" s="35">
        <f>F45-F46-F59</f>
        <v>38416</v>
      </c>
      <c r="G52" s="1"/>
    </row>
    <row r="53" spans="5:7" x14ac:dyDescent="0.3">
      <c r="E53" s="1"/>
      <c r="F53" s="53"/>
    </row>
    <row r="55" spans="5:7" x14ac:dyDescent="0.3">
      <c r="E55" s="31" t="s">
        <v>255</v>
      </c>
      <c r="F55" s="37" t="s">
        <v>260</v>
      </c>
    </row>
    <row r="56" spans="5:7" x14ac:dyDescent="0.3">
      <c r="E56" s="31" t="s">
        <v>254</v>
      </c>
      <c r="F56" s="49">
        <f>F45</f>
        <v>126160</v>
      </c>
    </row>
    <row r="58" spans="5:7" x14ac:dyDescent="0.3">
      <c r="E58" s="31" t="s">
        <v>256</v>
      </c>
      <c r="F58" s="38">
        <f>IF(F55="Basic",_xlfn.XLOOKUP(F56,'Sb rate sheet, HEM and Points'!$A$47:$A$58,'Sb rate sheet, HEM and Points'!$C$47:$C$58,,-1),IF(F55="Moderate",_xlfn.XLOOKUP(F56,'Sb rate sheet, HEM and Points'!$A$47:$A$58,'Sb rate sheet, HEM and Points'!$E$47:$E$58,,-1),IF(F55="Lavish",_xlfn.XLOOKUP(F56,'Sb rate sheet, HEM and Points'!$A$47:$A$58,'Sb rate sheet, HEM and Points'!$G$47:$G$58,,-1),"")))</f>
        <v>465600</v>
      </c>
    </row>
    <row r="59" spans="5:7" x14ac:dyDescent="0.3">
      <c r="E59" s="43" t="s">
        <v>264</v>
      </c>
      <c r="F59" s="38">
        <f>IF(F55="Basic",_xlfn.XLOOKUP(F56,'Sb rate sheet, HEM and Points'!$A$47:$A$58,'Sb rate sheet, HEM and Points'!$B$47:$B$58,,-1),IF(F55="Moderate",_xlfn.XLOOKUP(F56,'Sb rate sheet, HEM and Points'!$A$47:$A$58,'Sb rate sheet, HEM and Points'!$D$47:$D$58,,-1),IF(F55="Lavish",_xlfn.XLOOKUP(F56,'Sb rate sheet, HEM and Points'!$A$47:$A$58,'Sb rate sheet, HEM and Points'!$F$47:$F$58,,-1),"")))</f>
        <v>68320</v>
      </c>
    </row>
    <row r="1048576" spans="3:3" x14ac:dyDescent="0.3">
      <c r="C1048576" s="156"/>
    </row>
  </sheetData>
  <mergeCells count="18">
    <mergeCell ref="E1:L1"/>
    <mergeCell ref="E25:L25"/>
    <mergeCell ref="A1:B1"/>
    <mergeCell ref="A5:B5"/>
    <mergeCell ref="A14:B14"/>
    <mergeCell ref="A22:B22"/>
    <mergeCell ref="J4:L4"/>
    <mergeCell ref="J5:L5"/>
    <mergeCell ref="I6:J6"/>
    <mergeCell ref="K6:L6"/>
    <mergeCell ref="I8:J8"/>
    <mergeCell ref="A33:B33"/>
    <mergeCell ref="I42:J42"/>
    <mergeCell ref="E41:F41"/>
    <mergeCell ref="I11:J11"/>
    <mergeCell ref="K11:L11"/>
    <mergeCell ref="E37:F37"/>
    <mergeCell ref="E38:F38"/>
  </mergeCells>
  <conditionalFormatting sqref="G42:G49 G51">
    <cfRule type="containsText" dxfId="2" priority="3" operator="containsText" text="Reject">
      <formula>NOT(ISERROR(SEARCH("Reject",G42)))</formula>
    </cfRule>
  </conditionalFormatting>
  <conditionalFormatting sqref="G45:G49 G51">
    <cfRule type="containsText" dxfId="1" priority="4" operator="containsText" text="Yes">
      <formula>NOT(ISERROR(SEARCH("Yes",G45)))</formula>
    </cfRule>
  </conditionalFormatting>
  <conditionalFormatting sqref="G50">
    <cfRule type="containsText" dxfId="0" priority="2" operator="containsText" text="Yes">
      <formula>NOT(ISERROR(SEARCH("Yes",G50)))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0">
        <x14:dataValidation type="list" allowBlank="1" showInputMessage="1" showErrorMessage="1" xr:uid="{870D30B1-364E-419D-884B-9F9231FEE6CA}">
          <x14:formula1>
            <xm:f>'Sb rate sheet, HEM and Points'!$I$91:$I$93</xm:f>
          </x14:formula1>
          <xm:sqref>F55</xm:sqref>
        </x14:dataValidation>
        <x14:dataValidation type="list" allowBlank="1" showInputMessage="1" showErrorMessage="1" xr:uid="{2AD9636E-CAED-49BE-8710-6F4F77760240}">
          <x14:formula1>
            <xm:f>'Sb rate sheet, HEM and Points'!$I$83:$I$87</xm:f>
          </x14:formula1>
          <xm:sqref>F36 H36</xm:sqref>
        </x14:dataValidation>
        <x14:dataValidation type="list" allowBlank="1" showInputMessage="1" showErrorMessage="1" xr:uid="{B721A229-66BC-4DC6-A85A-8F3755EBE199}">
          <x14:formula1>
            <xm:f>'Sb rate sheet, HEM and Points'!$I$77:$I$78</xm:f>
          </x14:formula1>
          <xm:sqref>F35 H35</xm:sqref>
        </x14:dataValidation>
        <x14:dataValidation type="list" allowBlank="1" showInputMessage="1" showErrorMessage="1" xr:uid="{235793B8-C1D8-4B16-8474-A2FFD5053958}">
          <x14:formula1>
            <xm:f>'Sb rate sheet, HEM and Points'!$I$68:$I$72</xm:f>
          </x14:formula1>
          <xm:sqref>F34 H34</xm:sqref>
        </x14:dataValidation>
        <x14:dataValidation type="list" allowBlank="1" showInputMessage="1" showErrorMessage="1" xr:uid="{C4ECFC59-F207-473A-BCBB-669827C2FF00}">
          <x14:formula1>
            <xm:f>'Sb rate sheet, HEM and Points'!$I$60:$I$63</xm:f>
          </x14:formula1>
          <xm:sqref>F33 H33</xm:sqref>
        </x14:dataValidation>
        <x14:dataValidation type="list" allowBlank="1" showInputMessage="1" showErrorMessage="1" xr:uid="{53195EF3-EA42-4819-966F-55D7754150DD}">
          <x14:formula1>
            <xm:f>'Sb rate sheet, HEM and Points'!$I$44:$I$47</xm:f>
          </x14:formula1>
          <xm:sqref>F32 H32</xm:sqref>
        </x14:dataValidation>
        <x14:dataValidation type="list" allowBlank="1" showInputMessage="1" showErrorMessage="1" xr:uid="{E6942D2A-AB03-4E9E-BBD2-AFD35683214C}">
          <x14:formula1>
            <xm:f>'Sb rate sheet, HEM and Points'!$I$35:$I$39</xm:f>
          </x14:formula1>
          <xm:sqref>F31 H31</xm:sqref>
        </x14:dataValidation>
        <x14:dataValidation type="list" allowBlank="1" showInputMessage="1" showErrorMessage="1" xr:uid="{2D4C2448-BC5D-4FCF-9262-98A284255A26}">
          <x14:formula1>
            <xm:f>'Sb rate sheet, HEM and Points'!$I$28:$I$30</xm:f>
          </x14:formula1>
          <xm:sqref>F30 H30</xm:sqref>
        </x14:dataValidation>
        <x14:dataValidation type="list" allowBlank="1" showInputMessage="1" showErrorMessage="1" xr:uid="{B49C6BA7-1CE4-42A0-91A3-C3247F5CFE50}">
          <x14:formula1>
            <xm:f>'Sb rate sheet, HEM and Points'!$I$19:$I$23</xm:f>
          </x14:formula1>
          <xm:sqref>F29 H29</xm:sqref>
        </x14:dataValidation>
        <x14:dataValidation type="list" allowBlank="1" showInputMessage="1" showErrorMessage="1" xr:uid="{B6B401CF-46E6-4DE6-8063-2946646489AA}">
          <x14:formula1>
            <xm:f>'Sb rate sheet, HEM and Points'!$I$5:$I$14</xm:f>
          </x14:formula1>
          <xm:sqref>F28 H28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42573-E633-4F07-8944-CC94F6A78E39}">
  <sheetPr codeName="Sheet1"/>
  <dimension ref="A1:J93"/>
  <sheetViews>
    <sheetView workbookViewId="0">
      <selection activeCell="B15" sqref="B15"/>
    </sheetView>
  </sheetViews>
  <sheetFormatPr defaultRowHeight="14.4" x14ac:dyDescent="0.3"/>
  <cols>
    <col min="1" max="1" width="63.6640625" bestFit="1" customWidth="1"/>
    <col min="2" max="2" width="19.33203125" bestFit="1" customWidth="1"/>
    <col min="3" max="3" width="14.44140625" bestFit="1" customWidth="1"/>
    <col min="4" max="5" width="18.6640625" bestFit="1" customWidth="1"/>
    <col min="6" max="6" width="11.109375" bestFit="1" customWidth="1"/>
    <col min="7" max="7" width="15.44140625" bestFit="1" customWidth="1"/>
    <col min="8" max="8" width="13.5546875" bestFit="1" customWidth="1"/>
    <col min="9" max="9" width="47.33203125" bestFit="1" customWidth="1"/>
    <col min="10" max="10" width="7.6640625" bestFit="1" customWidth="1"/>
  </cols>
  <sheetData>
    <row r="1" spans="1:10" ht="16.2" thickBot="1" x14ac:dyDescent="0.35">
      <c r="A1" s="217" t="s">
        <v>111</v>
      </c>
      <c r="B1" s="218"/>
      <c r="C1" s="218"/>
      <c r="D1" s="218"/>
      <c r="E1" s="224"/>
      <c r="F1" s="1"/>
      <c r="G1" s="1"/>
      <c r="H1" s="1"/>
    </row>
    <row r="2" spans="1:10" ht="30.6" x14ac:dyDescent="0.3">
      <c r="A2" s="105" t="s">
        <v>26</v>
      </c>
      <c r="B2" s="106" t="s">
        <v>43</v>
      </c>
      <c r="C2" s="106" t="s">
        <v>44</v>
      </c>
      <c r="D2" s="106" t="s">
        <v>37</v>
      </c>
      <c r="E2" s="107" t="s">
        <v>54</v>
      </c>
      <c r="F2" s="1"/>
      <c r="G2" s="1"/>
      <c r="H2" s="1"/>
      <c r="I2" s="130" t="s">
        <v>174</v>
      </c>
      <c r="J2" s="131" t="s">
        <v>176</v>
      </c>
    </row>
    <row r="3" spans="1:10" ht="15.6" x14ac:dyDescent="0.3">
      <c r="A3" s="108" t="s">
        <v>27</v>
      </c>
      <c r="B3" s="109"/>
      <c r="C3" s="109"/>
      <c r="D3" s="109"/>
      <c r="E3" s="110"/>
      <c r="F3" s="1"/>
      <c r="G3" s="1"/>
      <c r="H3" s="1"/>
      <c r="I3" s="111"/>
      <c r="J3" s="113"/>
    </row>
    <row r="4" spans="1:10" ht="15.6" x14ac:dyDescent="0.3">
      <c r="A4" s="111" t="s">
        <v>32</v>
      </c>
      <c r="B4" s="112">
        <v>8.2500000000000004E-2</v>
      </c>
      <c r="C4" s="112">
        <v>9.5000000000000001E-2</v>
      </c>
      <c r="D4" t="s">
        <v>38</v>
      </c>
      <c r="E4" s="113" t="s">
        <v>39</v>
      </c>
      <c r="H4" s="1"/>
      <c r="I4" s="132" t="s">
        <v>175</v>
      </c>
      <c r="J4" s="133" t="s">
        <v>176</v>
      </c>
    </row>
    <row r="5" spans="1:10" x14ac:dyDescent="0.3">
      <c r="A5" s="114" t="s">
        <v>33</v>
      </c>
      <c r="B5" s="112">
        <v>0.1075</v>
      </c>
      <c r="C5" s="112">
        <v>0.12</v>
      </c>
      <c r="D5" t="s">
        <v>42</v>
      </c>
      <c r="E5" s="113" t="s">
        <v>39</v>
      </c>
      <c r="I5" s="134" t="s">
        <v>177</v>
      </c>
      <c r="J5" s="135">
        <v>70</v>
      </c>
    </row>
    <row r="6" spans="1:10" x14ac:dyDescent="0.3">
      <c r="A6" s="114" t="s">
        <v>34</v>
      </c>
      <c r="B6" s="112">
        <v>0.1</v>
      </c>
      <c r="C6" s="112">
        <v>0.115</v>
      </c>
      <c r="D6" t="s">
        <v>40</v>
      </c>
      <c r="E6" s="113" t="s">
        <v>39</v>
      </c>
      <c r="I6" s="134" t="s">
        <v>178</v>
      </c>
      <c r="J6" s="135">
        <v>30</v>
      </c>
    </row>
    <row r="7" spans="1:10" x14ac:dyDescent="0.3">
      <c r="A7" s="114" t="s">
        <v>35</v>
      </c>
      <c r="B7" s="112">
        <v>0.105</v>
      </c>
      <c r="C7" s="112">
        <v>0.11749999999999999</v>
      </c>
      <c r="D7" t="s">
        <v>41</v>
      </c>
      <c r="E7" s="113" t="s">
        <v>39</v>
      </c>
      <c r="I7" s="134" t="s">
        <v>179</v>
      </c>
      <c r="J7" s="135">
        <v>-50</v>
      </c>
    </row>
    <row r="8" spans="1:10" x14ac:dyDescent="0.3">
      <c r="A8" s="114" t="s">
        <v>36</v>
      </c>
      <c r="B8" s="112">
        <v>0.10249999999999999</v>
      </c>
      <c r="C8" s="112">
        <v>0.11749999999999999</v>
      </c>
      <c r="D8" t="s">
        <v>38</v>
      </c>
      <c r="E8" s="113" t="s">
        <v>39</v>
      </c>
      <c r="I8" s="134" t="s">
        <v>180</v>
      </c>
      <c r="J8" s="135">
        <v>100</v>
      </c>
    </row>
    <row r="9" spans="1:10" x14ac:dyDescent="0.3">
      <c r="A9" s="114"/>
      <c r="B9" s="112"/>
      <c r="C9" s="112"/>
      <c r="E9" s="113"/>
      <c r="I9" s="134" t="s">
        <v>181</v>
      </c>
      <c r="J9" s="135">
        <v>50</v>
      </c>
    </row>
    <row r="10" spans="1:10" ht="15.6" x14ac:dyDescent="0.3">
      <c r="A10" s="108" t="s">
        <v>28</v>
      </c>
      <c r="B10" s="115"/>
      <c r="C10" s="115"/>
      <c r="D10" s="116"/>
      <c r="E10" s="117"/>
      <c r="I10" s="134" t="s">
        <v>182</v>
      </c>
      <c r="J10" s="135">
        <v>90</v>
      </c>
    </row>
    <row r="11" spans="1:10" x14ac:dyDescent="0.3">
      <c r="A11" s="114" t="s">
        <v>45</v>
      </c>
      <c r="B11" s="112">
        <v>0.10249999999999999</v>
      </c>
      <c r="C11" s="112">
        <v>0.12</v>
      </c>
      <c r="D11" t="s">
        <v>40</v>
      </c>
      <c r="E11" s="113" t="s">
        <v>39</v>
      </c>
      <c r="I11" s="134" t="s">
        <v>183</v>
      </c>
      <c r="J11" s="135">
        <v>30</v>
      </c>
    </row>
    <row r="12" spans="1:10" x14ac:dyDescent="0.3">
      <c r="A12" s="114" t="s">
        <v>46</v>
      </c>
      <c r="B12" s="112">
        <v>9.7500000000000003E-2</v>
      </c>
      <c r="C12" s="112">
        <v>0.11</v>
      </c>
      <c r="D12" t="s">
        <v>41</v>
      </c>
      <c r="E12" s="113" t="s">
        <v>39</v>
      </c>
      <c r="I12" s="134" t="s">
        <v>184</v>
      </c>
      <c r="J12" s="135">
        <v>10</v>
      </c>
    </row>
    <row r="13" spans="1:10" x14ac:dyDescent="0.3">
      <c r="A13" s="111"/>
      <c r="B13" s="112"/>
      <c r="C13" s="112"/>
      <c r="E13" s="113"/>
      <c r="I13" s="134" t="s">
        <v>185</v>
      </c>
      <c r="J13" s="135">
        <v>10</v>
      </c>
    </row>
    <row r="14" spans="1:10" ht="15.6" x14ac:dyDescent="0.3">
      <c r="A14" s="108" t="s">
        <v>29</v>
      </c>
      <c r="B14" s="115"/>
      <c r="C14" s="115"/>
      <c r="D14" s="116"/>
      <c r="E14" s="117"/>
      <c r="I14" s="134" t="s">
        <v>186</v>
      </c>
      <c r="J14" s="135">
        <v>0</v>
      </c>
    </row>
    <row r="15" spans="1:10" x14ac:dyDescent="0.3">
      <c r="A15" s="114" t="s">
        <v>47</v>
      </c>
      <c r="B15" s="112">
        <v>5.2499999999999998E-2</v>
      </c>
      <c r="C15" s="112"/>
      <c r="D15" t="s">
        <v>112</v>
      </c>
      <c r="E15" s="113" t="s">
        <v>39</v>
      </c>
      <c r="I15" s="111"/>
      <c r="J15" s="113"/>
    </row>
    <row r="16" spans="1:10" x14ac:dyDescent="0.3">
      <c r="A16" s="114" t="s">
        <v>48</v>
      </c>
      <c r="B16" s="112">
        <v>6.5000000000000002E-2</v>
      </c>
      <c r="C16" s="112"/>
      <c r="D16" t="s">
        <v>49</v>
      </c>
      <c r="E16" s="113" t="s">
        <v>39</v>
      </c>
      <c r="I16" s="111"/>
      <c r="J16" s="113"/>
    </row>
    <row r="17" spans="1:10" x14ac:dyDescent="0.3">
      <c r="A17" s="114"/>
      <c r="B17" s="112"/>
      <c r="C17" s="112"/>
      <c r="E17" s="113"/>
      <c r="I17" s="136" t="s">
        <v>187</v>
      </c>
      <c r="J17" s="113"/>
    </row>
    <row r="18" spans="1:10" ht="15.6" x14ac:dyDescent="0.3">
      <c r="A18" s="108" t="s">
        <v>30</v>
      </c>
      <c r="B18" s="115"/>
      <c r="C18" s="115"/>
      <c r="D18" s="116"/>
      <c r="E18" s="117"/>
      <c r="I18" s="132" t="s">
        <v>188</v>
      </c>
      <c r="J18" s="133" t="s">
        <v>176</v>
      </c>
    </row>
    <row r="19" spans="1:10" x14ac:dyDescent="0.3">
      <c r="A19" s="114" t="s">
        <v>113</v>
      </c>
      <c r="B19" s="112">
        <v>0.12</v>
      </c>
      <c r="C19" s="112"/>
      <c r="D19" t="s">
        <v>40</v>
      </c>
      <c r="E19" s="113" t="s">
        <v>39</v>
      </c>
      <c r="I19" s="134" t="s">
        <v>189</v>
      </c>
      <c r="J19" s="135">
        <v>70</v>
      </c>
    </row>
    <row r="20" spans="1:10" x14ac:dyDescent="0.3">
      <c r="A20" s="114" t="s">
        <v>50</v>
      </c>
      <c r="B20" s="112">
        <v>0.1</v>
      </c>
      <c r="C20" s="112"/>
      <c r="D20" t="s">
        <v>40</v>
      </c>
      <c r="E20" s="113" t="s">
        <v>39</v>
      </c>
      <c r="I20" s="134" t="s">
        <v>190</v>
      </c>
      <c r="J20" s="135">
        <v>40</v>
      </c>
    </row>
    <row r="21" spans="1:10" x14ac:dyDescent="0.3">
      <c r="A21" s="111"/>
      <c r="B21" s="112"/>
      <c r="C21" s="112"/>
      <c r="E21" s="113"/>
      <c r="I21" s="134" t="s">
        <v>191</v>
      </c>
      <c r="J21" s="135">
        <v>10</v>
      </c>
    </row>
    <row r="22" spans="1:10" ht="15.6" x14ac:dyDescent="0.3">
      <c r="A22" s="108" t="s">
        <v>31</v>
      </c>
      <c r="B22" s="115"/>
      <c r="C22" s="115"/>
      <c r="D22" s="116"/>
      <c r="E22" s="117"/>
      <c r="I22" s="134" t="s">
        <v>192</v>
      </c>
      <c r="J22" s="135">
        <v>-50</v>
      </c>
    </row>
    <row r="23" spans="1:10" x14ac:dyDescent="0.3">
      <c r="A23" s="111" t="s">
        <v>114</v>
      </c>
      <c r="B23" s="112">
        <v>5.5E-2</v>
      </c>
      <c r="C23" s="112"/>
      <c r="D23" t="s">
        <v>51</v>
      </c>
      <c r="E23" s="113" t="s">
        <v>39</v>
      </c>
      <c r="I23" s="134" t="s">
        <v>193</v>
      </c>
      <c r="J23" s="135">
        <v>0</v>
      </c>
    </row>
    <row r="24" spans="1:10" x14ac:dyDescent="0.3">
      <c r="A24" s="111" t="s">
        <v>52</v>
      </c>
      <c r="B24" s="112">
        <v>0.06</v>
      </c>
      <c r="C24" s="112"/>
      <c r="D24" t="s">
        <v>51</v>
      </c>
      <c r="E24" s="113" t="s">
        <v>39</v>
      </c>
      <c r="I24" s="111"/>
      <c r="J24" s="113"/>
    </row>
    <row r="25" spans="1:10" x14ac:dyDescent="0.3">
      <c r="A25" s="118"/>
      <c r="B25" s="115"/>
      <c r="C25" s="115"/>
      <c r="D25" s="116"/>
      <c r="E25" s="117"/>
      <c r="I25" s="111"/>
      <c r="J25" s="113"/>
    </row>
    <row r="26" spans="1:10" ht="15.6" x14ac:dyDescent="0.3">
      <c r="A26" s="108" t="s">
        <v>53</v>
      </c>
      <c r="B26" s="115"/>
      <c r="C26" s="115"/>
      <c r="D26" s="116"/>
      <c r="E26" s="117"/>
      <c r="I26" s="136" t="s">
        <v>194</v>
      </c>
      <c r="J26" s="113"/>
    </row>
    <row r="27" spans="1:10" x14ac:dyDescent="0.3">
      <c r="A27" s="114" t="s">
        <v>55</v>
      </c>
      <c r="B27" s="112">
        <v>0.18</v>
      </c>
      <c r="C27" s="112"/>
      <c r="E27" s="113"/>
      <c r="I27" s="132" t="s">
        <v>175</v>
      </c>
      <c r="J27" s="133" t="s">
        <v>176</v>
      </c>
    </row>
    <row r="28" spans="1:10" x14ac:dyDescent="0.3">
      <c r="A28" s="111"/>
      <c r="E28" s="113"/>
      <c r="I28" s="134" t="s">
        <v>195</v>
      </c>
      <c r="J28" s="135">
        <v>70</v>
      </c>
    </row>
    <row r="29" spans="1:10" ht="15.6" x14ac:dyDescent="0.3">
      <c r="A29" s="108" t="s">
        <v>56</v>
      </c>
      <c r="B29" s="116"/>
      <c r="C29" s="116" t="s">
        <v>81</v>
      </c>
      <c r="D29" s="116"/>
      <c r="E29" s="117"/>
      <c r="I29" s="134" t="s">
        <v>196</v>
      </c>
      <c r="J29" s="135">
        <v>40</v>
      </c>
    </row>
    <row r="30" spans="1:10" ht="15.6" x14ac:dyDescent="0.3">
      <c r="A30" s="108"/>
      <c r="B30" s="116" t="s">
        <v>80</v>
      </c>
      <c r="C30" s="116" t="s">
        <v>82</v>
      </c>
      <c r="D30" s="116"/>
      <c r="E30" s="117"/>
      <c r="I30" s="134" t="s">
        <v>97</v>
      </c>
      <c r="J30" s="135">
        <v>20</v>
      </c>
    </row>
    <row r="31" spans="1:10" x14ac:dyDescent="0.3">
      <c r="A31" s="111" t="s">
        <v>57</v>
      </c>
      <c r="B31" s="112">
        <v>0.04</v>
      </c>
      <c r="C31" s="112">
        <v>0.06</v>
      </c>
      <c r="D31" t="s">
        <v>59</v>
      </c>
      <c r="E31" s="113" t="s">
        <v>39</v>
      </c>
      <c r="I31" s="111"/>
      <c r="J31" s="113"/>
    </row>
    <row r="32" spans="1:10" x14ac:dyDescent="0.3">
      <c r="A32" s="111" t="s">
        <v>58</v>
      </c>
      <c r="B32" s="112">
        <v>0.05</v>
      </c>
      <c r="C32" s="112">
        <v>7.0000000000000007E-2</v>
      </c>
      <c r="D32" t="s">
        <v>60</v>
      </c>
      <c r="E32" s="113" t="s">
        <v>39</v>
      </c>
      <c r="I32" s="111"/>
      <c r="J32" s="113"/>
    </row>
    <row r="33" spans="1:10" x14ac:dyDescent="0.3">
      <c r="A33" s="111"/>
      <c r="E33" s="113"/>
      <c r="I33" s="136" t="s">
        <v>197</v>
      </c>
      <c r="J33" s="113"/>
    </row>
    <row r="34" spans="1:10" x14ac:dyDescent="0.3">
      <c r="A34" s="111"/>
      <c r="E34" s="113"/>
      <c r="I34" s="132" t="s">
        <v>175</v>
      </c>
      <c r="J34" s="133" t="s">
        <v>176</v>
      </c>
    </row>
    <row r="35" spans="1:10" ht="15.6" x14ac:dyDescent="0.3">
      <c r="A35" s="105" t="s">
        <v>61</v>
      </c>
      <c r="B35" s="6"/>
      <c r="C35" s="6"/>
      <c r="D35" s="6"/>
      <c r="E35" s="119"/>
      <c r="I35" s="134" t="s">
        <v>198</v>
      </c>
      <c r="J35" s="135">
        <v>100</v>
      </c>
    </row>
    <row r="36" spans="1:10" x14ac:dyDescent="0.3">
      <c r="A36" s="111" t="s">
        <v>117</v>
      </c>
      <c r="B36" t="s">
        <v>115</v>
      </c>
      <c r="D36" t="s">
        <v>66</v>
      </c>
      <c r="E36" s="113"/>
      <c r="I36" s="134" t="s">
        <v>199</v>
      </c>
      <c r="J36" s="135">
        <v>70</v>
      </c>
    </row>
    <row r="37" spans="1:10" x14ac:dyDescent="0.3">
      <c r="A37" s="111" t="s">
        <v>118</v>
      </c>
      <c r="B37" t="s">
        <v>65</v>
      </c>
      <c r="D37" t="s">
        <v>67</v>
      </c>
      <c r="E37" s="113"/>
      <c r="I37" s="134" t="s">
        <v>200</v>
      </c>
      <c r="J37" s="135">
        <v>40</v>
      </c>
    </row>
    <row r="38" spans="1:10" x14ac:dyDescent="0.3">
      <c r="A38" s="111" t="s">
        <v>119</v>
      </c>
      <c r="B38" t="s">
        <v>64</v>
      </c>
      <c r="E38" s="113"/>
      <c r="I38" s="134" t="s">
        <v>201</v>
      </c>
      <c r="J38" s="135">
        <v>-50</v>
      </c>
    </row>
    <row r="39" spans="1:10" x14ac:dyDescent="0.3">
      <c r="A39" s="111"/>
      <c r="E39" s="113"/>
      <c r="I39" s="134" t="s">
        <v>202</v>
      </c>
      <c r="J39" s="135">
        <v>-70</v>
      </c>
    </row>
    <row r="40" spans="1:10" ht="15.6" x14ac:dyDescent="0.3">
      <c r="A40" s="105" t="s">
        <v>68</v>
      </c>
      <c r="B40" s="6"/>
      <c r="C40" s="6"/>
      <c r="D40" s="6"/>
      <c r="E40" s="119"/>
      <c r="I40" s="111"/>
      <c r="J40" s="113"/>
    </row>
    <row r="41" spans="1:10" x14ac:dyDescent="0.3">
      <c r="A41" s="111" t="s">
        <v>62</v>
      </c>
      <c r="B41" t="s">
        <v>115</v>
      </c>
      <c r="D41" t="s">
        <v>66</v>
      </c>
      <c r="E41" s="113"/>
      <c r="I41" s="111"/>
      <c r="J41" s="113"/>
    </row>
    <row r="42" spans="1:10" x14ac:dyDescent="0.3">
      <c r="A42" s="111" t="s">
        <v>63</v>
      </c>
      <c r="B42" t="s">
        <v>65</v>
      </c>
      <c r="D42" t="s">
        <v>67</v>
      </c>
      <c r="E42" s="113"/>
      <c r="I42" s="136" t="s">
        <v>203</v>
      </c>
      <c r="J42" s="113"/>
    </row>
    <row r="43" spans="1:10" ht="15" thickBot="1" x14ac:dyDescent="0.35">
      <c r="A43" s="120" t="s">
        <v>120</v>
      </c>
      <c r="B43" s="121" t="s">
        <v>64</v>
      </c>
      <c r="C43" s="121"/>
      <c r="D43" s="121"/>
      <c r="E43" s="122"/>
      <c r="I43" s="132" t="s">
        <v>188</v>
      </c>
      <c r="J43" s="133" t="s">
        <v>176</v>
      </c>
    </row>
    <row r="44" spans="1:10" x14ac:dyDescent="0.3">
      <c r="I44" s="134" t="s">
        <v>204</v>
      </c>
      <c r="J44" s="135">
        <v>100</v>
      </c>
    </row>
    <row r="45" spans="1:10" ht="15" thickBot="1" x14ac:dyDescent="0.35">
      <c r="I45" s="134" t="s">
        <v>205</v>
      </c>
      <c r="J45" s="135">
        <v>70</v>
      </c>
    </row>
    <row r="46" spans="1:10" ht="15.6" x14ac:dyDescent="0.3">
      <c r="A46" s="221" t="s">
        <v>246</v>
      </c>
      <c r="B46" s="222"/>
      <c r="C46" s="222"/>
      <c r="D46" s="222"/>
      <c r="E46" s="222"/>
      <c r="F46" s="222"/>
      <c r="G46" s="223"/>
      <c r="I46" s="134" t="s">
        <v>206</v>
      </c>
      <c r="J46" s="135">
        <v>20</v>
      </c>
    </row>
    <row r="47" spans="1:10" x14ac:dyDescent="0.3">
      <c r="A47" s="123" t="s">
        <v>247</v>
      </c>
      <c r="B47" s="29" t="s">
        <v>248</v>
      </c>
      <c r="C47" s="29" t="s">
        <v>249</v>
      </c>
      <c r="D47" s="29" t="s">
        <v>250</v>
      </c>
      <c r="E47" s="29" t="s">
        <v>251</v>
      </c>
      <c r="F47" s="29" t="s">
        <v>252</v>
      </c>
      <c r="G47" s="124" t="s">
        <v>253</v>
      </c>
      <c r="I47" s="134" t="s">
        <v>207</v>
      </c>
      <c r="J47" s="135">
        <v>-20</v>
      </c>
    </row>
    <row r="48" spans="1:10" x14ac:dyDescent="0.3">
      <c r="A48" s="125">
        <v>40000</v>
      </c>
      <c r="B48" s="30">
        <v>32400</v>
      </c>
      <c r="C48" s="30">
        <v>60000</v>
      </c>
      <c r="D48" s="30"/>
      <c r="E48" s="30"/>
      <c r="F48" s="30"/>
      <c r="G48" s="126"/>
      <c r="I48" s="111"/>
      <c r="J48" s="113"/>
    </row>
    <row r="49" spans="1:10" x14ac:dyDescent="0.3">
      <c r="A49" s="125">
        <v>50000</v>
      </c>
      <c r="B49" s="30">
        <v>32400</v>
      </c>
      <c r="C49" s="30">
        <v>170500</v>
      </c>
      <c r="D49" s="30">
        <v>39000</v>
      </c>
      <c r="E49" s="30">
        <v>89000</v>
      </c>
      <c r="F49" s="30"/>
      <c r="G49" s="126"/>
      <c r="I49" s="111"/>
      <c r="J49" s="113"/>
    </row>
    <row r="50" spans="1:10" x14ac:dyDescent="0.3">
      <c r="A50" s="125">
        <v>60000</v>
      </c>
      <c r="B50" s="30">
        <v>32400</v>
      </c>
      <c r="C50" s="30">
        <v>230500</v>
      </c>
      <c r="D50" s="30">
        <v>39000</v>
      </c>
      <c r="E50" s="30">
        <v>137430</v>
      </c>
      <c r="F50" s="30"/>
      <c r="G50" s="126"/>
      <c r="I50" s="136" t="s">
        <v>208</v>
      </c>
      <c r="J50" s="113"/>
    </row>
    <row r="51" spans="1:10" x14ac:dyDescent="0.3">
      <c r="A51" s="125">
        <v>70000</v>
      </c>
      <c r="B51" s="30">
        <v>32400</v>
      </c>
      <c r="C51" s="30">
        <v>300000</v>
      </c>
      <c r="D51" s="30">
        <v>40100</v>
      </c>
      <c r="E51" s="30">
        <v>200400</v>
      </c>
      <c r="F51" s="30"/>
      <c r="G51" s="126"/>
      <c r="I51" s="132" t="s">
        <v>188</v>
      </c>
      <c r="J51" s="133" t="s">
        <v>176</v>
      </c>
    </row>
    <row r="52" spans="1:10" x14ac:dyDescent="0.3">
      <c r="A52" s="125">
        <v>80000</v>
      </c>
      <c r="B52" s="30">
        <v>32400</v>
      </c>
      <c r="C52" s="30">
        <v>340000</v>
      </c>
      <c r="D52" s="30">
        <v>41200</v>
      </c>
      <c r="E52" s="30">
        <v>266900</v>
      </c>
      <c r="F52" s="30">
        <v>50000</v>
      </c>
      <c r="G52" s="126">
        <v>195900</v>
      </c>
      <c r="I52" s="134" t="s">
        <v>204</v>
      </c>
      <c r="J52" s="135">
        <v>80</v>
      </c>
    </row>
    <row r="53" spans="1:10" x14ac:dyDescent="0.3">
      <c r="A53" s="125">
        <v>90000</v>
      </c>
      <c r="B53" s="30">
        <v>32400</v>
      </c>
      <c r="C53" s="30">
        <v>415000</v>
      </c>
      <c r="D53" s="30">
        <v>43500</v>
      </c>
      <c r="E53" s="30">
        <v>335500</v>
      </c>
      <c r="F53" s="30">
        <v>50000</v>
      </c>
      <c r="G53" s="126">
        <v>260500</v>
      </c>
      <c r="I53" s="134" t="s">
        <v>205</v>
      </c>
      <c r="J53" s="135">
        <v>50</v>
      </c>
    </row>
    <row r="54" spans="1:10" x14ac:dyDescent="0.3">
      <c r="A54" s="125">
        <v>100000</v>
      </c>
      <c r="B54" s="30">
        <v>32400</v>
      </c>
      <c r="C54" s="30">
        <v>485000</v>
      </c>
      <c r="D54" s="30">
        <v>45360</v>
      </c>
      <c r="E54" s="30">
        <v>405500</v>
      </c>
      <c r="F54" s="30">
        <v>58320</v>
      </c>
      <c r="G54" s="126">
        <v>327000</v>
      </c>
      <c r="I54" s="134" t="s">
        <v>206</v>
      </c>
      <c r="J54" s="135">
        <v>10</v>
      </c>
    </row>
    <row r="55" spans="1:10" x14ac:dyDescent="0.3">
      <c r="A55" s="125">
        <v>125000</v>
      </c>
      <c r="B55" s="30">
        <v>32400</v>
      </c>
      <c r="C55" s="30">
        <v>645500</v>
      </c>
      <c r="D55" s="30">
        <v>50360</v>
      </c>
      <c r="E55" s="30">
        <v>554700</v>
      </c>
      <c r="F55" s="30">
        <v>68320</v>
      </c>
      <c r="G55" s="126">
        <v>465600</v>
      </c>
      <c r="I55" s="134" t="s">
        <v>207</v>
      </c>
      <c r="J55" s="135">
        <v>-40</v>
      </c>
    </row>
    <row r="56" spans="1:10" x14ac:dyDescent="0.3">
      <c r="A56" s="125">
        <v>150000</v>
      </c>
      <c r="B56" s="30">
        <v>32400</v>
      </c>
      <c r="C56" s="30">
        <v>817500</v>
      </c>
      <c r="D56" s="30">
        <v>55360</v>
      </c>
      <c r="E56" s="30">
        <v>677900</v>
      </c>
      <c r="F56" s="30">
        <v>78320</v>
      </c>
      <c r="G56" s="126">
        <v>538600</v>
      </c>
      <c r="I56" s="111"/>
      <c r="J56" s="113"/>
    </row>
    <row r="57" spans="1:10" x14ac:dyDescent="0.3">
      <c r="A57" s="125">
        <v>200000</v>
      </c>
      <c r="B57" s="30">
        <v>32400</v>
      </c>
      <c r="C57" s="30">
        <v>1144000</v>
      </c>
      <c r="D57" s="30">
        <v>60360</v>
      </c>
      <c r="E57" s="30">
        <v>968500</v>
      </c>
      <c r="F57" s="30">
        <v>88320</v>
      </c>
      <c r="G57" s="126">
        <v>792800</v>
      </c>
      <c r="I57" s="111"/>
      <c r="J57" s="113"/>
    </row>
    <row r="58" spans="1:10" ht="15" thickBot="1" x14ac:dyDescent="0.35">
      <c r="A58" s="127">
        <v>500000</v>
      </c>
      <c r="B58" s="128">
        <v>32400</v>
      </c>
      <c r="C58" s="128">
        <v>3140500</v>
      </c>
      <c r="D58" s="128">
        <v>70360</v>
      </c>
      <c r="E58" s="128">
        <v>2806967</v>
      </c>
      <c r="F58" s="128">
        <v>108320</v>
      </c>
      <c r="G58" s="129">
        <v>2472763</v>
      </c>
      <c r="I58" s="136" t="s">
        <v>209</v>
      </c>
      <c r="J58" s="113"/>
    </row>
    <row r="59" spans="1:10" x14ac:dyDescent="0.3">
      <c r="I59" s="132" t="s">
        <v>188</v>
      </c>
      <c r="J59" s="133" t="s">
        <v>176</v>
      </c>
    </row>
    <row r="60" spans="1:10" x14ac:dyDescent="0.3">
      <c r="I60" s="134" t="s">
        <v>210</v>
      </c>
      <c r="J60" s="135">
        <v>-20</v>
      </c>
    </row>
    <row r="61" spans="1:10" x14ac:dyDescent="0.3">
      <c r="I61" s="134" t="s">
        <v>211</v>
      </c>
      <c r="J61" s="135">
        <v>50</v>
      </c>
    </row>
    <row r="62" spans="1:10" x14ac:dyDescent="0.3">
      <c r="I62" s="134" t="s">
        <v>212</v>
      </c>
      <c r="J62" s="135">
        <v>70</v>
      </c>
    </row>
    <row r="63" spans="1:10" x14ac:dyDescent="0.3">
      <c r="I63" s="134" t="s">
        <v>213</v>
      </c>
      <c r="J63" s="135">
        <v>-50</v>
      </c>
    </row>
    <row r="64" spans="1:10" x14ac:dyDescent="0.3">
      <c r="I64" s="111"/>
      <c r="J64" s="113"/>
    </row>
    <row r="65" spans="9:10" x14ac:dyDescent="0.3">
      <c r="I65" s="111"/>
      <c r="J65" s="113"/>
    </row>
    <row r="66" spans="9:10" x14ac:dyDescent="0.3">
      <c r="I66" s="136" t="s">
        <v>214</v>
      </c>
      <c r="J66" s="113"/>
    </row>
    <row r="67" spans="9:10" x14ac:dyDescent="0.3">
      <c r="I67" s="132" t="s">
        <v>188</v>
      </c>
      <c r="J67" s="133" t="s">
        <v>176</v>
      </c>
    </row>
    <row r="68" spans="9:10" x14ac:dyDescent="0.3">
      <c r="I68" s="134" t="s">
        <v>215</v>
      </c>
      <c r="J68" s="135">
        <v>-400</v>
      </c>
    </row>
    <row r="69" spans="9:10" x14ac:dyDescent="0.3">
      <c r="I69" s="134" t="s">
        <v>216</v>
      </c>
      <c r="J69" s="135">
        <v>40</v>
      </c>
    </row>
    <row r="70" spans="9:10" x14ac:dyDescent="0.3">
      <c r="I70" s="134" t="s">
        <v>217</v>
      </c>
      <c r="J70" s="135">
        <v>80</v>
      </c>
    </row>
    <row r="71" spans="9:10" x14ac:dyDescent="0.3">
      <c r="I71" s="134" t="s">
        <v>218</v>
      </c>
      <c r="J71" s="135">
        <v>10</v>
      </c>
    </row>
    <row r="72" spans="9:10" x14ac:dyDescent="0.3">
      <c r="I72" s="134" t="s">
        <v>219</v>
      </c>
      <c r="J72" s="135">
        <v>-400</v>
      </c>
    </row>
    <row r="73" spans="9:10" x14ac:dyDescent="0.3">
      <c r="I73" s="111"/>
      <c r="J73" s="113"/>
    </row>
    <row r="74" spans="9:10" x14ac:dyDescent="0.3">
      <c r="I74" s="111"/>
      <c r="J74" s="113"/>
    </row>
    <row r="75" spans="9:10" x14ac:dyDescent="0.3">
      <c r="I75" s="136" t="s">
        <v>220</v>
      </c>
      <c r="J75" s="113"/>
    </row>
    <row r="76" spans="9:10" x14ac:dyDescent="0.3">
      <c r="I76" s="132" t="s">
        <v>175</v>
      </c>
      <c r="J76" s="133" t="s">
        <v>176</v>
      </c>
    </row>
    <row r="77" spans="9:10" x14ac:dyDescent="0.3">
      <c r="I77" s="134" t="s">
        <v>221</v>
      </c>
      <c r="J77" s="135">
        <v>100</v>
      </c>
    </row>
    <row r="78" spans="9:10" x14ac:dyDescent="0.3">
      <c r="I78" s="134" t="s">
        <v>222</v>
      </c>
      <c r="J78" s="135">
        <v>0</v>
      </c>
    </row>
    <row r="79" spans="9:10" x14ac:dyDescent="0.3">
      <c r="I79" s="111"/>
      <c r="J79" s="113"/>
    </row>
    <row r="80" spans="9:10" x14ac:dyDescent="0.3">
      <c r="I80" s="111"/>
      <c r="J80" s="113"/>
    </row>
    <row r="81" spans="9:10" x14ac:dyDescent="0.3">
      <c r="I81" s="136" t="s">
        <v>223</v>
      </c>
      <c r="J81" s="113"/>
    </row>
    <row r="82" spans="9:10" x14ac:dyDescent="0.3">
      <c r="I82" s="132" t="s">
        <v>175</v>
      </c>
      <c r="J82" s="133" t="s">
        <v>176</v>
      </c>
    </row>
    <row r="83" spans="9:10" x14ac:dyDescent="0.3">
      <c r="I83" s="134" t="s">
        <v>224</v>
      </c>
      <c r="J83" s="135">
        <v>100</v>
      </c>
    </row>
    <row r="84" spans="9:10" x14ac:dyDescent="0.3">
      <c r="I84" s="134" t="s">
        <v>225</v>
      </c>
      <c r="J84" s="135">
        <v>10</v>
      </c>
    </row>
    <row r="85" spans="9:10" x14ac:dyDescent="0.3">
      <c r="I85" s="134" t="s">
        <v>226</v>
      </c>
      <c r="J85" s="135">
        <v>-250</v>
      </c>
    </row>
    <row r="86" spans="9:10" x14ac:dyDescent="0.3">
      <c r="I86" s="134" t="s">
        <v>227</v>
      </c>
      <c r="J86" s="135">
        <v>-600</v>
      </c>
    </row>
    <row r="87" spans="9:10" x14ac:dyDescent="0.3">
      <c r="I87" s="134" t="s">
        <v>228</v>
      </c>
      <c r="J87" s="135">
        <v>0</v>
      </c>
    </row>
    <row r="88" spans="9:10" x14ac:dyDescent="0.3">
      <c r="I88" s="111"/>
      <c r="J88" s="113"/>
    </row>
    <row r="89" spans="9:10" x14ac:dyDescent="0.3">
      <c r="I89" s="136" t="s">
        <v>257</v>
      </c>
      <c r="J89" s="113"/>
    </row>
    <row r="90" spans="9:10" x14ac:dyDescent="0.3">
      <c r="I90" s="132" t="s">
        <v>175</v>
      </c>
      <c r="J90" s="133" t="s">
        <v>176</v>
      </c>
    </row>
    <row r="91" spans="9:10" x14ac:dyDescent="0.3">
      <c r="I91" s="134" t="s">
        <v>244</v>
      </c>
      <c r="J91" s="135" t="s">
        <v>258</v>
      </c>
    </row>
    <row r="92" spans="9:10" x14ac:dyDescent="0.3">
      <c r="I92" s="134" t="s">
        <v>259</v>
      </c>
      <c r="J92" s="135" t="s">
        <v>258</v>
      </c>
    </row>
    <row r="93" spans="9:10" ht="15" thickBot="1" x14ac:dyDescent="0.35">
      <c r="I93" s="137" t="s">
        <v>260</v>
      </c>
      <c r="J93" s="138" t="s">
        <v>258</v>
      </c>
    </row>
  </sheetData>
  <mergeCells count="2">
    <mergeCell ref="A46:G46"/>
    <mergeCell ref="A1:E1"/>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1</vt:lpstr>
      <vt:lpstr>Customer 2</vt:lpstr>
      <vt:lpstr>Customer 3</vt:lpstr>
      <vt:lpstr>Customer 4</vt:lpstr>
      <vt:lpstr>Customer 5</vt:lpstr>
      <vt:lpstr>Sb rate sheet, HEM and Points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Chiraag</dc:creator>
  <cp:lastModifiedBy>Chiraag Banerjee</cp:lastModifiedBy>
  <dcterms:created xsi:type="dcterms:W3CDTF">2018-04-15T05:30:46Z</dcterms:created>
  <dcterms:modified xsi:type="dcterms:W3CDTF">2025-09-03T09:47:29Z</dcterms:modified>
</cp:coreProperties>
</file>