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omesh Shanbhag\Downloads\"/>
    </mc:Choice>
  </mc:AlternateContent>
  <xr:revisionPtr revIDLastSave="0" documentId="8_{8FE4106B-6084-4F94-8165-4F88B4B0B7CA}" xr6:coauthVersionLast="47" xr6:coauthVersionMax="47" xr10:uidLastSave="{00000000-0000-0000-0000-000000000000}"/>
  <bookViews>
    <workbookView xWindow="0" yWindow="0" windowWidth="11520" windowHeight="12360" tabRatio="980" firstSheet="3" activeTab="9" xr2:uid="{00000000-000D-0000-FFFF-FFFF00000000}"/>
  </bookViews>
  <sheets>
    <sheet name="Balance Sheet - COL" sheetId="1" r:id="rId1"/>
    <sheet name="Balance Sheet - WOW" sheetId="11" r:id="rId2"/>
    <sheet name="Income Statement - COL" sheetId="3" r:id="rId3"/>
    <sheet name="Income Statement - WOW" sheetId="12" r:id="rId4"/>
    <sheet name="Sheet3" sheetId="18" state="hidden" r:id="rId5"/>
    <sheet name="Cash Flow Statement - COL" sheetId="7" r:id="rId6"/>
    <sheet name="Cash Flow Statement - WOW" sheetId="13" r:id="rId7"/>
    <sheet name="Market Cap - COL" sheetId="10" r:id="rId8"/>
    <sheet name="Market Cap - WOW" sheetId="14" r:id="rId9"/>
    <sheet name="Ratio Analysis - COL" sheetId="6" r:id="rId10"/>
    <sheet name="Ratio Analysis - WOW" sheetId="15" r:id="rId11"/>
    <sheet name="Graph" sheetId="17" state="hidden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02" i="17" l="1"/>
  <c r="F203" i="17"/>
  <c r="F204" i="17"/>
  <c r="F205" i="17"/>
  <c r="F206" i="17"/>
  <c r="F207" i="17"/>
  <c r="F187" i="17"/>
  <c r="F188" i="17"/>
  <c r="F189" i="17"/>
  <c r="F190" i="17"/>
  <c r="F191" i="17"/>
  <c r="F192" i="17"/>
  <c r="F173" i="17"/>
  <c r="F174" i="17"/>
  <c r="F175" i="17"/>
  <c r="F176" i="17"/>
  <c r="F177" i="17"/>
  <c r="F178" i="17"/>
  <c r="F158" i="17"/>
  <c r="F159" i="17"/>
  <c r="F160" i="17"/>
  <c r="F161" i="17"/>
  <c r="F162" i="17"/>
  <c r="F163" i="17"/>
  <c r="F143" i="17"/>
  <c r="F144" i="17"/>
  <c r="F145" i="17"/>
  <c r="F146" i="17"/>
  <c r="F147" i="17"/>
  <c r="F148" i="17"/>
  <c r="F149" i="17"/>
  <c r="F15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08" i="17"/>
  <c r="F109" i="17"/>
  <c r="F110" i="17"/>
  <c r="F111" i="17"/>
  <c r="F112" i="17"/>
  <c r="F113" i="17"/>
  <c r="F91" i="17"/>
  <c r="F92" i="17"/>
  <c r="F93" i="17"/>
  <c r="F94" i="17"/>
  <c r="F95" i="17"/>
  <c r="F96" i="17"/>
  <c r="F76" i="17"/>
  <c r="F77" i="17"/>
  <c r="F78" i="17"/>
  <c r="F79" i="17"/>
  <c r="F80" i="17"/>
  <c r="F81" i="17"/>
  <c r="F62" i="17"/>
  <c r="F63" i="17"/>
  <c r="F64" i="17"/>
  <c r="F65" i="17"/>
  <c r="F66" i="17"/>
  <c r="F61" i="17"/>
  <c r="F49" i="17"/>
  <c r="F50" i="17"/>
  <c r="F46" i="17"/>
  <c r="F47" i="17"/>
  <c r="F48" i="17"/>
  <c r="F45" i="17"/>
  <c r="F39" i="17"/>
  <c r="F38" i="17"/>
  <c r="F35" i="17"/>
  <c r="F36" i="17"/>
  <c r="F37" i="17"/>
  <c r="F34" i="17"/>
  <c r="F28" i="17"/>
  <c r="F27" i="17"/>
  <c r="F24" i="17"/>
  <c r="F25" i="17"/>
  <c r="F26" i="17"/>
  <c r="F23" i="17"/>
  <c r="B25" i="11"/>
  <c r="D33" i="15" s="1"/>
  <c r="C25" i="11"/>
  <c r="D21" i="15" s="1"/>
  <c r="D25" i="11"/>
  <c r="E21" i="15" s="1"/>
  <c r="E25" i="11"/>
  <c r="F22" i="15" s="1"/>
  <c r="F15" i="17"/>
  <c r="F18" i="17"/>
  <c r="F17" i="17"/>
  <c r="F14" i="17"/>
  <c r="F16" i="17"/>
  <c r="F13" i="17"/>
  <c r="F4" i="17"/>
  <c r="F5" i="17"/>
  <c r="F6" i="17"/>
  <c r="F7" i="17"/>
  <c r="F8" i="17"/>
  <c r="F9" i="17"/>
  <c r="F3" i="17"/>
  <c r="C146" i="17"/>
  <c r="D146" i="17"/>
  <c r="E146" i="17"/>
  <c r="B146" i="17"/>
  <c r="C145" i="17"/>
  <c r="D145" i="17"/>
  <c r="E145" i="17"/>
  <c r="B145" i="17"/>
  <c r="D23" i="6"/>
  <c r="E23" i="6"/>
  <c r="F23" i="6"/>
  <c r="C23" i="6"/>
  <c r="D23" i="15"/>
  <c r="E23" i="15"/>
  <c r="F23" i="15"/>
  <c r="C23" i="15"/>
  <c r="F29" i="15"/>
  <c r="E29" i="15"/>
  <c r="D29" i="15"/>
  <c r="C29" i="15"/>
  <c r="F28" i="15"/>
  <c r="F27" i="15"/>
  <c r="E27" i="15"/>
  <c r="D27" i="15"/>
  <c r="C27" i="15"/>
  <c r="F29" i="6"/>
  <c r="E29" i="6"/>
  <c r="D29" i="6"/>
  <c r="C29" i="6"/>
  <c r="C27" i="6"/>
  <c r="D27" i="6"/>
  <c r="E27" i="6"/>
  <c r="F27" i="6"/>
  <c r="K17" i="3"/>
  <c r="I6" i="7"/>
  <c r="L30" i="1"/>
  <c r="G10" i="11"/>
  <c r="H10" i="11"/>
  <c r="I10" i="11"/>
  <c r="J10" i="11"/>
  <c r="K10" i="11"/>
  <c r="L10" i="11"/>
  <c r="L46" i="11"/>
  <c r="L47" i="11"/>
  <c r="K46" i="11"/>
  <c r="K47" i="11"/>
  <c r="J46" i="11"/>
  <c r="J47" i="11"/>
  <c r="I46" i="11"/>
  <c r="I47" i="11"/>
  <c r="H46" i="11"/>
  <c r="H47" i="11"/>
  <c r="G46" i="11"/>
  <c r="G47" i="11"/>
  <c r="K25" i="3"/>
  <c r="H14" i="18"/>
  <c r="I14" i="18"/>
  <c r="J14" i="18"/>
  <c r="K14" i="18"/>
  <c r="C14" i="18"/>
  <c r="D14" i="18"/>
  <c r="E14" i="18"/>
  <c r="B14" i="18"/>
  <c r="K13" i="18"/>
  <c r="J13" i="18"/>
  <c r="I13" i="18"/>
  <c r="H13" i="18"/>
  <c r="K12" i="18"/>
  <c r="J12" i="18"/>
  <c r="I12" i="18"/>
  <c r="H12" i="18"/>
  <c r="K11" i="18"/>
  <c r="J11" i="18"/>
  <c r="I11" i="18"/>
  <c r="H11" i="18"/>
  <c r="K10" i="18"/>
  <c r="J10" i="18"/>
  <c r="I10" i="18"/>
  <c r="H10" i="18"/>
  <c r="K9" i="18"/>
  <c r="J9" i="18"/>
  <c r="I9" i="18"/>
  <c r="H9" i="18"/>
  <c r="K8" i="18"/>
  <c r="J8" i="18"/>
  <c r="I8" i="18"/>
  <c r="H8" i="18"/>
  <c r="K7" i="18"/>
  <c r="J7" i="18"/>
  <c r="I7" i="18"/>
  <c r="H7" i="18"/>
  <c r="K6" i="18"/>
  <c r="J6" i="18"/>
  <c r="I6" i="18"/>
  <c r="H6" i="18"/>
  <c r="K5" i="18"/>
  <c r="J5" i="18"/>
  <c r="I5" i="18"/>
  <c r="H5" i="18"/>
  <c r="K4" i="18"/>
  <c r="J4" i="18"/>
  <c r="I4" i="18"/>
  <c r="H4" i="18"/>
  <c r="K3" i="18"/>
  <c r="J3" i="18"/>
  <c r="I3" i="18"/>
  <c r="H3" i="18"/>
  <c r="K2" i="18"/>
  <c r="J2" i="18"/>
  <c r="I2" i="18"/>
  <c r="H2" i="18"/>
  <c r="K38" i="1"/>
  <c r="M22" i="12"/>
  <c r="M24" i="12"/>
  <c r="M25" i="12"/>
  <c r="M27" i="12"/>
  <c r="M29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6" i="12"/>
  <c r="M5" i="12"/>
  <c r="M24" i="3"/>
  <c r="M27" i="3"/>
  <c r="L11" i="3"/>
  <c r="L12" i="3"/>
  <c r="L13" i="3"/>
  <c r="L14" i="3"/>
  <c r="L15" i="3"/>
  <c r="L16" i="3"/>
  <c r="L17" i="3"/>
  <c r="L18" i="3"/>
  <c r="L19" i="3"/>
  <c r="L20" i="3"/>
  <c r="L9" i="3"/>
  <c r="M9" i="3"/>
  <c r="M10" i="3"/>
  <c r="M11" i="3"/>
  <c r="M12" i="3"/>
  <c r="M13" i="3"/>
  <c r="M14" i="3"/>
  <c r="M15" i="3"/>
  <c r="M16" i="3"/>
  <c r="M17" i="3"/>
  <c r="M18" i="3"/>
  <c r="M19" i="3"/>
  <c r="M20" i="3"/>
  <c r="M5" i="3"/>
  <c r="L11" i="12"/>
  <c r="L12" i="12"/>
  <c r="L13" i="12"/>
  <c r="L14" i="12"/>
  <c r="L15" i="12"/>
  <c r="L16" i="12"/>
  <c r="L17" i="12"/>
  <c r="L18" i="12"/>
  <c r="L19" i="12"/>
  <c r="L20" i="12"/>
  <c r="L9" i="12"/>
  <c r="L10" i="12"/>
  <c r="D32" i="15"/>
  <c r="E32" i="15"/>
  <c r="F32" i="15"/>
  <c r="C32" i="15"/>
  <c r="D28" i="15"/>
  <c r="E28" i="15"/>
  <c r="C28" i="15"/>
  <c r="D24" i="15"/>
  <c r="E24" i="15"/>
  <c r="F24" i="15"/>
  <c r="C24" i="15"/>
  <c r="F21" i="15"/>
  <c r="C21" i="6"/>
  <c r="D20" i="15"/>
  <c r="E20" i="15"/>
  <c r="F20" i="15"/>
  <c r="C20" i="15"/>
  <c r="D17" i="15"/>
  <c r="E17" i="15"/>
  <c r="F17" i="15"/>
  <c r="C17" i="15"/>
  <c r="D16" i="15"/>
  <c r="E16" i="15"/>
  <c r="F16" i="15"/>
  <c r="C16" i="15"/>
  <c r="D16" i="6"/>
  <c r="E16" i="6"/>
  <c r="F16" i="6"/>
  <c r="C16" i="6"/>
  <c r="D15" i="15"/>
  <c r="E15" i="15"/>
  <c r="F15" i="15"/>
  <c r="C15" i="15"/>
  <c r="E12" i="15"/>
  <c r="F12" i="15"/>
  <c r="D12" i="15"/>
  <c r="E11" i="15"/>
  <c r="F11" i="15"/>
  <c r="D11" i="15"/>
  <c r="D7" i="15"/>
  <c r="E7" i="15"/>
  <c r="F7" i="15"/>
  <c r="C7" i="15"/>
  <c r="D6" i="15"/>
  <c r="E6" i="15"/>
  <c r="F6" i="15"/>
  <c r="C6" i="15"/>
  <c r="F4" i="15"/>
  <c r="E4" i="15"/>
  <c r="D4" i="15"/>
  <c r="D11" i="6"/>
  <c r="L6" i="13"/>
  <c r="L5" i="13"/>
  <c r="L4" i="13"/>
  <c r="K6" i="13"/>
  <c r="K5" i="13"/>
  <c r="K4" i="13"/>
  <c r="E4" i="14"/>
  <c r="D4" i="14"/>
  <c r="C4" i="14"/>
  <c r="B4" i="14"/>
  <c r="I6" i="13"/>
  <c r="J6" i="13" s="1"/>
  <c r="H6" i="13"/>
  <c r="G6" i="13"/>
  <c r="I5" i="13"/>
  <c r="J5" i="13" s="1"/>
  <c r="H5" i="13"/>
  <c r="G5" i="13"/>
  <c r="I4" i="13"/>
  <c r="J4" i="13" s="1"/>
  <c r="H4" i="13"/>
  <c r="G4" i="13"/>
  <c r="L5" i="7"/>
  <c r="L6" i="7"/>
  <c r="L4" i="7"/>
  <c r="J6" i="7"/>
  <c r="J4" i="7"/>
  <c r="I5" i="7"/>
  <c r="J5" i="7" s="1"/>
  <c r="I4" i="7"/>
  <c r="K10" i="12"/>
  <c r="K11" i="12"/>
  <c r="K12" i="12"/>
  <c r="K13" i="12"/>
  <c r="K14" i="12"/>
  <c r="K15" i="12"/>
  <c r="K16" i="12"/>
  <c r="K17" i="12"/>
  <c r="K18" i="12"/>
  <c r="K19" i="12"/>
  <c r="K20" i="12"/>
  <c r="J10" i="12"/>
  <c r="J11" i="12"/>
  <c r="J12" i="12"/>
  <c r="J13" i="12"/>
  <c r="J14" i="12"/>
  <c r="J15" i="12"/>
  <c r="J16" i="12"/>
  <c r="J17" i="12"/>
  <c r="J18" i="12"/>
  <c r="J19" i="12"/>
  <c r="J20" i="12"/>
  <c r="I10" i="12"/>
  <c r="I11" i="12"/>
  <c r="I12" i="12"/>
  <c r="I13" i="12"/>
  <c r="I14" i="12"/>
  <c r="I15" i="12"/>
  <c r="I16" i="12"/>
  <c r="I17" i="12"/>
  <c r="I18" i="12"/>
  <c r="I19" i="12"/>
  <c r="I20" i="12"/>
  <c r="H10" i="12"/>
  <c r="H11" i="12"/>
  <c r="H12" i="12"/>
  <c r="H13" i="12"/>
  <c r="H14" i="12"/>
  <c r="H15" i="12"/>
  <c r="H16" i="12"/>
  <c r="H17" i="12"/>
  <c r="H18" i="12"/>
  <c r="H19" i="12"/>
  <c r="H20" i="12"/>
  <c r="E17" i="12"/>
  <c r="C22" i="12"/>
  <c r="C25" i="12" s="1"/>
  <c r="C29" i="12" s="1"/>
  <c r="D22" i="12"/>
  <c r="L22" i="12" s="1"/>
  <c r="E22" i="12"/>
  <c r="L27" i="12"/>
  <c r="J27" i="12"/>
  <c r="H27" i="12"/>
  <c r="L24" i="12"/>
  <c r="K24" i="12"/>
  <c r="J24" i="12"/>
  <c r="I24" i="12"/>
  <c r="H24" i="12"/>
  <c r="B22" i="12"/>
  <c r="B25" i="12" s="1"/>
  <c r="B29" i="12" s="1"/>
  <c r="K9" i="12"/>
  <c r="J9" i="12"/>
  <c r="I9" i="12"/>
  <c r="H9" i="12"/>
  <c r="L6" i="12"/>
  <c r="K6" i="12"/>
  <c r="J6" i="12"/>
  <c r="I6" i="12"/>
  <c r="L5" i="12"/>
  <c r="K5" i="12"/>
  <c r="J5" i="12"/>
  <c r="I5" i="12"/>
  <c r="H5" i="12"/>
  <c r="C47" i="11"/>
  <c r="D47" i="11"/>
  <c r="E47" i="11"/>
  <c r="B47" i="11"/>
  <c r="G31" i="11"/>
  <c r="J31" i="11"/>
  <c r="I31" i="11"/>
  <c r="C32" i="11"/>
  <c r="B32" i="11"/>
  <c r="D32" i="11"/>
  <c r="E32" i="11"/>
  <c r="B38" i="11"/>
  <c r="C38" i="11"/>
  <c r="D38" i="11"/>
  <c r="E38" i="11"/>
  <c r="H16" i="11"/>
  <c r="I16" i="11"/>
  <c r="J16" i="11"/>
  <c r="L16" i="11"/>
  <c r="G16" i="11"/>
  <c r="C23" i="11"/>
  <c r="D23" i="11"/>
  <c r="E23" i="11"/>
  <c r="B23" i="11"/>
  <c r="J45" i="11"/>
  <c r="I45" i="11"/>
  <c r="H45" i="11"/>
  <c r="G45" i="11"/>
  <c r="J44" i="11"/>
  <c r="I44" i="11"/>
  <c r="H44" i="11"/>
  <c r="G44" i="11"/>
  <c r="J43" i="11"/>
  <c r="I43" i="11"/>
  <c r="H43" i="11"/>
  <c r="G43" i="11"/>
  <c r="J37" i="11"/>
  <c r="I37" i="11"/>
  <c r="H37" i="11"/>
  <c r="G37" i="11"/>
  <c r="J36" i="11"/>
  <c r="I36" i="11"/>
  <c r="H36" i="11"/>
  <c r="G36" i="11"/>
  <c r="J35" i="11"/>
  <c r="I35" i="11"/>
  <c r="H35" i="11"/>
  <c r="G35" i="11"/>
  <c r="J30" i="11"/>
  <c r="I30" i="11"/>
  <c r="H30" i="11"/>
  <c r="G30" i="11"/>
  <c r="J29" i="11"/>
  <c r="I29" i="11"/>
  <c r="H29" i="11"/>
  <c r="G29" i="11"/>
  <c r="J28" i="11"/>
  <c r="I28" i="11"/>
  <c r="H28" i="11"/>
  <c r="G28" i="11"/>
  <c r="J22" i="11"/>
  <c r="I22" i="11"/>
  <c r="H22" i="11"/>
  <c r="G22" i="11"/>
  <c r="J21" i="11"/>
  <c r="I21" i="11"/>
  <c r="H21" i="11"/>
  <c r="G21" i="11"/>
  <c r="J20" i="11"/>
  <c r="I20" i="11"/>
  <c r="H20" i="11"/>
  <c r="G20" i="11"/>
  <c r="J19" i="11"/>
  <c r="I19" i="11"/>
  <c r="H19" i="11"/>
  <c r="G19" i="11"/>
  <c r="J18" i="11"/>
  <c r="I18" i="11"/>
  <c r="H18" i="11"/>
  <c r="G18" i="11"/>
  <c r="J17" i="11"/>
  <c r="I17" i="11"/>
  <c r="H17" i="11"/>
  <c r="G17" i="11"/>
  <c r="E13" i="11"/>
  <c r="D13" i="11"/>
  <c r="K16" i="11" s="1"/>
  <c r="C13" i="11"/>
  <c r="B13" i="11"/>
  <c r="J12" i="11"/>
  <c r="I12" i="11"/>
  <c r="H12" i="11"/>
  <c r="G12" i="11"/>
  <c r="J11" i="11"/>
  <c r="I11" i="11"/>
  <c r="H11" i="11"/>
  <c r="G11" i="11"/>
  <c r="J9" i="11"/>
  <c r="I9" i="11"/>
  <c r="H9" i="11"/>
  <c r="G9" i="11"/>
  <c r="I8" i="11"/>
  <c r="H8" i="11"/>
  <c r="G8" i="11"/>
  <c r="J7" i="11"/>
  <c r="I7" i="11"/>
  <c r="H7" i="11"/>
  <c r="G7" i="11"/>
  <c r="J6" i="11"/>
  <c r="I6" i="11"/>
  <c r="H6" i="11"/>
  <c r="G6" i="11"/>
  <c r="H7" i="1"/>
  <c r="H8" i="1"/>
  <c r="H9" i="1"/>
  <c r="H10" i="1"/>
  <c r="H11" i="1"/>
  <c r="H12" i="1"/>
  <c r="H15" i="1"/>
  <c r="H16" i="1"/>
  <c r="H17" i="1"/>
  <c r="H18" i="1"/>
  <c r="J24" i="3"/>
  <c r="K24" i="3"/>
  <c r="J27" i="3"/>
  <c r="K27" i="3"/>
  <c r="J9" i="3"/>
  <c r="K9" i="3"/>
  <c r="J10" i="3"/>
  <c r="K10" i="3"/>
  <c r="J11" i="3"/>
  <c r="K11" i="3"/>
  <c r="J12" i="3"/>
  <c r="K12" i="3"/>
  <c r="J13" i="3"/>
  <c r="K13" i="3"/>
  <c r="J14" i="3"/>
  <c r="K14" i="3"/>
  <c r="J15" i="3"/>
  <c r="K15" i="3"/>
  <c r="J16" i="3"/>
  <c r="K16" i="3"/>
  <c r="J17" i="3"/>
  <c r="J18" i="3"/>
  <c r="K18" i="3"/>
  <c r="J19" i="3"/>
  <c r="K19" i="3"/>
  <c r="J20" i="3"/>
  <c r="K20" i="3"/>
  <c r="I9" i="3"/>
  <c r="H9" i="3"/>
  <c r="K5" i="3"/>
  <c r="J5" i="3"/>
  <c r="F24" i="6"/>
  <c r="F33" i="6"/>
  <c r="F34" i="6"/>
  <c r="F20" i="6"/>
  <c r="F21" i="6"/>
  <c r="F22" i="6"/>
  <c r="F17" i="6"/>
  <c r="D15" i="6"/>
  <c r="E15" i="6"/>
  <c r="F15" i="6"/>
  <c r="E11" i="6"/>
  <c r="F11" i="6"/>
  <c r="F10" i="6"/>
  <c r="F12" i="6"/>
  <c r="F7" i="6"/>
  <c r="E6" i="3"/>
  <c r="D6" i="3"/>
  <c r="D22" i="3" s="1"/>
  <c r="D25" i="3" s="1"/>
  <c r="D29" i="3" s="1"/>
  <c r="H20" i="3"/>
  <c r="I20" i="3"/>
  <c r="C22" i="3"/>
  <c r="C25" i="3" s="1"/>
  <c r="H18" i="3"/>
  <c r="I18" i="3"/>
  <c r="B22" i="3"/>
  <c r="B25" i="3" s="1"/>
  <c r="D34" i="15" l="1"/>
  <c r="D22" i="15"/>
  <c r="D10" i="15"/>
  <c r="E22" i="15"/>
  <c r="D5" i="15"/>
  <c r="E5" i="15"/>
  <c r="F5" i="15"/>
  <c r="F34" i="15"/>
  <c r="C22" i="15"/>
  <c r="F10" i="15"/>
  <c r="E10" i="15"/>
  <c r="F33" i="15"/>
  <c r="E33" i="15"/>
  <c r="C21" i="15"/>
  <c r="E34" i="15"/>
  <c r="E35" i="15" s="1"/>
  <c r="K6" i="3"/>
  <c r="C29" i="3"/>
  <c r="D4" i="6"/>
  <c r="E4" i="6"/>
  <c r="E22" i="3"/>
  <c r="J6" i="3"/>
  <c r="M6" i="3"/>
  <c r="D35" i="15"/>
  <c r="K22" i="12"/>
  <c r="H22" i="12"/>
  <c r="D25" i="12"/>
  <c r="I22" i="12"/>
  <c r="E25" i="12"/>
  <c r="J22" i="12"/>
  <c r="H6" i="12"/>
  <c r="L36" i="11"/>
  <c r="G32" i="11"/>
  <c r="H31" i="11"/>
  <c r="L21" i="11"/>
  <c r="K21" i="11"/>
  <c r="L22" i="11"/>
  <c r="K22" i="11"/>
  <c r="B40" i="11"/>
  <c r="C40" i="11"/>
  <c r="H23" i="11"/>
  <c r="L38" i="11"/>
  <c r="K6" i="11"/>
  <c r="K8" i="11"/>
  <c r="K11" i="11"/>
  <c r="G13" i="11"/>
  <c r="L20" i="11"/>
  <c r="K38" i="11"/>
  <c r="L6" i="11"/>
  <c r="J13" i="11"/>
  <c r="L18" i="11"/>
  <c r="L25" i="11"/>
  <c r="L31" i="11"/>
  <c r="G38" i="11"/>
  <c r="K13" i="11"/>
  <c r="I23" i="11"/>
  <c r="H38" i="11"/>
  <c r="K20" i="11"/>
  <c r="K18" i="11"/>
  <c r="L13" i="11"/>
  <c r="J23" i="11"/>
  <c r="I38" i="11"/>
  <c r="L11" i="11"/>
  <c r="K23" i="11"/>
  <c r="L29" i="11"/>
  <c r="I13" i="11"/>
  <c r="K7" i="11"/>
  <c r="K9" i="11"/>
  <c r="K12" i="11"/>
  <c r="L23" i="11"/>
  <c r="L7" i="11"/>
  <c r="L9" i="11"/>
  <c r="L12" i="11"/>
  <c r="K24" i="11"/>
  <c r="L33" i="11"/>
  <c r="L8" i="11"/>
  <c r="L24" i="11"/>
  <c r="L34" i="11"/>
  <c r="H13" i="11"/>
  <c r="L32" i="11"/>
  <c r="D40" i="11"/>
  <c r="K30" i="11" s="1"/>
  <c r="K43" i="11"/>
  <c r="K45" i="11"/>
  <c r="E40" i="11"/>
  <c r="L43" i="11"/>
  <c r="L45" i="11"/>
  <c r="K36" i="11"/>
  <c r="J38" i="11"/>
  <c r="K44" i="11"/>
  <c r="L28" i="11"/>
  <c r="L30" i="11"/>
  <c r="H32" i="11"/>
  <c r="L44" i="11"/>
  <c r="K17" i="11"/>
  <c r="K19" i="11"/>
  <c r="G23" i="11"/>
  <c r="I32" i="11"/>
  <c r="K35" i="11"/>
  <c r="K37" i="11"/>
  <c r="L17" i="11"/>
  <c r="L19" i="11"/>
  <c r="J32" i="11"/>
  <c r="L35" i="11"/>
  <c r="L37" i="11"/>
  <c r="L22" i="3"/>
  <c r="L24" i="3"/>
  <c r="I24" i="3"/>
  <c r="H24" i="3"/>
  <c r="F35" i="15" l="1"/>
  <c r="E25" i="3"/>
  <c r="J22" i="3"/>
  <c r="K22" i="3"/>
  <c r="M22" i="3"/>
  <c r="K25" i="12"/>
  <c r="J25" i="12"/>
  <c r="E29" i="12"/>
  <c r="L25" i="12"/>
  <c r="I25" i="12"/>
  <c r="D29" i="12"/>
  <c r="H25" i="12"/>
  <c r="B49" i="11"/>
  <c r="C49" i="11"/>
  <c r="K29" i="11"/>
  <c r="K34" i="11"/>
  <c r="K32" i="11"/>
  <c r="K31" i="11"/>
  <c r="K28" i="11"/>
  <c r="H25" i="11"/>
  <c r="G25" i="11"/>
  <c r="D49" i="11"/>
  <c r="K25" i="11"/>
  <c r="I40" i="11"/>
  <c r="L40" i="11"/>
  <c r="J40" i="11"/>
  <c r="J25" i="11"/>
  <c r="K40" i="11"/>
  <c r="H40" i="11"/>
  <c r="G40" i="11"/>
  <c r="E49" i="11"/>
  <c r="I25" i="11"/>
  <c r="K33" i="11"/>
  <c r="H22" i="3"/>
  <c r="I22" i="3"/>
  <c r="F32" i="6" l="1"/>
  <c r="F35" i="6" s="1"/>
  <c r="F28" i="6"/>
  <c r="F4" i="6"/>
  <c r="J25" i="3"/>
  <c r="F6" i="6"/>
  <c r="F5" i="6"/>
  <c r="M25" i="3"/>
  <c r="L29" i="12"/>
  <c r="I29" i="12"/>
  <c r="H29" i="12"/>
  <c r="K29" i="12"/>
  <c r="J29" i="12"/>
  <c r="L49" i="11"/>
  <c r="J49" i="11"/>
  <c r="I49" i="11"/>
  <c r="K49" i="11"/>
  <c r="H49" i="11"/>
  <c r="G49" i="11"/>
  <c r="J9" i="1"/>
  <c r="J7" i="1"/>
  <c r="J8" i="1"/>
  <c r="J10" i="1"/>
  <c r="J11" i="1"/>
  <c r="J15" i="1"/>
  <c r="J16" i="1"/>
  <c r="J17" i="1"/>
  <c r="J18" i="1"/>
  <c r="J19" i="1"/>
  <c r="J20" i="1"/>
  <c r="J26" i="1"/>
  <c r="J27" i="1"/>
  <c r="J28" i="1"/>
  <c r="J29" i="1"/>
  <c r="J33" i="1"/>
  <c r="J34" i="1"/>
  <c r="J35" i="1"/>
  <c r="J41" i="1"/>
  <c r="J42" i="1"/>
  <c r="J43" i="1"/>
  <c r="I7" i="1"/>
  <c r="I8" i="1"/>
  <c r="I9" i="1"/>
  <c r="I10" i="1"/>
  <c r="I11" i="1"/>
  <c r="I15" i="1"/>
  <c r="I16" i="1"/>
  <c r="I17" i="1"/>
  <c r="I18" i="1"/>
  <c r="I19" i="1"/>
  <c r="I20" i="1"/>
  <c r="I26" i="1"/>
  <c r="I27" i="1"/>
  <c r="I28" i="1"/>
  <c r="I29" i="1"/>
  <c r="I33" i="1"/>
  <c r="I34" i="1"/>
  <c r="I35" i="1"/>
  <c r="I41" i="1"/>
  <c r="I42" i="1"/>
  <c r="I43" i="1"/>
  <c r="H19" i="1"/>
  <c r="H20" i="1"/>
  <c r="H26" i="1"/>
  <c r="H27" i="1"/>
  <c r="H28" i="1"/>
  <c r="H29" i="1"/>
  <c r="H33" i="1"/>
  <c r="H34" i="1"/>
  <c r="H35" i="1"/>
  <c r="H41" i="1"/>
  <c r="H42" i="1"/>
  <c r="H43" i="1"/>
  <c r="G7" i="1"/>
  <c r="G8" i="1"/>
  <c r="G9" i="1"/>
  <c r="G10" i="1"/>
  <c r="G11" i="1"/>
  <c r="G15" i="1"/>
  <c r="G16" i="1"/>
  <c r="G17" i="1"/>
  <c r="G18" i="1"/>
  <c r="G19" i="1"/>
  <c r="G20" i="1"/>
  <c r="G26" i="1"/>
  <c r="G27" i="1"/>
  <c r="G28" i="1"/>
  <c r="G29" i="1"/>
  <c r="G33" i="1"/>
  <c r="G34" i="1"/>
  <c r="G35" i="1"/>
  <c r="G41" i="1"/>
  <c r="G42" i="1"/>
  <c r="G43" i="1"/>
  <c r="J6" i="1"/>
  <c r="I6" i="1"/>
  <c r="E12" i="1"/>
  <c r="J12" i="1" s="1"/>
  <c r="D12" i="1"/>
  <c r="C12" i="1"/>
  <c r="B12" i="1"/>
  <c r="K5" i="7"/>
  <c r="K4" i="7"/>
  <c r="L27" i="3"/>
  <c r="L10" i="3"/>
  <c r="L6" i="3"/>
  <c r="L5" i="3"/>
  <c r="I5" i="3"/>
  <c r="C4" i="10"/>
  <c r="D4" i="10"/>
  <c r="E4" i="10"/>
  <c r="B4" i="10"/>
  <c r="E12" i="6"/>
  <c r="D12" i="6"/>
  <c r="D7" i="6"/>
  <c r="E7" i="6"/>
  <c r="C7" i="6"/>
  <c r="K6" i="7"/>
  <c r="G5" i="7"/>
  <c r="H5" i="7"/>
  <c r="G6" i="7"/>
  <c r="H6" i="7"/>
  <c r="H4" i="7"/>
  <c r="H6" i="1"/>
  <c r="G4" i="7"/>
  <c r="G12" i="1" l="1"/>
  <c r="I12" i="1"/>
  <c r="I13" i="3"/>
  <c r="I14" i="3"/>
  <c r="H5" i="3"/>
  <c r="I10" i="3"/>
  <c r="I11" i="3"/>
  <c r="I12" i="3"/>
  <c r="I15" i="3"/>
  <c r="I16" i="3"/>
  <c r="I17" i="3"/>
  <c r="H6" i="3"/>
  <c r="I6" i="3"/>
  <c r="H10" i="3"/>
  <c r="H11" i="3"/>
  <c r="H12" i="3"/>
  <c r="H13" i="3"/>
  <c r="H14" i="3"/>
  <c r="H15" i="3"/>
  <c r="H16" i="3"/>
  <c r="H17" i="3" l="1"/>
  <c r="H27" i="3"/>
  <c r="I27" i="3"/>
  <c r="G6" i="1"/>
  <c r="E44" i="1" l="1"/>
  <c r="C44" i="1"/>
  <c r="D44" i="1"/>
  <c r="B44" i="1"/>
  <c r="C36" i="1"/>
  <c r="D36" i="1"/>
  <c r="E36" i="1"/>
  <c r="L36" i="1" s="1"/>
  <c r="B36" i="1"/>
  <c r="D21" i="1"/>
  <c r="K6" i="1" s="1"/>
  <c r="E21" i="1"/>
  <c r="C30" i="1"/>
  <c r="D17" i="6" s="1"/>
  <c r="D30" i="1"/>
  <c r="E30" i="1"/>
  <c r="B30" i="1"/>
  <c r="C21" i="1"/>
  <c r="C23" i="1" s="1"/>
  <c r="B21" i="1"/>
  <c r="B23" i="1" s="1"/>
  <c r="K33" i="1" l="1"/>
  <c r="K34" i="1"/>
  <c r="K35" i="1"/>
  <c r="K36" i="1"/>
  <c r="K42" i="1"/>
  <c r="K43" i="1"/>
  <c r="K44" i="1"/>
  <c r="K41" i="1"/>
  <c r="L28" i="1"/>
  <c r="L34" i="1"/>
  <c r="L33" i="1"/>
  <c r="L35" i="1"/>
  <c r="L29" i="1"/>
  <c r="L26" i="1"/>
  <c r="L27" i="1"/>
  <c r="L43" i="1"/>
  <c r="L44" i="1"/>
  <c r="L41" i="1"/>
  <c r="L42" i="1"/>
  <c r="B29" i="3"/>
  <c r="C32" i="6"/>
  <c r="C28" i="6"/>
  <c r="C6" i="6"/>
  <c r="D28" i="6"/>
  <c r="D32" i="6"/>
  <c r="D6" i="6"/>
  <c r="I19" i="3"/>
  <c r="H36" i="1"/>
  <c r="G36" i="1"/>
  <c r="E17" i="6"/>
  <c r="H30" i="1"/>
  <c r="G30" i="1"/>
  <c r="J36" i="1"/>
  <c r="I36" i="1"/>
  <c r="I30" i="1"/>
  <c r="J30" i="1"/>
  <c r="L21" i="1"/>
  <c r="I21" i="1"/>
  <c r="J21" i="1"/>
  <c r="L15" i="1"/>
  <c r="L7" i="1"/>
  <c r="L10" i="1"/>
  <c r="L17" i="1"/>
  <c r="L18" i="1"/>
  <c r="L11" i="1"/>
  <c r="L8" i="1"/>
  <c r="L9" i="1"/>
  <c r="L19" i="1"/>
  <c r="L12" i="1"/>
  <c r="L16" i="1"/>
  <c r="L20" i="1"/>
  <c r="L22" i="1"/>
  <c r="K9" i="1"/>
  <c r="K21" i="1"/>
  <c r="K18" i="1"/>
  <c r="H21" i="1"/>
  <c r="G21" i="1"/>
  <c r="K15" i="1"/>
  <c r="K12" i="1"/>
  <c r="K10" i="1"/>
  <c r="K11" i="1"/>
  <c r="K22" i="1"/>
  <c r="K16" i="1"/>
  <c r="K7" i="1"/>
  <c r="K17" i="1"/>
  <c r="K19" i="1"/>
  <c r="K8" i="1"/>
  <c r="K20" i="1"/>
  <c r="I44" i="1"/>
  <c r="J44" i="1"/>
  <c r="H44" i="1"/>
  <c r="G44" i="1"/>
  <c r="L6" i="1"/>
  <c r="E38" i="1"/>
  <c r="L38" i="1" s="1"/>
  <c r="D23" i="1"/>
  <c r="E33" i="6" s="1"/>
  <c r="C24" i="6"/>
  <c r="B38" i="1"/>
  <c r="E24" i="6"/>
  <c r="D38" i="1"/>
  <c r="D24" i="6"/>
  <c r="C38" i="1"/>
  <c r="D21" i="6" s="1"/>
  <c r="C17" i="6"/>
  <c r="C22" i="6"/>
  <c r="E23" i="1"/>
  <c r="D22" i="6"/>
  <c r="D10" i="6"/>
  <c r="D34" i="6"/>
  <c r="D33" i="6"/>
  <c r="D5" i="6"/>
  <c r="C15" i="6"/>
  <c r="H19" i="3"/>
  <c r="K28" i="1" l="1"/>
  <c r="K26" i="1"/>
  <c r="K30" i="1"/>
  <c r="K29" i="1"/>
  <c r="K27" i="1"/>
  <c r="E28" i="6"/>
  <c r="L25" i="3"/>
  <c r="E32" i="6"/>
  <c r="E6" i="6"/>
  <c r="E5" i="6"/>
  <c r="I23" i="1"/>
  <c r="L23" i="1"/>
  <c r="J23" i="1"/>
  <c r="E10" i="6"/>
  <c r="K23" i="1"/>
  <c r="H23" i="1"/>
  <c r="G23" i="1"/>
  <c r="I38" i="1"/>
  <c r="J38" i="1"/>
  <c r="B46" i="1"/>
  <c r="C20" i="6" s="1"/>
  <c r="G38" i="1"/>
  <c r="H38" i="1"/>
  <c r="E46" i="1"/>
  <c r="C46" i="1"/>
  <c r="D20" i="6" s="1"/>
  <c r="E34" i="6"/>
  <c r="E22" i="6"/>
  <c r="E21" i="6"/>
  <c r="D46" i="1"/>
  <c r="D35" i="6"/>
  <c r="L29" i="3"/>
  <c r="I25" i="3"/>
  <c r="H25" i="3"/>
  <c r="E29" i="3"/>
  <c r="J29" i="3" l="1"/>
  <c r="K29" i="3"/>
  <c r="M29" i="3"/>
  <c r="E35" i="6"/>
  <c r="J46" i="1"/>
  <c r="L46" i="1"/>
  <c r="I46" i="1"/>
  <c r="E20" i="6"/>
  <c r="H46" i="1"/>
  <c r="G46" i="1"/>
  <c r="K46" i="1"/>
  <c r="H29" i="3"/>
  <c r="I29" i="3"/>
</calcChain>
</file>

<file path=xl/sharedStrings.xml><?xml version="1.0" encoding="utf-8"?>
<sst xmlns="http://schemas.openxmlformats.org/spreadsheetml/2006/main" count="458" uniqueCount="221">
  <si>
    <t>Current Assets</t>
  </si>
  <si>
    <t>Inventories</t>
  </si>
  <si>
    <t>Total Current Assets</t>
  </si>
  <si>
    <t>Balance Sheet</t>
  </si>
  <si>
    <t>Non-Current Assets</t>
  </si>
  <si>
    <t>Total Non-Current Assets</t>
  </si>
  <si>
    <t>Current Liabilities</t>
  </si>
  <si>
    <t>Provisions</t>
  </si>
  <si>
    <t>Total Current Liabilities</t>
  </si>
  <si>
    <t>Non-Current Liabilities</t>
  </si>
  <si>
    <t>Total Non-Current Liabilities</t>
  </si>
  <si>
    <t>Equity</t>
  </si>
  <si>
    <t>Reserves</t>
  </si>
  <si>
    <t>Total Equity</t>
  </si>
  <si>
    <t>Notes</t>
  </si>
  <si>
    <t>CHECK EQUITY</t>
  </si>
  <si>
    <t>Income Statement</t>
  </si>
  <si>
    <t>Expenses</t>
  </si>
  <si>
    <t>Revenues</t>
  </si>
  <si>
    <t>Profit before income tax</t>
  </si>
  <si>
    <t>Income Tax Expense</t>
  </si>
  <si>
    <t>Net Profit After Tax</t>
  </si>
  <si>
    <t>Other Comprehensive Income</t>
  </si>
  <si>
    <t>* Use the =SUM function to check if your numbers equal the Income Statement total</t>
  </si>
  <si>
    <t>*Impairment costs weren't listed every year. Be careful that the accounts and order may change between financial statements</t>
  </si>
  <si>
    <t>*Note: I have used positive numbers consistently. The annual report uses negative numbers for expenses. As I know Tax Expense is an expense, I minus the positive number from profits. Alternatively, if you use a negative sign for expenses, you plus revenues and expenses to calculate profit.</t>
  </si>
  <si>
    <t>*Note: I have used positive numbers consistently. The annual report uses negative numbers for expenses. As I know Raw Materials Expense is an expense, I minus the positive number from revenue to calculate profit. Alternatively, if you use a negative sign for expenses, you plus revenues and expenses to calculate profit.</t>
  </si>
  <si>
    <t>Horiztonal Analysis</t>
  </si>
  <si>
    <t># Sparklines provide a very quick and easy way to graph changes in data.</t>
  </si>
  <si>
    <t>Vertical Analysis</t>
  </si>
  <si>
    <t>#DIV/0! Is an error. Excel is telling you the formula tried to divide by 0, which is mathematically not possible to compute.</t>
  </si>
  <si>
    <t>Profitability Ratios</t>
  </si>
  <si>
    <t>Current Ratio</t>
  </si>
  <si>
    <t>Quick Ratio</t>
  </si>
  <si>
    <t>Cash Flow Statement</t>
  </si>
  <si>
    <t>Cash flow from Operations</t>
  </si>
  <si>
    <t>Cash flow from Investing Activities</t>
  </si>
  <si>
    <t>Cash flow from Financing Activities</t>
  </si>
  <si>
    <t>Days in Receivables</t>
  </si>
  <si>
    <t>Debt to Assets</t>
  </si>
  <si>
    <t>Total Assets</t>
  </si>
  <si>
    <t>Total Liabilities</t>
  </si>
  <si>
    <t>Trend Analysis</t>
  </si>
  <si>
    <t>Notes:</t>
  </si>
  <si>
    <t>* To conduct Vertical Analysis of the Cash Flow Statement, you can divide by Revenue (From the Income Statement), to get Cash Flow as a percentage of Revenues, or by Total Cash Inflow. I have divided by Revenue</t>
  </si>
  <si>
    <t>Efficiency Ratios</t>
  </si>
  <si>
    <t>Formula</t>
  </si>
  <si>
    <t>Net Profit / Average Equity</t>
  </si>
  <si>
    <t>Net Profit / Average Total Assets</t>
  </si>
  <si>
    <t>Net Profit / Sales Revenue</t>
  </si>
  <si>
    <t>Cash Flow Margin</t>
  </si>
  <si>
    <t>Cash Flow from Operating Activities / Sales Revenue</t>
  </si>
  <si>
    <t>Sales Revenue / Average Total Assets</t>
  </si>
  <si>
    <t>Days Inventory</t>
  </si>
  <si>
    <t>Average Inventory / Cost of Sales * 365 days</t>
  </si>
  <si>
    <t>Average Accounts Receivable / Sales Revenue * 365 days</t>
  </si>
  <si>
    <t>Liquidity Analysis</t>
  </si>
  <si>
    <t>Current Assets / Current Liabilities</t>
  </si>
  <si>
    <t>(Current Assets - Inventory - Prepayments) / Current Liabilities</t>
  </si>
  <si>
    <t>Cash Flow from Operating Activities / Current Liabilities</t>
  </si>
  <si>
    <t>Operating Cash Flow Ratio</t>
  </si>
  <si>
    <t>Capital Structure Ratios</t>
  </si>
  <si>
    <t>Total Liabilities / Total Equity</t>
  </si>
  <si>
    <t>Total Liabilities / Total Assets</t>
  </si>
  <si>
    <t>Total Equity / Total Assets</t>
  </si>
  <si>
    <t>Equity Ratio</t>
  </si>
  <si>
    <t>Interest Coverage Ratio</t>
  </si>
  <si>
    <t>(Net Profit + Interest Expense + Tax Expense) / Interest Expense</t>
  </si>
  <si>
    <t>Debt Coverage Ratio</t>
  </si>
  <si>
    <t>Non-current Liabilities / Cash Flow from Operating Activities</t>
  </si>
  <si>
    <t>Market Performance Analysis</t>
  </si>
  <si>
    <t>Earnings Per Share (EPS)</t>
  </si>
  <si>
    <t>Return on Equity (ROE)</t>
  </si>
  <si>
    <t>Return on Assets (ROA)</t>
  </si>
  <si>
    <t>Profit Margin (PM)</t>
  </si>
  <si>
    <t>Asset Turnover Ratio (ATO)</t>
  </si>
  <si>
    <t>Debt to Equity (D/E)</t>
  </si>
  <si>
    <t>Net Profit / Number of ordinary shares</t>
  </si>
  <si>
    <t>Price to Earnings Ratio (PE)</t>
  </si>
  <si>
    <t>Current Share Price / Earnings Per Share</t>
  </si>
  <si>
    <t>Market to Book Ratio (M/B)</t>
  </si>
  <si>
    <t>Current Market Capitalisation / Net Assets</t>
  </si>
  <si>
    <t>Share Price</t>
  </si>
  <si>
    <t>Market Capitalisation</t>
  </si>
  <si>
    <t>Number of Ordinary Shares</t>
  </si>
  <si>
    <t>Note:</t>
  </si>
  <si>
    <t>This is the actual number of shares. Other numbers in the Financial statements are expressed in ,000s</t>
  </si>
  <si>
    <t>DuPont Analysis</t>
  </si>
  <si>
    <t>Leverage</t>
  </si>
  <si>
    <t>Average Total Assets / Average Equity</t>
  </si>
  <si>
    <t>ROE = PM * ATO * Leverage</t>
  </si>
  <si>
    <t>Coles Group Limited</t>
  </si>
  <si>
    <t>2021-2024</t>
  </si>
  <si>
    <t>Prepaid Expenses</t>
  </si>
  <si>
    <t>Investments</t>
  </si>
  <si>
    <t>Other</t>
  </si>
  <si>
    <t>2023 $Change</t>
  </si>
  <si>
    <t>2023 % Change</t>
  </si>
  <si>
    <t>2024 $ Change</t>
  </si>
  <si>
    <t>2024 % Change</t>
  </si>
  <si>
    <t>Goodwill</t>
  </si>
  <si>
    <t>Future Tax Benefit</t>
  </si>
  <si>
    <t>Account Payable</t>
  </si>
  <si>
    <t>Short-Term Debt</t>
  </si>
  <si>
    <t>Long-Term Debt</t>
  </si>
  <si>
    <t>Share Capital</t>
  </si>
  <si>
    <t>Retained Earnings</t>
  </si>
  <si>
    <t>Other Revenue</t>
  </si>
  <si>
    <t>Operating Revenue</t>
  </si>
  <si>
    <t>Employee benefits expense</t>
  </si>
  <si>
    <t>Occupancy and overheads</t>
  </si>
  <si>
    <t>Depreciation and amortisation</t>
  </si>
  <si>
    <t>Marketing expenses</t>
  </si>
  <si>
    <t>Net impairment expense/(reversal)</t>
  </si>
  <si>
    <t>Other store expenses</t>
  </si>
  <si>
    <t>Other administration expenses</t>
  </si>
  <si>
    <t>Interest on debt and borrowings</t>
  </si>
  <si>
    <t>Interest on lease liabilities</t>
  </si>
  <si>
    <t>Other finance related costs</t>
  </si>
  <si>
    <t>Share of net loss from equity accounted investments</t>
  </si>
  <si>
    <t>Cost of Sales</t>
  </si>
  <si>
    <t>Comprehensive Income</t>
  </si>
  <si>
    <t>Coles Group Limited Ratio Analysis</t>
  </si>
  <si>
    <t>Cash and Cash Equivalents</t>
  </si>
  <si>
    <t xml:space="preserve">Trade and other receivables </t>
  </si>
  <si>
    <t>Assests Held for Sale</t>
  </si>
  <si>
    <t>Other Assets</t>
  </si>
  <si>
    <t>Property, plant and equipment</t>
  </si>
  <si>
    <t>Intangible Assets</t>
  </si>
  <si>
    <t>Coles Grop Limited</t>
  </si>
  <si>
    <t>Woolworths Group Limited</t>
  </si>
  <si>
    <t>Receivables</t>
  </si>
  <si>
    <t>Outside Equity</t>
  </si>
  <si>
    <t>Administration expenses</t>
  </si>
  <si>
    <t>Less: Interest Capitalised</t>
  </si>
  <si>
    <t>Branch Expenses</t>
  </si>
  <si>
    <t>Employee Benefits Expense</t>
  </si>
  <si>
    <t>Depreciation and Amortisation</t>
  </si>
  <si>
    <t>Occupancy Expense</t>
  </si>
  <si>
    <t>Contract Labour</t>
  </si>
  <si>
    <t>Other Administration and Branch Expenses</t>
  </si>
  <si>
    <t>Woolworths Group Limited Ratio Analysis</t>
  </si>
  <si>
    <t>Ratio</t>
  </si>
  <si>
    <t>Coles ROE</t>
  </si>
  <si>
    <t>Woolworth ROE</t>
  </si>
  <si>
    <t>Variables</t>
  </si>
  <si>
    <t>Coles Net Profit</t>
  </si>
  <si>
    <t>Woolworths Net Profit</t>
  </si>
  <si>
    <t>Coles Equity</t>
  </si>
  <si>
    <t>Woolworths Equity</t>
  </si>
  <si>
    <t>Assets Held for Sale</t>
  </si>
  <si>
    <t>Explain change in the net profit w.r.t change in Average equity</t>
  </si>
  <si>
    <t>Return on assets</t>
  </si>
  <si>
    <t xml:space="preserve">Operating Revenue growth </t>
  </si>
  <si>
    <t>Coles Total Assets</t>
  </si>
  <si>
    <t>Woolworths Total Assets</t>
  </si>
  <si>
    <t>Coles ROA</t>
  </si>
  <si>
    <t>Woolworths ROA</t>
  </si>
  <si>
    <t>Coles Sales Revenue</t>
  </si>
  <si>
    <t>Woolworth Sales Revenue</t>
  </si>
  <si>
    <t>Coles PM</t>
  </si>
  <si>
    <t>Woolworth PM</t>
  </si>
  <si>
    <t>Coles Net Operating Cash Flow</t>
  </si>
  <si>
    <t>Woolworth Net Operating Cashflow</t>
  </si>
  <si>
    <t>Coles Cash Flow Margin</t>
  </si>
  <si>
    <t>Woolworth Cash Flow Margin</t>
  </si>
  <si>
    <t>Coles ATO</t>
  </si>
  <si>
    <t>Woolworth ATO</t>
  </si>
  <si>
    <t>Coles Inventory</t>
  </si>
  <si>
    <t>Woolworths Inventory</t>
  </si>
  <si>
    <t>Coles Cost of Sale</t>
  </si>
  <si>
    <t>Woolworth Cost of Sale</t>
  </si>
  <si>
    <t>Coles Days Inventory</t>
  </si>
  <si>
    <t>Woolworth Days Inventory</t>
  </si>
  <si>
    <t>Coles Accounts Receivable</t>
  </si>
  <si>
    <t>Woolworths Accounts Receivable</t>
  </si>
  <si>
    <t>Coles Days Receivable</t>
  </si>
  <si>
    <t>Woolworths Days Receivable</t>
  </si>
  <si>
    <t>Coles Current Assets</t>
  </si>
  <si>
    <t>Woolworth Current Assets</t>
  </si>
  <si>
    <t>Coles Current Liabilities</t>
  </si>
  <si>
    <t>Woolworth Current Liabilities</t>
  </si>
  <si>
    <t>Coles Current Ratio</t>
  </si>
  <si>
    <t>Woolworth Current Ratio</t>
  </si>
  <si>
    <t>Coles Operating Cash Flow Ratio</t>
  </si>
  <si>
    <t>Woolworths Operating Cash Flow Ratio</t>
  </si>
  <si>
    <t xml:space="preserve">Coles Total Liabilities </t>
  </si>
  <si>
    <t xml:space="preserve">Woolworths Total Liabilities </t>
  </si>
  <si>
    <t>Coles Total Equity</t>
  </si>
  <si>
    <t>Woolworths Total Equity</t>
  </si>
  <si>
    <t>Coles Debt to Equity Ratio</t>
  </si>
  <si>
    <t>Woolworth Debt to Equity Ratio</t>
  </si>
  <si>
    <t>Coles Debt to Assets Ratio</t>
  </si>
  <si>
    <t>Woolworths Debt to Assets Ratio</t>
  </si>
  <si>
    <t>Coles Equity Ratio</t>
  </si>
  <si>
    <t>Woolworths Equity Ratio</t>
  </si>
  <si>
    <t>Coles Interest Expense</t>
  </si>
  <si>
    <t>Woolworth Interest Expense</t>
  </si>
  <si>
    <t>Coles Tax Expense</t>
  </si>
  <si>
    <t>Woolworth Tax Expense</t>
  </si>
  <si>
    <t>Coles Interest Coverage Ratio</t>
  </si>
  <si>
    <t>Woolworths Interest Coverage Ratio</t>
  </si>
  <si>
    <t>Coles Non-Current Liabilites</t>
  </si>
  <si>
    <t>Woolworths Non-Curent Liabilities</t>
  </si>
  <si>
    <t>Coles Debt Coverage Ratio</t>
  </si>
  <si>
    <t xml:space="preserve">Woolworth Debt Coverage Ratio </t>
  </si>
  <si>
    <t>Coles Number of ordinary Shares</t>
  </si>
  <si>
    <t>Woolworth Number of ordinary shares</t>
  </si>
  <si>
    <t>Coles Earnings per share (EPS)</t>
  </si>
  <si>
    <t>Woolworth Earnings per share(EPS)</t>
  </si>
  <si>
    <t>Coles Share Price</t>
  </si>
  <si>
    <t>Coles EPS</t>
  </si>
  <si>
    <t>Woolworths EPS</t>
  </si>
  <si>
    <t>Coles Price to Earnings Ratio (PE)</t>
  </si>
  <si>
    <t>Woolworths Price to Earnings Ratio (PE)</t>
  </si>
  <si>
    <t>Coles Market Capitalisation</t>
  </si>
  <si>
    <t>Woolworth Market Capitalisation</t>
  </si>
  <si>
    <t>Coles Net Assets</t>
  </si>
  <si>
    <t>Woolworth Net Assets</t>
  </si>
  <si>
    <t>Coles Market to Book Ratio</t>
  </si>
  <si>
    <t>Woolworth Market to Book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</si>
</sst>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.0%"/>
    <numFmt numFmtId="167" formatCode="_-&quot;$&quot;* #,##0.000_-;\-&quot;$&quot;* #,##0.000_-;_-&quot;$&quot;* &quot;-&quot;??_-;_-@_-"/>
    <numFmt numFmtId="168" formatCode="_-[$$-C09]* #,##0.00_-;\-[$$-C09]* #,##0.00_-;_-[$$-C09]* &quot;-&quot;??_-;_-@_-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Aptos"/>
      <family val="2"/>
    </font>
    <font>
      <b/>
      <sz val="10"/>
      <color rgb="FF000000"/>
      <name val="Aptos"/>
      <family val="2"/>
    </font>
    <font>
      <b/>
      <sz val="10"/>
      <color theme="1"/>
      <name val="Aptos"/>
      <family val="2"/>
    </font>
    <font>
      <sz val="10"/>
      <color rgb="FF000000"/>
      <name val="Calibri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  <fill>
      <patternFill patternType="solid">
        <fgColor rgb="FFCCCCCC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</borders>
  <cellStyleXfs count="45">
    <xf numFmtId="0" fontId="0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4" applyNumberFormat="0" applyAlignment="0" applyProtection="0"/>
    <xf numFmtId="0" fontId="13" fillId="8" borderId="5" applyNumberFormat="0" applyAlignment="0" applyProtection="0"/>
    <xf numFmtId="0" fontId="14" fillId="8" borderId="4" applyNumberFormat="0" applyAlignment="0" applyProtection="0"/>
    <xf numFmtId="0" fontId="15" fillId="0" borderId="6" applyNumberFormat="0" applyFill="0" applyAlignment="0" applyProtection="0"/>
    <xf numFmtId="0" fontId="16" fillId="9" borderId="7" applyNumberFormat="0" applyAlignment="0" applyProtection="0"/>
    <xf numFmtId="0" fontId="17" fillId="0" borderId="0" applyNumberFormat="0" applyFill="0" applyBorder="0" applyAlignment="0" applyProtection="0"/>
    <xf numFmtId="0" fontId="4" fillId="10" borderId="8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9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19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19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19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19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19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0" fillId="2" borderId="0" xfId="0" applyFill="1"/>
    <xf numFmtId="0" fontId="1" fillId="0" borderId="0" xfId="0" applyFont="1" applyAlignment="1">
      <alignment horizontal="center"/>
    </xf>
    <xf numFmtId="2" fontId="0" fillId="0" borderId="0" xfId="0" applyNumberFormat="1"/>
    <xf numFmtId="165" fontId="0" fillId="0" borderId="0" xfId="1" applyFont="1"/>
    <xf numFmtId="165" fontId="3" fillId="0" borderId="0" xfId="1" applyFont="1"/>
    <xf numFmtId="9" fontId="0" fillId="0" borderId="0" xfId="3" applyFont="1"/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3" borderId="0" xfId="0" applyFont="1" applyFill="1"/>
    <xf numFmtId="165" fontId="0" fillId="3" borderId="0" xfId="1" applyFont="1" applyFill="1"/>
    <xf numFmtId="165" fontId="2" fillId="0" borderId="0" xfId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6" fontId="0" fillId="0" borderId="0" xfId="3" applyNumberFormat="1" applyFont="1"/>
    <xf numFmtId="10" fontId="0" fillId="0" borderId="0" xfId="3" applyNumberFormat="1" applyFont="1"/>
    <xf numFmtId="164" fontId="0" fillId="0" borderId="0" xfId="2" applyFont="1"/>
    <xf numFmtId="166" fontId="0" fillId="3" borderId="0" xfId="3" applyNumberFormat="1" applyFont="1" applyFill="1"/>
    <xf numFmtId="166" fontId="0" fillId="2" borderId="0" xfId="3" applyNumberFormat="1" applyFont="1" applyFill="1"/>
    <xf numFmtId="165" fontId="1" fillId="3" borderId="0" xfId="1" applyFont="1" applyFill="1" applyAlignment="1">
      <alignment horizontal="center"/>
    </xf>
    <xf numFmtId="165" fontId="1" fillId="3" borderId="0" xfId="1" applyFont="1" applyFill="1"/>
    <xf numFmtId="167" fontId="0" fillId="0" borderId="0" xfId="2" applyNumberFormat="1" applyFont="1"/>
    <xf numFmtId="10" fontId="0" fillId="2" borderId="0" xfId="3" applyNumberFormat="1" applyFont="1" applyFill="1"/>
    <xf numFmtId="2" fontId="0" fillId="0" borderId="0" xfId="3" applyNumberFormat="1" applyFont="1"/>
    <xf numFmtId="0" fontId="1" fillId="0" borderId="0" xfId="0" applyFont="1" applyAlignment="1">
      <alignment horizontal="center" vertical="center"/>
    </xf>
    <xf numFmtId="4" fontId="0" fillId="0" borderId="0" xfId="0" applyNumberFormat="1"/>
    <xf numFmtId="0" fontId="0" fillId="0" borderId="0" xfId="0" applyAlignment="1">
      <alignment horizontal="left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1" fillId="36" borderId="13" xfId="0" applyFont="1" applyFill="1" applyBorder="1" applyAlignment="1">
      <alignment vertical="center" wrapText="1"/>
    </xf>
    <xf numFmtId="10" fontId="23" fillId="36" borderId="14" xfId="0" applyNumberFormat="1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vertical="center" wrapText="1"/>
    </xf>
    <xf numFmtId="10" fontId="23" fillId="0" borderId="14" xfId="0" applyNumberFormat="1" applyFont="1" applyBorder="1" applyAlignment="1">
      <alignment horizontal="center" vertical="center" wrapText="1"/>
    </xf>
    <xf numFmtId="4" fontId="25" fillId="36" borderId="14" xfId="0" applyNumberFormat="1" applyFont="1" applyFill="1" applyBorder="1" applyAlignment="1">
      <alignment horizontal="center" vertical="center" wrapText="1"/>
    </xf>
    <xf numFmtId="4" fontId="24" fillId="0" borderId="14" xfId="0" applyNumberFormat="1" applyFont="1" applyBorder="1" applyAlignment="1">
      <alignment horizontal="center" vertical="center" wrapText="1"/>
    </xf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167" fontId="25" fillId="36" borderId="14" xfId="2" applyNumberFormat="1" applyFont="1" applyFill="1" applyBorder="1" applyAlignment="1">
      <alignment horizontal="center" vertical="center" wrapText="1"/>
    </xf>
    <xf numFmtId="167" fontId="24" fillId="0" borderId="14" xfId="2" applyNumberFormat="1" applyFont="1" applyBorder="1" applyAlignment="1">
      <alignment horizontal="center" vertical="center" wrapText="1"/>
    </xf>
    <xf numFmtId="164" fontId="0" fillId="0" borderId="0" xfId="0" applyNumberFormat="1"/>
    <xf numFmtId="10" fontId="0" fillId="0" borderId="0" xfId="0" applyNumberFormat="1"/>
    <xf numFmtId="165" fontId="25" fillId="36" borderId="14" xfId="0" applyNumberFormat="1" applyFont="1" applyFill="1" applyBorder="1" applyAlignment="1">
      <alignment horizontal="center" vertical="center" wrapText="1"/>
    </xf>
    <xf numFmtId="165" fontId="24" fillId="0" borderId="1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Graph</a:t>
            </a:r>
            <a:r>
              <a:rPr lang="en-AU" baseline="0"/>
              <a:t> of Revenues vs Net profit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 Revenue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'Income Statement - COL'!$B$3:$E$3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'Income Statement - COL'!$B$5:$E$5</c:f>
              <c:numCache>
                <c:formatCode>#,##0.00</c:formatCode>
                <c:ptCount val="4"/>
                <c:pt idx="0">
                  <c:v>38562000000</c:v>
                </c:pt>
                <c:pt idx="1">
                  <c:v>39369000000</c:v>
                </c:pt>
                <c:pt idx="2">
                  <c:v>40483000000</c:v>
                </c:pt>
                <c:pt idx="3">
                  <c:v>43571000000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4D-4F99-88B4-8C5DAC91C063}"/>
            </c:ext>
          </c:extLst>
        </c:ser>
        <c:ser>
          <c:idx val="1"/>
          <c:order val="1"/>
          <c:tx>
            <c:v>Net Profit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'Income Statement - COL'!$B$3:$E$3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'Income Statement - COL'!$B$25:$E$25</c:f>
              <c:numCache>
                <c:formatCode>_-* #,##0.00_-;\-* #,##0.00_-;_-* "-"??_-;_-@_-</c:formatCode>
                <c:ptCount val="4"/>
                <c:pt idx="0">
                  <c:v>1005000000</c:v>
                </c:pt>
                <c:pt idx="1">
                  <c:v>1048000000</c:v>
                </c:pt>
                <c:pt idx="2">
                  <c:v>1098000000</c:v>
                </c:pt>
                <c:pt idx="3">
                  <c:v>1118000000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4D-4F99-88B4-8C5DAC91C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1667832"/>
        <c:axId val="571668152"/>
      </c:lineChart>
      <c:catAx>
        <c:axId val="571667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YEAR</a:t>
                </a:r>
              </a:p>
            </c:rich>
          </c:tx>
          <c:layout>
            <c:manualLayout>
              <c:xMode val="edge"/>
              <c:yMode val="edge"/>
              <c:x val="0.56272247466516878"/>
              <c:y val="0.754619230328969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68152"/>
        <c:crosses val="autoZero"/>
        <c:auto val="1"/>
        <c:lblAlgn val="ctr"/>
        <c:lblOffset val="100"/>
        <c:noMultiLvlLbl val="0"/>
      </c:catAx>
      <c:valAx>
        <c:axId val="57166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$AUD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67832"/>
        <c:crosses val="autoZero"/>
        <c:crossBetween val="between"/>
      </c:valAx>
      <c:dTable>
        <c:showHorzBorder val="0"/>
        <c:showVertBorder val="0"/>
        <c:showOutline val="0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Graph</a:t>
            </a:r>
            <a:r>
              <a:rPr lang="en-AU" baseline="0"/>
              <a:t> of Revenues vs Net profit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 Revenue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'Income Statement - WOW'!$B$3:$E$3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'Income Statement - WOW'!$B$5:$E$5</c:f>
              <c:numCache>
                <c:formatCode>#,##0.00</c:formatCode>
                <c:ptCount val="4"/>
                <c:pt idx="0">
                  <c:v>55694000000</c:v>
                </c:pt>
                <c:pt idx="1">
                  <c:v>60849000000</c:v>
                </c:pt>
                <c:pt idx="2">
                  <c:v>64294000000</c:v>
                </c:pt>
                <c:pt idx="3">
                  <c:v>67922000000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8B-4CD7-9758-275179ADE2A2}"/>
            </c:ext>
          </c:extLst>
        </c:ser>
        <c:ser>
          <c:idx val="1"/>
          <c:order val="1"/>
          <c:tx>
            <c:v>Net Profit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'Income Statement - WOW'!$B$3:$E$3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'Income Statement - WOW'!$B$25:$E$25</c:f>
              <c:numCache>
                <c:formatCode>_-* #,##0.00_-;\-* #,##0.00_-;_-* "-"??_-;_-@_-</c:formatCode>
                <c:ptCount val="4"/>
                <c:pt idx="0">
                  <c:v>1606000000</c:v>
                </c:pt>
                <c:pt idx="1">
                  <c:v>1557000000</c:v>
                </c:pt>
                <c:pt idx="2">
                  <c:v>1629000000</c:v>
                </c:pt>
                <c:pt idx="3">
                  <c:v>117000000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8B-4CD7-9758-275179ADE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1667832"/>
        <c:axId val="571668152"/>
      </c:lineChart>
      <c:catAx>
        <c:axId val="571667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YEAR</a:t>
                </a:r>
              </a:p>
            </c:rich>
          </c:tx>
          <c:layout>
            <c:manualLayout>
              <c:xMode val="edge"/>
              <c:yMode val="edge"/>
              <c:x val="0.56272247466516878"/>
              <c:y val="0.754619230328969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68152"/>
        <c:crosses val="autoZero"/>
        <c:auto val="1"/>
        <c:lblAlgn val="ctr"/>
        <c:lblOffset val="100"/>
        <c:noMultiLvlLbl val="0"/>
      </c:catAx>
      <c:valAx>
        <c:axId val="57166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$AUD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67832"/>
        <c:crosses val="autoZero"/>
        <c:crossBetween val="between"/>
      </c:valAx>
      <c:dTable>
        <c:showHorzBorder val="0"/>
        <c:showVertBorder val="0"/>
        <c:showOutline val="0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826181102362205"/>
          <c:y val="6.170202322069477E-2"/>
          <c:w val="0.70885170603674541"/>
          <c:h val="0.603755978131192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Graph!$A$3</c:f>
              <c:strCache>
                <c:ptCount val="1"/>
                <c:pt idx="0">
                  <c:v>Coles Net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Graph!$B$2:$E$2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Graph!$B$3:$E$3</c:f>
              <c:numCache>
                <c:formatCode>#,##0.00</c:formatCode>
                <c:ptCount val="4"/>
                <c:pt idx="0">
                  <c:v>1005000000</c:v>
                </c:pt>
                <c:pt idx="1">
                  <c:v>1048000000</c:v>
                </c:pt>
                <c:pt idx="2">
                  <c:v>1098000000</c:v>
                </c:pt>
                <c:pt idx="3">
                  <c:v>1118000000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0-4113-B9D6-7CD7FC140A6A}"/>
            </c:ext>
          </c:extLst>
        </c:ser>
        <c:ser>
          <c:idx val="1"/>
          <c:order val="1"/>
          <c:tx>
            <c:strRef>
              <c:f>Graph!$A$4</c:f>
              <c:strCache>
                <c:ptCount val="1"/>
                <c:pt idx="0">
                  <c:v>Woolworths Net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Graph!$B$2:$E$2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Graph!$B$4:$E$4</c:f>
              <c:numCache>
                <c:formatCode>#,##0.00</c:formatCode>
                <c:ptCount val="4"/>
                <c:pt idx="0">
                  <c:v>1606000000</c:v>
                </c:pt>
                <c:pt idx="1">
                  <c:v>1557000000</c:v>
                </c:pt>
                <c:pt idx="2">
                  <c:v>1629000000</c:v>
                </c:pt>
                <c:pt idx="3">
                  <c:v>117000000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D0-4113-B9D6-7CD7FC140A6A}"/>
            </c:ext>
          </c:extLst>
        </c:ser>
        <c:ser>
          <c:idx val="2"/>
          <c:order val="2"/>
          <c:tx>
            <c:strRef>
              <c:f>Graph!$A$5</c:f>
              <c:strCache>
                <c:ptCount val="1"/>
                <c:pt idx="0">
                  <c:v>Coles Equity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Graph!$B$2:$E$2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Graph!$B$5:$E$5</c:f>
              <c:numCache>
                <c:formatCode>#,##0.00</c:formatCode>
                <c:ptCount val="4"/>
                <c:pt idx="0">
                  <c:v>2813000000</c:v>
                </c:pt>
                <c:pt idx="1">
                  <c:v>3124000000</c:v>
                </c:pt>
                <c:pt idx="2">
                  <c:v>3356000000</c:v>
                </c:pt>
                <c:pt idx="3">
                  <c:v>3617000000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D0-4113-B9D6-7CD7FC140A6A}"/>
            </c:ext>
          </c:extLst>
        </c:ser>
        <c:ser>
          <c:idx val="3"/>
          <c:order val="3"/>
          <c:tx>
            <c:strRef>
              <c:f>Graph!$A$6</c:f>
              <c:strCache>
                <c:ptCount val="1"/>
                <c:pt idx="0">
                  <c:v>Woolworths Equity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Graph!$B$2:$E$2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Graph!$B$6:$E$6</c:f>
              <c:numCache>
                <c:formatCode>#,##0.00</c:formatCode>
                <c:ptCount val="4"/>
                <c:pt idx="0">
                  <c:v>1739000000</c:v>
                </c:pt>
                <c:pt idx="1">
                  <c:v>6104000000</c:v>
                </c:pt>
                <c:pt idx="2">
                  <c:v>6565000000</c:v>
                </c:pt>
                <c:pt idx="3">
                  <c:v>5570000000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D0-4113-B9D6-7CD7FC140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5635648"/>
        <c:axId val="1435633248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Graph!$A$7</c15:sqref>
                        </c15:formulaRef>
                      </c:ext>
                    </c:extLst>
                    <c:strCache>
                      <c:ptCount val="1"/>
                      <c:pt idx="0">
                        <c:v>Ratio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Graph!$B$2:$E$2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Graph!$B$7:$E$7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E5D0-4113-B9D6-7CD7FC140A6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5"/>
          <c:tx>
            <c:strRef>
              <c:f>Graph!$A$8</c:f>
              <c:strCache>
                <c:ptCount val="1"/>
                <c:pt idx="0">
                  <c:v>Coles ROE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Graph!$B$2:$E$2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Graph!$B$8:$E$8</c:f>
              <c:numCache>
                <c:formatCode>0.00%</c:formatCode>
                <c:ptCount val="4"/>
                <c:pt idx="1">
                  <c:v>0.35299999999999998</c:v>
                </c:pt>
                <c:pt idx="2">
                  <c:v>0.33889999999999998</c:v>
                </c:pt>
                <c:pt idx="3">
                  <c:v>0.32069999999999999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D0-4113-B9D6-7CD7FC140A6A}"/>
            </c:ext>
          </c:extLst>
        </c:ser>
        <c:ser>
          <c:idx val="6"/>
          <c:order val="6"/>
          <c:tx>
            <c:strRef>
              <c:f>Graph!$A$9</c:f>
              <c:strCache>
                <c:ptCount val="1"/>
                <c:pt idx="0">
                  <c:v>Woolworth ROE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Graph!$B$2:$E$2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Graph!$B$9:$E$9</c:f>
              <c:numCache>
                <c:formatCode>0.00%</c:formatCode>
                <c:ptCount val="4"/>
                <c:pt idx="1">
                  <c:v>0.39700000000000002</c:v>
                </c:pt>
                <c:pt idx="2">
                  <c:v>0.25719999999999998</c:v>
                </c:pt>
                <c:pt idx="3">
                  <c:v>1.9300000000000001E-2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5D0-4113-B9D6-7CD7FC140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361104"/>
        <c:axId val="1442360144"/>
      </c:lineChart>
      <c:catAx>
        <c:axId val="143563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633248"/>
        <c:crosses val="autoZero"/>
        <c:auto val="1"/>
        <c:lblAlgn val="ctr"/>
        <c:lblOffset val="100"/>
        <c:noMultiLvlLbl val="0"/>
      </c:catAx>
      <c:valAx>
        <c:axId val="14356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635648"/>
        <c:crosses val="autoZero"/>
        <c:crossBetween val="between"/>
      </c:valAx>
      <c:valAx>
        <c:axId val="144236014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361104"/>
        <c:crosses val="max"/>
        <c:crossBetween val="between"/>
      </c:valAx>
      <c:catAx>
        <c:axId val="14423611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42360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6330927384076986E-2"/>
          <c:y val="0.78754785098503"/>
          <c:w val="0.89067125984251971"/>
          <c:h val="0.212452149014969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384020454632186"/>
          <c:y val="8.1481481481481488E-2"/>
          <c:w val="0.66362836511348844"/>
          <c:h val="0.575380577427821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Graph!$A$13</c:f>
              <c:strCache>
                <c:ptCount val="1"/>
                <c:pt idx="0">
                  <c:v>Coles Net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Graph!$B$12:$E$12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Graph!$B$13:$E$13</c:f>
              <c:numCache>
                <c:formatCode>#,##0.00</c:formatCode>
                <c:ptCount val="4"/>
                <c:pt idx="0">
                  <c:v>1005000000</c:v>
                </c:pt>
                <c:pt idx="1">
                  <c:v>1048000000</c:v>
                </c:pt>
                <c:pt idx="2">
                  <c:v>1098000000</c:v>
                </c:pt>
                <c:pt idx="3">
                  <c:v>1118000000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0-4DB1-B9BB-491AF1D7F617}"/>
            </c:ext>
          </c:extLst>
        </c:ser>
        <c:ser>
          <c:idx val="1"/>
          <c:order val="1"/>
          <c:tx>
            <c:strRef>
              <c:f>Graph!$A$14</c:f>
              <c:strCache>
                <c:ptCount val="1"/>
                <c:pt idx="0">
                  <c:v>Woolworths Net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Graph!$B$12:$E$12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Graph!$B$14:$E$14</c:f>
              <c:numCache>
                <c:formatCode>#,##0.00</c:formatCode>
                <c:ptCount val="4"/>
                <c:pt idx="0">
                  <c:v>1606000000</c:v>
                </c:pt>
                <c:pt idx="1">
                  <c:v>1557000000</c:v>
                </c:pt>
                <c:pt idx="2">
                  <c:v>1629000000</c:v>
                </c:pt>
                <c:pt idx="3">
                  <c:v>117000000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D0-4DB1-B9BB-491AF1D7F617}"/>
            </c:ext>
          </c:extLst>
        </c:ser>
        <c:ser>
          <c:idx val="2"/>
          <c:order val="2"/>
          <c:tx>
            <c:strRef>
              <c:f>Graph!$A$15</c:f>
              <c:strCache>
                <c:ptCount val="1"/>
                <c:pt idx="0">
                  <c:v>Coles Total Assets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Graph!$B$12:$E$12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Graph!$B$15:$E$15</c:f>
              <c:numCache>
                <c:formatCode>_-* #,##0.00_-;\-* #,##0.00_-;_-* "-"??_-;_-@_-</c:formatCode>
                <c:ptCount val="4"/>
                <c:pt idx="0">
                  <c:v>18123000000</c:v>
                </c:pt>
                <c:pt idx="1">
                  <c:v>18836000000</c:v>
                </c:pt>
                <c:pt idx="2">
                  <c:v>18292000000</c:v>
                </c:pt>
                <c:pt idx="3">
                  <c:v>19870000000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D0-4DB1-B9BB-491AF1D7F617}"/>
            </c:ext>
          </c:extLst>
        </c:ser>
        <c:ser>
          <c:idx val="3"/>
          <c:order val="3"/>
          <c:tx>
            <c:strRef>
              <c:f>Graph!$A$16</c:f>
              <c:strCache>
                <c:ptCount val="1"/>
                <c:pt idx="0">
                  <c:v>Woolworths Total Assets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Graph!$B$12:$E$12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Graph!$B$16:$E$16</c:f>
              <c:numCache>
                <c:formatCode>_-* #,##0.00_-;\-* #,##0.00_-;_-* "-"??_-;_-@_-</c:formatCode>
                <c:ptCount val="4"/>
                <c:pt idx="0">
                  <c:v>39236000000</c:v>
                </c:pt>
                <c:pt idx="1">
                  <c:v>33273000000</c:v>
                </c:pt>
                <c:pt idx="2">
                  <c:v>33648000000</c:v>
                </c:pt>
                <c:pt idx="3">
                  <c:v>33936000000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D0-4DB1-B9BB-491AF1D7F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270864"/>
        <c:axId val="2080277584"/>
      </c:barChart>
      <c:lineChart>
        <c:grouping val="standard"/>
        <c:varyColors val="0"/>
        <c:ser>
          <c:idx val="4"/>
          <c:order val="4"/>
          <c:tx>
            <c:strRef>
              <c:f>Graph!$A$17</c:f>
              <c:strCache>
                <c:ptCount val="1"/>
                <c:pt idx="0">
                  <c:v>Coles ROA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Graph!$B$12:$E$12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Graph!$B$17:$E$17</c:f>
              <c:numCache>
                <c:formatCode>0.00%</c:formatCode>
                <c:ptCount val="4"/>
                <c:pt idx="1">
                  <c:v>5.6711491111772504E-2</c:v>
                </c:pt>
                <c:pt idx="2">
                  <c:v>5.9146735617323851E-2</c:v>
                </c:pt>
                <c:pt idx="3">
                  <c:v>5.8592316964519678E-2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D0-4DB1-B9BB-491AF1D7F617}"/>
            </c:ext>
          </c:extLst>
        </c:ser>
        <c:ser>
          <c:idx val="5"/>
          <c:order val="5"/>
          <c:tx>
            <c:strRef>
              <c:f>Graph!$A$18</c:f>
              <c:strCache>
                <c:ptCount val="1"/>
                <c:pt idx="0">
                  <c:v>Woolworths ROA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Graph!$B$12:$E$12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Graph!$B$18:$E$18</c:f>
              <c:numCache>
                <c:formatCode>0.00%</c:formatCode>
                <c:ptCount val="4"/>
                <c:pt idx="1">
                  <c:v>5.5222557190991312E-2</c:v>
                </c:pt>
                <c:pt idx="2">
                  <c:v>7.3381683859633312E-2</c:v>
                </c:pt>
                <c:pt idx="3">
                  <c:v>5.1067172973680765E-3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5D0-4DB1-B9BB-491AF1D7F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580256"/>
        <c:axId val="1944581216"/>
      </c:lineChart>
      <c:catAx>
        <c:axId val="208027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277584"/>
        <c:crosses val="autoZero"/>
        <c:auto val="1"/>
        <c:lblAlgn val="ctr"/>
        <c:lblOffset val="100"/>
        <c:noMultiLvlLbl val="0"/>
      </c:catAx>
      <c:valAx>
        <c:axId val="208027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270864"/>
        <c:crosses val="autoZero"/>
        <c:crossBetween val="between"/>
      </c:valAx>
      <c:valAx>
        <c:axId val="194458121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580256"/>
        <c:crosses val="max"/>
        <c:crossBetween val="between"/>
      </c:valAx>
      <c:catAx>
        <c:axId val="1944580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4581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8808424391216034E-2"/>
          <c:y val="0.7472195975503062"/>
          <c:w val="0.95853824007055666"/>
          <c:h val="0.208335958005249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092847769028871"/>
          <c:y val="0.17171296296296296"/>
          <c:w val="0.66564326334208224"/>
          <c:h val="0.392926405032704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Graph!$A$23</c:f>
              <c:strCache>
                <c:ptCount val="1"/>
                <c:pt idx="0">
                  <c:v>Coles Net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Graph!$B$22:$E$22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Graph!$B$23:$E$23</c:f>
              <c:numCache>
                <c:formatCode>#,##0.00</c:formatCode>
                <c:ptCount val="4"/>
                <c:pt idx="0">
                  <c:v>1005000000</c:v>
                </c:pt>
                <c:pt idx="1">
                  <c:v>1048000000</c:v>
                </c:pt>
                <c:pt idx="2">
                  <c:v>1098000000</c:v>
                </c:pt>
                <c:pt idx="3">
                  <c:v>1118000000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E-4C6B-BA8D-3001B9832A53}"/>
            </c:ext>
          </c:extLst>
        </c:ser>
        <c:ser>
          <c:idx val="1"/>
          <c:order val="1"/>
          <c:tx>
            <c:strRef>
              <c:f>Graph!$A$24</c:f>
              <c:strCache>
                <c:ptCount val="1"/>
                <c:pt idx="0">
                  <c:v>Woolworths Net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Graph!$B$22:$E$22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Graph!$B$24:$E$24</c:f>
              <c:numCache>
                <c:formatCode>#,##0.00</c:formatCode>
                <c:ptCount val="4"/>
                <c:pt idx="0">
                  <c:v>1606000000</c:v>
                </c:pt>
                <c:pt idx="1">
                  <c:v>1557000000</c:v>
                </c:pt>
                <c:pt idx="2">
                  <c:v>1629000000</c:v>
                </c:pt>
                <c:pt idx="3">
                  <c:v>117000000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7E-4C6B-BA8D-3001B9832A53}"/>
            </c:ext>
          </c:extLst>
        </c:ser>
        <c:ser>
          <c:idx val="2"/>
          <c:order val="2"/>
          <c:tx>
            <c:strRef>
              <c:f>Graph!$A$25</c:f>
              <c:strCache>
                <c:ptCount val="1"/>
                <c:pt idx="0">
                  <c:v>Coles Sales 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Graph!$B$22:$E$22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Graph!$B$25:$E$25</c:f>
              <c:numCache>
                <c:formatCode>#,##0.00</c:formatCode>
                <c:ptCount val="4"/>
                <c:pt idx="0">
                  <c:v>38562000000</c:v>
                </c:pt>
                <c:pt idx="1">
                  <c:v>39369000000</c:v>
                </c:pt>
                <c:pt idx="2">
                  <c:v>40483000000</c:v>
                </c:pt>
                <c:pt idx="3">
                  <c:v>43571000000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7E-4C6B-BA8D-3001B9832A53}"/>
            </c:ext>
          </c:extLst>
        </c:ser>
        <c:ser>
          <c:idx val="3"/>
          <c:order val="3"/>
          <c:tx>
            <c:strRef>
              <c:f>Graph!$A$26</c:f>
              <c:strCache>
                <c:ptCount val="1"/>
                <c:pt idx="0">
                  <c:v>Woolworth Sales Revenue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Graph!$B$22:$E$22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Graph!$B$26:$E$26</c:f>
              <c:numCache>
                <c:formatCode>#,##0.00</c:formatCode>
                <c:ptCount val="4"/>
                <c:pt idx="0">
                  <c:v>55694000000</c:v>
                </c:pt>
                <c:pt idx="1">
                  <c:v>60849000000</c:v>
                </c:pt>
                <c:pt idx="2">
                  <c:v>64294000000</c:v>
                </c:pt>
                <c:pt idx="3">
                  <c:v>67922000000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7E-4C6B-BA8D-3001B9832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323120"/>
        <c:axId val="750323600"/>
      </c:barChart>
      <c:lineChart>
        <c:grouping val="standard"/>
        <c:varyColors val="0"/>
        <c:ser>
          <c:idx val="4"/>
          <c:order val="4"/>
          <c:tx>
            <c:strRef>
              <c:f>Graph!$A$27</c:f>
              <c:strCache>
                <c:ptCount val="1"/>
                <c:pt idx="0">
                  <c:v>Coles PM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Graph!$B$22:$E$22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Graph!$B$27:$E$27</c:f>
              <c:numCache>
                <c:formatCode>0.00%</c:formatCode>
                <c:ptCount val="4"/>
                <c:pt idx="0">
                  <c:v>2.6061926248638557E-2</c:v>
                </c:pt>
                <c:pt idx="1">
                  <c:v>2.6619929386065177E-2</c:v>
                </c:pt>
                <c:pt idx="2">
                  <c:v>2.7122495862460787E-2</c:v>
                </c:pt>
                <c:pt idx="3">
                  <c:v>2.5659268779692913E-2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7E-4C6B-BA8D-3001B9832A53}"/>
            </c:ext>
          </c:extLst>
        </c:ser>
        <c:ser>
          <c:idx val="5"/>
          <c:order val="5"/>
          <c:tx>
            <c:strRef>
              <c:f>Graph!$A$28</c:f>
              <c:strCache>
                <c:ptCount val="1"/>
                <c:pt idx="0">
                  <c:v>Woolworth PM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Graph!$B$22:$E$22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Graph!$B$28:$E$28</c:f>
              <c:numCache>
                <c:formatCode>0.00%</c:formatCode>
                <c:ptCount val="4"/>
                <c:pt idx="0">
                  <c:v>2.8836140338277014E-2</c:v>
                </c:pt>
                <c:pt idx="1">
                  <c:v>2.5587930779470493E-2</c:v>
                </c:pt>
                <c:pt idx="2">
                  <c:v>2.5336734376458146E-2</c:v>
                </c:pt>
                <c:pt idx="3">
                  <c:v>1.7225641176643798E-3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7E-4C6B-BA8D-3001B9832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2046208"/>
        <c:axId val="882045248"/>
      </c:lineChart>
      <c:catAx>
        <c:axId val="75032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23600"/>
        <c:crosses val="autoZero"/>
        <c:auto val="1"/>
        <c:lblAlgn val="ctr"/>
        <c:lblOffset val="100"/>
        <c:noMultiLvlLbl val="0"/>
      </c:catAx>
      <c:valAx>
        <c:axId val="75032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23120"/>
        <c:crosses val="autoZero"/>
        <c:crossBetween val="between"/>
      </c:valAx>
      <c:valAx>
        <c:axId val="88204524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046208"/>
        <c:crosses val="max"/>
        <c:crossBetween val="between"/>
      </c:valAx>
      <c:catAx>
        <c:axId val="8820462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82045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013560804899424E-3"/>
          <c:y val="0.6883243761196518"/>
          <c:w val="0.97808617672790898"/>
          <c:h val="0.271993084197808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Graph!$A$34</c:f>
              <c:strCache>
                <c:ptCount val="1"/>
                <c:pt idx="0">
                  <c:v>Coles Net Operating 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Graph!$B$34:$E$34</c:f>
              <c:numCache>
                <c:formatCode>#,##0.00</c:formatCode>
                <c:ptCount val="4"/>
                <c:pt idx="0">
                  <c:v>2837000000</c:v>
                </c:pt>
                <c:pt idx="1">
                  <c:v>2690000000</c:v>
                </c:pt>
                <c:pt idx="2">
                  <c:v>2807000000</c:v>
                </c:pt>
                <c:pt idx="3">
                  <c:v>2793000000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C-4A9F-858C-B41D771E08FB}"/>
            </c:ext>
          </c:extLst>
        </c:ser>
        <c:ser>
          <c:idx val="1"/>
          <c:order val="1"/>
          <c:tx>
            <c:strRef>
              <c:f>Graph!$A$35</c:f>
              <c:strCache>
                <c:ptCount val="1"/>
                <c:pt idx="0">
                  <c:v>Woolworth Net Operating Cashflow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Graph!$B$35:$E$35</c:f>
              <c:numCache>
                <c:formatCode>#,##0.00</c:formatCode>
                <c:ptCount val="4"/>
                <c:pt idx="0">
                  <c:v>4624000000</c:v>
                </c:pt>
                <c:pt idx="1">
                  <c:v>3378000000</c:v>
                </c:pt>
                <c:pt idx="2">
                  <c:v>4754000000</c:v>
                </c:pt>
                <c:pt idx="3">
                  <c:v>4359000000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BC-4A9F-858C-B41D771E08FB}"/>
            </c:ext>
          </c:extLst>
        </c:ser>
        <c:ser>
          <c:idx val="2"/>
          <c:order val="2"/>
          <c:tx>
            <c:strRef>
              <c:f>Graph!$A$36</c:f>
              <c:strCache>
                <c:ptCount val="1"/>
                <c:pt idx="0">
                  <c:v>Coles Sales 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Graph!$B$36:$E$36</c:f>
              <c:numCache>
                <c:formatCode>#,##0.00</c:formatCode>
                <c:ptCount val="4"/>
                <c:pt idx="0">
                  <c:v>38562000000</c:v>
                </c:pt>
                <c:pt idx="1">
                  <c:v>39369000000</c:v>
                </c:pt>
                <c:pt idx="2">
                  <c:v>40483000000</c:v>
                </c:pt>
                <c:pt idx="3">
                  <c:v>43571000000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BC-4A9F-858C-B41D771E08FB}"/>
            </c:ext>
          </c:extLst>
        </c:ser>
        <c:ser>
          <c:idx val="3"/>
          <c:order val="3"/>
          <c:tx>
            <c:strRef>
              <c:f>Graph!$A$37</c:f>
              <c:strCache>
                <c:ptCount val="1"/>
                <c:pt idx="0">
                  <c:v>Woolworth Sales Revenue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Graph!$B$37:$E$37</c:f>
              <c:numCache>
                <c:formatCode>#,##0.00</c:formatCode>
                <c:ptCount val="4"/>
                <c:pt idx="0">
                  <c:v>55694000000</c:v>
                </c:pt>
                <c:pt idx="1">
                  <c:v>60849000000</c:v>
                </c:pt>
                <c:pt idx="2">
                  <c:v>64294000000</c:v>
                </c:pt>
                <c:pt idx="3">
                  <c:v>67922000000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442352"/>
        <c:axId val="874439952"/>
      </c:barChart>
      <c:lineChart>
        <c:grouping val="standard"/>
        <c:varyColors val="0"/>
        <c:ser>
          <c:idx val="4"/>
          <c:order val="4"/>
          <c:tx>
            <c:strRef>
              <c:f>Graph!$A$38</c:f>
              <c:strCache>
                <c:ptCount val="1"/>
                <c:pt idx="0">
                  <c:v>Coles Cash Flow Margin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Graph!$B$38:$E$38</c:f>
              <c:numCache>
                <c:formatCode>0.00%</c:formatCode>
                <c:ptCount val="4"/>
                <c:pt idx="0">
                  <c:v>7.3569835589440385E-2</c:v>
                </c:pt>
                <c:pt idx="1">
                  <c:v>6.8327872183697833E-2</c:v>
                </c:pt>
                <c:pt idx="2">
                  <c:v>6.9337746708494921E-2</c:v>
                </c:pt>
                <c:pt idx="3">
                  <c:v>6.4102269858392055E-2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BC-4A9F-858C-B41D771E08FB}"/>
            </c:ext>
          </c:extLst>
        </c:ser>
        <c:ser>
          <c:idx val="5"/>
          <c:order val="5"/>
          <c:tx>
            <c:strRef>
              <c:f>Graph!$A$39</c:f>
              <c:strCache>
                <c:ptCount val="1"/>
                <c:pt idx="0">
                  <c:v>Woolworth Cash Flow Margin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Graph!$B$39:$E$39</c:f>
              <c:numCache>
                <c:formatCode>0.00%</c:formatCode>
                <c:ptCount val="4"/>
                <c:pt idx="0">
                  <c:v>8.3025101447193592E-2</c:v>
                </c:pt>
                <c:pt idx="1">
                  <c:v>5.5514470246018834E-2</c:v>
                </c:pt>
                <c:pt idx="2">
                  <c:v>7.3941580862910999E-2</c:v>
                </c:pt>
                <c:pt idx="3">
                  <c:v>6.417655546067548E-2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131616"/>
        <c:axId val="874132096"/>
      </c:lineChart>
      <c:catAx>
        <c:axId val="87444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9952"/>
        <c:crosses val="autoZero"/>
        <c:auto val="1"/>
        <c:lblAlgn val="ctr"/>
        <c:lblOffset val="100"/>
        <c:noMultiLvlLbl val="0"/>
      </c:catAx>
      <c:valAx>
        <c:axId val="87443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42352"/>
        <c:crosses val="autoZero"/>
        <c:crossBetween val="between"/>
      </c:valAx>
      <c:valAx>
        <c:axId val="87413209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131616"/>
        <c:crosses val="max"/>
        <c:crossBetween val="between"/>
      </c:valAx>
      <c:catAx>
        <c:axId val="8741316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4132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Graph!$A$45</c:f>
              <c:strCache>
                <c:ptCount val="1"/>
                <c:pt idx="0">
                  <c:v>Coles Sales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Graph!$B$45:$E$45</c:f>
              <c:numCache>
                <c:formatCode>#,##0.00</c:formatCode>
                <c:ptCount val="4"/>
                <c:pt idx="0">
                  <c:v>38562000000</c:v>
                </c:pt>
                <c:pt idx="1">
                  <c:v>39369000000</c:v>
                </c:pt>
                <c:pt idx="2">
                  <c:v>40483000000</c:v>
                </c:pt>
                <c:pt idx="3">
                  <c:v>43571000000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C-4A9F-858C-B41D771E08FB}"/>
            </c:ext>
          </c:extLst>
        </c:ser>
        <c:ser>
          <c:idx val="1"/>
          <c:order val="1"/>
          <c:tx>
            <c:strRef>
              <c:f>Graph!$A$46</c:f>
              <c:strCache>
                <c:ptCount val="1"/>
                <c:pt idx="0">
                  <c:v>Woolworth Sales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Graph!$B$46:$E$46</c:f>
              <c:numCache>
                <c:formatCode>#,##0.00</c:formatCode>
                <c:ptCount val="4"/>
                <c:pt idx="0">
                  <c:v>55694000000</c:v>
                </c:pt>
                <c:pt idx="1">
                  <c:v>60849000000</c:v>
                </c:pt>
                <c:pt idx="2">
                  <c:v>64294000000</c:v>
                </c:pt>
                <c:pt idx="3">
                  <c:v>67922000000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BC-4A9F-858C-B41D771E08FB}"/>
            </c:ext>
          </c:extLst>
        </c:ser>
        <c:ser>
          <c:idx val="2"/>
          <c:order val="2"/>
          <c:tx>
            <c:strRef>
              <c:f>Graph!$A$47</c:f>
              <c:strCache>
                <c:ptCount val="1"/>
                <c:pt idx="0">
                  <c:v>Coles Total Assets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Graph!$B$47:$E$47</c:f>
              <c:numCache>
                <c:formatCode>_-* #,##0.00_-;\-* #,##0.00_-;_-* "-"??_-;_-@_-</c:formatCode>
                <c:ptCount val="4"/>
                <c:pt idx="0">
                  <c:v>18123000000</c:v>
                </c:pt>
                <c:pt idx="1">
                  <c:v>18836000000</c:v>
                </c:pt>
                <c:pt idx="2">
                  <c:v>18292000000</c:v>
                </c:pt>
                <c:pt idx="3">
                  <c:v>19870000000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BC-4A9F-858C-B41D771E08FB}"/>
            </c:ext>
          </c:extLst>
        </c:ser>
        <c:ser>
          <c:idx val="3"/>
          <c:order val="3"/>
          <c:tx>
            <c:strRef>
              <c:f>Graph!$A$48</c:f>
              <c:strCache>
                <c:ptCount val="1"/>
                <c:pt idx="0">
                  <c:v>Woolworths Total Assets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Graph!$B$48:$E$48</c:f>
              <c:numCache>
                <c:formatCode>_-* #,##0.00_-;\-* #,##0.00_-;_-* "-"??_-;_-@_-</c:formatCode>
                <c:ptCount val="4"/>
                <c:pt idx="0">
                  <c:v>39236000000</c:v>
                </c:pt>
                <c:pt idx="1">
                  <c:v>33273000000</c:v>
                </c:pt>
                <c:pt idx="2">
                  <c:v>33648000000</c:v>
                </c:pt>
                <c:pt idx="3">
                  <c:v>33936000000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442352"/>
        <c:axId val="874439952"/>
      </c:barChart>
      <c:lineChart>
        <c:grouping val="standard"/>
        <c:varyColors val="0"/>
        <c:ser>
          <c:idx val="4"/>
          <c:order val="4"/>
          <c:tx>
            <c:strRef>
              <c:f>Graph!$A$49</c:f>
              <c:strCache>
                <c:ptCount val="1"/>
                <c:pt idx="0">
                  <c:v>Coles ATO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Graph!$B$49:$E$49</c:f>
              <c:numCache>
                <c:formatCode>#,##0.00</c:formatCode>
                <c:ptCount val="4"/>
                <c:pt idx="1">
                  <c:v>2.130414783949782</c:v>
                </c:pt>
                <c:pt idx="2">
                  <c:v>2.1807261366084894</c:v>
                </c:pt>
                <c:pt idx="3">
                  <c:v>2.2834757088202924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BC-4A9F-858C-B41D771E08FB}"/>
            </c:ext>
          </c:extLst>
        </c:ser>
        <c:ser>
          <c:idx val="5"/>
          <c:order val="5"/>
          <c:tx>
            <c:strRef>
              <c:f>Graph!$A$50</c:f>
              <c:strCache>
                <c:ptCount val="1"/>
                <c:pt idx="0">
                  <c:v>Woolworth ATO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Graph!$B$50:$E$50</c:f>
              <c:numCache>
                <c:formatCode>#,##0.00</c:formatCode>
                <c:ptCount val="4"/>
                <c:pt idx="1">
                  <c:v>1.6783847522376532</c:v>
                </c:pt>
                <c:pt idx="2">
                  <c:v>1.9214895174907727</c:v>
                </c:pt>
                <c:pt idx="3">
                  <c:v>2.0100023674242422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131616"/>
        <c:axId val="874132096"/>
      </c:lineChart>
      <c:catAx>
        <c:axId val="87444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9952"/>
        <c:crosses val="autoZero"/>
        <c:auto val="1"/>
        <c:lblAlgn val="ctr"/>
        <c:lblOffset val="100"/>
        <c:noMultiLvlLbl val="0"/>
      </c:catAx>
      <c:valAx>
        <c:axId val="87443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42352"/>
        <c:crosses val="autoZero"/>
        <c:crossBetween val="between"/>
      </c:valAx>
      <c:valAx>
        <c:axId val="874132096"/>
        <c:scaling>
          <c:orientation val="minMax"/>
        </c:scaling>
        <c:delete val="0"/>
        <c:axPos val="r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131616"/>
        <c:crosses val="max"/>
        <c:crossBetween val="between"/>
      </c:valAx>
      <c:catAx>
        <c:axId val="8741316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4132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Graph!$A$61</c:f>
              <c:strCache>
                <c:ptCount val="1"/>
                <c:pt idx="0">
                  <c:v>Coles Inventory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Graph!$B$61:$E$61</c:f>
              <c:numCache>
                <c:formatCode>#,##0.00</c:formatCode>
                <c:ptCount val="4"/>
                <c:pt idx="0">
                  <c:v>2107000000</c:v>
                </c:pt>
                <c:pt idx="1">
                  <c:v>2448000000</c:v>
                </c:pt>
                <c:pt idx="2">
                  <c:v>2323000000</c:v>
                </c:pt>
                <c:pt idx="3">
                  <c:v>2703000000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C-4A9F-858C-B41D771E08FB}"/>
            </c:ext>
          </c:extLst>
        </c:ser>
        <c:ser>
          <c:idx val="1"/>
          <c:order val="1"/>
          <c:tx>
            <c:strRef>
              <c:f>Graph!$A$62</c:f>
              <c:strCache>
                <c:ptCount val="1"/>
                <c:pt idx="0">
                  <c:v>Woolworths Inventory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Graph!$B$62:$E$62</c:f>
              <c:numCache>
                <c:formatCode>#,##0.00</c:formatCode>
                <c:ptCount val="4"/>
                <c:pt idx="0">
                  <c:v>3132000000</c:v>
                </c:pt>
                <c:pt idx="1">
                  <c:v>3593000000</c:v>
                </c:pt>
                <c:pt idx="2">
                  <c:v>3698000000</c:v>
                </c:pt>
                <c:pt idx="3">
                  <c:v>4187000000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BC-4A9F-858C-B41D771E08FB}"/>
            </c:ext>
          </c:extLst>
        </c:ser>
        <c:ser>
          <c:idx val="2"/>
          <c:order val="2"/>
          <c:tx>
            <c:strRef>
              <c:f>Graph!$A$63</c:f>
              <c:strCache>
                <c:ptCount val="1"/>
                <c:pt idx="0">
                  <c:v>Coles Cost of Sale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Graph!$B$63:$E$63</c:f>
              <c:numCache>
                <c:formatCode>#,##0.00</c:formatCode>
                <c:ptCount val="4"/>
                <c:pt idx="0">
                  <c:v>28773000000</c:v>
                </c:pt>
                <c:pt idx="1">
                  <c:v>29210000000</c:v>
                </c:pt>
                <c:pt idx="2">
                  <c:v>30034000000</c:v>
                </c:pt>
                <c:pt idx="3">
                  <c:v>32299000000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BC-4A9F-858C-B41D771E08FB}"/>
            </c:ext>
          </c:extLst>
        </c:ser>
        <c:ser>
          <c:idx val="3"/>
          <c:order val="3"/>
          <c:tx>
            <c:strRef>
              <c:f>Graph!$A$64</c:f>
              <c:strCache>
                <c:ptCount val="1"/>
                <c:pt idx="0">
                  <c:v>Woolworth Cost of Sale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Graph!$B$64:$E$64</c:f>
              <c:numCache>
                <c:formatCode>#,##0.00</c:formatCode>
                <c:ptCount val="4"/>
                <c:pt idx="0">
                  <c:v>39366000000</c:v>
                </c:pt>
                <c:pt idx="1">
                  <c:v>44878000000</c:v>
                </c:pt>
                <c:pt idx="2">
                  <c:v>47118000000</c:v>
                </c:pt>
                <c:pt idx="3">
                  <c:v>49370000000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442352"/>
        <c:axId val="874439952"/>
      </c:barChart>
      <c:lineChart>
        <c:grouping val="standard"/>
        <c:varyColors val="0"/>
        <c:ser>
          <c:idx val="4"/>
          <c:order val="4"/>
          <c:tx>
            <c:strRef>
              <c:f>Graph!$A$65</c:f>
              <c:strCache>
                <c:ptCount val="1"/>
                <c:pt idx="0">
                  <c:v>Coles Days Inventory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Graph!$B$65:$E$65</c:f>
              <c:numCache>
                <c:formatCode>#,##0.00</c:formatCode>
                <c:ptCount val="4"/>
                <c:pt idx="1">
                  <c:v>28.459003765833621</c:v>
                </c:pt>
                <c:pt idx="2">
                  <c:v>28.990727175867352</c:v>
                </c:pt>
                <c:pt idx="3">
                  <c:v>28.398557230874022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BC-4A9F-858C-B41D771E08FB}"/>
            </c:ext>
          </c:extLst>
        </c:ser>
        <c:ser>
          <c:idx val="5"/>
          <c:order val="5"/>
          <c:tx>
            <c:strRef>
              <c:f>Graph!$A$66</c:f>
              <c:strCache>
                <c:ptCount val="1"/>
                <c:pt idx="0">
                  <c:v>Woolworth Days Inventory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Graph!$B$66:$E$66</c:f>
              <c:numCache>
                <c:formatCode>#,##0.00</c:formatCode>
                <c:ptCount val="4"/>
                <c:pt idx="1">
                  <c:v>27.347753910602076</c:v>
                </c:pt>
                <c:pt idx="2">
                  <c:v>28.239897703637673</c:v>
                </c:pt>
                <c:pt idx="3">
                  <c:v>29.147508608466683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131616"/>
        <c:axId val="874132096"/>
      </c:lineChart>
      <c:catAx>
        <c:axId val="87444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9952"/>
        <c:crosses val="autoZero"/>
        <c:auto val="1"/>
        <c:lblAlgn val="ctr"/>
        <c:lblOffset val="100"/>
        <c:noMultiLvlLbl val="0"/>
      </c:catAx>
      <c:valAx>
        <c:axId val="87443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42352"/>
        <c:crosses val="autoZero"/>
        <c:crossBetween val="between"/>
      </c:valAx>
      <c:valAx>
        <c:axId val="874132096"/>
        <c:scaling>
          <c:orientation val="minMax"/>
        </c:scaling>
        <c:delete val="0"/>
        <c:axPos val="r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131616"/>
        <c:crosses val="max"/>
        <c:crossBetween val="between"/>
      </c:valAx>
      <c:catAx>
        <c:axId val="8741316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4132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Graph!$A$76</c:f>
              <c:strCache>
                <c:ptCount val="1"/>
                <c:pt idx="0">
                  <c:v>Coles Accounts Receivable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Graph!$B$76:$E$76</c:f>
              <c:numCache>
                <c:formatCode>#,##0.00</c:formatCode>
                <c:ptCount val="4"/>
                <c:pt idx="0">
                  <c:v>368000000</c:v>
                </c:pt>
                <c:pt idx="1">
                  <c:v>470000000</c:v>
                </c:pt>
                <c:pt idx="2">
                  <c:v>605000000</c:v>
                </c:pt>
                <c:pt idx="3">
                  <c:v>496000000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C-4A9F-858C-B41D771E08FB}"/>
            </c:ext>
          </c:extLst>
        </c:ser>
        <c:ser>
          <c:idx val="1"/>
          <c:order val="1"/>
          <c:tx>
            <c:strRef>
              <c:f>Graph!$A$77</c:f>
              <c:strCache>
                <c:ptCount val="1"/>
                <c:pt idx="0">
                  <c:v>Woolworths Accounts Receivable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Graph!$B$77:$E$77</c:f>
              <c:numCache>
                <c:formatCode>#,##0.00</c:formatCode>
                <c:ptCount val="4"/>
                <c:pt idx="0">
                  <c:v>480000000</c:v>
                </c:pt>
                <c:pt idx="1">
                  <c:v>856000000</c:v>
                </c:pt>
                <c:pt idx="2">
                  <c:v>1016000000</c:v>
                </c:pt>
                <c:pt idx="3">
                  <c:v>1106000000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BC-4A9F-858C-B41D771E08FB}"/>
            </c:ext>
          </c:extLst>
        </c:ser>
        <c:ser>
          <c:idx val="2"/>
          <c:order val="2"/>
          <c:tx>
            <c:strRef>
              <c:f>Graph!$A$78</c:f>
              <c:strCache>
                <c:ptCount val="1"/>
                <c:pt idx="0">
                  <c:v>Coles Sales 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Graph!$B$78:$E$78</c:f>
              <c:numCache>
                <c:formatCode>#,##0.00</c:formatCode>
                <c:ptCount val="4"/>
                <c:pt idx="0">
                  <c:v>38562000000</c:v>
                </c:pt>
                <c:pt idx="1">
                  <c:v>39369000000</c:v>
                </c:pt>
                <c:pt idx="2">
                  <c:v>40483000000</c:v>
                </c:pt>
                <c:pt idx="3">
                  <c:v>43571000000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BC-4A9F-858C-B41D771E08FB}"/>
            </c:ext>
          </c:extLst>
        </c:ser>
        <c:ser>
          <c:idx val="3"/>
          <c:order val="3"/>
          <c:tx>
            <c:strRef>
              <c:f>Graph!$A$79</c:f>
              <c:strCache>
                <c:ptCount val="1"/>
                <c:pt idx="0">
                  <c:v>Woolworth Sales Revenue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Graph!$B$79:$E$79</c:f>
              <c:numCache>
                <c:formatCode>#,##0.00</c:formatCode>
                <c:ptCount val="4"/>
                <c:pt idx="0">
                  <c:v>55694000000</c:v>
                </c:pt>
                <c:pt idx="1">
                  <c:v>60849000000</c:v>
                </c:pt>
                <c:pt idx="2">
                  <c:v>64294000000</c:v>
                </c:pt>
                <c:pt idx="3">
                  <c:v>67922000000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442352"/>
        <c:axId val="874439952"/>
      </c:barChart>
      <c:lineChart>
        <c:grouping val="standard"/>
        <c:varyColors val="0"/>
        <c:ser>
          <c:idx val="4"/>
          <c:order val="4"/>
          <c:tx>
            <c:strRef>
              <c:f>Graph!$A$80</c:f>
              <c:strCache>
                <c:ptCount val="1"/>
                <c:pt idx="0">
                  <c:v>Coles Days Receivable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Graph!$B$80:$E$80</c:f>
              <c:numCache>
                <c:formatCode>#,##0.00</c:formatCode>
                <c:ptCount val="4"/>
                <c:pt idx="1">
                  <c:v>3.8846554395590438</c:v>
                </c:pt>
                <c:pt idx="2">
                  <c:v>4.8461699972828098</c:v>
                </c:pt>
                <c:pt idx="3">
                  <c:v>4.6116109338780378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BC-4A9F-858C-B41D771E08FB}"/>
            </c:ext>
          </c:extLst>
        </c:ser>
        <c:ser>
          <c:idx val="5"/>
          <c:order val="5"/>
          <c:tx>
            <c:strRef>
              <c:f>Graph!$A$81</c:f>
              <c:strCache>
                <c:ptCount val="1"/>
                <c:pt idx="0">
                  <c:v>Woolworths Days Receivable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Graph!$B$81:$E$81</c:f>
              <c:numCache>
                <c:formatCode>#,##0.00</c:formatCode>
                <c:ptCount val="4"/>
                <c:pt idx="1">
                  <c:v>4.0069680684974278</c:v>
                </c:pt>
                <c:pt idx="2">
                  <c:v>5.3137151211621614</c:v>
                </c:pt>
                <c:pt idx="3">
                  <c:v>5.7016136156179149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131616"/>
        <c:axId val="874132096"/>
      </c:lineChart>
      <c:catAx>
        <c:axId val="87444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9952"/>
        <c:crosses val="autoZero"/>
        <c:auto val="1"/>
        <c:lblAlgn val="ctr"/>
        <c:lblOffset val="100"/>
        <c:noMultiLvlLbl val="0"/>
      </c:catAx>
      <c:valAx>
        <c:axId val="87443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42352"/>
        <c:crosses val="autoZero"/>
        <c:crossBetween val="between"/>
      </c:valAx>
      <c:valAx>
        <c:axId val="874132096"/>
        <c:scaling>
          <c:orientation val="minMax"/>
        </c:scaling>
        <c:delete val="0"/>
        <c:axPos val="r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131616"/>
        <c:crosses val="max"/>
        <c:crossBetween val="between"/>
      </c:valAx>
      <c:catAx>
        <c:axId val="8741316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4132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Graph!$A$91</c:f>
              <c:strCache>
                <c:ptCount val="1"/>
                <c:pt idx="0">
                  <c:v>Coles Current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Graph!$B$91:$E$91</c:f>
              <c:numCache>
                <c:formatCode>#,##0.00</c:formatCode>
                <c:ptCount val="4"/>
                <c:pt idx="0">
                  <c:v>3434000000</c:v>
                </c:pt>
                <c:pt idx="1">
                  <c:v>3751000000</c:v>
                </c:pt>
                <c:pt idx="2">
                  <c:v>3752000000</c:v>
                </c:pt>
                <c:pt idx="3">
                  <c:v>3986000000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C-4A9F-858C-B41D771E08FB}"/>
            </c:ext>
          </c:extLst>
        </c:ser>
        <c:ser>
          <c:idx val="1"/>
          <c:order val="1"/>
          <c:tx>
            <c:strRef>
              <c:f>Graph!$A$92</c:f>
              <c:strCache>
                <c:ptCount val="1"/>
                <c:pt idx="0">
                  <c:v>Woolworth Current Assets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Graph!$B$92:$E$92</c:f>
              <c:numCache>
                <c:formatCode>#,##0.00</c:formatCode>
                <c:ptCount val="4"/>
                <c:pt idx="0">
                  <c:v>15786000000</c:v>
                </c:pt>
                <c:pt idx="1">
                  <c:v>6110000000</c:v>
                </c:pt>
                <c:pt idx="2">
                  <c:v>6375000000</c:v>
                </c:pt>
                <c:pt idx="3">
                  <c:v>6991000000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BC-4A9F-858C-B41D771E08FB}"/>
            </c:ext>
          </c:extLst>
        </c:ser>
        <c:ser>
          <c:idx val="2"/>
          <c:order val="2"/>
          <c:tx>
            <c:strRef>
              <c:f>Graph!$A$93</c:f>
              <c:strCache>
                <c:ptCount val="1"/>
                <c:pt idx="0">
                  <c:v>Coles Current Liabilities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Graph!$B$93:$E$93</c:f>
              <c:numCache>
                <c:formatCode>#,##0.00</c:formatCode>
                <c:ptCount val="4"/>
                <c:pt idx="0">
                  <c:v>5819000000</c:v>
                </c:pt>
                <c:pt idx="1">
                  <c:v>6415000000</c:v>
                </c:pt>
                <c:pt idx="2">
                  <c:v>6408000000</c:v>
                </c:pt>
                <c:pt idx="3">
                  <c:v>6771000000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BC-4A9F-858C-B41D771E08FB}"/>
            </c:ext>
          </c:extLst>
        </c:ser>
        <c:ser>
          <c:idx val="3"/>
          <c:order val="3"/>
          <c:tx>
            <c:strRef>
              <c:f>Graph!$A$94</c:f>
              <c:strCache>
                <c:ptCount val="1"/>
                <c:pt idx="0">
                  <c:v>Woolworth Current Liabilities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Graph!$B$94:$E$94</c:f>
              <c:numCache>
                <c:formatCode>#,##0.00</c:formatCode>
                <c:ptCount val="4"/>
                <c:pt idx="0">
                  <c:v>23117000000</c:v>
                </c:pt>
                <c:pt idx="1">
                  <c:v>10750000000</c:v>
                </c:pt>
                <c:pt idx="2">
                  <c:v>11886000000</c:v>
                </c:pt>
                <c:pt idx="3">
                  <c:v>12819000000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442352"/>
        <c:axId val="874439952"/>
      </c:barChart>
      <c:lineChart>
        <c:grouping val="standard"/>
        <c:varyColors val="0"/>
        <c:ser>
          <c:idx val="4"/>
          <c:order val="4"/>
          <c:tx>
            <c:strRef>
              <c:f>Graph!$A$95</c:f>
              <c:strCache>
                <c:ptCount val="1"/>
                <c:pt idx="0">
                  <c:v>Coles Current Ratio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Graph!$B$95:$E$95</c:f>
              <c:numCache>
                <c:formatCode>#,##0.00</c:formatCode>
                <c:ptCount val="4"/>
                <c:pt idx="0">
                  <c:v>0.59013576215844643</c:v>
                </c:pt>
                <c:pt idx="1">
                  <c:v>0.58472330475448164</c:v>
                </c:pt>
                <c:pt idx="2">
                  <c:v>0.58551810237203494</c:v>
                </c:pt>
                <c:pt idx="3">
                  <c:v>0.58868704770344116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BC-4A9F-858C-B41D771E08FB}"/>
            </c:ext>
          </c:extLst>
        </c:ser>
        <c:ser>
          <c:idx val="5"/>
          <c:order val="5"/>
          <c:tx>
            <c:strRef>
              <c:f>Graph!$A$96</c:f>
              <c:strCache>
                <c:ptCount val="1"/>
                <c:pt idx="0">
                  <c:v>Woolworth Current Ratio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Graph!$B$96:$E$96</c:f>
              <c:numCache>
                <c:formatCode>#,##0.00</c:formatCode>
                <c:ptCount val="4"/>
                <c:pt idx="0">
                  <c:v>0.6828740753557988</c:v>
                </c:pt>
                <c:pt idx="1">
                  <c:v>0.56837209302325586</c:v>
                </c:pt>
                <c:pt idx="2">
                  <c:v>0.5363452801615346</c:v>
                </c:pt>
                <c:pt idx="3">
                  <c:v>0.54536235275762535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131616"/>
        <c:axId val="874132096"/>
      </c:lineChart>
      <c:catAx>
        <c:axId val="87444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9952"/>
        <c:crosses val="autoZero"/>
        <c:auto val="1"/>
        <c:lblAlgn val="ctr"/>
        <c:lblOffset val="100"/>
        <c:noMultiLvlLbl val="0"/>
      </c:catAx>
      <c:valAx>
        <c:axId val="87443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42352"/>
        <c:crosses val="autoZero"/>
        <c:crossBetween val="between"/>
      </c:valAx>
      <c:valAx>
        <c:axId val="874132096"/>
        <c:scaling>
          <c:orientation val="minMax"/>
        </c:scaling>
        <c:delete val="0"/>
        <c:axPos val="r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131616"/>
        <c:crosses val="max"/>
        <c:crossBetween val="between"/>
      </c:valAx>
      <c:catAx>
        <c:axId val="8741316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4132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092847769028871"/>
          <c:y val="5.0925925925925923E-2"/>
          <c:w val="0.68351837270341209"/>
          <c:h val="0.68542140565762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Graph!$A$108</c:f>
              <c:strCache>
                <c:ptCount val="1"/>
                <c:pt idx="0">
                  <c:v>Coles Net Operating 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Graph!$B$108:$E$108</c:f>
              <c:numCache>
                <c:formatCode>#,##0.00</c:formatCode>
                <c:ptCount val="4"/>
                <c:pt idx="0">
                  <c:v>2837000000</c:v>
                </c:pt>
                <c:pt idx="1">
                  <c:v>2690000000</c:v>
                </c:pt>
                <c:pt idx="2">
                  <c:v>2807000000</c:v>
                </c:pt>
                <c:pt idx="3">
                  <c:v>2793000000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C-4A9F-858C-B41D771E08FB}"/>
            </c:ext>
          </c:extLst>
        </c:ser>
        <c:ser>
          <c:idx val="1"/>
          <c:order val="1"/>
          <c:tx>
            <c:strRef>
              <c:f>Graph!$A$109</c:f>
              <c:strCache>
                <c:ptCount val="1"/>
                <c:pt idx="0">
                  <c:v>Woolworth Net Operating Cashflow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Graph!$B$109:$E$109</c:f>
              <c:numCache>
                <c:formatCode>#,##0.00</c:formatCode>
                <c:ptCount val="4"/>
                <c:pt idx="0">
                  <c:v>4624000000</c:v>
                </c:pt>
                <c:pt idx="1">
                  <c:v>3378000000</c:v>
                </c:pt>
                <c:pt idx="2">
                  <c:v>4754000000</c:v>
                </c:pt>
                <c:pt idx="3">
                  <c:v>4359000000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BC-4A9F-858C-B41D771E08FB}"/>
            </c:ext>
          </c:extLst>
        </c:ser>
        <c:ser>
          <c:idx val="2"/>
          <c:order val="2"/>
          <c:tx>
            <c:strRef>
              <c:f>Graph!$A$110</c:f>
              <c:strCache>
                <c:ptCount val="1"/>
                <c:pt idx="0">
                  <c:v>Coles Current Liabilities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Graph!$B$110:$E$110</c:f>
              <c:numCache>
                <c:formatCode>#,##0.00</c:formatCode>
                <c:ptCount val="4"/>
                <c:pt idx="0">
                  <c:v>5819000000</c:v>
                </c:pt>
                <c:pt idx="1">
                  <c:v>6415000000</c:v>
                </c:pt>
                <c:pt idx="2">
                  <c:v>6408000000</c:v>
                </c:pt>
                <c:pt idx="3">
                  <c:v>6771000000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BC-4A9F-858C-B41D771E08FB}"/>
            </c:ext>
          </c:extLst>
        </c:ser>
        <c:ser>
          <c:idx val="3"/>
          <c:order val="3"/>
          <c:tx>
            <c:strRef>
              <c:f>Graph!$A$111</c:f>
              <c:strCache>
                <c:ptCount val="1"/>
                <c:pt idx="0">
                  <c:v>Woolworth Current Liabilities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Graph!$B$111:$E$111</c:f>
              <c:numCache>
                <c:formatCode>#,##0.00</c:formatCode>
                <c:ptCount val="4"/>
                <c:pt idx="0">
                  <c:v>23117000000</c:v>
                </c:pt>
                <c:pt idx="1">
                  <c:v>10750000000</c:v>
                </c:pt>
                <c:pt idx="2">
                  <c:v>11886000000</c:v>
                </c:pt>
                <c:pt idx="3">
                  <c:v>12819000000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442352"/>
        <c:axId val="874439952"/>
      </c:barChart>
      <c:lineChart>
        <c:grouping val="standard"/>
        <c:varyColors val="0"/>
        <c:ser>
          <c:idx val="4"/>
          <c:order val="4"/>
          <c:tx>
            <c:strRef>
              <c:f>Graph!$A$112</c:f>
              <c:strCache>
                <c:ptCount val="1"/>
                <c:pt idx="0">
                  <c:v>Coles Operating Cash Flow Ratio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Graph!$B$112:$E$112</c:f>
              <c:numCache>
                <c:formatCode>#,##0.00</c:formatCode>
                <c:ptCount val="4"/>
                <c:pt idx="0">
                  <c:v>0.48754081457295068</c:v>
                </c:pt>
                <c:pt idx="1">
                  <c:v>0.41932969602494152</c:v>
                </c:pt>
                <c:pt idx="2">
                  <c:v>0.43804619225967539</c:v>
                </c:pt>
                <c:pt idx="3">
                  <c:v>0.41249446167478954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BC-4A9F-858C-B41D771E08FB}"/>
            </c:ext>
          </c:extLst>
        </c:ser>
        <c:ser>
          <c:idx val="5"/>
          <c:order val="5"/>
          <c:tx>
            <c:strRef>
              <c:f>Graph!$A$113</c:f>
              <c:strCache>
                <c:ptCount val="1"/>
                <c:pt idx="0">
                  <c:v>Woolworths Operating Cash Flow Ratio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Graph!$B$33:$E$33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Graph!$B$113:$E$113</c:f>
              <c:numCache>
                <c:formatCode>#,##0.00</c:formatCode>
                <c:ptCount val="4"/>
                <c:pt idx="0">
                  <c:v>0.20002595492494701</c:v>
                </c:pt>
                <c:pt idx="1">
                  <c:v>0.31423255813953488</c:v>
                </c:pt>
                <c:pt idx="2">
                  <c:v>0.39996634696281341</c:v>
                </c:pt>
                <c:pt idx="3">
                  <c:v>0.34004212497074654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131616"/>
        <c:axId val="874132096"/>
      </c:lineChart>
      <c:catAx>
        <c:axId val="87444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9952"/>
        <c:crosses val="autoZero"/>
        <c:auto val="1"/>
        <c:lblAlgn val="ctr"/>
        <c:lblOffset val="100"/>
        <c:noMultiLvlLbl val="0"/>
      </c:catAx>
      <c:valAx>
        <c:axId val="87443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42352"/>
        <c:crosses val="autoZero"/>
        <c:crossBetween val="between"/>
      </c:valAx>
      <c:valAx>
        <c:axId val="874132096"/>
        <c:scaling>
          <c:orientation val="minMax"/>
        </c:scaling>
        <c:delete val="0"/>
        <c:axPos val="r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131616"/>
        <c:crosses val="max"/>
        <c:crossBetween val="between"/>
      </c:valAx>
      <c:catAx>
        <c:axId val="8741316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4132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068241469816278E-2"/>
          <c:y val="0.81133931175269758"/>
          <c:w val="0.94364129483814518"/>
          <c:h val="0.160882910469524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092847769028871"/>
          <c:y val="5.0925925925925923E-2"/>
          <c:w val="0.68351837270341209"/>
          <c:h val="0.53248435186477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Graph!$A$121</c:f>
              <c:strCache>
                <c:ptCount val="1"/>
                <c:pt idx="0">
                  <c:v>Coles Total Liabilities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Graph!$B$120:$E$120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Graph!$B$121:$E$121</c:f>
              <c:numCache>
                <c:formatCode>#,##0.00</c:formatCode>
                <c:ptCount val="4"/>
                <c:pt idx="0">
                  <c:v>15310000000</c:v>
                </c:pt>
                <c:pt idx="1">
                  <c:v>15712000000</c:v>
                </c:pt>
                <c:pt idx="2">
                  <c:v>14936000000</c:v>
                </c:pt>
                <c:pt idx="3">
                  <c:v>16253000000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C-4A9F-858C-B41D771E08FB}"/>
            </c:ext>
          </c:extLst>
        </c:ser>
        <c:ser>
          <c:idx val="1"/>
          <c:order val="1"/>
          <c:tx>
            <c:strRef>
              <c:f>Graph!$A$122</c:f>
              <c:strCache>
                <c:ptCount val="1"/>
                <c:pt idx="0">
                  <c:v>Woolworths Total Liabilities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Graph!$B$120:$E$120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Graph!$B$122:$E$122</c:f>
              <c:numCache>
                <c:formatCode>#,##0.00</c:formatCode>
                <c:ptCount val="4"/>
                <c:pt idx="0">
                  <c:v>37497000000</c:v>
                </c:pt>
                <c:pt idx="1">
                  <c:v>27169000000</c:v>
                </c:pt>
                <c:pt idx="2">
                  <c:v>27083000000</c:v>
                </c:pt>
                <c:pt idx="3">
                  <c:v>28366000000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BC-4A9F-858C-B41D771E08FB}"/>
            </c:ext>
          </c:extLst>
        </c:ser>
        <c:ser>
          <c:idx val="2"/>
          <c:order val="2"/>
          <c:tx>
            <c:strRef>
              <c:f>Graph!$A$123</c:f>
              <c:strCache>
                <c:ptCount val="1"/>
                <c:pt idx="0">
                  <c:v>Coles Total Assets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Graph!$B$120:$E$120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Graph!$B$123:$E$123</c:f>
              <c:numCache>
                <c:formatCode>_-* #,##0.00_-;\-* #,##0.00_-;_-* "-"??_-;_-@_-</c:formatCode>
                <c:ptCount val="4"/>
                <c:pt idx="0">
                  <c:v>18123000000</c:v>
                </c:pt>
                <c:pt idx="1">
                  <c:v>18836000000</c:v>
                </c:pt>
                <c:pt idx="2">
                  <c:v>18292000000</c:v>
                </c:pt>
                <c:pt idx="3">
                  <c:v>19870000000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BC-4A9F-858C-B41D771E08FB}"/>
            </c:ext>
          </c:extLst>
        </c:ser>
        <c:ser>
          <c:idx val="3"/>
          <c:order val="3"/>
          <c:tx>
            <c:strRef>
              <c:f>Graph!$A$124</c:f>
              <c:strCache>
                <c:ptCount val="1"/>
                <c:pt idx="0">
                  <c:v>Woolworths Total Assets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Graph!$B$120:$E$120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Graph!$B$124:$E$124</c:f>
              <c:numCache>
                <c:formatCode>_-* #,##0.00_-;\-* #,##0.00_-;_-* "-"??_-;_-@_-</c:formatCode>
                <c:ptCount val="4"/>
                <c:pt idx="0">
                  <c:v>39236000000</c:v>
                </c:pt>
                <c:pt idx="1">
                  <c:v>33273000000</c:v>
                </c:pt>
                <c:pt idx="2">
                  <c:v>33648000000</c:v>
                </c:pt>
                <c:pt idx="3">
                  <c:v>33936000000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BC-4A9F-858C-B41D771E08FB}"/>
            </c:ext>
          </c:extLst>
        </c:ser>
        <c:ser>
          <c:idx val="4"/>
          <c:order val="4"/>
          <c:tx>
            <c:strRef>
              <c:f>Graph!$A$125</c:f>
              <c:strCache>
                <c:ptCount val="1"/>
                <c:pt idx="0">
                  <c:v>Coles Total Equity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Graph!$B$120:$E$120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Graph!$B$125:$E$125</c:f>
              <c:numCache>
                <c:formatCode>#,##0.00</c:formatCode>
                <c:ptCount val="4"/>
                <c:pt idx="0">
                  <c:v>2813000000</c:v>
                </c:pt>
                <c:pt idx="1">
                  <c:v>3124000000</c:v>
                </c:pt>
                <c:pt idx="2">
                  <c:v>3356000000</c:v>
                </c:pt>
                <c:pt idx="3">
                  <c:v>3617000000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BC-4A9F-858C-B41D771E08FB}"/>
            </c:ext>
          </c:extLst>
        </c:ser>
        <c:ser>
          <c:idx val="5"/>
          <c:order val="5"/>
          <c:tx>
            <c:strRef>
              <c:f>Graph!$A$126</c:f>
              <c:strCache>
                <c:ptCount val="1"/>
                <c:pt idx="0">
                  <c:v>Woolworths Total Equity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Graph!$B$120:$E$120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Graph!$B$126:$E$126</c:f>
              <c:numCache>
                <c:formatCode>#,##0.00</c:formatCode>
                <c:ptCount val="4"/>
                <c:pt idx="0">
                  <c:v>1739000000</c:v>
                </c:pt>
                <c:pt idx="1">
                  <c:v>6104000000</c:v>
                </c:pt>
                <c:pt idx="2">
                  <c:v>6565000000</c:v>
                </c:pt>
                <c:pt idx="3">
                  <c:v>5570000000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4442352"/>
        <c:axId val="874439952"/>
      </c:barChart>
      <c:lineChart>
        <c:grouping val="standard"/>
        <c:varyColors val="0"/>
        <c:ser>
          <c:idx val="6"/>
          <c:order val="6"/>
          <c:tx>
            <c:strRef>
              <c:f>Graph!$A$127</c:f>
              <c:strCache>
                <c:ptCount val="1"/>
                <c:pt idx="0">
                  <c:v>Coles Debt to Equity Ratio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Graph!$B$127:$E$127</c:f>
              <c:numCache>
                <c:formatCode>#,##0.00</c:formatCode>
                <c:ptCount val="4"/>
                <c:pt idx="0">
                  <c:v>5.4425879843583367</c:v>
                </c:pt>
                <c:pt idx="1">
                  <c:v>5.0294494238156213</c:v>
                </c:pt>
                <c:pt idx="2">
                  <c:v>4.4505363528009534</c:v>
                </c:pt>
                <c:pt idx="3">
                  <c:v>4.4935029029582525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F4-4EB9-86E6-9E04C654EE68}"/>
            </c:ext>
          </c:extLst>
        </c:ser>
        <c:ser>
          <c:idx val="7"/>
          <c:order val="7"/>
          <c:tx>
            <c:strRef>
              <c:f>Graph!$A$128</c:f>
              <c:strCache>
                <c:ptCount val="1"/>
                <c:pt idx="0">
                  <c:v>Woolworth Debt to Equity Ratio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Graph!$B$128:$E$128</c:f>
              <c:numCache>
                <c:formatCode>#,##0.00</c:formatCode>
                <c:ptCount val="4"/>
                <c:pt idx="1">
                  <c:v>4.4510157273918738</c:v>
                </c:pt>
                <c:pt idx="2">
                  <c:v>4.1253617669459253</c:v>
                </c:pt>
                <c:pt idx="3">
                  <c:v>5.0926391382405747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F4-4EB9-86E6-9E04C654EE68}"/>
            </c:ext>
          </c:extLst>
        </c:ser>
        <c:ser>
          <c:idx val="8"/>
          <c:order val="8"/>
          <c:tx>
            <c:strRef>
              <c:f>Graph!$A$129</c:f>
              <c:strCache>
                <c:ptCount val="1"/>
                <c:pt idx="0">
                  <c:v>Coles Debt to Assets Ratio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Graph!$B$129:$E$129</c:f>
              <c:numCache>
                <c:formatCode>#,##0.00</c:formatCode>
                <c:ptCount val="4"/>
                <c:pt idx="0">
                  <c:v>0.8447828725928378</c:v>
                </c:pt>
                <c:pt idx="1">
                  <c:v>0.83414737736249733</c:v>
                </c:pt>
                <c:pt idx="2">
                  <c:v>0.81653181718784162</c:v>
                </c:pt>
                <c:pt idx="3">
                  <c:v>0.81796678409662804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F4-4EB9-86E6-9E04C654EE68}"/>
            </c:ext>
          </c:extLst>
        </c:ser>
        <c:ser>
          <c:idx val="9"/>
          <c:order val="9"/>
          <c:tx>
            <c:strRef>
              <c:f>Graph!$A$130</c:f>
              <c:strCache>
                <c:ptCount val="1"/>
                <c:pt idx="0">
                  <c:v>Woolworths Debt to Assets Ratio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Graph!$B$130:$E$130</c:f>
              <c:numCache>
                <c:formatCode>#,##0.00</c:formatCode>
                <c:ptCount val="4"/>
                <c:pt idx="0">
                  <c:v>0.95567845855846667</c:v>
                </c:pt>
                <c:pt idx="1">
                  <c:v>0.81654795179274486</c:v>
                </c:pt>
                <c:pt idx="2">
                  <c:v>0.80489182120779834</c:v>
                </c:pt>
                <c:pt idx="3">
                  <c:v>0.83586751532296089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F4-4EB9-86E6-9E04C654EE68}"/>
            </c:ext>
          </c:extLst>
        </c:ser>
        <c:ser>
          <c:idx val="10"/>
          <c:order val="10"/>
          <c:tx>
            <c:strRef>
              <c:f>Graph!$A$131</c:f>
              <c:strCache>
                <c:ptCount val="1"/>
                <c:pt idx="0">
                  <c:v>Coles Equity Ratio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Graph!$B$131:$E$131</c:f>
              <c:numCache>
                <c:formatCode>#,##0.00</c:formatCode>
                <c:ptCount val="4"/>
                <c:pt idx="0">
                  <c:v>0.15521712740716218</c:v>
                </c:pt>
                <c:pt idx="1">
                  <c:v>0.16585262263750267</c:v>
                </c:pt>
                <c:pt idx="2">
                  <c:v>0.18346818281215832</c:v>
                </c:pt>
                <c:pt idx="3">
                  <c:v>0.18203321590337193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F4-4EB9-86E6-9E04C654EE68}"/>
            </c:ext>
          </c:extLst>
        </c:ser>
        <c:ser>
          <c:idx val="11"/>
          <c:order val="11"/>
          <c:tx>
            <c:strRef>
              <c:f>Graph!$A$132</c:f>
              <c:strCache>
                <c:ptCount val="1"/>
                <c:pt idx="0">
                  <c:v>Woolworths Equity Ratio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Graph!$B$132:$E$132</c:f>
              <c:numCache>
                <c:formatCode>#,##0.00</c:formatCode>
                <c:ptCount val="4"/>
                <c:pt idx="0">
                  <c:v>4.4321541441533288E-2</c:v>
                </c:pt>
                <c:pt idx="1">
                  <c:v>0.18345204820725514</c:v>
                </c:pt>
                <c:pt idx="2">
                  <c:v>0.1951081787922016</c:v>
                </c:pt>
                <c:pt idx="3">
                  <c:v>0.16413248467703914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F4-4EB9-86E6-9E04C654E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131616"/>
        <c:axId val="874132096"/>
      </c:lineChart>
      <c:catAx>
        <c:axId val="87444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9952"/>
        <c:crosses val="autoZero"/>
        <c:auto val="1"/>
        <c:lblAlgn val="ctr"/>
        <c:lblOffset val="100"/>
        <c:noMultiLvlLbl val="0"/>
      </c:catAx>
      <c:valAx>
        <c:axId val="87443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42352"/>
        <c:crosses val="autoZero"/>
        <c:crossBetween val="between"/>
      </c:valAx>
      <c:valAx>
        <c:axId val="874132096"/>
        <c:scaling>
          <c:orientation val="minMax"/>
        </c:scaling>
        <c:delete val="0"/>
        <c:axPos val="r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131616"/>
        <c:crosses val="max"/>
        <c:crossBetween val="between"/>
      </c:valAx>
      <c:catAx>
        <c:axId val="8741316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4132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092847769028871"/>
          <c:y val="5.0925925925925923E-2"/>
          <c:w val="0.68351837270341209"/>
          <c:h val="0.68542140565762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Graph!$A$143</c:f>
              <c:strCache>
                <c:ptCount val="1"/>
                <c:pt idx="0">
                  <c:v>Coles Net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Graph!$B$142:$E$142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Graph!$B$143:$E$143</c:f>
              <c:numCache>
                <c:formatCode>#,##0.00</c:formatCode>
                <c:ptCount val="4"/>
                <c:pt idx="0">
                  <c:v>1005000000</c:v>
                </c:pt>
                <c:pt idx="1">
                  <c:v>1048000000</c:v>
                </c:pt>
                <c:pt idx="2">
                  <c:v>1098000000</c:v>
                </c:pt>
                <c:pt idx="3">
                  <c:v>1118000000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C-4A9F-858C-B41D771E08FB}"/>
            </c:ext>
          </c:extLst>
        </c:ser>
        <c:ser>
          <c:idx val="1"/>
          <c:order val="1"/>
          <c:tx>
            <c:strRef>
              <c:f>Graph!$A$144</c:f>
              <c:strCache>
                <c:ptCount val="1"/>
                <c:pt idx="0">
                  <c:v>Woolworths Net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Graph!$B$142:$E$142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Graph!$B$144:$E$144</c:f>
              <c:numCache>
                <c:formatCode>#,##0.00</c:formatCode>
                <c:ptCount val="4"/>
                <c:pt idx="0">
                  <c:v>1606000000</c:v>
                </c:pt>
                <c:pt idx="1">
                  <c:v>1557000000</c:v>
                </c:pt>
                <c:pt idx="2">
                  <c:v>1629000000</c:v>
                </c:pt>
                <c:pt idx="3">
                  <c:v>117000000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BC-4A9F-858C-B41D771E08FB}"/>
            </c:ext>
          </c:extLst>
        </c:ser>
        <c:ser>
          <c:idx val="2"/>
          <c:order val="2"/>
          <c:tx>
            <c:strRef>
              <c:f>Graph!$A$145</c:f>
              <c:strCache>
                <c:ptCount val="1"/>
                <c:pt idx="0">
                  <c:v>Coles Interest Expense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Graph!$B$142:$E$142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Graph!$B$145:$E$145</c:f>
              <c:numCache>
                <c:formatCode>#,##0.00</c:formatCode>
                <c:ptCount val="4"/>
                <c:pt idx="0">
                  <c:v>413000000</c:v>
                </c:pt>
                <c:pt idx="1">
                  <c:v>379000000</c:v>
                </c:pt>
                <c:pt idx="2">
                  <c:v>371000000</c:v>
                </c:pt>
                <c:pt idx="3">
                  <c:v>411000000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BC-4A9F-858C-B41D771E08FB}"/>
            </c:ext>
          </c:extLst>
        </c:ser>
        <c:ser>
          <c:idx val="3"/>
          <c:order val="3"/>
          <c:tx>
            <c:strRef>
              <c:f>Graph!$A$146</c:f>
              <c:strCache>
                <c:ptCount val="1"/>
                <c:pt idx="0">
                  <c:v>Woolworth Interest Expense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Graph!$B$142:$E$142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Graph!$B$146:$E$146</c:f>
              <c:numCache>
                <c:formatCode>#,##0.00</c:formatCode>
                <c:ptCount val="4"/>
                <c:pt idx="0">
                  <c:v>630000000</c:v>
                </c:pt>
                <c:pt idx="1">
                  <c:v>632000000</c:v>
                </c:pt>
                <c:pt idx="2">
                  <c:v>726000000</c:v>
                </c:pt>
                <c:pt idx="3">
                  <c:v>812000000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BC-4A9F-858C-B41D771E08FB}"/>
            </c:ext>
          </c:extLst>
        </c:ser>
        <c:ser>
          <c:idx val="4"/>
          <c:order val="4"/>
          <c:tx>
            <c:strRef>
              <c:f>Graph!$A$147</c:f>
              <c:strCache>
                <c:ptCount val="1"/>
                <c:pt idx="0">
                  <c:v>Coles Tax Expense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Graph!$B$147:$E$147</c:f>
              <c:numCache>
                <c:formatCode>#,##0.00</c:formatCode>
                <c:ptCount val="4"/>
                <c:pt idx="0">
                  <c:v>441000000</c:v>
                </c:pt>
                <c:pt idx="1">
                  <c:v>425000000</c:v>
                </c:pt>
                <c:pt idx="2">
                  <c:v>423000000</c:v>
                </c:pt>
                <c:pt idx="3">
                  <c:v>487000000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BC-4A9F-858C-B41D771E08FB}"/>
            </c:ext>
          </c:extLst>
        </c:ser>
        <c:ser>
          <c:idx val="5"/>
          <c:order val="5"/>
          <c:tx>
            <c:strRef>
              <c:f>Graph!$A$148</c:f>
              <c:strCache>
                <c:ptCount val="1"/>
                <c:pt idx="0">
                  <c:v>Woolworth Tax Expense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Graph!$B$148:$E$148</c:f>
              <c:numCache>
                <c:formatCode>#,##0.00</c:formatCode>
                <c:ptCount val="4"/>
                <c:pt idx="0">
                  <c:v>604000000</c:v>
                </c:pt>
                <c:pt idx="1">
                  <c:v>534000000</c:v>
                </c:pt>
                <c:pt idx="2">
                  <c:v>693000000</c:v>
                </c:pt>
                <c:pt idx="3">
                  <c:v>759000000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4442352"/>
        <c:axId val="874439952"/>
      </c:barChart>
      <c:lineChart>
        <c:grouping val="standard"/>
        <c:varyColors val="0"/>
        <c:ser>
          <c:idx val="6"/>
          <c:order val="6"/>
          <c:tx>
            <c:strRef>
              <c:f>Graph!$A$149</c:f>
              <c:strCache>
                <c:ptCount val="1"/>
                <c:pt idx="0">
                  <c:v>Coles Interest Coverage Ratio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Graph!$B$149:$E$149</c:f>
              <c:numCache>
                <c:formatCode>#,##0.00</c:formatCode>
                <c:ptCount val="4"/>
                <c:pt idx="0">
                  <c:v>0.48910411622276029</c:v>
                </c:pt>
                <c:pt idx="1">
                  <c:v>0.80738786279683372</c:v>
                </c:pt>
                <c:pt idx="2">
                  <c:v>1.0350404312668464</c:v>
                </c:pt>
                <c:pt idx="3">
                  <c:v>0.83698296836982966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76-49FE-A460-1A6ACC910D4C}"/>
            </c:ext>
          </c:extLst>
        </c:ser>
        <c:ser>
          <c:idx val="7"/>
          <c:order val="7"/>
          <c:tx>
            <c:strRef>
              <c:f>Graph!$A$150</c:f>
              <c:strCache>
                <c:ptCount val="1"/>
                <c:pt idx="0">
                  <c:v>Woolworths Interest Coverage Ratio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Graph!$B$150:$E$150</c:f>
              <c:numCache>
                <c:formatCode>#,##0.00</c:formatCode>
                <c:ptCount val="4"/>
                <c:pt idx="0">
                  <c:v>0.59047619047619049</c:v>
                </c:pt>
                <c:pt idx="1">
                  <c:v>0.61867088607594933</c:v>
                </c:pt>
                <c:pt idx="2">
                  <c:v>0.28925619834710742</c:v>
                </c:pt>
                <c:pt idx="3">
                  <c:v>-1.7906403940886699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76-49FE-A460-1A6ACC910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131616"/>
        <c:axId val="874132096"/>
      </c:lineChart>
      <c:catAx>
        <c:axId val="87444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9952"/>
        <c:crosses val="autoZero"/>
        <c:auto val="1"/>
        <c:lblAlgn val="ctr"/>
        <c:lblOffset val="100"/>
        <c:noMultiLvlLbl val="0"/>
      </c:catAx>
      <c:valAx>
        <c:axId val="87443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42352"/>
        <c:crosses val="autoZero"/>
        <c:crossBetween val="between"/>
      </c:valAx>
      <c:valAx>
        <c:axId val="874132096"/>
        <c:scaling>
          <c:orientation val="minMax"/>
        </c:scaling>
        <c:delete val="0"/>
        <c:axPos val="r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131616"/>
        <c:crosses val="max"/>
        <c:crossBetween val="between"/>
      </c:valAx>
      <c:catAx>
        <c:axId val="8741316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4132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068241469816278E-2"/>
          <c:y val="0.81133931175269758"/>
          <c:w val="0.9787541557305337"/>
          <c:h val="0.188660688247302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092847769028871"/>
          <c:y val="5.0925925925925923E-2"/>
          <c:w val="0.68351837270341209"/>
          <c:h val="0.634495479731700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Graph!$A$158</c:f>
              <c:strCache>
                <c:ptCount val="1"/>
                <c:pt idx="0">
                  <c:v>Coles Non-Current Liabilites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Graph!$B$157:$E$157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Graph!$B$158:$E$158</c:f>
              <c:numCache>
                <c:formatCode>#,##0.00</c:formatCode>
                <c:ptCount val="4"/>
                <c:pt idx="0">
                  <c:v>9491000000</c:v>
                </c:pt>
                <c:pt idx="1">
                  <c:v>9297000000</c:v>
                </c:pt>
                <c:pt idx="2">
                  <c:v>8528000000</c:v>
                </c:pt>
                <c:pt idx="3">
                  <c:v>9482000000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C-4A9F-858C-B41D771E08FB}"/>
            </c:ext>
          </c:extLst>
        </c:ser>
        <c:ser>
          <c:idx val="1"/>
          <c:order val="1"/>
          <c:tx>
            <c:strRef>
              <c:f>Graph!$A$159</c:f>
              <c:strCache>
                <c:ptCount val="1"/>
                <c:pt idx="0">
                  <c:v>Woolworths Non-Curent Liabilities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Graph!$B$157:$E$157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Graph!$B$159:$E$159</c:f>
              <c:numCache>
                <c:formatCode>#,##0.00</c:formatCode>
                <c:ptCount val="4"/>
                <c:pt idx="0">
                  <c:v>14380000000</c:v>
                </c:pt>
                <c:pt idx="1">
                  <c:v>16419000000</c:v>
                </c:pt>
                <c:pt idx="2">
                  <c:v>15197000000</c:v>
                </c:pt>
                <c:pt idx="3">
                  <c:v>15547000000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BC-4A9F-858C-B41D771E08FB}"/>
            </c:ext>
          </c:extLst>
        </c:ser>
        <c:ser>
          <c:idx val="2"/>
          <c:order val="2"/>
          <c:tx>
            <c:strRef>
              <c:f>Graph!$A$160</c:f>
              <c:strCache>
                <c:ptCount val="1"/>
                <c:pt idx="0">
                  <c:v>Coles Net Operating Cash Flow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Graph!$B$157:$E$157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Graph!$B$160:$E$160</c:f>
              <c:numCache>
                <c:formatCode>#,##0.00</c:formatCode>
                <c:ptCount val="4"/>
                <c:pt idx="0">
                  <c:v>2837000000</c:v>
                </c:pt>
                <c:pt idx="1">
                  <c:v>2690000000</c:v>
                </c:pt>
                <c:pt idx="2">
                  <c:v>2807000000</c:v>
                </c:pt>
                <c:pt idx="3">
                  <c:v>2793000000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BC-4A9F-858C-B41D771E08FB}"/>
            </c:ext>
          </c:extLst>
        </c:ser>
        <c:ser>
          <c:idx val="3"/>
          <c:order val="3"/>
          <c:tx>
            <c:strRef>
              <c:f>Graph!$A$161</c:f>
              <c:strCache>
                <c:ptCount val="1"/>
                <c:pt idx="0">
                  <c:v>Woolworth Net Operating Cashflow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Graph!$B$157:$E$157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Graph!$B$161:$E$161</c:f>
              <c:numCache>
                <c:formatCode>#,##0.00</c:formatCode>
                <c:ptCount val="4"/>
                <c:pt idx="0">
                  <c:v>4624000000</c:v>
                </c:pt>
                <c:pt idx="1">
                  <c:v>3378000000</c:v>
                </c:pt>
                <c:pt idx="2">
                  <c:v>4754000000</c:v>
                </c:pt>
                <c:pt idx="3">
                  <c:v>4359000000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4442352"/>
        <c:axId val="874439952"/>
      </c:barChart>
      <c:lineChart>
        <c:grouping val="standard"/>
        <c:varyColors val="0"/>
        <c:ser>
          <c:idx val="4"/>
          <c:order val="4"/>
          <c:tx>
            <c:strRef>
              <c:f>Graph!$A$162</c:f>
              <c:strCache>
                <c:ptCount val="1"/>
                <c:pt idx="0">
                  <c:v>Coles Debt Coverage Ratio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Graph!$B$157:$E$157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Graph!$B$162:$E$162</c:f>
              <c:numCache>
                <c:formatCode>#,##0.00</c:formatCode>
                <c:ptCount val="4"/>
                <c:pt idx="0">
                  <c:v>3.3454353189989425</c:v>
                </c:pt>
                <c:pt idx="1">
                  <c:v>3.4561338289962826</c:v>
                </c:pt>
                <c:pt idx="2">
                  <c:v>3.0381189882436765</c:v>
                </c:pt>
                <c:pt idx="3">
                  <c:v>3.3949158610812744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BC-4A9F-858C-B41D771E08FB}"/>
            </c:ext>
          </c:extLst>
        </c:ser>
        <c:ser>
          <c:idx val="5"/>
          <c:order val="5"/>
          <c:tx>
            <c:strRef>
              <c:f>Graph!$A$163</c:f>
              <c:strCache>
                <c:ptCount val="1"/>
                <c:pt idx="0">
                  <c:v>Woolworth Debt Coverage Ratio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Graph!$B$157:$E$157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Graph!$B$163:$E$163</c:f>
              <c:numCache>
                <c:formatCode>#,##0.00</c:formatCode>
                <c:ptCount val="4"/>
                <c:pt idx="0">
                  <c:v>3.1098615916955019</c:v>
                </c:pt>
                <c:pt idx="1">
                  <c:v>4.8605683836589701</c:v>
                </c:pt>
                <c:pt idx="2">
                  <c:v>3.1966764829617165</c:v>
                </c:pt>
                <c:pt idx="3">
                  <c:v>3.5666437256251435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777152"/>
        <c:axId val="1001776192"/>
      </c:lineChart>
      <c:catAx>
        <c:axId val="87444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9952"/>
        <c:crosses val="autoZero"/>
        <c:auto val="1"/>
        <c:lblAlgn val="ctr"/>
        <c:lblOffset val="100"/>
        <c:noMultiLvlLbl val="0"/>
      </c:catAx>
      <c:valAx>
        <c:axId val="87443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42352"/>
        <c:crosses val="autoZero"/>
        <c:crossBetween val="between"/>
      </c:valAx>
      <c:valAx>
        <c:axId val="1001776192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777152"/>
        <c:crosses val="max"/>
        <c:crossBetween val="between"/>
      </c:valAx>
      <c:catAx>
        <c:axId val="1001777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1776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068241469816278E-2"/>
          <c:y val="0.81133931175269758"/>
          <c:w val="0.86139282589676291"/>
          <c:h val="0.188660688247302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092847769028871"/>
          <c:y val="5.0925925925925923E-2"/>
          <c:w val="0.68351837270341209"/>
          <c:h val="0.634495479731700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Graph!$A$173</c:f>
              <c:strCache>
                <c:ptCount val="1"/>
                <c:pt idx="0">
                  <c:v>Coles Net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Graph!$B$172:$E$172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Graph!$B$173:$E$173</c:f>
              <c:numCache>
                <c:formatCode>#,##0.00</c:formatCode>
                <c:ptCount val="4"/>
                <c:pt idx="0">
                  <c:v>1005000000</c:v>
                </c:pt>
                <c:pt idx="1">
                  <c:v>1048000000</c:v>
                </c:pt>
                <c:pt idx="2">
                  <c:v>1098000000</c:v>
                </c:pt>
                <c:pt idx="3">
                  <c:v>1118000000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C-4A9F-858C-B41D771E08FB}"/>
            </c:ext>
          </c:extLst>
        </c:ser>
        <c:ser>
          <c:idx val="1"/>
          <c:order val="1"/>
          <c:tx>
            <c:strRef>
              <c:f>Graph!$A$174</c:f>
              <c:strCache>
                <c:ptCount val="1"/>
                <c:pt idx="0">
                  <c:v>Woolworths Net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Graph!$B$172:$E$172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Graph!$B$174:$E$174</c:f>
              <c:numCache>
                <c:formatCode>#,##0.00</c:formatCode>
                <c:ptCount val="4"/>
                <c:pt idx="0">
                  <c:v>1606000000</c:v>
                </c:pt>
                <c:pt idx="1">
                  <c:v>1557000000</c:v>
                </c:pt>
                <c:pt idx="2">
                  <c:v>1629000000</c:v>
                </c:pt>
                <c:pt idx="3">
                  <c:v>117000000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BC-4A9F-858C-B41D771E08FB}"/>
            </c:ext>
          </c:extLst>
        </c:ser>
        <c:ser>
          <c:idx val="2"/>
          <c:order val="2"/>
          <c:tx>
            <c:strRef>
              <c:f>Graph!$A$175</c:f>
              <c:strCache>
                <c:ptCount val="1"/>
                <c:pt idx="0">
                  <c:v>Coles Number of ordinary Shares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Graph!$B$172:$E$172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Graph!$B$175:$E$175</c:f>
              <c:numCache>
                <c:formatCode>#,##0.00</c:formatCode>
                <c:ptCount val="4"/>
                <c:pt idx="0">
                  <c:v>1333900000</c:v>
                </c:pt>
                <c:pt idx="1">
                  <c:v>1336100000</c:v>
                </c:pt>
                <c:pt idx="2">
                  <c:v>1338400000</c:v>
                </c:pt>
                <c:pt idx="3">
                  <c:v>1339400000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BC-4A9F-858C-B41D771E08FB}"/>
            </c:ext>
          </c:extLst>
        </c:ser>
        <c:ser>
          <c:idx val="3"/>
          <c:order val="3"/>
          <c:tx>
            <c:strRef>
              <c:f>Graph!$A$176</c:f>
              <c:strCache>
                <c:ptCount val="1"/>
                <c:pt idx="0">
                  <c:v>Woolworth Number of ordinary shares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Graph!$B$172:$E$172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Graph!$B$176:$E$176</c:f>
              <c:numCache>
                <c:formatCode>#,##0.00</c:formatCode>
                <c:ptCount val="4"/>
                <c:pt idx="0">
                  <c:v>1267700000</c:v>
                </c:pt>
                <c:pt idx="1">
                  <c:v>1213900000</c:v>
                </c:pt>
                <c:pt idx="2">
                  <c:v>1218700000</c:v>
                </c:pt>
                <c:pt idx="3">
                  <c:v>1221600000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4442352"/>
        <c:axId val="874439952"/>
      </c:barChart>
      <c:lineChart>
        <c:grouping val="standard"/>
        <c:varyColors val="0"/>
        <c:ser>
          <c:idx val="4"/>
          <c:order val="4"/>
          <c:tx>
            <c:strRef>
              <c:f>Graph!$A$177</c:f>
              <c:strCache>
                <c:ptCount val="1"/>
                <c:pt idx="0">
                  <c:v>Coles Earnings per share (EPS)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Graph!$B$177:$E$177</c:f>
              <c:numCache>
                <c:formatCode>_-"$"* #,##0.000_-;\-"$"* #,##0.000_-;_-"$"* "-"??_-;_-@_-</c:formatCode>
                <c:ptCount val="4"/>
                <c:pt idx="0">
                  <c:v>0.75342979233825624</c:v>
                </c:pt>
                <c:pt idx="1">
                  <c:v>0.78437242721353195</c:v>
                </c:pt>
                <c:pt idx="2">
                  <c:v>0.8203825463239689</c:v>
                </c:pt>
                <c:pt idx="3">
                  <c:v>0.83470210542033751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BC-4A9F-858C-B41D771E08FB}"/>
            </c:ext>
          </c:extLst>
        </c:ser>
        <c:ser>
          <c:idx val="5"/>
          <c:order val="5"/>
          <c:tx>
            <c:strRef>
              <c:f>Graph!$A$178</c:f>
              <c:strCache>
                <c:ptCount val="1"/>
                <c:pt idx="0">
                  <c:v>Woolworth Earnings per share(EPS)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Graph!$B$178:$E$178</c:f>
              <c:numCache>
                <c:formatCode>_-"$"* #,##0.000_-;\-"$"* #,##0.000_-;_-"$"* "-"??_-;_-@_-</c:formatCode>
                <c:ptCount val="4"/>
                <c:pt idx="0">
                  <c:v>1.2668612447740002</c:v>
                </c:pt>
                <c:pt idx="1">
                  <c:v>1.2826427218057501</c:v>
                </c:pt>
                <c:pt idx="2">
                  <c:v>1.3366702223680971</c:v>
                </c:pt>
                <c:pt idx="3">
                  <c:v>9.5776031434184672E-2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777152"/>
        <c:axId val="1001776192"/>
      </c:lineChart>
      <c:catAx>
        <c:axId val="87444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9952"/>
        <c:crosses val="autoZero"/>
        <c:auto val="1"/>
        <c:lblAlgn val="ctr"/>
        <c:lblOffset val="100"/>
        <c:noMultiLvlLbl val="0"/>
      </c:catAx>
      <c:valAx>
        <c:axId val="87443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42352"/>
        <c:crosses val="autoZero"/>
        <c:crossBetween val="between"/>
      </c:valAx>
      <c:valAx>
        <c:axId val="1001776192"/>
        <c:scaling>
          <c:orientation val="minMax"/>
        </c:scaling>
        <c:delete val="0"/>
        <c:axPos val="r"/>
        <c:numFmt formatCode="_-&quot;$&quot;* #,##0.000_-;\-&quot;$&quot;* #,##0.000_-;_-&quot;$&quot;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777152"/>
        <c:crosses val="max"/>
        <c:crossBetween val="between"/>
      </c:valAx>
      <c:catAx>
        <c:axId val="1001777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1776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068241469816278E-2"/>
          <c:y val="0.81133931175269758"/>
          <c:w val="0.97250393700787396"/>
          <c:h val="0.188660688247302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092847769028871"/>
          <c:y val="5.0925925925925923E-2"/>
          <c:w val="0.68351837270341209"/>
          <c:h val="0.634495479731700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Graph!$A$187</c:f>
              <c:strCache>
                <c:ptCount val="1"/>
                <c:pt idx="0">
                  <c:v>Coles Share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Graph!$B$186:$E$186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Graph!$B$187:$E$187</c:f>
              <c:numCache>
                <c:formatCode>#,##0.00</c:formatCode>
                <c:ptCount val="4"/>
                <c:pt idx="0">
                  <c:v>16.829999999999998</c:v>
                </c:pt>
                <c:pt idx="1">
                  <c:v>17.809999999999999</c:v>
                </c:pt>
                <c:pt idx="2">
                  <c:v>18.399999999999999</c:v>
                </c:pt>
                <c:pt idx="3">
                  <c:v>17.03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C-4A9F-858C-B41D771E08FB}"/>
            </c:ext>
          </c:extLst>
        </c:ser>
        <c:ser>
          <c:idx val="1"/>
          <c:order val="1"/>
          <c:tx>
            <c:strRef>
              <c:f>Graph!$A$188</c:f>
              <c:strCache>
                <c:ptCount val="1"/>
                <c:pt idx="0">
                  <c:v>Share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Graph!$B$186:$E$186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Graph!$B$188:$E$188</c:f>
              <c:numCache>
                <c:formatCode>#,##0.00</c:formatCode>
                <c:ptCount val="4"/>
                <c:pt idx="0">
                  <c:v>42.88</c:v>
                </c:pt>
                <c:pt idx="1">
                  <c:v>35.46</c:v>
                </c:pt>
                <c:pt idx="2">
                  <c:v>39.86</c:v>
                </c:pt>
                <c:pt idx="3">
                  <c:v>33.79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BC-4A9F-858C-B41D771E08FB}"/>
            </c:ext>
          </c:extLst>
        </c:ser>
        <c:ser>
          <c:idx val="2"/>
          <c:order val="2"/>
          <c:tx>
            <c:strRef>
              <c:f>Graph!$A$189</c:f>
              <c:strCache>
                <c:ptCount val="1"/>
                <c:pt idx="0">
                  <c:v>Coles EPS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Graph!$B$186:$E$186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Graph!$B$189:$E$189</c:f>
              <c:numCache>
                <c:formatCode>_-"$"* #,##0.000_-;\-"$"* #,##0.000_-;_-"$"* "-"??_-;_-@_-</c:formatCode>
                <c:ptCount val="4"/>
                <c:pt idx="0">
                  <c:v>0.75342979233825624</c:v>
                </c:pt>
                <c:pt idx="1">
                  <c:v>0.78437242721353195</c:v>
                </c:pt>
                <c:pt idx="2">
                  <c:v>0.8203825463239689</c:v>
                </c:pt>
                <c:pt idx="3">
                  <c:v>0.83470210542033751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BC-4A9F-858C-B41D771E08FB}"/>
            </c:ext>
          </c:extLst>
        </c:ser>
        <c:ser>
          <c:idx val="3"/>
          <c:order val="3"/>
          <c:tx>
            <c:strRef>
              <c:f>Graph!$A$190</c:f>
              <c:strCache>
                <c:ptCount val="1"/>
                <c:pt idx="0">
                  <c:v>Woolworths EPS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Graph!$B$186:$E$186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Graph!$B$190:$E$190</c:f>
              <c:numCache>
                <c:formatCode>_-"$"* #,##0.000_-;\-"$"* #,##0.000_-;_-"$"* "-"??_-;_-@_-</c:formatCode>
                <c:ptCount val="4"/>
                <c:pt idx="0">
                  <c:v>1.2668612447740002</c:v>
                </c:pt>
                <c:pt idx="1">
                  <c:v>1.2826427218057501</c:v>
                </c:pt>
                <c:pt idx="2">
                  <c:v>1.3366702223680971</c:v>
                </c:pt>
                <c:pt idx="3">
                  <c:v>9.5776031434184672E-2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4442352"/>
        <c:axId val="874439952"/>
      </c:barChart>
      <c:lineChart>
        <c:grouping val="standard"/>
        <c:varyColors val="0"/>
        <c:ser>
          <c:idx val="4"/>
          <c:order val="4"/>
          <c:tx>
            <c:strRef>
              <c:f>Graph!$A$191</c:f>
              <c:strCache>
                <c:ptCount val="1"/>
                <c:pt idx="0">
                  <c:v>Coles Price to Earnings Ratio (PE)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Graph!$B$191:$E$191</c:f>
              <c:numCache>
                <c:formatCode>#,##0.00</c:formatCode>
                <c:ptCount val="4"/>
                <c:pt idx="0">
                  <c:v>22.337847761194027</c:v>
                </c:pt>
                <c:pt idx="1">
                  <c:v>22.706050572519082</c:v>
                </c:pt>
                <c:pt idx="2">
                  <c:v>22.42856102003643</c:v>
                </c:pt>
                <c:pt idx="3">
                  <c:v>20.402488372093025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BC-4A9F-858C-B41D771E08FB}"/>
            </c:ext>
          </c:extLst>
        </c:ser>
        <c:ser>
          <c:idx val="5"/>
          <c:order val="5"/>
          <c:tx>
            <c:strRef>
              <c:f>Graph!$A$192</c:f>
              <c:strCache>
                <c:ptCount val="1"/>
                <c:pt idx="0">
                  <c:v>Woolworths Price to Earnings Ratio (PE)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Graph!$B$192:$E$192</c:f>
              <c:numCache>
                <c:formatCode>#,##0.00</c:formatCode>
                <c:ptCount val="4"/>
                <c:pt idx="0">
                  <c:v>33.847432129514324</c:v>
                </c:pt>
                <c:pt idx="1">
                  <c:v>27.646046242774567</c:v>
                </c:pt>
                <c:pt idx="2">
                  <c:v>29.820369551872314</c:v>
                </c:pt>
                <c:pt idx="3">
                  <c:v>352.8022564102564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777152"/>
        <c:axId val="1001776192"/>
      </c:lineChart>
      <c:catAx>
        <c:axId val="87444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9952"/>
        <c:crosses val="autoZero"/>
        <c:auto val="1"/>
        <c:lblAlgn val="ctr"/>
        <c:lblOffset val="100"/>
        <c:noMultiLvlLbl val="0"/>
      </c:catAx>
      <c:valAx>
        <c:axId val="87443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42352"/>
        <c:crosses val="autoZero"/>
        <c:crossBetween val="between"/>
      </c:valAx>
      <c:valAx>
        <c:axId val="1001776192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777152"/>
        <c:crosses val="max"/>
        <c:crossBetween val="between"/>
      </c:valAx>
      <c:catAx>
        <c:axId val="1001777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1776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068241469816278E-2"/>
          <c:y val="0.81133931175269758"/>
          <c:w val="0.97250393700787396"/>
          <c:h val="0.188660688247302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092847769028871"/>
          <c:y val="5.0925925925925923E-2"/>
          <c:w val="0.68351837270341209"/>
          <c:h val="0.634495479731700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Graph!$A$202</c:f>
              <c:strCache>
                <c:ptCount val="1"/>
                <c:pt idx="0">
                  <c:v>Coles Market Capitalisation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Graph!$B$201:$E$201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Graph!$B$202:$E$202</c:f>
              <c:numCache>
                <c:formatCode>_-"$"* #,##0.00_-;\-"$"* #,##0.00_-;_-"$"* "-"??_-;_-@_-</c:formatCode>
                <c:ptCount val="4"/>
                <c:pt idx="0">
                  <c:v>22449536999.999996</c:v>
                </c:pt>
                <c:pt idx="1">
                  <c:v>23795941000</c:v>
                </c:pt>
                <c:pt idx="2">
                  <c:v>24626560000</c:v>
                </c:pt>
                <c:pt idx="3">
                  <c:v>22809982000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C-4A9F-858C-B41D771E08FB}"/>
            </c:ext>
          </c:extLst>
        </c:ser>
        <c:ser>
          <c:idx val="1"/>
          <c:order val="1"/>
          <c:tx>
            <c:strRef>
              <c:f>Graph!$A$203</c:f>
              <c:strCache>
                <c:ptCount val="1"/>
                <c:pt idx="0">
                  <c:v>Woolworth Market Capitalisation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Graph!$B$201:$E$201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Graph!$B$203:$E$203</c:f>
              <c:numCache>
                <c:formatCode>_-"$"* #,##0.00_-;\-"$"* #,##0.00_-;_-"$"* "-"??_-;_-@_-</c:formatCode>
                <c:ptCount val="4"/>
                <c:pt idx="0">
                  <c:v>54358976000</c:v>
                </c:pt>
                <c:pt idx="1">
                  <c:v>43044894000</c:v>
                </c:pt>
                <c:pt idx="2">
                  <c:v>48577382000</c:v>
                </c:pt>
                <c:pt idx="3">
                  <c:v>41277864000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BC-4A9F-858C-B41D771E08FB}"/>
            </c:ext>
          </c:extLst>
        </c:ser>
        <c:ser>
          <c:idx val="2"/>
          <c:order val="2"/>
          <c:tx>
            <c:strRef>
              <c:f>Graph!$A$204</c:f>
              <c:strCache>
                <c:ptCount val="1"/>
                <c:pt idx="0">
                  <c:v>Coles Net Assets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Graph!$B$201:$E$201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Graph!$B$204:$E$204</c:f>
              <c:numCache>
                <c:formatCode>_-* #,##0.00_-;\-* #,##0.00_-;_-* "-"??_-;_-@_-</c:formatCode>
                <c:ptCount val="4"/>
                <c:pt idx="0">
                  <c:v>2813000000</c:v>
                </c:pt>
                <c:pt idx="1">
                  <c:v>3124000000</c:v>
                </c:pt>
                <c:pt idx="2">
                  <c:v>3356000000</c:v>
                </c:pt>
                <c:pt idx="3">
                  <c:v>3617000000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BC-4A9F-858C-B41D771E08FB}"/>
            </c:ext>
          </c:extLst>
        </c:ser>
        <c:ser>
          <c:idx val="3"/>
          <c:order val="3"/>
          <c:tx>
            <c:strRef>
              <c:f>Graph!$A$205</c:f>
              <c:strCache>
                <c:ptCount val="1"/>
                <c:pt idx="0">
                  <c:v>Woolworth Net Assets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Graph!$B$201:$E$201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Graph!$B$205:$E$205</c:f>
              <c:numCache>
                <c:formatCode>_-* #,##0.00_-;\-* #,##0.00_-;_-* "-"??_-;_-@_-</c:formatCode>
                <c:ptCount val="4"/>
                <c:pt idx="0">
                  <c:v>1739000000</c:v>
                </c:pt>
                <c:pt idx="1">
                  <c:v>6104000000</c:v>
                </c:pt>
                <c:pt idx="2">
                  <c:v>6565000000</c:v>
                </c:pt>
                <c:pt idx="3">
                  <c:v>5570000000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4442352"/>
        <c:axId val="874439952"/>
      </c:barChart>
      <c:lineChart>
        <c:grouping val="standard"/>
        <c:varyColors val="0"/>
        <c:ser>
          <c:idx val="4"/>
          <c:order val="4"/>
          <c:tx>
            <c:strRef>
              <c:f>Graph!$A$206</c:f>
              <c:strCache>
                <c:ptCount val="1"/>
                <c:pt idx="0">
                  <c:v>Coles Market to Book Ratio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Graph!$B$206:$E$206</c:f>
              <c:numCache>
                <c:formatCode>0.00</c:formatCode>
                <c:ptCount val="4"/>
                <c:pt idx="0">
                  <c:v>7.9806388197653737</c:v>
                </c:pt>
                <c:pt idx="1">
                  <c:v>7.6171386043533929</c:v>
                </c:pt>
                <c:pt idx="2">
                  <c:v>7.3380691299165672</c:v>
                </c:pt>
                <c:pt idx="3">
                  <c:v>6.3063262372131597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BC-4A9F-858C-B41D771E08FB}"/>
            </c:ext>
          </c:extLst>
        </c:ser>
        <c:ser>
          <c:idx val="5"/>
          <c:order val="5"/>
          <c:tx>
            <c:strRef>
              <c:f>Graph!$A$207</c:f>
              <c:strCache>
                <c:ptCount val="1"/>
                <c:pt idx="0">
                  <c:v>Woolworth Market to Book Ratio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Graph!$B$207:$E$207</c:f>
              <c:numCache>
                <c:formatCode>0.00</c:formatCode>
                <c:ptCount val="4"/>
                <c:pt idx="0">
                  <c:v>31.258755606670501</c:v>
                </c:pt>
                <c:pt idx="1">
                  <c:v>7.0519157929226735</c:v>
                </c:pt>
                <c:pt idx="2">
                  <c:v>7.3994488956587965</c:v>
                </c:pt>
                <c:pt idx="3">
                  <c:v>7.410747576301616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BC-4A9F-858C-B41D771E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777152"/>
        <c:axId val="1001776192"/>
      </c:lineChart>
      <c:catAx>
        <c:axId val="87444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9952"/>
        <c:crosses val="autoZero"/>
        <c:auto val="1"/>
        <c:lblAlgn val="ctr"/>
        <c:lblOffset val="100"/>
        <c:noMultiLvlLbl val="0"/>
      </c:catAx>
      <c:valAx>
        <c:axId val="87443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42352"/>
        <c:crosses val="autoZero"/>
        <c:crossBetween val="between"/>
      </c:valAx>
      <c:valAx>
        <c:axId val="1001776192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777152"/>
        <c:crosses val="max"/>
        <c:crossBetween val="between"/>
      </c:valAx>
      <c:catAx>
        <c:axId val="1001777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1776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068241469816278E-2"/>
          <c:y val="0.81133931175269758"/>
          <c:w val="0.97250393700787396"/>
          <c:h val="0.188660688247302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789515</xdr:colOff>
      <xdr:row>31</xdr:row>
      <xdr:rowOff>26743</xdr:rowOff>
    </xdr:from>
    <xdr:to>
      <xdr:col>8</xdr:col>
      <xdr:colOff>309033</xdr:colOff>
      <xdr:row>49</xdr:row>
      <xdr:rowOff>112375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73FF22-AD62-40B7-8015-9F9DB3A76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789515</xdr:colOff>
      <xdr:row>31</xdr:row>
      <xdr:rowOff>26743</xdr:rowOff>
    </xdr:from>
    <xdr:to>
      <xdr:col>8</xdr:col>
      <xdr:colOff>309033</xdr:colOff>
      <xdr:row>49</xdr:row>
      <xdr:rowOff>112375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A263F-7BA6-44FD-8A08-28690AEC0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</xdr:colOff>
      <xdr:row>1</xdr:row>
      <xdr:rowOff>38100</xdr:rowOff>
    </xdr:from>
    <xdr:to>
      <xdr:col>14</xdr:col>
      <xdr:colOff>335280</xdr:colOff>
      <xdr:row>10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D2BF7C-E535-4D97-8CDE-F809645E51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</xdr:colOff>
      <xdr:row>10</xdr:row>
      <xdr:rowOff>171450</xdr:rowOff>
    </xdr:from>
    <xdr:to>
      <xdr:col>14</xdr:col>
      <xdr:colOff>381000</xdr:colOff>
      <xdr:row>19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1D7991-DA9E-54DD-B0B5-A506F8FAA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419100</xdr:colOff>
      <xdr:row>19</xdr:row>
      <xdr:rowOff>137160</xdr:rowOff>
    </xdr:from>
    <xdr:to>
      <xdr:col>14</xdr:col>
      <xdr:colOff>114300</xdr:colOff>
      <xdr:row>29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62EB8C-3A91-8E7B-7AF9-914E4DD21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38100</xdr:colOff>
      <xdr:row>29</xdr:row>
      <xdr:rowOff>125730</xdr:rowOff>
    </xdr:from>
    <xdr:to>
      <xdr:col>14</xdr:col>
      <xdr:colOff>342900</xdr:colOff>
      <xdr:row>43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BEC132-AACD-1B44-25A7-C888C35E5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99060</xdr:colOff>
      <xdr:row>42</xdr:row>
      <xdr:rowOff>49530</xdr:rowOff>
    </xdr:from>
    <xdr:to>
      <xdr:col>14</xdr:col>
      <xdr:colOff>403860</xdr:colOff>
      <xdr:row>56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E3F7801-0F4A-3376-262F-96A4E0448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571500</xdr:colOff>
      <xdr:row>57</xdr:row>
      <xdr:rowOff>125730</xdr:rowOff>
    </xdr:from>
    <xdr:to>
      <xdr:col>14</xdr:col>
      <xdr:colOff>266700</xdr:colOff>
      <xdr:row>72</xdr:row>
      <xdr:rowOff>64770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721CE7-88C5-7B47-092F-8423E2B95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541020</xdr:colOff>
      <xdr:row>73</xdr:row>
      <xdr:rowOff>72390</xdr:rowOff>
    </xdr:from>
    <xdr:to>
      <xdr:col>14</xdr:col>
      <xdr:colOff>236220</xdr:colOff>
      <xdr:row>88</xdr:row>
      <xdr:rowOff>11430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2677328-DEA4-EEB6-35AA-C166BA323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99060</xdr:colOff>
      <xdr:row>89</xdr:row>
      <xdr:rowOff>49530</xdr:rowOff>
    </xdr:from>
    <xdr:to>
      <xdr:col>14</xdr:col>
      <xdr:colOff>403860</xdr:colOff>
      <xdr:row>103</xdr:row>
      <xdr:rowOff>179070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0C1C7CE-B5D4-3E3A-87BE-C89D31DCF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45720</xdr:colOff>
      <xdr:row>104</xdr:row>
      <xdr:rowOff>156210</xdr:rowOff>
    </xdr:from>
    <xdr:to>
      <xdr:col>14</xdr:col>
      <xdr:colOff>350520</xdr:colOff>
      <xdr:row>117</xdr:row>
      <xdr:rowOff>125730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4C1BFD1-190E-FEE3-B436-D2BFAA8EB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251460</xdr:colOff>
      <xdr:row>118</xdr:row>
      <xdr:rowOff>125730</xdr:rowOff>
    </xdr:from>
    <xdr:to>
      <xdr:col>14</xdr:col>
      <xdr:colOff>556260</xdr:colOff>
      <xdr:row>138</xdr:row>
      <xdr:rowOff>106680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F9FA7B5-6635-649B-9B64-28AD43591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182880</xdr:colOff>
      <xdr:row>140</xdr:row>
      <xdr:rowOff>19050</xdr:rowOff>
    </xdr:from>
    <xdr:to>
      <xdr:col>14</xdr:col>
      <xdr:colOff>487680</xdr:colOff>
      <xdr:row>153</xdr:row>
      <xdr:rowOff>140970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AF2CE27-CDD0-60D9-33B5-76E144995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83820</xdr:colOff>
      <xdr:row>155</xdr:row>
      <xdr:rowOff>34290</xdr:rowOff>
    </xdr:from>
    <xdr:to>
      <xdr:col>14</xdr:col>
      <xdr:colOff>388620</xdr:colOff>
      <xdr:row>168</xdr:row>
      <xdr:rowOff>3810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83D615A-022C-598B-0E0E-E3CB06AE1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563880</xdr:colOff>
      <xdr:row>169</xdr:row>
      <xdr:rowOff>41910</xdr:rowOff>
    </xdr:from>
    <xdr:to>
      <xdr:col>14</xdr:col>
      <xdr:colOff>259080</xdr:colOff>
      <xdr:row>182</xdr:row>
      <xdr:rowOff>11430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0080E90-CFEC-2DA4-5157-3ABE1476E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487680</xdr:colOff>
      <xdr:row>184</xdr:row>
      <xdr:rowOff>163830</xdr:rowOff>
    </xdr:from>
    <xdr:to>
      <xdr:col>15</xdr:col>
      <xdr:colOff>182880</xdr:colOff>
      <xdr:row>198</xdr:row>
      <xdr:rowOff>118110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80048B8-4145-531B-46E0-E14177210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396240</xdr:colOff>
      <xdr:row>200</xdr:row>
      <xdr:rowOff>148590</xdr:rowOff>
    </xdr:from>
    <xdr:to>
      <xdr:col>15</xdr:col>
      <xdr:colOff>91440</xdr:colOff>
      <xdr:row>215</xdr:row>
      <xdr:rowOff>140970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728740-135F-6839-554F-5BEDB86F1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zoomScale="110" zoomScaleNormal="11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4" x14ac:dyDescent="0.3"/>
  <cols>
    <col min="1" max="1" width="22.21875" customWidth="1"/>
    <col min="2" max="2" width="18.21875" customWidth="1"/>
    <col min="3" max="5" width="17.44140625" bestFit="1" customWidth="1"/>
    <col min="6" max="6" width="14.5546875" customWidth="1"/>
    <col min="7" max="7" width="14.88671875" style="14" bestFit="1" customWidth="1"/>
    <col min="8" max="8" width="13.109375" style="12" customWidth="1"/>
    <col min="9" max="9" width="16.33203125" style="14" bestFit="1" customWidth="1"/>
    <col min="10" max="10" width="12.88671875" style="12" customWidth="1"/>
    <col min="11" max="12" width="12.88671875" style="5" customWidth="1"/>
    <col min="13" max="13" width="12.88671875" customWidth="1"/>
  </cols>
  <sheetData>
    <row r="1" spans="1:13" x14ac:dyDescent="0.3">
      <c r="A1" s="49" t="s">
        <v>3</v>
      </c>
      <c r="B1" s="49"/>
      <c r="C1" s="49"/>
      <c r="D1" s="49"/>
      <c r="E1" s="49"/>
      <c r="F1" s="6" t="s">
        <v>42</v>
      </c>
      <c r="G1" s="50" t="s">
        <v>27</v>
      </c>
      <c r="H1" s="50"/>
      <c r="I1" s="50"/>
      <c r="J1" s="50"/>
      <c r="K1" s="51" t="s">
        <v>29</v>
      </c>
      <c r="L1" s="51"/>
    </row>
    <row r="2" spans="1:13" x14ac:dyDescent="0.3">
      <c r="A2" s="49" t="s">
        <v>91</v>
      </c>
      <c r="B2" s="49"/>
      <c r="C2" s="49"/>
      <c r="D2" s="49"/>
      <c r="E2" s="49"/>
      <c r="F2" s="6"/>
      <c r="G2" s="23"/>
      <c r="H2" s="11"/>
      <c r="I2" s="23"/>
    </row>
    <row r="3" spans="1:13" x14ac:dyDescent="0.3">
      <c r="B3" s="1">
        <v>2021</v>
      </c>
      <c r="C3" s="1">
        <v>2022</v>
      </c>
      <c r="D3" s="1">
        <v>2023</v>
      </c>
      <c r="E3" s="1">
        <v>2024</v>
      </c>
      <c r="F3" s="28" t="s">
        <v>92</v>
      </c>
      <c r="G3" s="24" t="s">
        <v>96</v>
      </c>
      <c r="H3" s="13" t="s">
        <v>97</v>
      </c>
      <c r="I3" s="24" t="s">
        <v>98</v>
      </c>
      <c r="J3" s="13" t="s">
        <v>99</v>
      </c>
      <c r="K3" s="16">
        <v>2023</v>
      </c>
      <c r="L3" s="16">
        <v>2024</v>
      </c>
      <c r="M3" s="1"/>
    </row>
    <row r="5" spans="1:13" x14ac:dyDescent="0.3">
      <c r="A5" s="2" t="s">
        <v>0</v>
      </c>
    </row>
    <row r="6" spans="1:13" x14ac:dyDescent="0.3">
      <c r="A6" t="s">
        <v>123</v>
      </c>
      <c r="B6" s="29">
        <v>787000000</v>
      </c>
      <c r="C6" s="29">
        <v>589000000</v>
      </c>
      <c r="D6" s="29">
        <v>597000000</v>
      </c>
      <c r="E6" s="29">
        <v>675000000</v>
      </c>
      <c r="F6" s="8"/>
      <c r="G6" s="14">
        <f>D6-C6</f>
        <v>8000000</v>
      </c>
      <c r="H6" s="21">
        <f>(D6-C6)/C6</f>
        <v>1.3582342954159592E-2</v>
      </c>
      <c r="I6" s="14">
        <f>E6-D6</f>
        <v>78000000</v>
      </c>
      <c r="J6" s="21">
        <f>(E6-D6)/D6</f>
        <v>0.1306532663316583</v>
      </c>
      <c r="K6" s="22">
        <f t="shared" ref="K6:K12" si="0">D6/($D$12+$D$21)</f>
        <v>3.2637218456155699E-2</v>
      </c>
      <c r="L6" s="22">
        <f t="shared" ref="L6:L12" si="1">E6/($E$12+$E$21)</f>
        <v>3.3970810266733771E-2</v>
      </c>
      <c r="M6" s="10"/>
    </row>
    <row r="7" spans="1:13" x14ac:dyDescent="0.3">
      <c r="A7" t="s">
        <v>124</v>
      </c>
      <c r="B7" s="29">
        <v>368000000</v>
      </c>
      <c r="C7" s="29">
        <v>470000000</v>
      </c>
      <c r="D7" s="29">
        <v>605000000</v>
      </c>
      <c r="E7" s="29">
        <v>496000000</v>
      </c>
      <c r="F7" s="8"/>
      <c r="G7" s="14">
        <f t="shared" ref="G7:G46" si="2">D7-C7</f>
        <v>135000000</v>
      </c>
      <c r="H7" s="21">
        <f t="shared" ref="H7:H18" si="3">(D7-C7)/C7</f>
        <v>0.28723404255319152</v>
      </c>
      <c r="I7" s="14">
        <f t="shared" ref="I7:I46" si="4">E7-D7</f>
        <v>-109000000</v>
      </c>
      <c r="J7" s="21">
        <f t="shared" ref="J7:J46" si="5">(E7-D7)/D7</f>
        <v>-0.18016528925619835</v>
      </c>
      <c r="K7" s="22">
        <f t="shared" si="0"/>
        <v>3.3074568117209706E-2</v>
      </c>
      <c r="L7" s="22">
        <f t="shared" si="1"/>
        <v>2.4962254655259183E-2</v>
      </c>
      <c r="M7" s="10"/>
    </row>
    <row r="8" spans="1:13" x14ac:dyDescent="0.3">
      <c r="A8" t="s">
        <v>93</v>
      </c>
      <c r="B8" s="29">
        <v>85000000</v>
      </c>
      <c r="C8" s="29">
        <v>83000000</v>
      </c>
      <c r="D8" s="29">
        <v>82000000</v>
      </c>
      <c r="E8" s="29">
        <v>102000000</v>
      </c>
      <c r="F8" s="8"/>
      <c r="G8" s="14">
        <f t="shared" si="2"/>
        <v>-1000000</v>
      </c>
      <c r="H8" s="21">
        <f t="shared" si="3"/>
        <v>-1.2048192771084338E-2</v>
      </c>
      <c r="I8" s="14">
        <f t="shared" si="4"/>
        <v>20000000</v>
      </c>
      <c r="J8" s="21">
        <f t="shared" si="5"/>
        <v>0.24390243902439024</v>
      </c>
      <c r="K8" s="22">
        <f t="shared" si="0"/>
        <v>4.4828340258036298E-3</v>
      </c>
      <c r="L8" s="22">
        <f t="shared" si="1"/>
        <v>5.1333668847508805E-3</v>
      </c>
      <c r="M8" s="10"/>
    </row>
    <row r="9" spans="1:13" x14ac:dyDescent="0.3">
      <c r="A9" t="s">
        <v>1</v>
      </c>
      <c r="B9" s="29">
        <v>2107000000</v>
      </c>
      <c r="C9" s="29">
        <v>2448000000</v>
      </c>
      <c r="D9" s="29">
        <v>2323000000</v>
      </c>
      <c r="E9" s="29">
        <v>2703000000</v>
      </c>
      <c r="F9" s="8"/>
      <c r="G9" s="14">
        <f t="shared" si="2"/>
        <v>-125000000</v>
      </c>
      <c r="H9" s="21">
        <f t="shared" si="3"/>
        <v>-5.1062091503267973E-2</v>
      </c>
      <c r="I9" s="14">
        <f t="shared" si="4"/>
        <v>380000000</v>
      </c>
      <c r="J9" s="21">
        <f>(E9-D9)/D9</f>
        <v>0.16358157554885924</v>
      </c>
      <c r="K9" s="22">
        <f t="shared" si="0"/>
        <v>0.12699540782855892</v>
      </c>
      <c r="L9" s="22">
        <f t="shared" si="1"/>
        <v>0.13603422244589833</v>
      </c>
      <c r="M9" s="10"/>
    </row>
    <row r="10" spans="1:13" x14ac:dyDescent="0.3">
      <c r="A10" t="s">
        <v>150</v>
      </c>
      <c r="B10" s="29">
        <v>85000000</v>
      </c>
      <c r="C10" s="29">
        <v>82000000</v>
      </c>
      <c r="D10" s="29">
        <v>127000000</v>
      </c>
      <c r="E10" s="29">
        <v>3000000</v>
      </c>
      <c r="F10" s="8"/>
      <c r="G10" s="14">
        <f t="shared" si="2"/>
        <v>45000000</v>
      </c>
      <c r="H10" s="21">
        <f t="shared" si="3"/>
        <v>0.54878048780487809</v>
      </c>
      <c r="I10" s="14">
        <f t="shared" si="4"/>
        <v>-124000000</v>
      </c>
      <c r="J10" s="21">
        <f t="shared" si="5"/>
        <v>-0.97637795275590555</v>
      </c>
      <c r="K10" s="22">
        <f t="shared" si="0"/>
        <v>6.9429258692324516E-3</v>
      </c>
      <c r="L10" s="22">
        <f t="shared" si="1"/>
        <v>1.509813789632612E-4</v>
      </c>
      <c r="M10" s="10"/>
    </row>
    <row r="11" spans="1:13" x14ac:dyDescent="0.3">
      <c r="A11" t="s">
        <v>126</v>
      </c>
      <c r="B11" s="29">
        <v>2000000</v>
      </c>
      <c r="C11" s="29">
        <v>79000000</v>
      </c>
      <c r="D11" s="29">
        <v>18000000</v>
      </c>
      <c r="E11" s="29">
        <v>7000000</v>
      </c>
      <c r="F11" s="8"/>
      <c r="G11" s="14">
        <f t="shared" si="2"/>
        <v>-61000000</v>
      </c>
      <c r="H11" s="21">
        <f t="shared" si="3"/>
        <v>-0.77215189873417722</v>
      </c>
      <c r="I11" s="14">
        <f t="shared" si="4"/>
        <v>-11000000</v>
      </c>
      <c r="J11" s="21">
        <f t="shared" si="5"/>
        <v>-0.61111111111111116</v>
      </c>
      <c r="K11" s="22">
        <f t="shared" si="0"/>
        <v>9.8403673737152862E-4</v>
      </c>
      <c r="L11" s="22">
        <f t="shared" si="1"/>
        <v>3.5228988424760947E-4</v>
      </c>
      <c r="M11" s="10"/>
    </row>
    <row r="12" spans="1:13" x14ac:dyDescent="0.3">
      <c r="A12" s="3" t="s">
        <v>2</v>
      </c>
      <c r="B12" s="9">
        <f>SUM(B6:B11)</f>
        <v>3434000000</v>
      </c>
      <c r="C12" s="9">
        <f>SUM(C6:C11)</f>
        <v>3751000000</v>
      </c>
      <c r="D12" s="9">
        <f>SUM(D6:D11)</f>
        <v>3752000000</v>
      </c>
      <c r="E12" s="9">
        <f>SUM(E6:E11)</f>
        <v>3986000000</v>
      </c>
      <c r="F12" s="8"/>
      <c r="G12" s="14">
        <f t="shared" si="2"/>
        <v>1000000</v>
      </c>
      <c r="H12" s="21">
        <f t="shared" si="3"/>
        <v>2.6659557451346307E-4</v>
      </c>
      <c r="I12" s="14">
        <f t="shared" si="4"/>
        <v>234000000</v>
      </c>
      <c r="J12" s="21">
        <f t="shared" si="5"/>
        <v>6.2366737739872065E-2</v>
      </c>
      <c r="K12" s="22">
        <f t="shared" si="0"/>
        <v>0.20511699103433195</v>
      </c>
      <c r="L12" s="22">
        <f t="shared" si="1"/>
        <v>0.20060392551585304</v>
      </c>
      <c r="M12" s="10"/>
    </row>
    <row r="13" spans="1:13" x14ac:dyDescent="0.3">
      <c r="B13" s="8"/>
      <c r="C13" s="8"/>
      <c r="D13" s="8"/>
      <c r="E13" s="8"/>
      <c r="F13" s="8"/>
      <c r="H13" s="21"/>
      <c r="J13" s="21"/>
      <c r="K13" s="22"/>
      <c r="L13" s="22"/>
      <c r="M13" s="10"/>
    </row>
    <row r="14" spans="1:13" x14ac:dyDescent="0.3">
      <c r="A14" s="2" t="s">
        <v>4</v>
      </c>
      <c r="B14" s="8"/>
      <c r="C14" s="8"/>
      <c r="D14" s="8"/>
      <c r="E14" s="8"/>
      <c r="F14" s="8"/>
      <c r="H14" s="21"/>
      <c r="J14" s="21"/>
      <c r="K14" s="22"/>
      <c r="L14" s="22"/>
      <c r="M14" s="10"/>
    </row>
    <row r="15" spans="1:13" x14ac:dyDescent="0.3">
      <c r="A15" t="s">
        <v>94</v>
      </c>
      <c r="B15" s="29">
        <v>220000000</v>
      </c>
      <c r="C15" s="29">
        <v>219000000</v>
      </c>
      <c r="D15" s="29">
        <v>220000000</v>
      </c>
      <c r="E15" s="29">
        <v>225000000</v>
      </c>
      <c r="F15" s="8"/>
      <c r="G15" s="14">
        <f t="shared" si="2"/>
        <v>1000000</v>
      </c>
      <c r="H15" s="21">
        <f t="shared" si="3"/>
        <v>4.5662100456621002E-3</v>
      </c>
      <c r="I15" s="14">
        <f t="shared" si="4"/>
        <v>5000000</v>
      </c>
      <c r="J15" s="21">
        <f t="shared" si="5"/>
        <v>2.2727272727272728E-2</v>
      </c>
      <c r="K15" s="22">
        <f t="shared" ref="K15:K23" si="6">D15/($D$12+$D$21)</f>
        <v>1.2027115678985349E-2</v>
      </c>
      <c r="L15" s="22">
        <f t="shared" ref="L15:L23" si="7">E15/($E$12+$E$21)</f>
        <v>1.132360342224459E-2</v>
      </c>
      <c r="M15" s="10"/>
    </row>
    <row r="16" spans="1:13" x14ac:dyDescent="0.3">
      <c r="A16" t="s">
        <v>127</v>
      </c>
      <c r="B16" s="29">
        <v>11751000000</v>
      </c>
      <c r="C16" s="29">
        <v>12006000000</v>
      </c>
      <c r="D16" s="29">
        <v>11492000000</v>
      </c>
      <c r="E16" s="29">
        <v>12667000000</v>
      </c>
      <c r="F16" s="8"/>
      <c r="G16" s="14">
        <f t="shared" si="2"/>
        <v>-514000000</v>
      </c>
      <c r="H16" s="21">
        <f t="shared" si="3"/>
        <v>-4.2811927369648506E-2</v>
      </c>
      <c r="I16" s="14">
        <f t="shared" si="4"/>
        <v>1175000000</v>
      </c>
      <c r="J16" s="21">
        <f t="shared" si="5"/>
        <v>0.10224504002784546</v>
      </c>
      <c r="K16" s="22">
        <f t="shared" si="6"/>
        <v>0.62825278810408924</v>
      </c>
      <c r="L16" s="22">
        <f t="shared" si="7"/>
        <v>0.63749370910920988</v>
      </c>
      <c r="M16" s="10"/>
    </row>
    <row r="17" spans="1:13" x14ac:dyDescent="0.3">
      <c r="A17" t="s">
        <v>128</v>
      </c>
      <c r="B17" s="29">
        <v>542000000</v>
      </c>
      <c r="C17" s="29">
        <v>704000000</v>
      </c>
      <c r="D17" s="29">
        <v>920000000</v>
      </c>
      <c r="E17" s="29">
        <v>1052000000</v>
      </c>
      <c r="F17" s="8"/>
      <c r="G17" s="14">
        <f t="shared" si="2"/>
        <v>216000000</v>
      </c>
      <c r="H17" s="21">
        <f t="shared" si="3"/>
        <v>0.30681818181818182</v>
      </c>
      <c r="I17" s="14">
        <f t="shared" si="4"/>
        <v>132000000</v>
      </c>
      <c r="J17" s="21">
        <f t="shared" si="5"/>
        <v>0.14347826086956522</v>
      </c>
      <c r="K17" s="22">
        <f t="shared" si="6"/>
        <v>5.0295211021211456E-2</v>
      </c>
      <c r="L17" s="22">
        <f t="shared" si="7"/>
        <v>5.2944136889783597E-2</v>
      </c>
      <c r="M17" s="10"/>
    </row>
    <row r="18" spans="1:13" x14ac:dyDescent="0.3">
      <c r="A18" t="s">
        <v>100</v>
      </c>
      <c r="B18" s="29">
        <v>1156000000</v>
      </c>
      <c r="C18" s="29">
        <v>1160000000</v>
      </c>
      <c r="D18" s="29">
        <v>1115000000</v>
      </c>
      <c r="E18" s="29">
        <v>1151000000</v>
      </c>
      <c r="F18" s="8"/>
      <c r="G18" s="14">
        <f t="shared" si="2"/>
        <v>-45000000</v>
      </c>
      <c r="H18" s="21">
        <f t="shared" si="3"/>
        <v>-3.8793103448275863E-2</v>
      </c>
      <c r="I18" s="14">
        <f t="shared" si="4"/>
        <v>36000000</v>
      </c>
      <c r="J18" s="21">
        <f t="shared" si="5"/>
        <v>3.2286995515695069E-2</v>
      </c>
      <c r="K18" s="22">
        <f t="shared" si="6"/>
        <v>6.0955609009403021E-2</v>
      </c>
      <c r="L18" s="22">
        <f t="shared" si="7"/>
        <v>5.7926522395571216E-2</v>
      </c>
      <c r="M18" s="10"/>
    </row>
    <row r="19" spans="1:13" x14ac:dyDescent="0.3">
      <c r="A19" t="s">
        <v>101</v>
      </c>
      <c r="B19" s="29">
        <v>873000000</v>
      </c>
      <c r="C19" s="29">
        <v>822000000</v>
      </c>
      <c r="D19" s="29">
        <v>740000000</v>
      </c>
      <c r="E19" s="29">
        <v>717000000</v>
      </c>
      <c r="F19" s="8"/>
      <c r="G19" s="14">
        <f t="shared" si="2"/>
        <v>-82000000</v>
      </c>
      <c r="H19" s="21">
        <f t="shared" ref="H19:H46" si="8">(D19-C19)/C19</f>
        <v>-9.9756690997566913E-2</v>
      </c>
      <c r="I19" s="14">
        <f t="shared" si="4"/>
        <v>-23000000</v>
      </c>
      <c r="J19" s="21">
        <f t="shared" si="5"/>
        <v>-3.1081081081081083E-2</v>
      </c>
      <c r="K19" s="22">
        <f t="shared" si="6"/>
        <v>4.0454843647496172E-2</v>
      </c>
      <c r="L19" s="22">
        <f t="shared" si="7"/>
        <v>3.6084549572219425E-2</v>
      </c>
      <c r="M19" s="10"/>
    </row>
    <row r="20" spans="1:13" x14ac:dyDescent="0.3">
      <c r="A20" t="s">
        <v>95</v>
      </c>
      <c r="B20" s="29">
        <v>147000000</v>
      </c>
      <c r="C20" s="29">
        <v>174000000</v>
      </c>
      <c r="D20" s="29">
        <v>53000000</v>
      </c>
      <c r="E20" s="29">
        <v>72000000</v>
      </c>
      <c r="F20" s="8"/>
      <c r="G20" s="14">
        <f t="shared" si="2"/>
        <v>-121000000</v>
      </c>
      <c r="H20" s="21">
        <f t="shared" si="8"/>
        <v>-0.6954022988505747</v>
      </c>
      <c r="I20" s="14">
        <f t="shared" si="4"/>
        <v>19000000</v>
      </c>
      <c r="J20" s="21">
        <f t="shared" si="5"/>
        <v>0.35849056603773582</v>
      </c>
      <c r="K20" s="22">
        <f t="shared" si="6"/>
        <v>2.8974415044828341E-3</v>
      </c>
      <c r="L20" s="22">
        <f t="shared" si="7"/>
        <v>3.6235530951182686E-3</v>
      </c>
      <c r="M20" s="10"/>
    </row>
    <row r="21" spans="1:13" x14ac:dyDescent="0.3">
      <c r="A21" s="3" t="s">
        <v>5</v>
      </c>
      <c r="B21" s="9">
        <f>SUM(B15:B20)</f>
        <v>14689000000</v>
      </c>
      <c r="C21" s="9">
        <f>SUM(C15:C20)</f>
        <v>15085000000</v>
      </c>
      <c r="D21" s="9">
        <f>SUM(D15:D20)</f>
        <v>14540000000</v>
      </c>
      <c r="E21" s="9">
        <f>SUM(E15:E20)</f>
        <v>15884000000</v>
      </c>
      <c r="F21" s="8"/>
      <c r="G21" s="14">
        <f t="shared" si="2"/>
        <v>-545000000</v>
      </c>
      <c r="H21" s="21">
        <f t="shared" si="8"/>
        <v>-3.6128604574080216E-2</v>
      </c>
      <c r="I21" s="14">
        <f t="shared" si="4"/>
        <v>1344000000</v>
      </c>
      <c r="J21" s="21">
        <f t="shared" si="5"/>
        <v>9.2434662998624489E-2</v>
      </c>
      <c r="K21" s="22">
        <f t="shared" si="6"/>
        <v>0.7948830089656681</v>
      </c>
      <c r="L21" s="22">
        <f t="shared" si="7"/>
        <v>0.79939607448414696</v>
      </c>
      <c r="M21" s="10"/>
    </row>
    <row r="22" spans="1:13" x14ac:dyDescent="0.3">
      <c r="B22" s="8"/>
      <c r="C22" s="8"/>
      <c r="D22" s="8"/>
      <c r="E22" s="8"/>
      <c r="F22" s="8"/>
      <c r="H22" s="21"/>
      <c r="J22" s="21"/>
      <c r="K22" s="22">
        <f t="shared" si="6"/>
        <v>0</v>
      </c>
      <c r="L22" s="22">
        <f t="shared" si="7"/>
        <v>0</v>
      </c>
      <c r="M22" s="10"/>
    </row>
    <row r="23" spans="1:13" x14ac:dyDescent="0.3">
      <c r="A23" s="3" t="s">
        <v>40</v>
      </c>
      <c r="B23" s="8">
        <f>B21+B12</f>
        <v>18123000000</v>
      </c>
      <c r="C23" s="8">
        <f>C21+C12</f>
        <v>18836000000</v>
      </c>
      <c r="D23" s="8">
        <f>D21+D12</f>
        <v>18292000000</v>
      </c>
      <c r="E23" s="8">
        <f>E21+E12</f>
        <v>19870000000</v>
      </c>
      <c r="F23" s="8"/>
      <c r="G23" s="14">
        <f t="shared" si="2"/>
        <v>-544000000</v>
      </c>
      <c r="H23" s="21">
        <f t="shared" si="8"/>
        <v>-2.8880866425992781E-2</v>
      </c>
      <c r="I23" s="14">
        <f t="shared" si="4"/>
        <v>1578000000</v>
      </c>
      <c r="J23" s="21">
        <f t="shared" si="5"/>
        <v>8.6267220642903999E-2</v>
      </c>
      <c r="K23" s="22">
        <f t="shared" si="6"/>
        <v>1</v>
      </c>
      <c r="L23" s="22">
        <f t="shared" si="7"/>
        <v>1</v>
      </c>
      <c r="M23" s="10"/>
    </row>
    <row r="24" spans="1:13" x14ac:dyDescent="0.3">
      <c r="A24" s="3"/>
      <c r="B24" s="8"/>
      <c r="C24" s="8"/>
      <c r="D24" s="8"/>
      <c r="E24" s="8"/>
      <c r="F24" s="8"/>
      <c r="H24" s="21"/>
      <c r="J24" s="21"/>
      <c r="K24" s="22"/>
      <c r="L24" s="22"/>
      <c r="M24" s="10"/>
    </row>
    <row r="25" spans="1:13" x14ac:dyDescent="0.3">
      <c r="A25" s="2" t="s">
        <v>6</v>
      </c>
      <c r="B25" s="8"/>
      <c r="C25" s="8"/>
      <c r="D25" s="8"/>
      <c r="E25" s="8"/>
      <c r="F25" s="8"/>
      <c r="H25" s="21"/>
      <c r="J25" s="21"/>
      <c r="K25" s="22"/>
      <c r="L25" s="22"/>
      <c r="M25" s="10"/>
    </row>
    <row r="26" spans="1:13" x14ac:dyDescent="0.3">
      <c r="A26" t="s">
        <v>102</v>
      </c>
      <c r="B26" s="29">
        <v>3660000000</v>
      </c>
      <c r="C26" s="29">
        <v>4335000000</v>
      </c>
      <c r="D26" s="29">
        <v>4434000000</v>
      </c>
      <c r="E26" s="29">
        <v>4584000000</v>
      </c>
      <c r="F26" s="8"/>
      <c r="G26" s="14">
        <f t="shared" si="2"/>
        <v>99000000</v>
      </c>
      <c r="H26" s="21">
        <f t="shared" si="8"/>
        <v>2.2837370242214532E-2</v>
      </c>
      <c r="I26" s="14">
        <f t="shared" si="4"/>
        <v>150000000</v>
      </c>
      <c r="J26" s="21">
        <f t="shared" si="5"/>
        <v>3.3829499323410013E-2</v>
      </c>
      <c r="K26" s="22">
        <f t="shared" ref="K26:K30" si="9">D26/($D$30+$D$38)</f>
        <v>0.20773988005997002</v>
      </c>
      <c r="L26" s="22">
        <f t="shared" ref="L26:L38" si="10">E26/($E$30+$E$36)</f>
        <v>0.28204023872515843</v>
      </c>
      <c r="M26" s="10"/>
    </row>
    <row r="27" spans="1:13" x14ac:dyDescent="0.3">
      <c r="A27" t="s">
        <v>103</v>
      </c>
      <c r="B27" s="29">
        <v>897000000</v>
      </c>
      <c r="C27" s="29">
        <v>914000000</v>
      </c>
      <c r="D27" s="29">
        <v>820000000</v>
      </c>
      <c r="E27" s="29">
        <v>911000000</v>
      </c>
      <c r="F27" s="8"/>
      <c r="G27" s="14">
        <f t="shared" si="2"/>
        <v>-94000000</v>
      </c>
      <c r="H27" s="21">
        <f t="shared" si="8"/>
        <v>-0.10284463894967177</v>
      </c>
      <c r="I27" s="14">
        <f t="shared" si="4"/>
        <v>91000000</v>
      </c>
      <c r="J27" s="21">
        <f t="shared" si="5"/>
        <v>0.11097560975609756</v>
      </c>
      <c r="K27" s="22">
        <f t="shared" si="9"/>
        <v>3.8418290854572712E-2</v>
      </c>
      <c r="L27" s="22">
        <f t="shared" si="10"/>
        <v>5.6051190549437024E-2</v>
      </c>
      <c r="M27" s="10"/>
    </row>
    <row r="28" spans="1:13" x14ac:dyDescent="0.3">
      <c r="A28" t="s">
        <v>7</v>
      </c>
      <c r="B28" s="29">
        <v>1010000000</v>
      </c>
      <c r="C28" s="29">
        <v>854000000</v>
      </c>
      <c r="D28" s="29">
        <v>905000000</v>
      </c>
      <c r="E28" s="29">
        <v>1016000000</v>
      </c>
      <c r="F28" s="8"/>
      <c r="G28" s="14">
        <f t="shared" si="2"/>
        <v>51000000</v>
      </c>
      <c r="H28" s="21">
        <f t="shared" si="8"/>
        <v>5.9718969555035126E-2</v>
      </c>
      <c r="I28" s="14">
        <f t="shared" si="4"/>
        <v>111000000</v>
      </c>
      <c r="J28" s="21">
        <f t="shared" si="5"/>
        <v>0.12265193370165746</v>
      </c>
      <c r="K28" s="22">
        <f t="shared" si="9"/>
        <v>4.2400674662668662E-2</v>
      </c>
      <c r="L28" s="22">
        <f t="shared" si="10"/>
        <v>6.2511536331754144E-2</v>
      </c>
      <c r="M28" s="10"/>
    </row>
    <row r="29" spans="1:13" x14ac:dyDescent="0.3">
      <c r="A29" t="s">
        <v>95</v>
      </c>
      <c r="B29" s="29">
        <v>252000000</v>
      </c>
      <c r="C29" s="29">
        <v>312000000</v>
      </c>
      <c r="D29" s="29">
        <v>249000000</v>
      </c>
      <c r="E29" s="29">
        <v>260000000</v>
      </c>
      <c r="F29" s="8"/>
      <c r="G29" s="14">
        <f t="shared" si="2"/>
        <v>-63000000</v>
      </c>
      <c r="H29" s="21">
        <f t="shared" si="8"/>
        <v>-0.20192307692307693</v>
      </c>
      <c r="I29" s="14">
        <f t="shared" si="4"/>
        <v>11000000</v>
      </c>
      <c r="J29" s="21">
        <f t="shared" si="5"/>
        <v>4.4176706827309238E-2</v>
      </c>
      <c r="K29" s="22">
        <f t="shared" si="9"/>
        <v>1.1666041979010494E-2</v>
      </c>
      <c r="L29" s="22">
        <f t="shared" si="10"/>
        <v>1.5997046699070941E-2</v>
      </c>
      <c r="M29" s="10"/>
    </row>
    <row r="30" spans="1:13" x14ac:dyDescent="0.3">
      <c r="A30" s="3" t="s">
        <v>8</v>
      </c>
      <c r="B30" s="9">
        <f>SUM(B26:B29)</f>
        <v>5819000000</v>
      </c>
      <c r="C30" s="9">
        <f>SUM(C26:C29)</f>
        <v>6415000000</v>
      </c>
      <c r="D30" s="9">
        <f>SUM(D26:D29)</f>
        <v>6408000000</v>
      </c>
      <c r="E30" s="9">
        <f>SUM(E26:E29)</f>
        <v>6771000000</v>
      </c>
      <c r="F30" s="8"/>
      <c r="G30" s="14">
        <f t="shared" si="2"/>
        <v>-7000000</v>
      </c>
      <c r="H30" s="21">
        <f t="shared" si="8"/>
        <v>-1.0911925175370225E-3</v>
      </c>
      <c r="I30" s="14">
        <f t="shared" si="4"/>
        <v>363000000</v>
      </c>
      <c r="J30" s="21">
        <f t="shared" si="5"/>
        <v>5.6647940074906367E-2</v>
      </c>
      <c r="K30" s="22">
        <f t="shared" si="9"/>
        <v>0.3002248875562219</v>
      </c>
      <c r="L30" s="22">
        <f>E30/(E38)</f>
        <v>0.41660001230542054</v>
      </c>
      <c r="M30" s="10"/>
    </row>
    <row r="31" spans="1:13" x14ac:dyDescent="0.3">
      <c r="B31" s="8"/>
      <c r="C31" s="8"/>
      <c r="D31" s="8"/>
      <c r="E31" s="8"/>
      <c r="F31" s="8"/>
      <c r="H31" s="21"/>
      <c r="J31" s="21"/>
      <c r="K31" s="22"/>
      <c r="L31" s="22"/>
      <c r="M31" s="10"/>
    </row>
    <row r="32" spans="1:13" x14ac:dyDescent="0.3">
      <c r="A32" s="2" t="s">
        <v>9</v>
      </c>
      <c r="B32" s="8"/>
      <c r="C32" s="8"/>
      <c r="D32" s="8"/>
      <c r="E32" s="8"/>
      <c r="F32" s="8"/>
      <c r="H32" s="21"/>
      <c r="J32" s="21"/>
      <c r="K32" s="22"/>
      <c r="L32" s="22"/>
      <c r="M32" s="10"/>
    </row>
    <row r="33" spans="1:13" x14ac:dyDescent="0.3">
      <c r="A33" t="s">
        <v>104</v>
      </c>
      <c r="B33" s="29">
        <v>9001000000</v>
      </c>
      <c r="C33" s="29">
        <v>8862000000</v>
      </c>
      <c r="D33" s="29">
        <v>8147000000</v>
      </c>
      <c r="E33" s="29">
        <v>9158000000</v>
      </c>
      <c r="F33" s="8"/>
      <c r="G33" s="14">
        <f t="shared" si="2"/>
        <v>-715000000</v>
      </c>
      <c r="H33" s="21">
        <f t="shared" si="8"/>
        <v>-8.0681561724215756E-2</v>
      </c>
      <c r="I33" s="14">
        <f t="shared" si="4"/>
        <v>1011000000</v>
      </c>
      <c r="J33" s="21">
        <f t="shared" si="5"/>
        <v>0.12409475880692279</v>
      </c>
      <c r="K33" s="22">
        <f t="shared" ref="K33:K36" si="11">D33/($D$30+$D$36)</f>
        <v>0.54546063202999462</v>
      </c>
      <c r="L33" s="22">
        <f t="shared" si="10"/>
        <v>0.56346520642342957</v>
      </c>
      <c r="M33" s="10"/>
    </row>
    <row r="34" spans="1:13" x14ac:dyDescent="0.3">
      <c r="A34" t="s">
        <v>7</v>
      </c>
      <c r="B34" s="29">
        <v>458000000</v>
      </c>
      <c r="C34" s="29">
        <v>424000000</v>
      </c>
      <c r="D34" s="29">
        <v>376000000</v>
      </c>
      <c r="E34" s="29">
        <v>323000000</v>
      </c>
      <c r="F34" s="8"/>
      <c r="G34" s="14">
        <f t="shared" si="2"/>
        <v>-48000000</v>
      </c>
      <c r="H34" s="21">
        <f t="shared" si="8"/>
        <v>-0.11320754716981132</v>
      </c>
      <c r="I34" s="14">
        <f t="shared" si="4"/>
        <v>-53000000</v>
      </c>
      <c r="J34" s="21">
        <f t="shared" si="5"/>
        <v>-0.14095744680851063</v>
      </c>
      <c r="K34" s="22">
        <f t="shared" si="11"/>
        <v>2.5174076057846814E-2</v>
      </c>
      <c r="L34" s="22">
        <f t="shared" si="10"/>
        <v>1.9873254168461207E-2</v>
      </c>
      <c r="M34" s="10"/>
    </row>
    <row r="35" spans="1:13" x14ac:dyDescent="0.3">
      <c r="A35" t="s">
        <v>95</v>
      </c>
      <c r="B35" s="29">
        <v>32000000</v>
      </c>
      <c r="C35" s="29">
        <v>11000000</v>
      </c>
      <c r="D35" s="29">
        <v>5000000</v>
      </c>
      <c r="E35" s="29">
        <v>1000000</v>
      </c>
      <c r="F35" s="8"/>
      <c r="G35" s="14">
        <f t="shared" si="2"/>
        <v>-6000000</v>
      </c>
      <c r="H35" s="21">
        <f t="shared" si="8"/>
        <v>-0.54545454545454541</v>
      </c>
      <c r="I35" s="14">
        <f t="shared" si="4"/>
        <v>-4000000</v>
      </c>
      <c r="J35" s="21">
        <f t="shared" si="5"/>
        <v>-0.8</v>
      </c>
      <c r="K35" s="22">
        <f t="shared" si="11"/>
        <v>3.3476164970540974E-4</v>
      </c>
      <c r="L35" s="22">
        <f t="shared" si="10"/>
        <v>6.1527102688734383E-5</v>
      </c>
      <c r="M35" s="10"/>
    </row>
    <row r="36" spans="1:13" x14ac:dyDescent="0.3">
      <c r="A36" s="3" t="s">
        <v>10</v>
      </c>
      <c r="B36" s="9">
        <f>SUM(B33:B35)</f>
        <v>9491000000</v>
      </c>
      <c r="C36" s="9">
        <f>SUM(C33:C35)</f>
        <v>9297000000</v>
      </c>
      <c r="D36" s="9">
        <f>SUM(D33:D35)</f>
        <v>8528000000</v>
      </c>
      <c r="E36" s="9">
        <f>SUM(E33:E35)</f>
        <v>9482000000</v>
      </c>
      <c r="F36" s="8"/>
      <c r="G36" s="14">
        <f t="shared" si="2"/>
        <v>-769000000</v>
      </c>
      <c r="H36" s="21">
        <f t="shared" si="8"/>
        <v>-8.2714854254060444E-2</v>
      </c>
      <c r="I36" s="14">
        <f t="shared" si="4"/>
        <v>954000000</v>
      </c>
      <c r="J36" s="21">
        <f t="shared" si="5"/>
        <v>0.11186679174484053</v>
      </c>
      <c r="K36" s="22">
        <f t="shared" si="11"/>
        <v>0.57096946973754692</v>
      </c>
      <c r="L36" s="22">
        <f t="shared" si="10"/>
        <v>0.58339998769457946</v>
      </c>
      <c r="M36" s="10"/>
    </row>
    <row r="37" spans="1:13" x14ac:dyDescent="0.3">
      <c r="A37" s="3"/>
      <c r="B37" s="9"/>
      <c r="C37" s="9"/>
      <c r="D37" s="9"/>
      <c r="E37" s="9"/>
      <c r="F37" s="8"/>
      <c r="H37" s="21"/>
      <c r="J37" s="21"/>
      <c r="K37" s="22"/>
      <c r="L37" s="22"/>
      <c r="M37" s="10"/>
    </row>
    <row r="38" spans="1:13" x14ac:dyDescent="0.3">
      <c r="A38" s="3" t="s">
        <v>41</v>
      </c>
      <c r="B38" s="9">
        <f>B36+B30</f>
        <v>15310000000</v>
      </c>
      <c r="C38" s="9">
        <f>C36+C30</f>
        <v>15712000000</v>
      </c>
      <c r="D38" s="9">
        <f>D36+D30</f>
        <v>14936000000</v>
      </c>
      <c r="E38" s="9">
        <f>E36+E30</f>
        <v>16253000000</v>
      </c>
      <c r="F38" s="8"/>
      <c r="G38" s="14">
        <f t="shared" si="2"/>
        <v>-776000000</v>
      </c>
      <c r="H38" s="21">
        <f t="shared" si="8"/>
        <v>-4.9389002036659878E-2</v>
      </c>
      <c r="I38" s="14">
        <f t="shared" si="4"/>
        <v>1317000000</v>
      </c>
      <c r="J38" s="21">
        <f t="shared" si="5"/>
        <v>8.8176218532404926E-2</v>
      </c>
      <c r="K38" s="22">
        <f>D38/($D$30+$D$36)</f>
        <v>1</v>
      </c>
      <c r="L38" s="22">
        <f t="shared" si="10"/>
        <v>1</v>
      </c>
      <c r="M38" s="10"/>
    </row>
    <row r="39" spans="1:13" x14ac:dyDescent="0.3">
      <c r="B39" s="8"/>
      <c r="C39" s="8"/>
      <c r="D39" s="8"/>
      <c r="E39" s="8"/>
      <c r="F39" s="8"/>
      <c r="H39" s="21"/>
      <c r="J39" s="21"/>
      <c r="K39" s="22"/>
      <c r="L39" s="22"/>
      <c r="M39" s="10"/>
    </row>
    <row r="40" spans="1:13" x14ac:dyDescent="0.3">
      <c r="A40" s="2" t="s">
        <v>11</v>
      </c>
      <c r="B40" s="8"/>
      <c r="C40" s="8"/>
      <c r="D40" s="8"/>
      <c r="E40" s="8"/>
      <c r="F40" s="8"/>
      <c r="H40" s="21"/>
      <c r="J40" s="21"/>
      <c r="K40" s="22"/>
      <c r="L40" s="22"/>
      <c r="M40" s="10"/>
    </row>
    <row r="41" spans="1:13" x14ac:dyDescent="0.3">
      <c r="A41" t="s">
        <v>105</v>
      </c>
      <c r="B41" s="29">
        <v>1585000000</v>
      </c>
      <c r="C41" s="29">
        <v>1636000000</v>
      </c>
      <c r="D41" s="29">
        <v>1644000000</v>
      </c>
      <c r="E41" s="29">
        <v>1672000000</v>
      </c>
      <c r="F41" s="8"/>
      <c r="G41" s="14">
        <f t="shared" si="2"/>
        <v>8000000</v>
      </c>
      <c r="H41" s="21">
        <f t="shared" si="8"/>
        <v>4.8899755501222494E-3</v>
      </c>
      <c r="I41" s="14">
        <f t="shared" si="4"/>
        <v>28000000</v>
      </c>
      <c r="J41" s="21">
        <f t="shared" si="5"/>
        <v>1.7031630170316302E-2</v>
      </c>
      <c r="K41" s="22">
        <f>D41/($D$44)</f>
        <v>0.4898688915375447</v>
      </c>
      <c r="L41" s="22">
        <f>E41/($E$44)</f>
        <v>0.46226154271495717</v>
      </c>
      <c r="M41" s="10"/>
    </row>
    <row r="42" spans="1:13" x14ac:dyDescent="0.3">
      <c r="A42" t="s">
        <v>12</v>
      </c>
      <c r="B42" s="29">
        <v>69000000</v>
      </c>
      <c r="C42" s="29">
        <v>95000000</v>
      </c>
      <c r="D42" s="29">
        <v>104000000</v>
      </c>
      <c r="E42" s="29">
        <v>103000000</v>
      </c>
      <c r="F42" s="8"/>
      <c r="G42" s="14">
        <f t="shared" si="2"/>
        <v>9000000</v>
      </c>
      <c r="H42" s="21">
        <f t="shared" si="8"/>
        <v>9.4736842105263161E-2</v>
      </c>
      <c r="I42" s="14">
        <f t="shared" si="4"/>
        <v>-1000000</v>
      </c>
      <c r="J42" s="21">
        <f t="shared" si="5"/>
        <v>-9.6153846153846159E-3</v>
      </c>
      <c r="K42" s="22">
        <f>D42/($D$44)</f>
        <v>3.098927294398093E-2</v>
      </c>
      <c r="L42" s="22">
        <f>E42/($E$44)</f>
        <v>2.8476638097871165E-2</v>
      </c>
      <c r="M42" s="10"/>
    </row>
    <row r="43" spans="1:13" x14ac:dyDescent="0.3">
      <c r="A43" t="s">
        <v>106</v>
      </c>
      <c r="B43" s="29">
        <v>1159000000</v>
      </c>
      <c r="C43" s="29">
        <v>1393000000</v>
      </c>
      <c r="D43" s="29">
        <v>1608000000</v>
      </c>
      <c r="E43" s="29">
        <v>1842000000</v>
      </c>
      <c r="F43" s="8"/>
      <c r="G43" s="14">
        <f t="shared" si="2"/>
        <v>215000000</v>
      </c>
      <c r="H43" s="21">
        <f t="shared" si="8"/>
        <v>0.15434314429289303</v>
      </c>
      <c r="I43" s="14">
        <f t="shared" si="4"/>
        <v>234000000</v>
      </c>
      <c r="J43" s="21">
        <f t="shared" si="5"/>
        <v>0.1455223880597015</v>
      </c>
      <c r="K43" s="22">
        <f>D43/($D$44)</f>
        <v>0.47914183551847439</v>
      </c>
      <c r="L43" s="22">
        <f>E43/($E$44)</f>
        <v>0.50926181918717173</v>
      </c>
      <c r="M43" s="10"/>
    </row>
    <row r="44" spans="1:13" x14ac:dyDescent="0.3">
      <c r="A44" s="3" t="s">
        <v>13</v>
      </c>
      <c r="B44" s="9">
        <f>SUM(B41:B43)</f>
        <v>2813000000</v>
      </c>
      <c r="C44" s="9">
        <f>SUM(C41:C43)</f>
        <v>3124000000</v>
      </c>
      <c r="D44" s="9">
        <f>SUM(D41:D43)</f>
        <v>3356000000</v>
      </c>
      <c r="E44" s="9">
        <f>SUM(E41:E43)</f>
        <v>3617000000</v>
      </c>
      <c r="F44" s="8"/>
      <c r="G44" s="14">
        <f t="shared" si="2"/>
        <v>232000000</v>
      </c>
      <c r="H44" s="21">
        <f t="shared" si="8"/>
        <v>7.4263764404609481E-2</v>
      </c>
      <c r="I44" s="14">
        <f t="shared" si="4"/>
        <v>261000000</v>
      </c>
      <c r="J44" s="21">
        <f t="shared" si="5"/>
        <v>7.7771156138259828E-2</v>
      </c>
      <c r="K44" s="22">
        <f>D44/($D$44)</f>
        <v>1</v>
      </c>
      <c r="L44" s="22">
        <f>E44/($E$44)</f>
        <v>1</v>
      </c>
      <c r="M44" s="10"/>
    </row>
    <row r="45" spans="1:13" x14ac:dyDescent="0.3">
      <c r="B45" s="8"/>
      <c r="C45" s="8"/>
      <c r="D45" s="8"/>
      <c r="E45" s="8"/>
      <c r="F45" s="8"/>
      <c r="H45" s="21"/>
      <c r="J45" s="21"/>
      <c r="K45" s="22"/>
      <c r="L45" s="22"/>
      <c r="M45" s="10"/>
    </row>
    <row r="46" spans="1:13" x14ac:dyDescent="0.3">
      <c r="A46" s="1" t="s">
        <v>15</v>
      </c>
      <c r="B46" s="8">
        <f>B23-B38</f>
        <v>2813000000</v>
      </c>
      <c r="C46" s="8">
        <f>C23-C38</f>
        <v>3124000000</v>
      </c>
      <c r="D46" s="8">
        <f>D23-D38</f>
        <v>3356000000</v>
      </c>
      <c r="E46" s="8">
        <f>E23-E38</f>
        <v>3617000000</v>
      </c>
      <c r="F46" s="8"/>
      <c r="G46" s="14">
        <f t="shared" si="2"/>
        <v>232000000</v>
      </c>
      <c r="H46" s="21">
        <f t="shared" si="8"/>
        <v>7.4263764404609481E-2</v>
      </c>
      <c r="I46" s="14">
        <f t="shared" si="4"/>
        <v>261000000</v>
      </c>
      <c r="J46" s="21">
        <f t="shared" si="5"/>
        <v>7.7771156138259828E-2</v>
      </c>
      <c r="K46" s="22">
        <f>D46/($D$12+$D$21)</f>
        <v>0.18346818281215832</v>
      </c>
      <c r="L46" s="22">
        <f>E46/($E$12+$E$21)</f>
        <v>0.18203321590337193</v>
      </c>
      <c r="M46" s="10"/>
    </row>
  </sheetData>
  <mergeCells count="4">
    <mergeCell ref="A1:E1"/>
    <mergeCell ref="A2:E2"/>
    <mergeCell ref="G1:J1"/>
    <mergeCell ref="K1:L1"/>
  </mergeCells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EA1C9E6C-51E8-48CB-97D3-19890719FB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 - COL'!B6:E6</xm:f>
              <xm:sqref>F6</xm:sqref>
            </x14:sparkline>
            <x14:sparkline>
              <xm:f>'Balance Sheet - COL'!B7:E7</xm:f>
              <xm:sqref>F7</xm:sqref>
            </x14:sparkline>
            <x14:sparkline>
              <xm:f>'Balance Sheet - COL'!B9:E9</xm:f>
              <xm:sqref>F8</xm:sqref>
            </x14:sparkline>
            <x14:sparkline>
              <xm:sqref>F9</xm:sqref>
            </x14:sparkline>
            <x14:sparkline>
              <xm:f>'Balance Sheet - COL'!B10:E10</xm:f>
              <xm:sqref>F10</xm:sqref>
            </x14:sparkline>
            <x14:sparkline>
              <xm:f>'Balance Sheet - COL'!B11:E11</xm:f>
              <xm:sqref>F11</xm:sqref>
            </x14:sparkline>
            <x14:sparkline>
              <xm:f>'Balance Sheet - COL'!B12:E12</xm:f>
              <xm:sqref>F12</xm:sqref>
            </x14:sparkline>
            <x14:sparkline>
              <xm:f>'Balance Sheet - COL'!B13:E13</xm:f>
              <xm:sqref>F13</xm:sqref>
            </x14:sparkline>
            <x14:sparkline>
              <xm:f>'Balance Sheet - COL'!B14:E14</xm:f>
              <xm:sqref>F14</xm:sqref>
            </x14:sparkline>
            <x14:sparkline>
              <xm:f>'Balance Sheet - COL'!B15:E15</xm:f>
              <xm:sqref>F15</xm:sqref>
            </x14:sparkline>
            <x14:sparkline>
              <xm:f>'Balance Sheet - COL'!B16:E16</xm:f>
              <xm:sqref>F16</xm:sqref>
            </x14:sparkline>
            <x14:sparkline>
              <xm:f>'Balance Sheet - COL'!B17:E17</xm:f>
              <xm:sqref>F17</xm:sqref>
            </x14:sparkline>
            <x14:sparkline>
              <xm:f>'Balance Sheet - COL'!B18:E18</xm:f>
              <xm:sqref>F18</xm:sqref>
            </x14:sparkline>
            <x14:sparkline>
              <xm:f>'Balance Sheet - COL'!B19:E19</xm:f>
              <xm:sqref>F19</xm:sqref>
            </x14:sparkline>
            <x14:sparkline>
              <xm:f>'Balance Sheet - COL'!B20:E20</xm:f>
              <xm:sqref>F20</xm:sqref>
            </x14:sparkline>
            <x14:sparkline>
              <xm:f>'Balance Sheet - COL'!B21:E21</xm:f>
              <xm:sqref>F21</xm:sqref>
            </x14:sparkline>
            <x14:sparkline>
              <xm:f>'Balance Sheet - COL'!B22:E22</xm:f>
              <xm:sqref>F22</xm:sqref>
            </x14:sparkline>
            <x14:sparkline>
              <xm:f>'Balance Sheet - COL'!B23:E23</xm:f>
              <xm:sqref>F23</xm:sqref>
            </x14:sparkline>
            <x14:sparkline>
              <xm:f>'Balance Sheet - COL'!B24:E24</xm:f>
              <xm:sqref>F24</xm:sqref>
            </x14:sparkline>
            <x14:sparkline>
              <xm:f>'Balance Sheet - COL'!B25:E25</xm:f>
              <xm:sqref>F25</xm:sqref>
            </x14:sparkline>
            <x14:sparkline>
              <xm:f>'Balance Sheet - COL'!B26:E26</xm:f>
              <xm:sqref>F26</xm:sqref>
            </x14:sparkline>
            <x14:sparkline>
              <xm:f>'Balance Sheet - COL'!B27:E27</xm:f>
              <xm:sqref>F27</xm:sqref>
            </x14:sparkline>
            <x14:sparkline>
              <xm:f>'Balance Sheet - COL'!B28:E28</xm:f>
              <xm:sqref>F28</xm:sqref>
            </x14:sparkline>
            <x14:sparkline>
              <xm:f>'Balance Sheet - COL'!B29:E29</xm:f>
              <xm:sqref>F29</xm:sqref>
            </x14:sparkline>
            <x14:sparkline>
              <xm:f>'Balance Sheet - COL'!B30:E30</xm:f>
              <xm:sqref>F30</xm:sqref>
            </x14:sparkline>
            <x14:sparkline>
              <xm:f>'Balance Sheet - COL'!B31:E31</xm:f>
              <xm:sqref>F31</xm:sqref>
            </x14:sparkline>
            <x14:sparkline>
              <xm:f>'Balance Sheet - COL'!B32:E32</xm:f>
              <xm:sqref>F32</xm:sqref>
            </x14:sparkline>
            <x14:sparkline>
              <xm:f>'Balance Sheet - COL'!B33:E33</xm:f>
              <xm:sqref>F33</xm:sqref>
            </x14:sparkline>
            <x14:sparkline>
              <xm:f>'Balance Sheet - COL'!B34:E34</xm:f>
              <xm:sqref>F34</xm:sqref>
            </x14:sparkline>
            <x14:sparkline>
              <xm:f>'Balance Sheet - COL'!B35:E35</xm:f>
              <xm:sqref>F35</xm:sqref>
            </x14:sparkline>
            <x14:sparkline>
              <xm:f>'Balance Sheet - COL'!B36:E36</xm:f>
              <xm:sqref>F36</xm:sqref>
            </x14:sparkline>
            <x14:sparkline>
              <xm:f>'Balance Sheet - COL'!B37:E37</xm:f>
              <xm:sqref>F37</xm:sqref>
            </x14:sparkline>
            <x14:sparkline>
              <xm:f>'Balance Sheet - COL'!B38:E38</xm:f>
              <xm:sqref>F38</xm:sqref>
            </x14:sparkline>
            <x14:sparkline>
              <xm:f>'Balance Sheet - COL'!B39:E39</xm:f>
              <xm:sqref>F39</xm:sqref>
            </x14:sparkline>
            <x14:sparkline>
              <xm:f>'Balance Sheet - COL'!B40:E40</xm:f>
              <xm:sqref>F40</xm:sqref>
            </x14:sparkline>
            <x14:sparkline>
              <xm:f>'Balance Sheet - COL'!B41:E41</xm:f>
              <xm:sqref>F41</xm:sqref>
            </x14:sparkline>
            <x14:sparkline>
              <xm:f>'Balance Sheet - COL'!B42:E42</xm:f>
              <xm:sqref>F42</xm:sqref>
            </x14:sparkline>
            <x14:sparkline>
              <xm:f>'Balance Sheet - COL'!B43:E43</xm:f>
              <xm:sqref>F43</xm:sqref>
            </x14:sparkline>
            <x14:sparkline>
              <xm:f>'Balance Sheet - COL'!B44:E44</xm:f>
              <xm:sqref>F44</xm:sqref>
            </x14:sparkline>
            <x14:sparkline>
              <xm:f>'Balance Sheet - COL'!B45:E45</xm:f>
              <xm:sqref>F45</xm:sqref>
            </x14:sparkline>
            <x14:sparkline>
              <xm:f>'Balance Sheet - COL'!B46:E46</xm:f>
              <xm:sqref>F46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2472-6036-4A18-B5A8-F190D625154D}">
  <dimension ref="A1:M4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4" x14ac:dyDescent="0.3"/>
  <cols>
    <col min="1" max="1" width="22.21875" customWidth="1"/>
    <col min="2" max="2" width="18.21875" customWidth="1"/>
    <col min="3" max="5" width="17.44140625" bestFit="1" customWidth="1"/>
    <col min="6" max="6" width="14.5546875" customWidth="1"/>
    <col min="7" max="7" width="16.33203125" style="14" bestFit="1" customWidth="1"/>
    <col min="8" max="8" width="13.109375" style="12" customWidth="1"/>
    <col min="9" max="9" width="16.33203125" style="14" bestFit="1" customWidth="1"/>
    <col min="10" max="10" width="12.88671875" style="12" customWidth="1"/>
    <col min="11" max="12" width="12.88671875" style="5" customWidth="1"/>
    <col min="13" max="13" width="12.88671875" customWidth="1"/>
  </cols>
  <sheetData>
    <row r="1" spans="1:13" x14ac:dyDescent="0.3">
      <c r="A1" s="49" t="s">
        <v>3</v>
      </c>
      <c r="B1" s="49"/>
      <c r="C1" s="49"/>
      <c r="D1" s="49"/>
      <c r="E1" s="49"/>
      <c r="F1" s="6" t="s">
        <v>42</v>
      </c>
      <c r="G1" s="50" t="s">
        <v>27</v>
      </c>
      <c r="H1" s="50"/>
      <c r="I1" s="50"/>
      <c r="J1" s="50"/>
      <c r="K1" s="51" t="s">
        <v>29</v>
      </c>
      <c r="L1" s="51"/>
    </row>
    <row r="2" spans="1:13" x14ac:dyDescent="0.3">
      <c r="A2" s="49" t="s">
        <v>130</v>
      </c>
      <c r="B2" s="49"/>
      <c r="C2" s="49"/>
      <c r="D2" s="49"/>
      <c r="E2" s="49"/>
      <c r="F2" s="6"/>
      <c r="G2" s="23"/>
      <c r="H2" s="11"/>
      <c r="I2" s="23"/>
    </row>
    <row r="3" spans="1:13" x14ac:dyDescent="0.3">
      <c r="B3" s="1">
        <v>2021</v>
      </c>
      <c r="C3" s="1">
        <v>2022</v>
      </c>
      <c r="D3" s="1">
        <v>2023</v>
      </c>
      <c r="E3" s="1">
        <v>2024</v>
      </c>
      <c r="F3" s="28" t="s">
        <v>92</v>
      </c>
      <c r="G3" s="24" t="s">
        <v>96</v>
      </c>
      <c r="H3" s="13" t="s">
        <v>97</v>
      </c>
      <c r="I3" s="24" t="s">
        <v>98</v>
      </c>
      <c r="J3" s="13" t="s">
        <v>99</v>
      </c>
      <c r="K3" s="16">
        <v>2023</v>
      </c>
      <c r="L3" s="16">
        <v>2024</v>
      </c>
      <c r="M3" s="1"/>
    </row>
    <row r="5" spans="1:13" x14ac:dyDescent="0.3">
      <c r="A5" s="2" t="s">
        <v>0</v>
      </c>
    </row>
    <row r="6" spans="1:13" x14ac:dyDescent="0.3">
      <c r="A6" t="s">
        <v>123</v>
      </c>
      <c r="B6" s="29">
        <v>1009000000</v>
      </c>
      <c r="C6" s="29">
        <v>1032000000</v>
      </c>
      <c r="D6" s="29">
        <v>1135000000</v>
      </c>
      <c r="E6" s="29">
        <v>1298000000</v>
      </c>
      <c r="F6" s="8"/>
      <c r="G6" s="14">
        <f>D6-C6</f>
        <v>103000000</v>
      </c>
      <c r="H6" s="21">
        <f>(D6-C6)/C6</f>
        <v>9.9806201550387594E-2</v>
      </c>
      <c r="I6" s="14">
        <f>E6-D6</f>
        <v>163000000</v>
      </c>
      <c r="J6" s="21">
        <f>(E6-D6)/D6</f>
        <v>0.14361233480176211</v>
      </c>
      <c r="K6" s="22">
        <f t="shared" ref="K6:K13" si="0">D6/($D$13+$D$23)</f>
        <v>3.3731573941987635E-2</v>
      </c>
      <c r="L6" s="22">
        <f t="shared" ref="L6:L13" si="1">E6/($E$13+$E$23)</f>
        <v>3.8248467703913248E-2</v>
      </c>
      <c r="M6" s="10"/>
    </row>
    <row r="7" spans="1:13" x14ac:dyDescent="0.3">
      <c r="A7" t="s">
        <v>124</v>
      </c>
      <c r="B7" s="29">
        <v>480000000</v>
      </c>
      <c r="C7" s="29">
        <v>856000000</v>
      </c>
      <c r="D7" s="29">
        <v>1016000000</v>
      </c>
      <c r="E7" s="29">
        <v>1106000000</v>
      </c>
      <c r="F7" s="8"/>
      <c r="G7" s="14">
        <f t="shared" ref="G7:G49" si="2">D7-C7</f>
        <v>160000000</v>
      </c>
      <c r="H7" s="21">
        <f t="shared" ref="H7:H49" si="3">(D7-C7)/C7</f>
        <v>0.18691588785046728</v>
      </c>
      <c r="I7" s="14">
        <f t="shared" ref="I7:I49" si="4">E7-D7</f>
        <v>90000000</v>
      </c>
      <c r="J7" s="21">
        <f t="shared" ref="J7:J49" si="5">(E7-D7)/D7</f>
        <v>8.8582677165354326E-2</v>
      </c>
      <c r="K7" s="22">
        <f t="shared" si="0"/>
        <v>3.0194959581550166E-2</v>
      </c>
      <c r="L7" s="22">
        <f t="shared" si="1"/>
        <v>3.259075907590759E-2</v>
      </c>
      <c r="M7" s="10"/>
    </row>
    <row r="8" spans="1:13" x14ac:dyDescent="0.3">
      <c r="A8" t="s">
        <v>93</v>
      </c>
      <c r="B8" s="29">
        <v>169000000</v>
      </c>
      <c r="C8" s="29">
        <v>188000000</v>
      </c>
      <c r="D8" s="29">
        <v>0</v>
      </c>
      <c r="E8" s="29">
        <v>156000000</v>
      </c>
      <c r="F8" s="8"/>
      <c r="G8" s="14">
        <f t="shared" si="2"/>
        <v>-188000000</v>
      </c>
      <c r="H8" s="21">
        <f t="shared" si="3"/>
        <v>-1</v>
      </c>
      <c r="I8" s="14">
        <f t="shared" si="4"/>
        <v>156000000</v>
      </c>
      <c r="J8" s="21">
        <v>0</v>
      </c>
      <c r="K8" s="22">
        <f t="shared" si="0"/>
        <v>0</v>
      </c>
      <c r="L8" s="22">
        <f t="shared" si="1"/>
        <v>4.5968882602545969E-3</v>
      </c>
      <c r="M8" s="10"/>
    </row>
    <row r="9" spans="1:13" x14ac:dyDescent="0.3">
      <c r="A9" t="s">
        <v>1</v>
      </c>
      <c r="B9" s="29">
        <v>3132000000</v>
      </c>
      <c r="C9" s="29">
        <v>3593000000</v>
      </c>
      <c r="D9" s="29">
        <v>3698000000</v>
      </c>
      <c r="E9" s="29">
        <v>4187000000</v>
      </c>
      <c r="F9" s="8"/>
      <c r="G9" s="14">
        <f t="shared" si="2"/>
        <v>105000000</v>
      </c>
      <c r="H9" s="21">
        <f t="shared" si="3"/>
        <v>2.9223490119677151E-2</v>
      </c>
      <c r="I9" s="14">
        <f t="shared" si="4"/>
        <v>489000000</v>
      </c>
      <c r="J9" s="21">
        <f>(E9-D9)/D9</f>
        <v>0.13223363980530017</v>
      </c>
      <c r="K9" s="22">
        <f t="shared" si="0"/>
        <v>0.10990252020922492</v>
      </c>
      <c r="L9" s="22">
        <f t="shared" si="1"/>
        <v>0.12337930221593588</v>
      </c>
      <c r="M9" s="10"/>
    </row>
    <row r="10" spans="1:13" x14ac:dyDescent="0.3">
      <c r="A10" t="s">
        <v>94</v>
      </c>
      <c r="B10" s="29">
        <v>19000000</v>
      </c>
      <c r="C10" s="29">
        <v>106000000</v>
      </c>
      <c r="D10" s="29">
        <v>51000000</v>
      </c>
      <c r="E10" s="29">
        <v>23000000</v>
      </c>
      <c r="F10" s="8"/>
      <c r="G10" s="14">
        <f t="shared" ref="G10" si="6">D10-C10</f>
        <v>-55000000</v>
      </c>
      <c r="H10" s="21">
        <f t="shared" ref="H10" si="7">(D10-C10)/C10</f>
        <v>-0.51886792452830188</v>
      </c>
      <c r="I10" s="14">
        <f t="shared" ref="I10" si="8">E10-D10</f>
        <v>-28000000</v>
      </c>
      <c r="J10" s="21">
        <f>(E10-D10)/D10</f>
        <v>-0.5490196078431373</v>
      </c>
      <c r="K10" s="22">
        <f t="shared" si="0"/>
        <v>1.5156918687589159E-3</v>
      </c>
      <c r="L10" s="22">
        <f t="shared" si="1"/>
        <v>6.7774634606317769E-4</v>
      </c>
      <c r="M10" s="10"/>
    </row>
    <row r="11" spans="1:13" x14ac:dyDescent="0.3">
      <c r="A11" t="s">
        <v>125</v>
      </c>
      <c r="B11" s="29">
        <v>10959000000</v>
      </c>
      <c r="C11" s="29">
        <v>287000000</v>
      </c>
      <c r="D11" s="29">
        <v>225000000</v>
      </c>
      <c r="E11" s="29">
        <v>200000000</v>
      </c>
      <c r="F11" s="8"/>
      <c r="G11" s="14">
        <f t="shared" si="2"/>
        <v>-62000000</v>
      </c>
      <c r="H11" s="21">
        <f t="shared" si="3"/>
        <v>-0.21602787456445993</v>
      </c>
      <c r="I11" s="14">
        <f t="shared" si="4"/>
        <v>-25000000</v>
      </c>
      <c r="J11" s="21">
        <f t="shared" si="5"/>
        <v>-0.1111111111111111</v>
      </c>
      <c r="K11" s="22">
        <f t="shared" si="0"/>
        <v>6.6868758915834521E-3</v>
      </c>
      <c r="L11" s="22">
        <f t="shared" si="1"/>
        <v>5.8934464875058934E-3</v>
      </c>
      <c r="M11" s="10"/>
    </row>
    <row r="12" spans="1:13" x14ac:dyDescent="0.3">
      <c r="A12" t="s">
        <v>126</v>
      </c>
      <c r="B12" s="29">
        <v>18000000</v>
      </c>
      <c r="C12" s="29">
        <v>48000000</v>
      </c>
      <c r="D12" s="29">
        <v>250000000</v>
      </c>
      <c r="E12" s="29">
        <v>21000000</v>
      </c>
      <c r="F12" s="8"/>
      <c r="G12" s="14">
        <f t="shared" si="2"/>
        <v>202000000</v>
      </c>
      <c r="H12" s="21">
        <f t="shared" si="3"/>
        <v>4.208333333333333</v>
      </c>
      <c r="I12" s="14">
        <f t="shared" si="4"/>
        <v>-229000000</v>
      </c>
      <c r="J12" s="21">
        <f t="shared" si="5"/>
        <v>-0.91600000000000004</v>
      </c>
      <c r="K12" s="22">
        <f t="shared" si="0"/>
        <v>7.4298621017593915E-3</v>
      </c>
      <c r="L12" s="22">
        <f t="shared" si="1"/>
        <v>6.1881188118811882E-4</v>
      </c>
      <c r="M12" s="10"/>
    </row>
    <row r="13" spans="1:13" x14ac:dyDescent="0.3">
      <c r="A13" s="3" t="s">
        <v>2</v>
      </c>
      <c r="B13" s="9">
        <f>SUM(B6:B12)</f>
        <v>15786000000</v>
      </c>
      <c r="C13" s="9">
        <f>SUM(C6:C12)</f>
        <v>6110000000</v>
      </c>
      <c r="D13" s="9">
        <f>SUM(D6:D12)</f>
        <v>6375000000</v>
      </c>
      <c r="E13" s="9">
        <f>SUM(E6:E12)</f>
        <v>6991000000</v>
      </c>
      <c r="F13" s="8"/>
      <c r="G13" s="14">
        <f t="shared" si="2"/>
        <v>265000000</v>
      </c>
      <c r="H13" s="21">
        <f t="shared" si="3"/>
        <v>4.3371522094926347E-2</v>
      </c>
      <c r="I13" s="14">
        <f t="shared" si="4"/>
        <v>616000000</v>
      </c>
      <c r="J13" s="21">
        <f t="shared" si="5"/>
        <v>9.662745098039216E-2</v>
      </c>
      <c r="K13" s="22">
        <f t="shared" si="0"/>
        <v>0.18946148359486448</v>
      </c>
      <c r="L13" s="22">
        <f t="shared" si="1"/>
        <v>0.20600542197076852</v>
      </c>
      <c r="M13" s="10"/>
    </row>
    <row r="14" spans="1:13" x14ac:dyDescent="0.3">
      <c r="B14" s="8"/>
      <c r="C14" s="8"/>
      <c r="D14" s="8"/>
      <c r="E14" s="8"/>
      <c r="F14" s="8"/>
      <c r="H14" s="21"/>
      <c r="J14" s="21"/>
      <c r="K14" s="22"/>
      <c r="L14" s="22"/>
      <c r="M14" s="10"/>
    </row>
    <row r="15" spans="1:13" x14ac:dyDescent="0.3">
      <c r="A15" s="2" t="s">
        <v>4</v>
      </c>
      <c r="B15" s="8"/>
      <c r="C15" s="8"/>
      <c r="D15" s="8"/>
      <c r="E15" s="8"/>
      <c r="F15" s="8"/>
      <c r="H15" s="21"/>
      <c r="J15" s="21"/>
      <c r="K15" s="22"/>
      <c r="L15" s="22"/>
      <c r="M15" s="10"/>
    </row>
    <row r="16" spans="1:13" x14ac:dyDescent="0.3">
      <c r="A16" t="s">
        <v>131</v>
      </c>
      <c r="B16" s="29">
        <v>136000000</v>
      </c>
      <c r="C16" s="29">
        <v>159000000</v>
      </c>
      <c r="D16" s="29">
        <v>142000000</v>
      </c>
      <c r="E16" s="29">
        <v>454000000</v>
      </c>
      <c r="F16" s="8"/>
      <c r="G16" s="14">
        <f t="shared" si="2"/>
        <v>-17000000</v>
      </c>
      <c r="H16" s="21">
        <f t="shared" ref="H16" si="9">(D16-C16)/C16</f>
        <v>-0.1069182389937107</v>
      </c>
      <c r="I16" s="14">
        <f t="shared" ref="I16" si="10">E16-D16</f>
        <v>312000000</v>
      </c>
      <c r="J16" s="21">
        <f t="shared" ref="J16" si="11">(E16-D16)/D16</f>
        <v>2.1971830985915495</v>
      </c>
      <c r="K16" s="22">
        <f t="shared" ref="K16" si="12">D16/($D$13+$D$23)</f>
        <v>4.2201616737993341E-3</v>
      </c>
      <c r="L16" s="22">
        <f t="shared" ref="L16" si="13">E16/($E$13+$E$23)</f>
        <v>1.3378123526638377E-2</v>
      </c>
      <c r="M16" s="10"/>
    </row>
    <row r="17" spans="1:13" x14ac:dyDescent="0.3">
      <c r="A17" t="s">
        <v>94</v>
      </c>
      <c r="B17" s="29">
        <v>132000000</v>
      </c>
      <c r="C17" s="29">
        <v>1786000000</v>
      </c>
      <c r="D17" s="29">
        <v>1263000000</v>
      </c>
      <c r="E17" s="29">
        <v>678000000</v>
      </c>
      <c r="F17" s="8"/>
      <c r="G17" s="14">
        <f t="shared" si="2"/>
        <v>-523000000</v>
      </c>
      <c r="H17" s="21">
        <f t="shared" si="3"/>
        <v>-0.29283314669652855</v>
      </c>
      <c r="I17" s="14">
        <f t="shared" si="4"/>
        <v>-585000000</v>
      </c>
      <c r="J17" s="21">
        <f t="shared" si="5"/>
        <v>-0.46318289786223277</v>
      </c>
      <c r="K17" s="22">
        <f t="shared" ref="K17:K25" si="14">D17/($D$13+$D$23)</f>
        <v>3.7535663338088443E-2</v>
      </c>
      <c r="L17" s="22">
        <f t="shared" ref="L17:L25" si="15">E17/($E$13+$E$23)</f>
        <v>1.9978783592644978E-2</v>
      </c>
      <c r="M17" s="10"/>
    </row>
    <row r="18" spans="1:13" x14ac:dyDescent="0.3">
      <c r="A18" t="s">
        <v>127</v>
      </c>
      <c r="B18" s="29">
        <v>17030000000</v>
      </c>
      <c r="C18" s="29">
        <v>18226000000</v>
      </c>
      <c r="D18" s="29">
        <v>18348000000</v>
      </c>
      <c r="E18" s="29">
        <v>19282000000</v>
      </c>
      <c r="F18" s="8"/>
      <c r="G18" s="14">
        <f t="shared" si="2"/>
        <v>122000000</v>
      </c>
      <c r="H18" s="21">
        <f t="shared" si="3"/>
        <v>6.6937342258312302E-3</v>
      </c>
      <c r="I18" s="14">
        <f t="shared" si="4"/>
        <v>934000000</v>
      </c>
      <c r="J18" s="21">
        <f t="shared" si="5"/>
        <v>5.0904730760845868E-2</v>
      </c>
      <c r="K18" s="22">
        <f t="shared" si="14"/>
        <v>0.5452924393723253</v>
      </c>
      <c r="L18" s="22">
        <f t="shared" si="15"/>
        <v>0.56818717586044321</v>
      </c>
      <c r="M18" s="10"/>
    </row>
    <row r="19" spans="1:13" x14ac:dyDescent="0.3">
      <c r="A19" t="s">
        <v>128</v>
      </c>
      <c r="B19" s="29">
        <v>1790000000</v>
      </c>
      <c r="C19" s="29">
        <v>2080000000</v>
      </c>
      <c r="D19" s="29">
        <v>2189000000</v>
      </c>
      <c r="E19" s="29">
        <v>2407000000</v>
      </c>
      <c r="F19" s="8"/>
      <c r="G19" s="14">
        <f t="shared" si="2"/>
        <v>109000000</v>
      </c>
      <c r="H19" s="21">
        <f t="shared" si="3"/>
        <v>5.2403846153846155E-2</v>
      </c>
      <c r="I19" s="14">
        <f t="shared" si="4"/>
        <v>218000000</v>
      </c>
      <c r="J19" s="21">
        <f t="shared" si="5"/>
        <v>9.9588853357697585E-2</v>
      </c>
      <c r="K19" s="22">
        <f t="shared" si="14"/>
        <v>6.5055872563005226E-2</v>
      </c>
      <c r="L19" s="22">
        <f t="shared" si="15"/>
        <v>7.0927628477133423E-2</v>
      </c>
      <c r="M19" s="10"/>
    </row>
    <row r="20" spans="1:13" x14ac:dyDescent="0.3">
      <c r="A20" t="s">
        <v>100</v>
      </c>
      <c r="B20" s="29">
        <v>2881000000</v>
      </c>
      <c r="C20" s="29">
        <v>3198000000</v>
      </c>
      <c r="D20" s="29">
        <v>3504000000</v>
      </c>
      <c r="E20" s="29">
        <v>2466000000</v>
      </c>
      <c r="F20" s="8"/>
      <c r="G20" s="14">
        <f t="shared" si="2"/>
        <v>306000000</v>
      </c>
      <c r="H20" s="21">
        <f t="shared" si="3"/>
        <v>9.5684803001876179E-2</v>
      </c>
      <c r="I20" s="14">
        <f t="shared" si="4"/>
        <v>-1038000000</v>
      </c>
      <c r="J20" s="21">
        <f t="shared" si="5"/>
        <v>-0.29623287671232879</v>
      </c>
      <c r="K20" s="22">
        <f t="shared" si="14"/>
        <v>0.10413694721825963</v>
      </c>
      <c r="L20" s="22">
        <f t="shared" si="15"/>
        <v>7.2666195190947663E-2</v>
      </c>
      <c r="M20" s="10"/>
    </row>
    <row r="21" spans="1:13" x14ac:dyDescent="0.3">
      <c r="A21" t="s">
        <v>101</v>
      </c>
      <c r="B21" s="29">
        <v>1371000000</v>
      </c>
      <c r="C21" s="29">
        <v>1337000000</v>
      </c>
      <c r="D21" s="29">
        <v>1478000000</v>
      </c>
      <c r="E21" s="29">
        <v>1647000000</v>
      </c>
      <c r="F21" s="8"/>
      <c r="G21" s="14">
        <f t="shared" si="2"/>
        <v>141000000</v>
      </c>
      <c r="H21" s="21">
        <f t="shared" si="3"/>
        <v>0.10545998504113688</v>
      </c>
      <c r="I21" s="14">
        <f t="shared" si="4"/>
        <v>169000000</v>
      </c>
      <c r="J21" s="21">
        <f t="shared" si="5"/>
        <v>0.11434370771312584</v>
      </c>
      <c r="K21" s="22">
        <f t="shared" si="14"/>
        <v>4.3925344745601523E-2</v>
      </c>
      <c r="L21" s="22">
        <f t="shared" si="15"/>
        <v>4.8532531824611036E-2</v>
      </c>
      <c r="M21" s="10"/>
    </row>
    <row r="22" spans="1:13" x14ac:dyDescent="0.3">
      <c r="A22" t="s">
        <v>95</v>
      </c>
      <c r="B22" s="29">
        <v>110000000</v>
      </c>
      <c r="C22" s="29">
        <v>377000000</v>
      </c>
      <c r="D22" s="29">
        <v>349000000</v>
      </c>
      <c r="E22" s="29">
        <v>11000000</v>
      </c>
      <c r="F22" s="8"/>
      <c r="G22" s="14">
        <f t="shared" si="2"/>
        <v>-28000000</v>
      </c>
      <c r="H22" s="21">
        <f t="shared" si="3"/>
        <v>-7.4270557029177717E-2</v>
      </c>
      <c r="I22" s="14">
        <f t="shared" si="4"/>
        <v>-338000000</v>
      </c>
      <c r="J22" s="21">
        <f t="shared" si="5"/>
        <v>-0.96848137535816614</v>
      </c>
      <c r="K22" s="22">
        <f t="shared" si="14"/>
        <v>1.0372087494056111E-2</v>
      </c>
      <c r="L22" s="22">
        <f t="shared" si="15"/>
        <v>3.2413955681282413E-4</v>
      </c>
      <c r="M22" s="10"/>
    </row>
    <row r="23" spans="1:13" x14ac:dyDescent="0.3">
      <c r="A23" s="3" t="s">
        <v>5</v>
      </c>
      <c r="B23" s="9">
        <f>SUM(B16:B22)</f>
        <v>23450000000</v>
      </c>
      <c r="C23" s="9">
        <f t="shared" ref="C23:E23" si="16">SUM(C16:C22)</f>
        <v>27163000000</v>
      </c>
      <c r="D23" s="9">
        <f t="shared" si="16"/>
        <v>27273000000</v>
      </c>
      <c r="E23" s="9">
        <f t="shared" si="16"/>
        <v>26945000000</v>
      </c>
      <c r="F23" s="8"/>
      <c r="G23" s="14">
        <f t="shared" si="2"/>
        <v>110000000</v>
      </c>
      <c r="H23" s="21">
        <f t="shared" si="3"/>
        <v>4.0496263299341015E-3</v>
      </c>
      <c r="I23" s="14">
        <f t="shared" si="4"/>
        <v>-328000000</v>
      </c>
      <c r="J23" s="21">
        <f t="shared" si="5"/>
        <v>-1.2026546401202655E-2</v>
      </c>
      <c r="K23" s="22">
        <f t="shared" si="14"/>
        <v>0.81053851640513552</v>
      </c>
      <c r="L23" s="22">
        <f t="shared" si="15"/>
        <v>0.79399457802923146</v>
      </c>
      <c r="M23" s="10"/>
    </row>
    <row r="24" spans="1:13" x14ac:dyDescent="0.3">
      <c r="B24" s="8"/>
      <c r="C24" s="8"/>
      <c r="D24" s="8"/>
      <c r="E24" s="8"/>
      <c r="F24" s="8"/>
      <c r="H24" s="21"/>
      <c r="J24" s="21"/>
      <c r="K24" s="22">
        <f t="shared" si="14"/>
        <v>0</v>
      </c>
      <c r="L24" s="22">
        <f t="shared" si="15"/>
        <v>0</v>
      </c>
      <c r="M24" s="10"/>
    </row>
    <row r="25" spans="1:13" x14ac:dyDescent="0.3">
      <c r="A25" s="3" t="s">
        <v>40</v>
      </c>
      <c r="B25" s="8">
        <f>B23+B13</f>
        <v>39236000000</v>
      </c>
      <c r="C25" s="8">
        <f>C23+C13</f>
        <v>33273000000</v>
      </c>
      <c r="D25" s="8">
        <f>D23+D13</f>
        <v>33648000000</v>
      </c>
      <c r="E25" s="8">
        <f>E23+E13</f>
        <v>33936000000</v>
      </c>
      <c r="F25" s="8"/>
      <c r="G25" s="14">
        <f t="shared" si="2"/>
        <v>375000000</v>
      </c>
      <c r="H25" s="21">
        <f t="shared" si="3"/>
        <v>1.1270399422955549E-2</v>
      </c>
      <c r="I25" s="14">
        <f t="shared" si="4"/>
        <v>288000000</v>
      </c>
      <c r="J25" s="21">
        <f t="shared" si="5"/>
        <v>8.5592011412268191E-3</v>
      </c>
      <c r="K25" s="22">
        <f t="shared" si="14"/>
        <v>1</v>
      </c>
      <c r="L25" s="22">
        <f t="shared" si="15"/>
        <v>1</v>
      </c>
      <c r="M25" s="10"/>
    </row>
    <row r="26" spans="1:13" x14ac:dyDescent="0.3">
      <c r="A26" s="3"/>
      <c r="B26" s="8"/>
      <c r="C26" s="8"/>
      <c r="D26" s="8"/>
      <c r="E26" s="8"/>
      <c r="F26" s="8"/>
      <c r="H26" s="21"/>
      <c r="J26" s="21"/>
      <c r="K26" s="22"/>
      <c r="L26" s="22"/>
      <c r="M26" s="10"/>
    </row>
    <row r="27" spans="1:13" x14ac:dyDescent="0.3">
      <c r="A27" s="2" t="s">
        <v>6</v>
      </c>
      <c r="B27" s="8"/>
      <c r="C27" s="8"/>
      <c r="D27" s="8"/>
      <c r="E27" s="8"/>
      <c r="F27" s="8"/>
      <c r="H27" s="21"/>
      <c r="J27" s="21"/>
      <c r="K27" s="22"/>
      <c r="L27" s="22"/>
      <c r="M27" s="10"/>
    </row>
    <row r="28" spans="1:13" x14ac:dyDescent="0.3">
      <c r="A28" t="s">
        <v>102</v>
      </c>
      <c r="B28" s="29">
        <v>6467000000</v>
      </c>
      <c r="C28" s="29">
        <v>7002000000</v>
      </c>
      <c r="D28" s="29">
        <v>7623000000</v>
      </c>
      <c r="E28" s="29">
        <v>7762000000</v>
      </c>
      <c r="F28" s="8"/>
      <c r="G28" s="14">
        <f t="shared" si="2"/>
        <v>621000000</v>
      </c>
      <c r="H28" s="21">
        <f t="shared" si="3"/>
        <v>8.8688946015424167E-2</v>
      </c>
      <c r="I28" s="14">
        <f t="shared" si="4"/>
        <v>139000000</v>
      </c>
      <c r="J28" s="21">
        <f t="shared" si="5"/>
        <v>1.823429096156369E-2</v>
      </c>
      <c r="K28" s="22">
        <f t="shared" ref="K28:K34" si="17">D28/($D$32+$D$40)</f>
        <v>0.19561702892042393</v>
      </c>
      <c r="L28" s="22">
        <f t="shared" ref="L28:L40" si="18">E28/($E$32+$E$38)</f>
        <v>0.27363745328914896</v>
      </c>
      <c r="M28" s="10"/>
    </row>
    <row r="29" spans="1:13" x14ac:dyDescent="0.3">
      <c r="A29" t="s">
        <v>103</v>
      </c>
      <c r="B29" s="29">
        <v>1614000000</v>
      </c>
      <c r="C29" s="29">
        <v>1926000000</v>
      </c>
      <c r="D29" s="29">
        <v>2103000000</v>
      </c>
      <c r="E29" s="29">
        <v>2311000000</v>
      </c>
      <c r="F29" s="8"/>
      <c r="G29" s="14">
        <f t="shared" si="2"/>
        <v>177000000</v>
      </c>
      <c r="H29" s="21">
        <f t="shared" si="3"/>
        <v>9.1900311526479747E-2</v>
      </c>
      <c r="I29" s="14">
        <f t="shared" si="4"/>
        <v>208000000</v>
      </c>
      <c r="J29" s="21">
        <f t="shared" si="5"/>
        <v>9.8906324298621021E-2</v>
      </c>
      <c r="K29" s="22">
        <f t="shared" si="17"/>
        <v>5.3965972952859965E-2</v>
      </c>
      <c r="L29" s="22">
        <f t="shared" si="18"/>
        <v>8.1470774871324828E-2</v>
      </c>
      <c r="M29" s="10"/>
    </row>
    <row r="30" spans="1:13" x14ac:dyDescent="0.3">
      <c r="A30" t="s">
        <v>7</v>
      </c>
      <c r="B30" s="29">
        <v>1935000000</v>
      </c>
      <c r="C30" s="29">
        <v>1801000000</v>
      </c>
      <c r="D30" s="29">
        <v>2139000000</v>
      </c>
      <c r="E30" s="29">
        <v>2698000000</v>
      </c>
      <c r="F30" s="8"/>
      <c r="G30" s="14">
        <f t="shared" si="2"/>
        <v>338000000</v>
      </c>
      <c r="H30" s="21">
        <f t="shared" si="3"/>
        <v>0.18767351471404775</v>
      </c>
      <c r="I30" s="14">
        <f t="shared" si="4"/>
        <v>559000000</v>
      </c>
      <c r="J30" s="21">
        <f t="shared" si="5"/>
        <v>0.26133707339878448</v>
      </c>
      <c r="K30" s="22">
        <f t="shared" si="17"/>
        <v>5.4889784187431033E-2</v>
      </c>
      <c r="L30" s="22">
        <f t="shared" si="18"/>
        <v>9.5113868716068528E-2</v>
      </c>
      <c r="M30" s="10"/>
    </row>
    <row r="31" spans="1:13" x14ac:dyDescent="0.3">
      <c r="A31" t="s">
        <v>95</v>
      </c>
      <c r="B31" s="29">
        <v>13101000000</v>
      </c>
      <c r="C31" s="29">
        <v>21000000</v>
      </c>
      <c r="D31" s="29">
        <v>21000000</v>
      </c>
      <c r="E31" s="29">
        <v>48000000</v>
      </c>
      <c r="F31" s="8"/>
      <c r="G31" s="14">
        <f>D31-C31</f>
        <v>0</v>
      </c>
      <c r="H31" s="21">
        <f t="shared" si="3"/>
        <v>0</v>
      </c>
      <c r="I31" s="14">
        <f t="shared" si="4"/>
        <v>27000000</v>
      </c>
      <c r="J31" s="21">
        <f t="shared" si="5"/>
        <v>1.2857142857142858</v>
      </c>
      <c r="K31" s="22">
        <f t="shared" si="17"/>
        <v>5.3888988683312372E-4</v>
      </c>
      <c r="L31" s="22">
        <f t="shared" si="18"/>
        <v>1.6921666784178242E-3</v>
      </c>
      <c r="M31" s="10"/>
    </row>
    <row r="32" spans="1:13" x14ac:dyDescent="0.3">
      <c r="A32" s="3" t="s">
        <v>8</v>
      </c>
      <c r="B32" s="9">
        <f>SUM(B28:B31)</f>
        <v>23117000000</v>
      </c>
      <c r="C32" s="9">
        <f>SUM(C28:C31)</f>
        <v>10750000000</v>
      </c>
      <c r="D32" s="9">
        <f>SUM(D28:D31)</f>
        <v>11886000000</v>
      </c>
      <c r="E32" s="9">
        <f>SUM(E28:E31)</f>
        <v>12819000000</v>
      </c>
      <c r="F32" s="8"/>
      <c r="G32" s="14">
        <f t="shared" si="2"/>
        <v>1136000000</v>
      </c>
      <c r="H32" s="21">
        <f t="shared" si="3"/>
        <v>0.10567441860465117</v>
      </c>
      <c r="I32" s="14">
        <f t="shared" si="4"/>
        <v>933000000</v>
      </c>
      <c r="J32" s="21">
        <f t="shared" si="5"/>
        <v>7.8495709237758712E-2</v>
      </c>
      <c r="K32" s="22">
        <f t="shared" si="17"/>
        <v>0.30501167594754808</v>
      </c>
      <c r="L32" s="22">
        <f t="shared" si="18"/>
        <v>0.45191426355496017</v>
      </c>
      <c r="M32" s="10"/>
    </row>
    <row r="33" spans="1:13" x14ac:dyDescent="0.3">
      <c r="B33" s="8"/>
      <c r="C33" s="8"/>
      <c r="D33" s="8"/>
      <c r="E33" s="8"/>
      <c r="F33" s="8"/>
      <c r="H33" s="21"/>
      <c r="J33" s="21"/>
      <c r="K33" s="22">
        <f t="shared" si="17"/>
        <v>0</v>
      </c>
      <c r="L33" s="22">
        <f t="shared" si="18"/>
        <v>0</v>
      </c>
      <c r="M33" s="10"/>
    </row>
    <row r="34" spans="1:13" x14ac:dyDescent="0.3">
      <c r="A34" s="2" t="s">
        <v>9</v>
      </c>
      <c r="B34" s="8"/>
      <c r="C34" s="8"/>
      <c r="D34" s="8"/>
      <c r="E34" s="8"/>
      <c r="F34" s="8"/>
      <c r="H34" s="21"/>
      <c r="J34" s="21"/>
      <c r="K34" s="22">
        <f t="shared" si="17"/>
        <v>0</v>
      </c>
      <c r="L34" s="22">
        <f t="shared" si="18"/>
        <v>0</v>
      </c>
      <c r="M34" s="10"/>
    </row>
    <row r="35" spans="1:13" x14ac:dyDescent="0.3">
      <c r="A35" t="s">
        <v>104</v>
      </c>
      <c r="B35" s="29">
        <v>13274000000</v>
      </c>
      <c r="C35" s="29">
        <v>14837000000</v>
      </c>
      <c r="D35" s="29">
        <v>13632000000</v>
      </c>
      <c r="E35" s="29">
        <v>14411000000</v>
      </c>
      <c r="F35" s="8"/>
      <c r="G35" s="14">
        <f t="shared" si="2"/>
        <v>-1205000000</v>
      </c>
      <c r="H35" s="21">
        <f t="shared" si="3"/>
        <v>-8.1215879220866746E-2</v>
      </c>
      <c r="I35" s="14">
        <f t="shared" si="4"/>
        <v>779000000</v>
      </c>
      <c r="J35" s="21">
        <f t="shared" si="5"/>
        <v>5.7144953051643195E-2</v>
      </c>
      <c r="K35" s="22">
        <f t="shared" ref="K35:K40" si="19">D35/($D$32+$D$38)</f>
        <v>0.50334157958867187</v>
      </c>
      <c r="L35" s="22">
        <f t="shared" si="18"/>
        <v>0.50803779172248464</v>
      </c>
      <c r="M35" s="10"/>
    </row>
    <row r="36" spans="1:13" x14ac:dyDescent="0.3">
      <c r="A36" t="s">
        <v>7</v>
      </c>
      <c r="B36" s="29">
        <v>1055000000</v>
      </c>
      <c r="C36" s="29">
        <v>1536000000</v>
      </c>
      <c r="D36" s="29">
        <v>1526000000</v>
      </c>
      <c r="E36" s="29">
        <v>1103000000</v>
      </c>
      <c r="F36" s="8"/>
      <c r="G36" s="14">
        <f t="shared" si="2"/>
        <v>-10000000</v>
      </c>
      <c r="H36" s="21">
        <f t="shared" si="3"/>
        <v>-6.510416666666667E-3</v>
      </c>
      <c r="I36" s="14">
        <f t="shared" si="4"/>
        <v>-423000000</v>
      </c>
      <c r="J36" s="21">
        <f t="shared" si="5"/>
        <v>-0.27719528178243774</v>
      </c>
      <c r="K36" s="22">
        <f t="shared" si="19"/>
        <v>5.634530886533988E-2</v>
      </c>
      <c r="L36" s="22">
        <f t="shared" si="18"/>
        <v>3.8884580131142918E-2</v>
      </c>
      <c r="M36" s="10"/>
    </row>
    <row r="37" spans="1:13" x14ac:dyDescent="0.3">
      <c r="A37" t="s">
        <v>95</v>
      </c>
      <c r="B37" s="29">
        <v>51000000</v>
      </c>
      <c r="C37" s="29">
        <v>46000000</v>
      </c>
      <c r="D37" s="29">
        <v>39000000</v>
      </c>
      <c r="E37" s="29">
        <v>33000000</v>
      </c>
      <c r="F37" s="8"/>
      <c r="G37" s="14">
        <f t="shared" si="2"/>
        <v>-7000000</v>
      </c>
      <c r="H37" s="21">
        <f t="shared" si="3"/>
        <v>-0.15217391304347827</v>
      </c>
      <c r="I37" s="14">
        <f t="shared" si="4"/>
        <v>-6000000</v>
      </c>
      <c r="J37" s="21">
        <f t="shared" si="5"/>
        <v>-0.15384615384615385</v>
      </c>
      <c r="K37" s="22">
        <f t="shared" si="19"/>
        <v>1.440017723295056E-3</v>
      </c>
      <c r="L37" s="22">
        <f t="shared" si="18"/>
        <v>1.1633645914122541E-3</v>
      </c>
      <c r="M37" s="10"/>
    </row>
    <row r="38" spans="1:13" x14ac:dyDescent="0.3">
      <c r="A38" s="3" t="s">
        <v>10</v>
      </c>
      <c r="B38" s="9">
        <f>SUM(B35:B37)</f>
        <v>14380000000</v>
      </c>
      <c r="C38" s="9">
        <f>SUM(C35:C37)</f>
        <v>16419000000</v>
      </c>
      <c r="D38" s="9">
        <f>SUM(D35:D37)</f>
        <v>15197000000</v>
      </c>
      <c r="E38" s="9">
        <f>SUM(E35:E37)</f>
        <v>15547000000</v>
      </c>
      <c r="F38" s="8"/>
      <c r="G38" s="14">
        <f t="shared" si="2"/>
        <v>-1222000000</v>
      </c>
      <c r="H38" s="21">
        <f t="shared" si="3"/>
        <v>-7.4425969912905773E-2</v>
      </c>
      <c r="I38" s="14">
        <f t="shared" si="4"/>
        <v>350000000</v>
      </c>
      <c r="J38" s="21">
        <f t="shared" si="5"/>
        <v>2.3030861354214647E-2</v>
      </c>
      <c r="K38" s="22">
        <f t="shared" si="19"/>
        <v>0.56112690617730676</v>
      </c>
      <c r="L38" s="22">
        <f t="shared" si="18"/>
        <v>0.54808573644503988</v>
      </c>
      <c r="M38" s="10"/>
    </row>
    <row r="39" spans="1:13" x14ac:dyDescent="0.3">
      <c r="A39" s="3"/>
      <c r="B39" s="9"/>
      <c r="C39" s="9"/>
      <c r="D39" s="9"/>
      <c r="E39" s="9"/>
      <c r="F39" s="8"/>
      <c r="H39" s="21"/>
      <c r="J39" s="21"/>
      <c r="K39" s="22"/>
      <c r="L39" s="22"/>
      <c r="M39" s="10"/>
    </row>
    <row r="40" spans="1:13" x14ac:dyDescent="0.3">
      <c r="A40" s="3" t="s">
        <v>41</v>
      </c>
      <c r="B40" s="9">
        <f>B38+B32</f>
        <v>37497000000</v>
      </c>
      <c r="C40" s="9">
        <f>C38+C32</f>
        <v>27169000000</v>
      </c>
      <c r="D40" s="9">
        <f>D38+D32</f>
        <v>27083000000</v>
      </c>
      <c r="E40" s="9">
        <f>E38+E32</f>
        <v>28366000000</v>
      </c>
      <c r="F40" s="8"/>
      <c r="G40" s="14">
        <f t="shared" si="2"/>
        <v>-86000000</v>
      </c>
      <c r="H40" s="21">
        <f t="shared" si="3"/>
        <v>-3.1653722993117157E-3</v>
      </c>
      <c r="I40" s="14">
        <f t="shared" si="4"/>
        <v>1283000000</v>
      </c>
      <c r="J40" s="21">
        <f t="shared" si="5"/>
        <v>4.7372890743270689E-2</v>
      </c>
      <c r="K40" s="22">
        <f t="shared" si="19"/>
        <v>1</v>
      </c>
      <c r="L40" s="22">
        <f t="shared" si="18"/>
        <v>1</v>
      </c>
      <c r="M40" s="10"/>
    </row>
    <row r="41" spans="1:13" x14ac:dyDescent="0.3">
      <c r="B41" s="8"/>
      <c r="C41" s="8"/>
      <c r="D41" s="8"/>
      <c r="E41" s="8"/>
      <c r="F41" s="8"/>
      <c r="H41" s="21"/>
      <c r="J41" s="21"/>
      <c r="K41" s="22"/>
      <c r="L41" s="22"/>
      <c r="M41" s="10"/>
    </row>
    <row r="42" spans="1:13" x14ac:dyDescent="0.3">
      <c r="A42" s="2" t="s">
        <v>11</v>
      </c>
      <c r="B42" s="8"/>
      <c r="C42" s="8"/>
      <c r="D42" s="8"/>
      <c r="E42" s="8"/>
      <c r="F42" s="8"/>
      <c r="H42" s="21"/>
      <c r="J42" s="21"/>
      <c r="K42" s="22"/>
      <c r="L42" s="22"/>
      <c r="M42" s="10"/>
    </row>
    <row r="43" spans="1:13" x14ac:dyDescent="0.3">
      <c r="A43" t="s">
        <v>105</v>
      </c>
      <c r="B43" s="29">
        <v>5253000000</v>
      </c>
      <c r="C43" s="29">
        <v>5207000000</v>
      </c>
      <c r="D43" s="29">
        <v>5406000000</v>
      </c>
      <c r="E43" s="29">
        <v>5604000000</v>
      </c>
      <c r="F43" s="8"/>
      <c r="G43" s="14">
        <f t="shared" si="2"/>
        <v>199000000</v>
      </c>
      <c r="H43" s="21">
        <f t="shared" si="3"/>
        <v>3.8217783752640677E-2</v>
      </c>
      <c r="I43" s="14">
        <f t="shared" si="4"/>
        <v>198000000</v>
      </c>
      <c r="J43" s="21">
        <f t="shared" si="5"/>
        <v>3.662597114317425E-2</v>
      </c>
      <c r="K43" s="22">
        <f>D43/($D$47)</f>
        <v>0.8234577303884234</v>
      </c>
      <c r="L43" s="22">
        <f>E43/($E$47)</f>
        <v>1.0061041292639139</v>
      </c>
      <c r="M43" s="10"/>
    </row>
    <row r="44" spans="1:13" x14ac:dyDescent="0.3">
      <c r="A44" t="s">
        <v>12</v>
      </c>
      <c r="B44" s="29">
        <v>-6989000000</v>
      </c>
      <c r="C44" s="29">
        <v>-7400000000</v>
      </c>
      <c r="D44" s="29">
        <v>-7567000000</v>
      </c>
      <c r="E44" s="29">
        <v>-7609000000</v>
      </c>
      <c r="F44" s="8"/>
      <c r="G44" s="14">
        <f t="shared" si="2"/>
        <v>-167000000</v>
      </c>
      <c r="H44" s="21">
        <f t="shared" si="3"/>
        <v>2.2567567567567566E-2</v>
      </c>
      <c r="I44" s="14">
        <f t="shared" si="4"/>
        <v>-42000000</v>
      </c>
      <c r="J44" s="21">
        <f t="shared" si="5"/>
        <v>5.5504162812210914E-3</v>
      </c>
      <c r="K44" s="22">
        <f>D44/($D$47)</f>
        <v>-1.1526275704493527</v>
      </c>
      <c r="L44" s="22">
        <f>E44/($E$47)</f>
        <v>-1.3660682226211849</v>
      </c>
      <c r="M44" s="10"/>
    </row>
    <row r="45" spans="1:13" x14ac:dyDescent="0.3">
      <c r="A45" t="s">
        <v>106</v>
      </c>
      <c r="B45" s="29">
        <v>3115000000</v>
      </c>
      <c r="C45" s="29">
        <v>8173000000</v>
      </c>
      <c r="D45" s="29">
        <v>8586000000</v>
      </c>
      <c r="E45" s="29">
        <v>7413000000</v>
      </c>
      <c r="F45" s="8"/>
      <c r="G45" s="14">
        <f t="shared" si="2"/>
        <v>413000000</v>
      </c>
      <c r="H45" s="21">
        <f t="shared" si="3"/>
        <v>5.0532240303438149E-2</v>
      </c>
      <c r="I45" s="14">
        <f t="shared" si="4"/>
        <v>-1173000000</v>
      </c>
      <c r="J45" s="21">
        <f t="shared" si="5"/>
        <v>-0.13661774982529701</v>
      </c>
      <c r="K45" s="22">
        <f>D45/($D$47)</f>
        <v>1.3078446306169078</v>
      </c>
      <c r="L45" s="22">
        <f>E45/($E$47)</f>
        <v>1.3308797127468581</v>
      </c>
      <c r="M45" s="10"/>
    </row>
    <row r="46" spans="1:13" x14ac:dyDescent="0.3">
      <c r="A46" t="s">
        <v>132</v>
      </c>
      <c r="B46" s="29">
        <v>360000000</v>
      </c>
      <c r="C46" s="29">
        <v>124000000</v>
      </c>
      <c r="D46" s="29">
        <v>140000000</v>
      </c>
      <c r="E46" s="29">
        <v>162000000</v>
      </c>
      <c r="F46" s="8"/>
      <c r="G46" s="14">
        <f t="shared" si="2"/>
        <v>16000000</v>
      </c>
      <c r="H46" s="21">
        <f t="shared" si="3"/>
        <v>0.12903225806451613</v>
      </c>
      <c r="I46" s="14">
        <f t="shared" si="4"/>
        <v>22000000</v>
      </c>
      <c r="J46" s="21">
        <f t="shared" si="5"/>
        <v>0.15714285714285714</v>
      </c>
      <c r="K46" s="22">
        <f t="shared" ref="K46:K47" si="20">D46/($D$47)</f>
        <v>2.1325209444021324E-2</v>
      </c>
      <c r="L46" s="22">
        <f t="shared" ref="L46:L47" si="21">E46/($E$47)</f>
        <v>2.9084380610412925E-2</v>
      </c>
      <c r="M46" s="10"/>
    </row>
    <row r="47" spans="1:13" x14ac:dyDescent="0.3">
      <c r="A47" s="3" t="s">
        <v>13</v>
      </c>
      <c r="B47" s="9">
        <f>SUM(B43:B46)</f>
        <v>1739000000</v>
      </c>
      <c r="C47" s="9">
        <f t="shared" ref="C47:E47" si="22">SUM(C43:C46)</f>
        <v>6104000000</v>
      </c>
      <c r="D47" s="9">
        <f t="shared" si="22"/>
        <v>6565000000</v>
      </c>
      <c r="E47" s="9">
        <f t="shared" si="22"/>
        <v>5570000000</v>
      </c>
      <c r="F47" s="8"/>
      <c r="G47" s="14">
        <f t="shared" si="2"/>
        <v>461000000</v>
      </c>
      <c r="H47" s="21">
        <f t="shared" si="3"/>
        <v>7.552424639580603E-2</v>
      </c>
      <c r="I47" s="14">
        <f t="shared" si="4"/>
        <v>-995000000</v>
      </c>
      <c r="J47" s="21">
        <f t="shared" si="5"/>
        <v>-0.15156130997715156</v>
      </c>
      <c r="K47" s="22">
        <f t="shared" si="20"/>
        <v>1</v>
      </c>
      <c r="L47" s="22">
        <f t="shared" si="21"/>
        <v>1</v>
      </c>
      <c r="M47" s="10"/>
    </row>
    <row r="48" spans="1:13" x14ac:dyDescent="0.3">
      <c r="B48" s="8"/>
      <c r="C48" s="8"/>
      <c r="D48" s="8"/>
      <c r="E48" s="8"/>
      <c r="F48" s="8"/>
      <c r="H48" s="21"/>
      <c r="J48" s="21"/>
      <c r="K48" s="22"/>
      <c r="L48" s="22"/>
      <c r="M48" s="10"/>
    </row>
    <row r="49" spans="1:13" x14ac:dyDescent="0.3">
      <c r="A49" s="1" t="s">
        <v>15</v>
      </c>
      <c r="B49" s="8">
        <f>B25-B40</f>
        <v>1739000000</v>
      </c>
      <c r="C49" s="8">
        <f>C25-C40</f>
        <v>6104000000</v>
      </c>
      <c r="D49" s="8">
        <f>D25-D40</f>
        <v>6565000000</v>
      </c>
      <c r="E49" s="8">
        <f>E25-E40</f>
        <v>5570000000</v>
      </c>
      <c r="F49" s="8"/>
      <c r="G49" s="14">
        <f t="shared" si="2"/>
        <v>461000000</v>
      </c>
      <c r="H49" s="21">
        <f t="shared" si="3"/>
        <v>7.552424639580603E-2</v>
      </c>
      <c r="I49" s="14">
        <f t="shared" si="4"/>
        <v>-995000000</v>
      </c>
      <c r="J49" s="21">
        <f t="shared" si="5"/>
        <v>-0.15156130997715156</v>
      </c>
      <c r="K49" s="22">
        <f>D49/($D$13+$D$23)</f>
        <v>0.1951081787922016</v>
      </c>
      <c r="L49" s="22">
        <f>E49/($E$13+$E$23)</f>
        <v>0.16413248467703914</v>
      </c>
      <c r="M49" s="10"/>
    </row>
  </sheetData>
  <mergeCells count="4">
    <mergeCell ref="A1:E1"/>
    <mergeCell ref="G1:J1"/>
    <mergeCell ref="K1:L1"/>
    <mergeCell ref="A2:E2"/>
  </mergeCells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2307E95E-59E2-42EC-A80C-5C63823E874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 - WOW'!B6:E6</xm:f>
              <xm:sqref>F6</xm:sqref>
            </x14:sparkline>
            <x14:sparkline>
              <xm:f>'Balance Sheet - WOW'!B7:E7</xm:f>
              <xm:sqref>F7</xm:sqref>
            </x14:sparkline>
            <x14:sparkline>
              <xm:f>'Balance Sheet - WOW'!B8:E8</xm:f>
              <xm:sqref>F8</xm:sqref>
            </x14:sparkline>
            <x14:sparkline>
              <xm:f>'Balance Sheet - WOW'!B9:E9</xm:f>
              <xm:sqref>F9</xm:sqref>
            </x14:sparkline>
            <x14:sparkline>
              <xm:f>'Balance Sheet - WOW'!B10:E10</xm:f>
              <xm:sqref>F10</xm:sqref>
            </x14:sparkline>
            <x14:sparkline>
              <xm:f>'Balance Sheet - WOW'!B11:E11</xm:f>
              <xm:sqref>F11</xm:sqref>
            </x14:sparkline>
            <x14:sparkline>
              <xm:f>'Balance Sheet - WOW'!B12:E12</xm:f>
              <xm:sqref>F12</xm:sqref>
            </x14:sparkline>
            <x14:sparkline>
              <xm:f>'Balance Sheet - WOW'!B13:E13</xm:f>
              <xm:sqref>F13</xm:sqref>
            </x14:sparkline>
            <x14:sparkline>
              <xm:f>'Balance Sheet - WOW'!B14:E14</xm:f>
              <xm:sqref>F14</xm:sqref>
            </x14:sparkline>
            <x14:sparkline>
              <xm:f>'Balance Sheet - WOW'!B15:E15</xm:f>
              <xm:sqref>F15</xm:sqref>
            </x14:sparkline>
            <x14:sparkline>
              <xm:f>'Balance Sheet - WOW'!B16:E16</xm:f>
              <xm:sqref>F16</xm:sqref>
            </x14:sparkline>
            <x14:sparkline>
              <xm:f>'Balance Sheet - WOW'!B17:E17</xm:f>
              <xm:sqref>F17</xm:sqref>
            </x14:sparkline>
            <x14:sparkline>
              <xm:f>'Balance Sheet - WOW'!B18:E18</xm:f>
              <xm:sqref>F18</xm:sqref>
            </x14:sparkline>
            <x14:sparkline>
              <xm:f>'Balance Sheet - WOW'!B19:E19</xm:f>
              <xm:sqref>F19</xm:sqref>
            </x14:sparkline>
            <x14:sparkline>
              <xm:f>'Balance Sheet - WOW'!B20:E20</xm:f>
              <xm:sqref>F20</xm:sqref>
            </x14:sparkline>
            <x14:sparkline>
              <xm:f>'Balance Sheet - WOW'!B21:E21</xm:f>
              <xm:sqref>F21</xm:sqref>
            </x14:sparkline>
            <x14:sparkline>
              <xm:f>'Balance Sheet - WOW'!B22:E22</xm:f>
              <xm:sqref>F22</xm:sqref>
            </x14:sparkline>
            <x14:sparkline>
              <xm:f>'Balance Sheet - WOW'!B23:E23</xm:f>
              <xm:sqref>F23</xm:sqref>
            </x14:sparkline>
            <x14:sparkline>
              <xm:f>'Balance Sheet - WOW'!B24:E24</xm:f>
              <xm:sqref>F24</xm:sqref>
            </x14:sparkline>
            <x14:sparkline>
              <xm:f>'Balance Sheet - WOW'!B25:E25</xm:f>
              <xm:sqref>F25</xm:sqref>
            </x14:sparkline>
            <x14:sparkline>
              <xm:f>'Balance Sheet - WOW'!B26:E26</xm:f>
              <xm:sqref>F26</xm:sqref>
            </x14:sparkline>
            <x14:sparkline>
              <xm:f>'Balance Sheet - WOW'!B27:E27</xm:f>
              <xm:sqref>F27</xm:sqref>
            </x14:sparkline>
            <x14:sparkline>
              <xm:f>'Balance Sheet - WOW'!B28:E28</xm:f>
              <xm:sqref>F28</xm:sqref>
            </x14:sparkline>
            <x14:sparkline>
              <xm:f>'Balance Sheet - WOW'!B29:E29</xm:f>
              <xm:sqref>F29</xm:sqref>
            </x14:sparkline>
            <x14:sparkline>
              <xm:f>'Balance Sheet - WOW'!B30:E30</xm:f>
              <xm:sqref>F30</xm:sqref>
            </x14:sparkline>
            <x14:sparkline>
              <xm:f>'Balance Sheet - WOW'!B31:E31</xm:f>
              <xm:sqref>F31</xm:sqref>
            </x14:sparkline>
            <x14:sparkline>
              <xm:f>'Balance Sheet - WOW'!B32:E32</xm:f>
              <xm:sqref>F32</xm:sqref>
            </x14:sparkline>
            <x14:sparkline>
              <xm:f>'Balance Sheet - WOW'!B33:E33</xm:f>
              <xm:sqref>F33</xm:sqref>
            </x14:sparkline>
            <x14:sparkline>
              <xm:f>'Balance Sheet - WOW'!B34:E34</xm:f>
              <xm:sqref>F34</xm:sqref>
            </x14:sparkline>
            <x14:sparkline>
              <xm:f>'Balance Sheet - WOW'!B35:E35</xm:f>
              <xm:sqref>F35</xm:sqref>
            </x14:sparkline>
            <x14:sparkline>
              <xm:f>'Balance Sheet - WOW'!B36:E36</xm:f>
              <xm:sqref>F36</xm:sqref>
            </x14:sparkline>
            <x14:sparkline>
              <xm:f>'Balance Sheet - WOW'!B37:E37</xm:f>
              <xm:sqref>F37</xm:sqref>
            </x14:sparkline>
            <x14:sparkline>
              <xm:f>'Balance Sheet - WOW'!B38:E38</xm:f>
              <xm:sqref>F38</xm:sqref>
            </x14:sparkline>
            <x14:sparkline>
              <xm:f>'Balance Sheet - WOW'!B39:E39</xm:f>
              <xm:sqref>F39</xm:sqref>
            </x14:sparkline>
            <x14:sparkline>
              <xm:f>'Balance Sheet - WOW'!B40:E40</xm:f>
              <xm:sqref>F40</xm:sqref>
            </x14:sparkline>
            <x14:sparkline>
              <xm:f>'Balance Sheet - WOW'!B41:E41</xm:f>
              <xm:sqref>F41</xm:sqref>
            </x14:sparkline>
            <x14:sparkline>
              <xm:f>'Balance Sheet - WOW'!B42:E42</xm:f>
              <xm:sqref>F42</xm:sqref>
            </x14:sparkline>
            <x14:sparkline>
              <xm:f>'Balance Sheet - WOW'!B43:E43</xm:f>
              <xm:sqref>F43</xm:sqref>
            </x14:sparkline>
            <x14:sparkline>
              <xm:f>'Balance Sheet - WOW'!B44:E44</xm:f>
              <xm:sqref>F44</xm:sqref>
            </x14:sparkline>
            <x14:sparkline>
              <xm:f>'Balance Sheet - WOW'!B45:E45</xm:f>
              <xm:sqref>F45</xm:sqref>
            </x14:sparkline>
            <x14:sparkline>
              <xm:f>'Balance Sheet - WOW'!B46:E46</xm:f>
              <xm:sqref>F46</xm:sqref>
            </x14:sparkline>
            <x14:sparkline>
              <xm:f>'Balance Sheet - WOW'!B47:E47</xm:f>
              <xm:sqref>F47</xm:sqref>
            </x14:sparkline>
            <x14:sparkline>
              <xm:f>'Balance Sheet - WOW'!B48:E48</xm:f>
              <xm:sqref>F48</xm:sqref>
            </x14:sparkline>
            <x14:sparkline>
              <xm:f>'Balance Sheet - WOW'!B49:E49</xm:f>
              <xm:sqref>F49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C7A9F-8F42-4643-AF4D-615C3D80735E}">
  <dimension ref="A1:O29"/>
  <sheetViews>
    <sheetView zoomScale="110" zoomScaleNormal="110" workbookViewId="0">
      <pane xSplit="1" topLeftCell="B1" activePane="topRight" state="frozen"/>
      <selection pane="topRight" activeCell="C26" sqref="C26"/>
    </sheetView>
  </sheetViews>
  <sheetFormatPr defaultRowHeight="14.4" x14ac:dyDescent="0.3"/>
  <cols>
    <col min="1" max="1" width="30.5546875" customWidth="1"/>
    <col min="2" max="5" width="18.109375" bestFit="1" customWidth="1"/>
    <col min="6" max="6" width="10.88671875" hidden="1" customWidth="1"/>
    <col min="7" max="7" width="19.109375" customWidth="1"/>
    <col min="8" max="8" width="16.33203125" style="14" bestFit="1" customWidth="1"/>
    <col min="9" max="9" width="13.109375" style="12" customWidth="1"/>
    <col min="10" max="10" width="17.44140625" style="14" bestFit="1" customWidth="1"/>
    <col min="11" max="11" width="13.109375" style="12" customWidth="1"/>
    <col min="12" max="12" width="13.109375" style="5" customWidth="1"/>
    <col min="13" max="13" width="8.88671875" style="5"/>
    <col min="15" max="15" width="254.5546875" bestFit="1" customWidth="1"/>
  </cols>
  <sheetData>
    <row r="1" spans="1:15" x14ac:dyDescent="0.3">
      <c r="A1" s="49" t="s">
        <v>16</v>
      </c>
      <c r="B1" s="49"/>
      <c r="C1" s="49"/>
      <c r="D1" s="49"/>
      <c r="E1" s="49"/>
      <c r="F1" s="6"/>
      <c r="G1" s="6" t="s">
        <v>42</v>
      </c>
      <c r="H1" s="50" t="s">
        <v>27</v>
      </c>
      <c r="I1" s="50"/>
      <c r="J1" s="50"/>
      <c r="K1" s="50"/>
      <c r="L1" s="51" t="s">
        <v>29</v>
      </c>
      <c r="M1" s="51"/>
      <c r="N1" s="6"/>
    </row>
    <row r="2" spans="1:15" x14ac:dyDescent="0.3">
      <c r="A2" s="49" t="s">
        <v>91</v>
      </c>
      <c r="B2" s="49"/>
      <c r="C2" s="49"/>
      <c r="D2" s="49"/>
      <c r="E2" s="49"/>
      <c r="F2" s="6"/>
      <c r="G2" s="6"/>
      <c r="H2" s="23"/>
      <c r="I2" s="11"/>
      <c r="J2" s="23"/>
      <c r="K2" s="11"/>
      <c r="L2" s="17"/>
      <c r="M2" s="17"/>
      <c r="N2" s="6"/>
    </row>
    <row r="3" spans="1:15" x14ac:dyDescent="0.3">
      <c r="B3" s="1">
        <v>2021</v>
      </c>
      <c r="C3" s="1">
        <v>2022</v>
      </c>
      <c r="D3" s="1">
        <v>2023</v>
      </c>
      <c r="E3" s="1">
        <v>2024</v>
      </c>
      <c r="F3" s="1"/>
      <c r="G3" s="1" t="s">
        <v>92</v>
      </c>
      <c r="H3" s="24" t="s">
        <v>96</v>
      </c>
      <c r="I3" s="13" t="s">
        <v>97</v>
      </c>
      <c r="J3" s="24" t="s">
        <v>98</v>
      </c>
      <c r="K3" s="13" t="s">
        <v>99</v>
      </c>
      <c r="L3" s="16">
        <v>2023</v>
      </c>
      <c r="M3" s="16">
        <v>2024</v>
      </c>
      <c r="O3" s="1" t="s">
        <v>14</v>
      </c>
    </row>
    <row r="4" spans="1:15" x14ac:dyDescent="0.3">
      <c r="A4" s="1" t="s">
        <v>18</v>
      </c>
      <c r="B4" s="1"/>
      <c r="C4" s="1"/>
      <c r="D4" s="1"/>
      <c r="E4" s="1"/>
      <c r="F4" s="1"/>
      <c r="G4" s="1"/>
      <c r="H4" s="24"/>
      <c r="I4" s="13"/>
      <c r="J4" s="24"/>
      <c r="K4" s="13"/>
      <c r="L4" s="16"/>
      <c r="M4" s="16"/>
      <c r="O4" s="1"/>
    </row>
    <row r="5" spans="1:15" x14ac:dyDescent="0.3">
      <c r="A5" t="s">
        <v>108</v>
      </c>
      <c r="B5" s="29">
        <v>38562000000</v>
      </c>
      <c r="C5" s="29">
        <v>39369000000</v>
      </c>
      <c r="D5" s="29">
        <v>40483000000</v>
      </c>
      <c r="E5" s="29">
        <v>43571000000</v>
      </c>
      <c r="F5" s="8"/>
      <c r="G5" s="8"/>
      <c r="H5" s="14">
        <f>D5-C5</f>
        <v>1114000000</v>
      </c>
      <c r="I5" s="21">
        <f>(D5-C5)/C5</f>
        <v>2.8296375320683787E-2</v>
      </c>
      <c r="J5" s="14">
        <f>E5-D5</f>
        <v>3088000000</v>
      </c>
      <c r="K5" s="21">
        <f>(E5-D5)/D5</f>
        <v>7.6278931897339627E-2</v>
      </c>
      <c r="L5" s="22">
        <f>D5/$D$5</f>
        <v>1</v>
      </c>
      <c r="M5" s="22">
        <f>E5/$E$5</f>
        <v>1</v>
      </c>
      <c r="O5" s="4" t="s">
        <v>28</v>
      </c>
    </row>
    <row r="6" spans="1:15" x14ac:dyDescent="0.3">
      <c r="A6" t="s">
        <v>107</v>
      </c>
      <c r="B6" s="8">
        <v>481000000</v>
      </c>
      <c r="C6" s="29">
        <v>473000000</v>
      </c>
      <c r="D6" s="29">
        <f>271000000+56000000</f>
        <v>327000000</v>
      </c>
      <c r="E6" s="29">
        <f>278000000-10000000</f>
        <v>268000000</v>
      </c>
      <c r="F6" s="8"/>
      <c r="G6" s="8"/>
      <c r="H6" s="14">
        <f t="shared" ref="H6:H29" si="0">D6-C6</f>
        <v>-146000000</v>
      </c>
      <c r="I6" s="21">
        <f t="shared" ref="I6:I29" si="1">(D6-C6)/C6</f>
        <v>-0.30866807610993657</v>
      </c>
      <c r="J6" s="14">
        <f>E6-D6</f>
        <v>-59000000</v>
      </c>
      <c r="K6" s="21">
        <f>(E6-D6)/D6</f>
        <v>-0.18042813455657492</v>
      </c>
      <c r="L6" s="22">
        <f>D6/$D$5</f>
        <v>8.0774646147765729E-3</v>
      </c>
      <c r="M6" s="22">
        <f>E6/$E$5</f>
        <v>6.1508801725918619E-3</v>
      </c>
    </row>
    <row r="7" spans="1:15" x14ac:dyDescent="0.3">
      <c r="B7" s="8"/>
      <c r="C7" s="8"/>
      <c r="D7" s="8"/>
      <c r="E7" s="8"/>
      <c r="F7" s="8"/>
      <c r="G7" s="8"/>
      <c r="I7" s="21"/>
      <c r="K7" s="21"/>
      <c r="L7" s="22"/>
      <c r="M7" s="22"/>
    </row>
    <row r="8" spans="1:15" x14ac:dyDescent="0.3">
      <c r="A8" s="1" t="s">
        <v>17</v>
      </c>
      <c r="B8" s="8"/>
      <c r="C8" s="8"/>
      <c r="D8" s="8"/>
      <c r="E8" s="8"/>
      <c r="F8" s="8"/>
      <c r="G8" s="8"/>
      <c r="I8" s="21"/>
      <c r="K8" s="21"/>
      <c r="L8" s="22"/>
      <c r="M8" s="22"/>
    </row>
    <row r="9" spans="1:15" x14ac:dyDescent="0.3">
      <c r="A9" t="s">
        <v>120</v>
      </c>
      <c r="B9" s="8">
        <v>28773000000</v>
      </c>
      <c r="C9" s="8">
        <v>29210000000</v>
      </c>
      <c r="D9" s="8">
        <v>30034000000</v>
      </c>
      <c r="E9" s="8">
        <v>32299000000</v>
      </c>
      <c r="F9" s="8"/>
      <c r="G9" s="8"/>
      <c r="H9" s="14">
        <f t="shared" si="0"/>
        <v>824000000</v>
      </c>
      <c r="I9" s="21">
        <f t="shared" si="1"/>
        <v>2.8209517288599793E-2</v>
      </c>
      <c r="J9" s="14">
        <f t="shared" ref="J9:J20" si="2">E9-D9</f>
        <v>2265000000</v>
      </c>
      <c r="K9" s="21">
        <f t="shared" ref="K9:K20" si="3">(E9-D9)/D9</f>
        <v>7.5414530199107682E-2</v>
      </c>
      <c r="L9" s="22">
        <f t="shared" ref="L9:L20" si="4">D9/$D$5</f>
        <v>0.74189165822691006</v>
      </c>
      <c r="M9" s="22">
        <f t="shared" ref="M9:M29" si="5">E9/$E$5</f>
        <v>0.74129581602441996</v>
      </c>
    </row>
    <row r="10" spans="1:15" x14ac:dyDescent="0.3">
      <c r="A10" t="s">
        <v>109</v>
      </c>
      <c r="B10" s="29">
        <v>4898000000</v>
      </c>
      <c r="C10" s="8">
        <v>5085000000</v>
      </c>
      <c r="D10" s="8">
        <v>5118000000</v>
      </c>
      <c r="E10" s="8">
        <v>5512000000</v>
      </c>
      <c r="F10" s="8"/>
      <c r="G10" s="8"/>
      <c r="H10" s="14">
        <f t="shared" si="0"/>
        <v>33000000</v>
      </c>
      <c r="I10" s="21">
        <f t="shared" si="1"/>
        <v>6.4896755162241887E-3</v>
      </c>
      <c r="J10" s="14">
        <f t="shared" si="2"/>
        <v>394000000</v>
      </c>
      <c r="K10" s="21">
        <f t="shared" si="3"/>
        <v>7.6983196561156708E-2</v>
      </c>
      <c r="L10" s="22">
        <f t="shared" si="4"/>
        <v>0.12642343699824618</v>
      </c>
      <c r="M10" s="22">
        <f t="shared" si="5"/>
        <v>0.12650616235569531</v>
      </c>
      <c r="O10" s="4" t="s">
        <v>26</v>
      </c>
    </row>
    <row r="11" spans="1:15" x14ac:dyDescent="0.3">
      <c r="A11" t="s">
        <v>110</v>
      </c>
      <c r="B11" s="8">
        <v>707000000</v>
      </c>
      <c r="C11" s="8">
        <v>734000000</v>
      </c>
      <c r="D11" s="8">
        <v>774000000</v>
      </c>
      <c r="E11" s="8">
        <v>882000000</v>
      </c>
      <c r="F11" s="8"/>
      <c r="G11" s="8"/>
      <c r="H11" s="14">
        <f t="shared" si="0"/>
        <v>40000000</v>
      </c>
      <c r="I11" s="21">
        <f t="shared" si="1"/>
        <v>5.4495912806539509E-2</v>
      </c>
      <c r="J11" s="14">
        <f t="shared" si="2"/>
        <v>108000000</v>
      </c>
      <c r="K11" s="21">
        <f t="shared" si="3"/>
        <v>0.13953488372093023</v>
      </c>
      <c r="L11" s="22">
        <f t="shared" si="4"/>
        <v>1.9119136427636293E-2</v>
      </c>
      <c r="M11" s="22">
        <f t="shared" si="5"/>
        <v>2.0242822060544858E-2</v>
      </c>
    </row>
    <row r="12" spans="1:15" x14ac:dyDescent="0.3">
      <c r="A12" t="s">
        <v>111</v>
      </c>
      <c r="B12" s="8">
        <v>1513000000</v>
      </c>
      <c r="C12" s="8">
        <v>1524000000</v>
      </c>
      <c r="D12" s="8">
        <v>1461000000</v>
      </c>
      <c r="E12" s="8">
        <v>1517000000</v>
      </c>
      <c r="F12" s="8"/>
      <c r="G12" s="8"/>
      <c r="H12" s="14">
        <f t="shared" si="0"/>
        <v>-63000000</v>
      </c>
      <c r="I12" s="21">
        <f t="shared" si="1"/>
        <v>-4.1338582677165357E-2</v>
      </c>
      <c r="J12" s="14">
        <f t="shared" si="2"/>
        <v>56000000</v>
      </c>
      <c r="K12" s="21">
        <f t="shared" si="3"/>
        <v>3.8329911019849415E-2</v>
      </c>
      <c r="L12" s="22">
        <f t="shared" si="4"/>
        <v>3.6089222636662303E-2</v>
      </c>
      <c r="M12" s="22">
        <f t="shared" si="5"/>
        <v>3.4816735902320352E-2</v>
      </c>
    </row>
    <row r="13" spans="1:15" x14ac:dyDescent="0.3">
      <c r="A13" t="s">
        <v>112</v>
      </c>
      <c r="B13" s="8">
        <v>242000000</v>
      </c>
      <c r="C13" s="8">
        <v>241000000</v>
      </c>
      <c r="D13" s="8">
        <v>234000000</v>
      </c>
      <c r="E13" s="8">
        <v>233000000</v>
      </c>
      <c r="F13" s="8"/>
      <c r="G13" s="8"/>
      <c r="H13" s="14">
        <f t="shared" si="0"/>
        <v>-7000000</v>
      </c>
      <c r="I13" s="21">
        <f>(D13-C13)/C13</f>
        <v>-2.9045643153526972E-2</v>
      </c>
      <c r="J13" s="14">
        <f t="shared" si="2"/>
        <v>-1000000</v>
      </c>
      <c r="K13" s="21">
        <f t="shared" si="3"/>
        <v>-4.2735042735042739E-3</v>
      </c>
      <c r="L13" s="22">
        <f t="shared" si="4"/>
        <v>5.7802040362621345E-3</v>
      </c>
      <c r="M13" s="22">
        <f t="shared" si="5"/>
        <v>5.3475935828877002E-3</v>
      </c>
      <c r="O13" s="4" t="s">
        <v>24</v>
      </c>
    </row>
    <row r="14" spans="1:15" x14ac:dyDescent="0.3">
      <c r="A14" t="s">
        <v>113</v>
      </c>
      <c r="B14" s="8">
        <v>-3000000</v>
      </c>
      <c r="C14" s="8">
        <v>-10000000</v>
      </c>
      <c r="D14" s="8">
        <v>-11000000</v>
      </c>
      <c r="E14" s="8">
        <v>55000000</v>
      </c>
      <c r="F14" s="8"/>
      <c r="G14" s="8"/>
      <c r="H14" s="14">
        <f t="shared" si="0"/>
        <v>-1000000</v>
      </c>
      <c r="I14" s="21">
        <f>(D14-C14)/C14</f>
        <v>0.1</v>
      </c>
      <c r="J14" s="14">
        <f t="shared" si="2"/>
        <v>66000000</v>
      </c>
      <c r="K14" s="21">
        <f t="shared" si="3"/>
        <v>-6</v>
      </c>
      <c r="L14" s="22">
        <f t="shared" si="4"/>
        <v>-2.7171899315762174E-4</v>
      </c>
      <c r="M14" s="22">
        <f t="shared" si="5"/>
        <v>1.2623074981065387E-3</v>
      </c>
      <c r="O14" s="4" t="s">
        <v>30</v>
      </c>
    </row>
    <row r="15" spans="1:15" x14ac:dyDescent="0.3">
      <c r="A15" t="s">
        <v>114</v>
      </c>
      <c r="B15" s="8">
        <v>623000000</v>
      </c>
      <c r="C15" s="8">
        <v>610000000</v>
      </c>
      <c r="D15" s="8">
        <v>668000000</v>
      </c>
      <c r="E15" s="8">
        <v>655000000</v>
      </c>
      <c r="F15" s="8"/>
      <c r="G15" s="8"/>
      <c r="H15" s="14">
        <f t="shared" si="0"/>
        <v>58000000</v>
      </c>
      <c r="I15" s="21">
        <f t="shared" si="1"/>
        <v>9.5081967213114751E-2</v>
      </c>
      <c r="J15" s="14">
        <f t="shared" si="2"/>
        <v>-13000000</v>
      </c>
      <c r="K15" s="21">
        <f t="shared" si="3"/>
        <v>-1.9461077844311378E-2</v>
      </c>
      <c r="L15" s="22">
        <f t="shared" si="4"/>
        <v>1.6500753402662847E-2</v>
      </c>
      <c r="M15" s="22">
        <f t="shared" si="5"/>
        <v>1.5032934750177871E-2</v>
      </c>
    </row>
    <row r="16" spans="1:15" x14ac:dyDescent="0.3">
      <c r="A16" t="s">
        <v>115</v>
      </c>
      <c r="B16" s="8">
        <v>412000000</v>
      </c>
      <c r="C16" s="8">
        <v>572000000</v>
      </c>
      <c r="D16" s="8">
        <v>604000000</v>
      </c>
      <c r="E16" s="8">
        <v>621000000</v>
      </c>
      <c r="F16" s="8"/>
      <c r="G16" s="8"/>
      <c r="H16" s="14">
        <f t="shared" si="0"/>
        <v>32000000</v>
      </c>
      <c r="I16" s="21">
        <f t="shared" si="1"/>
        <v>5.5944055944055944E-2</v>
      </c>
      <c r="J16" s="14">
        <f t="shared" si="2"/>
        <v>17000000</v>
      </c>
      <c r="K16" s="21">
        <f t="shared" si="3"/>
        <v>2.8145695364238412E-2</v>
      </c>
      <c r="L16" s="22">
        <f t="shared" si="4"/>
        <v>1.4919842897018502E-2</v>
      </c>
      <c r="M16" s="22">
        <f t="shared" si="5"/>
        <v>1.4252599205893829E-2</v>
      </c>
    </row>
    <row r="17" spans="1:15" x14ac:dyDescent="0.3">
      <c r="A17" t="s">
        <v>116</v>
      </c>
      <c r="B17" s="8">
        <v>23000000</v>
      </c>
      <c r="C17" s="8">
        <v>16000000</v>
      </c>
      <c r="D17" s="8">
        <v>28000000</v>
      </c>
      <c r="E17" s="8">
        <v>48000000</v>
      </c>
      <c r="F17" s="8"/>
      <c r="G17" s="8"/>
      <c r="H17" s="14">
        <f t="shared" si="0"/>
        <v>12000000</v>
      </c>
      <c r="I17" s="21">
        <f t="shared" si="1"/>
        <v>0.75</v>
      </c>
      <c r="J17" s="14">
        <f t="shared" si="2"/>
        <v>20000000</v>
      </c>
      <c r="K17" s="21">
        <f>(E17-D17)/D17</f>
        <v>0.7142857142857143</v>
      </c>
      <c r="L17" s="22">
        <f t="shared" si="4"/>
        <v>6.916483462194007E-4</v>
      </c>
      <c r="M17" s="22">
        <f t="shared" si="5"/>
        <v>1.1016501801657066E-3</v>
      </c>
    </row>
    <row r="18" spans="1:15" x14ac:dyDescent="0.3">
      <c r="A18" t="s">
        <v>117</v>
      </c>
      <c r="B18" s="8">
        <v>390000000</v>
      </c>
      <c r="C18" s="8">
        <v>363000000</v>
      </c>
      <c r="D18" s="8">
        <v>343000000</v>
      </c>
      <c r="E18" s="8">
        <v>363000000</v>
      </c>
      <c r="F18" s="8"/>
      <c r="G18" s="8"/>
      <c r="H18" s="14">
        <f t="shared" si="0"/>
        <v>-20000000</v>
      </c>
      <c r="I18" s="21">
        <f t="shared" si="1"/>
        <v>-5.5096418732782371E-2</v>
      </c>
      <c r="J18" s="14">
        <f t="shared" si="2"/>
        <v>20000000</v>
      </c>
      <c r="K18" s="21">
        <f t="shared" si="3"/>
        <v>5.8309037900874633E-2</v>
      </c>
      <c r="L18" s="22">
        <f t="shared" si="4"/>
        <v>8.4726922411876588E-3</v>
      </c>
      <c r="M18" s="22">
        <f t="shared" si="5"/>
        <v>8.3312294875031549E-3</v>
      </c>
    </row>
    <row r="19" spans="1:15" x14ac:dyDescent="0.3">
      <c r="A19" t="s">
        <v>118</v>
      </c>
      <c r="B19" s="8">
        <v>14000000</v>
      </c>
      <c r="C19" s="8">
        <v>17000000</v>
      </c>
      <c r="D19" s="8">
        <v>23000000</v>
      </c>
      <c r="E19" s="8">
        <v>31000000</v>
      </c>
      <c r="F19" s="8"/>
      <c r="G19" s="8"/>
      <c r="H19" s="14">
        <f t="shared" si="0"/>
        <v>6000000</v>
      </c>
      <c r="I19" s="21">
        <f t="shared" si="1"/>
        <v>0.35294117647058826</v>
      </c>
      <c r="J19" s="14">
        <f t="shared" si="2"/>
        <v>8000000</v>
      </c>
      <c r="K19" s="21">
        <f t="shared" si="3"/>
        <v>0.34782608695652173</v>
      </c>
      <c r="L19" s="22">
        <f t="shared" si="4"/>
        <v>5.6813971296593635E-4</v>
      </c>
      <c r="M19" s="22">
        <f t="shared" si="5"/>
        <v>7.1148240802368552E-4</v>
      </c>
      <c r="O19" s="4" t="s">
        <v>23</v>
      </c>
    </row>
    <row r="20" spans="1:15" x14ac:dyDescent="0.3">
      <c r="A20" t="s">
        <v>119</v>
      </c>
      <c r="B20" s="8">
        <v>5000000</v>
      </c>
      <c r="C20" s="8">
        <v>7000000</v>
      </c>
      <c r="D20" s="8">
        <v>13000000</v>
      </c>
      <c r="E20" s="8">
        <v>18000000</v>
      </c>
      <c r="F20" s="8"/>
      <c r="G20" s="8"/>
      <c r="H20" s="14">
        <f t="shared" si="0"/>
        <v>6000000</v>
      </c>
      <c r="I20" s="21">
        <f t="shared" si="1"/>
        <v>0.8571428571428571</v>
      </c>
      <c r="J20" s="14">
        <f t="shared" si="2"/>
        <v>5000000</v>
      </c>
      <c r="K20" s="21">
        <f t="shared" si="3"/>
        <v>0.38461538461538464</v>
      </c>
      <c r="L20" s="26">
        <f t="shared" si="4"/>
        <v>3.2112244645900748E-4</v>
      </c>
      <c r="M20" s="26">
        <f t="shared" si="5"/>
        <v>4.1311881756213997E-4</v>
      </c>
    </row>
    <row r="21" spans="1:15" x14ac:dyDescent="0.3">
      <c r="A21" s="30"/>
      <c r="B21" s="8"/>
      <c r="C21" s="8"/>
      <c r="D21" s="8"/>
      <c r="E21" s="8"/>
      <c r="F21" s="8"/>
      <c r="G21" s="8"/>
      <c r="I21" s="21"/>
      <c r="K21" s="21"/>
      <c r="L21" s="22"/>
      <c r="M21" s="26"/>
    </row>
    <row r="22" spans="1:15" x14ac:dyDescent="0.3">
      <c r="A22" s="2" t="s">
        <v>19</v>
      </c>
      <c r="B22" s="15">
        <f>SUM(B5:B6)-SUM(B9:B20)</f>
        <v>1446000000</v>
      </c>
      <c r="C22" s="15">
        <f t="shared" ref="C22:E22" si="6">SUM(C5:C6)-SUM(C9:C20)</f>
        <v>1473000000</v>
      </c>
      <c r="D22" s="15">
        <f>SUM(D5:D6)-SUM(D9:D20)</f>
        <v>1521000000</v>
      </c>
      <c r="E22" s="15">
        <f t="shared" si="6"/>
        <v>1605000000</v>
      </c>
      <c r="F22" s="8"/>
      <c r="G22" s="8"/>
      <c r="H22" s="14">
        <f t="shared" ref="H22:H24" si="7">D22-C22</f>
        <v>48000000</v>
      </c>
      <c r="I22" s="21">
        <f t="shared" ref="I22:I24" si="8">(D22-C22)/C22</f>
        <v>3.2586558044806514E-2</v>
      </c>
      <c r="J22" s="14">
        <f t="shared" ref="J22:J29" si="9">E22-D22</f>
        <v>84000000</v>
      </c>
      <c r="K22" s="21">
        <f t="shared" ref="K22:K29" si="10">(E22-D22)/D22</f>
        <v>5.5226824457593686E-2</v>
      </c>
      <c r="L22" s="22">
        <f>D22/$D$5</f>
        <v>3.7571326235703875E-2</v>
      </c>
      <c r="M22" s="22">
        <f t="shared" si="5"/>
        <v>3.6836427899290813E-2</v>
      </c>
      <c r="O22" s="4" t="s">
        <v>23</v>
      </c>
    </row>
    <row r="23" spans="1:15" x14ac:dyDescent="0.3">
      <c r="B23" s="8"/>
      <c r="C23" s="8"/>
      <c r="D23" s="8"/>
      <c r="E23" s="8"/>
      <c r="F23" s="8"/>
      <c r="G23" s="8"/>
      <c r="I23" s="21"/>
      <c r="K23" s="21"/>
      <c r="L23" s="22"/>
      <c r="M23" s="22"/>
    </row>
    <row r="24" spans="1:15" x14ac:dyDescent="0.3">
      <c r="A24" t="s">
        <v>20</v>
      </c>
      <c r="B24" s="8">
        <v>441000000</v>
      </c>
      <c r="C24" s="8">
        <v>425000000</v>
      </c>
      <c r="D24" s="8">
        <v>423000000</v>
      </c>
      <c r="E24" s="8">
        <v>487000000</v>
      </c>
      <c r="F24" s="8"/>
      <c r="G24" s="8"/>
      <c r="H24" s="14">
        <f t="shared" si="7"/>
        <v>-2000000</v>
      </c>
      <c r="I24" s="21">
        <f t="shared" si="8"/>
        <v>-4.7058823529411761E-3</v>
      </c>
      <c r="J24" s="14">
        <f t="shared" si="9"/>
        <v>64000000</v>
      </c>
      <c r="K24" s="21">
        <f t="shared" si="10"/>
        <v>0.15130023640661938</v>
      </c>
      <c r="L24" s="22">
        <f>D24/$D$5</f>
        <v>1.044883037324309E-2</v>
      </c>
      <c r="M24" s="22">
        <f t="shared" si="5"/>
        <v>1.1177159119597898E-2</v>
      </c>
      <c r="O24" s="4" t="s">
        <v>25</v>
      </c>
    </row>
    <row r="25" spans="1:15" x14ac:dyDescent="0.3">
      <c r="A25" s="2" t="s">
        <v>21</v>
      </c>
      <c r="B25" s="15">
        <f>B22-B24</f>
        <v>1005000000</v>
      </c>
      <c r="C25" s="15">
        <f t="shared" ref="C25:E25" si="11">C22-C24</f>
        <v>1048000000</v>
      </c>
      <c r="D25" s="15">
        <f t="shared" si="11"/>
        <v>1098000000</v>
      </c>
      <c r="E25" s="15">
        <f t="shared" si="11"/>
        <v>1118000000</v>
      </c>
      <c r="F25" s="8"/>
      <c r="G25" s="8"/>
      <c r="H25" s="14">
        <f t="shared" si="0"/>
        <v>50000000</v>
      </c>
      <c r="I25" s="21">
        <f t="shared" si="1"/>
        <v>4.7709923664122141E-2</v>
      </c>
      <c r="J25" s="14">
        <f t="shared" si="9"/>
        <v>20000000</v>
      </c>
      <c r="K25" s="21">
        <f>(E25-D25)/D25</f>
        <v>1.8214936247723135E-2</v>
      </c>
      <c r="L25" s="22">
        <f>D25/$D$5</f>
        <v>2.7122495862460787E-2</v>
      </c>
      <c r="M25" s="22">
        <f t="shared" si="5"/>
        <v>2.5659268779692913E-2</v>
      </c>
      <c r="O25" s="4" t="s">
        <v>23</v>
      </c>
    </row>
    <row r="26" spans="1:15" x14ac:dyDescent="0.3">
      <c r="B26" s="8"/>
      <c r="C26" s="8"/>
      <c r="D26" s="8"/>
      <c r="E26" s="8"/>
      <c r="F26" s="8"/>
      <c r="G26" s="8"/>
      <c r="I26" s="21"/>
      <c r="K26" s="21"/>
      <c r="L26" s="22"/>
      <c r="M26" s="22"/>
    </row>
    <row r="27" spans="1:15" x14ac:dyDescent="0.3">
      <c r="A27" t="s">
        <v>22</v>
      </c>
      <c r="B27" s="8">
        <v>-6000000</v>
      </c>
      <c r="C27" s="8">
        <v>22000000</v>
      </c>
      <c r="D27" s="8">
        <v>10000000</v>
      </c>
      <c r="E27" s="8">
        <v>-3000000</v>
      </c>
      <c r="F27" s="8"/>
      <c r="G27" s="8"/>
      <c r="H27" s="14">
        <f t="shared" si="0"/>
        <v>-12000000</v>
      </c>
      <c r="I27" s="21">
        <f t="shared" si="1"/>
        <v>-0.54545454545454541</v>
      </c>
      <c r="J27" s="14">
        <f t="shared" si="9"/>
        <v>-13000000</v>
      </c>
      <c r="K27" s="21">
        <f t="shared" si="10"/>
        <v>-1.3</v>
      </c>
      <c r="L27" s="26">
        <f>D27/$D$5</f>
        <v>2.4701726650692881E-4</v>
      </c>
      <c r="M27" s="26">
        <f t="shared" si="5"/>
        <v>-6.8853136260356662E-5</v>
      </c>
    </row>
    <row r="28" spans="1:15" x14ac:dyDescent="0.3">
      <c r="B28" s="8"/>
      <c r="C28" s="8"/>
      <c r="D28" s="8"/>
      <c r="E28" s="8"/>
      <c r="F28" s="8"/>
      <c r="G28" s="8"/>
      <c r="I28" s="21"/>
      <c r="K28" s="21"/>
      <c r="L28" s="22"/>
      <c r="M28" s="22"/>
    </row>
    <row r="29" spans="1:15" x14ac:dyDescent="0.3">
      <c r="A29" s="2" t="s">
        <v>121</v>
      </c>
      <c r="B29" s="15">
        <f>B25+B27</f>
        <v>999000000</v>
      </c>
      <c r="C29" s="15">
        <f>C25+C27</f>
        <v>1070000000</v>
      </c>
      <c r="D29" s="15">
        <f>D25+D27</f>
        <v>1108000000</v>
      </c>
      <c r="E29" s="15">
        <f t="shared" ref="E29" si="12">E25+E27</f>
        <v>1115000000</v>
      </c>
      <c r="F29" s="8"/>
      <c r="G29" s="8"/>
      <c r="H29" s="14">
        <f t="shared" si="0"/>
        <v>38000000</v>
      </c>
      <c r="I29" s="21">
        <f t="shared" si="1"/>
        <v>3.5514018691588788E-2</v>
      </c>
      <c r="J29" s="14">
        <f t="shared" si="9"/>
        <v>7000000</v>
      </c>
      <c r="K29" s="21">
        <f t="shared" si="10"/>
        <v>6.3176895306859202E-3</v>
      </c>
      <c r="L29" s="22">
        <f>D29/$D$5</f>
        <v>2.7369513128967717E-2</v>
      </c>
      <c r="M29" s="22">
        <f t="shared" si="5"/>
        <v>2.5590415643432559E-2</v>
      </c>
      <c r="O29" s="4" t="s">
        <v>23</v>
      </c>
    </row>
  </sheetData>
  <mergeCells count="4">
    <mergeCell ref="A1:E1"/>
    <mergeCell ref="A2:E2"/>
    <mergeCell ref="H1:K1"/>
    <mergeCell ref="L1:M1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negative="1" xr2:uid="{1BEF7B83-10EB-4352-AC31-B0F851B0F824}">
          <x14:colorSeries rgb="FF0070C0"/>
          <x14:colorNegative rgb="FFFF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'Income Statement - COL'!B22:E22</xm:f>
              <xm:sqref>G22</xm:sqref>
            </x14:sparkline>
            <x14:sparkline>
              <xm:f>'Income Statement - COL'!B23:E23</xm:f>
              <xm:sqref>G23</xm:sqref>
            </x14:sparkline>
            <x14:sparkline>
              <xm:f>'Income Statement - COL'!B24:E24</xm:f>
              <xm:sqref>G24</xm:sqref>
            </x14:sparkline>
          </x14:sparklines>
        </x14:sparklineGroup>
        <x14:sparklineGroup displayEmptyCellsAs="span" xr2:uid="{4C2A2EAA-4CF4-4426-8F80-3F4DB5B996E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'Income Statement - COL'!B22:E22</xm:f>
              <xm:sqref>F22</xm:sqref>
            </x14:sparkline>
            <x14:sparkline>
              <xm:f>'Income Statement - COL'!B23:E23</xm:f>
              <xm:sqref>F23</xm:sqref>
            </x14:sparkline>
            <x14:sparkline>
              <xm:f>'Income Statement - COL'!B24:E24</xm:f>
              <xm:sqref>F24</xm:sqref>
            </x14:sparkline>
          </x14:sparklines>
        </x14:sparklineGroup>
        <x14:sparklineGroup displayEmptyCellsAs="span" negative="1" xr2:uid="{60D79342-F8D0-497D-B733-56784EBFACC9}">
          <x14:colorSeries rgb="FF0070C0"/>
          <x14:colorNegative rgb="FFFF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'Income Statement - COL'!B5:E5</xm:f>
              <xm:sqref>G5</xm:sqref>
            </x14:sparkline>
            <x14:sparkline>
              <xm:f>'Income Statement - COL'!B6:E6</xm:f>
              <xm:sqref>G6</xm:sqref>
            </x14:sparkline>
            <x14:sparkline>
              <xm:f>'Income Statement - COL'!B7:E7</xm:f>
              <xm:sqref>G7</xm:sqref>
            </x14:sparkline>
            <x14:sparkline>
              <xm:f>'Income Statement - COL'!B8:E8</xm:f>
              <xm:sqref>G8</xm:sqref>
            </x14:sparkline>
            <x14:sparkline>
              <xm:f>'Income Statement - COL'!B9:E9</xm:f>
              <xm:sqref>G9</xm:sqref>
            </x14:sparkline>
            <x14:sparkline>
              <xm:f>'Income Statement - COL'!B10:E10</xm:f>
              <xm:sqref>G10</xm:sqref>
            </x14:sparkline>
            <x14:sparkline>
              <xm:f>'Income Statement - COL'!B11:E11</xm:f>
              <xm:sqref>G11</xm:sqref>
            </x14:sparkline>
            <x14:sparkline>
              <xm:f>'Income Statement - COL'!B12:E12</xm:f>
              <xm:sqref>G12</xm:sqref>
            </x14:sparkline>
            <x14:sparkline>
              <xm:f>'Income Statement - COL'!B13:E13</xm:f>
              <xm:sqref>G13</xm:sqref>
            </x14:sparkline>
            <x14:sparkline>
              <xm:f>'Income Statement - COL'!B14:E14</xm:f>
              <xm:sqref>G14</xm:sqref>
            </x14:sparkline>
            <x14:sparkline>
              <xm:f>'Income Statement - COL'!B15:E15</xm:f>
              <xm:sqref>G15</xm:sqref>
            </x14:sparkline>
            <x14:sparkline>
              <xm:f>'Income Statement - COL'!B16:E16</xm:f>
              <xm:sqref>G16</xm:sqref>
            </x14:sparkline>
            <x14:sparkline>
              <xm:f>'Income Statement - COL'!B17:E17</xm:f>
              <xm:sqref>G17</xm:sqref>
            </x14:sparkline>
            <x14:sparkline>
              <xm:f>'Income Statement - COL'!B18:E18</xm:f>
              <xm:sqref>G18</xm:sqref>
            </x14:sparkline>
            <x14:sparkline>
              <xm:f>'Income Statement - COL'!B19:E19</xm:f>
              <xm:sqref>G19</xm:sqref>
            </x14:sparkline>
            <x14:sparkline>
              <xm:f>'Income Statement - COL'!B20:E20</xm:f>
              <xm:sqref>G20</xm:sqref>
            </x14:sparkline>
            <x14:sparkline>
              <xm:f>'Income Statement - COL'!B21:E21</xm:f>
              <xm:sqref>G21</xm:sqref>
            </x14:sparkline>
            <x14:sparkline>
              <xm:f>'Income Statement - COL'!B25:E25</xm:f>
              <xm:sqref>G25</xm:sqref>
            </x14:sparkline>
            <x14:sparkline>
              <xm:f>'Income Statement - COL'!B26:E26</xm:f>
              <xm:sqref>G26</xm:sqref>
            </x14:sparkline>
            <x14:sparkline>
              <xm:f>'Income Statement - COL'!B27:E27</xm:f>
              <xm:sqref>G27</xm:sqref>
            </x14:sparkline>
            <x14:sparkline>
              <xm:f>'Income Statement - COL'!B28:E28</xm:f>
              <xm:sqref>G28</xm:sqref>
            </x14:sparkline>
            <x14:sparkline>
              <xm:f>'Income Statement - COL'!B29:E29</xm:f>
              <xm:sqref>G29</xm:sqref>
            </x14:sparkline>
          </x14:sparklines>
        </x14:sparklineGroup>
        <x14:sparklineGroup displayEmptyCellsAs="span" xr2:uid="{7DCA5281-6118-4912-B988-FA0208B92F0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'Income Statement - COL'!B5:E5</xm:f>
              <xm:sqref>F5</xm:sqref>
            </x14:sparkline>
            <x14:sparkline>
              <xm:f>'Income Statement - COL'!B6:E6</xm:f>
              <xm:sqref>F6</xm:sqref>
            </x14:sparkline>
            <x14:sparkline>
              <xm:f>'Income Statement - COL'!B7:E7</xm:f>
              <xm:sqref>F7</xm:sqref>
            </x14:sparkline>
            <x14:sparkline>
              <xm:f>'Income Statement - COL'!B8:E8</xm:f>
              <xm:sqref>F8</xm:sqref>
            </x14:sparkline>
            <x14:sparkline>
              <xm:f>'Income Statement - COL'!B9:E9</xm:f>
              <xm:sqref>F9</xm:sqref>
            </x14:sparkline>
            <x14:sparkline>
              <xm:f>'Income Statement - COL'!B10:E10</xm:f>
              <xm:sqref>F10</xm:sqref>
            </x14:sparkline>
            <x14:sparkline>
              <xm:f>'Income Statement - COL'!B11:E11</xm:f>
              <xm:sqref>F11</xm:sqref>
            </x14:sparkline>
            <x14:sparkline>
              <xm:f>'Income Statement - COL'!B12:E12</xm:f>
              <xm:sqref>F12</xm:sqref>
            </x14:sparkline>
            <x14:sparkline>
              <xm:f>'Income Statement - COL'!B13:E13</xm:f>
              <xm:sqref>F13</xm:sqref>
            </x14:sparkline>
            <x14:sparkline>
              <xm:f>'Income Statement - COL'!B14:E14</xm:f>
              <xm:sqref>F14</xm:sqref>
            </x14:sparkline>
            <x14:sparkline>
              <xm:f>'Income Statement - COL'!B15:E15</xm:f>
              <xm:sqref>F15</xm:sqref>
            </x14:sparkline>
            <x14:sparkline>
              <xm:f>'Income Statement - COL'!B16:E16</xm:f>
              <xm:sqref>F16</xm:sqref>
            </x14:sparkline>
            <x14:sparkline>
              <xm:f>'Income Statement - COL'!B17:E17</xm:f>
              <xm:sqref>F17</xm:sqref>
            </x14:sparkline>
            <x14:sparkline>
              <xm:f>'Income Statement - COL'!B18:E18</xm:f>
              <xm:sqref>F18</xm:sqref>
            </x14:sparkline>
            <x14:sparkline>
              <xm:f>'Income Statement - COL'!B19:E19</xm:f>
              <xm:sqref>F19</xm:sqref>
            </x14:sparkline>
            <x14:sparkline>
              <xm:f>'Income Statement - COL'!B20:E20</xm:f>
              <xm:sqref>F20</xm:sqref>
            </x14:sparkline>
            <x14:sparkline>
              <xm:f>'Income Statement - COL'!B21:E21</xm:f>
              <xm:sqref>F21</xm:sqref>
            </x14:sparkline>
            <x14:sparkline>
              <xm:f>'Income Statement - COL'!B25:E25</xm:f>
              <xm:sqref>F25</xm:sqref>
            </x14:sparkline>
            <x14:sparkline>
              <xm:f>'Income Statement - COL'!B26:E26</xm:f>
              <xm:sqref>F26</xm:sqref>
            </x14:sparkline>
            <x14:sparkline>
              <xm:f>'Income Statement - COL'!B27:E27</xm:f>
              <xm:sqref>F27</xm:sqref>
            </x14:sparkline>
            <x14:sparkline>
              <xm:f>'Income Statement - COL'!B28:E28</xm:f>
              <xm:sqref>F28</xm:sqref>
            </x14:sparkline>
            <x14:sparkline>
              <xm:f>'Income Statement - COL'!B29:E29</xm:f>
              <xm:sqref>F29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6820-81F2-4A16-BEC4-6C72A97F0A7E}">
  <dimension ref="A1:O29"/>
  <sheetViews>
    <sheetView zoomScale="110" zoomScaleNormal="11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4" x14ac:dyDescent="0.3"/>
  <cols>
    <col min="1" max="1" width="30.5546875" customWidth="1"/>
    <col min="2" max="5" width="18.109375" bestFit="1" customWidth="1"/>
    <col min="6" max="6" width="10.88671875" hidden="1" customWidth="1"/>
    <col min="7" max="7" width="19.109375" customWidth="1"/>
    <col min="8" max="8" width="16.33203125" style="14" bestFit="1" customWidth="1"/>
    <col min="9" max="9" width="13.109375" style="12" customWidth="1"/>
    <col min="10" max="10" width="17.44140625" style="14" bestFit="1" customWidth="1"/>
    <col min="11" max="11" width="13.109375" style="12" customWidth="1"/>
    <col min="12" max="13" width="13.109375" style="5" customWidth="1"/>
    <col min="15" max="15" width="254.5546875" bestFit="1" customWidth="1"/>
  </cols>
  <sheetData>
    <row r="1" spans="1:15" x14ac:dyDescent="0.3">
      <c r="A1" s="49" t="s">
        <v>16</v>
      </c>
      <c r="B1" s="49"/>
      <c r="C1" s="49"/>
      <c r="D1" s="49"/>
      <c r="E1" s="49"/>
      <c r="F1" s="6"/>
      <c r="G1" s="6" t="s">
        <v>42</v>
      </c>
      <c r="H1" s="50" t="s">
        <v>27</v>
      </c>
      <c r="I1" s="50"/>
      <c r="J1" s="50"/>
      <c r="K1" s="50"/>
      <c r="L1" s="51" t="s">
        <v>29</v>
      </c>
      <c r="M1" s="51"/>
      <c r="N1" s="6"/>
    </row>
    <row r="2" spans="1:15" x14ac:dyDescent="0.3">
      <c r="A2" s="49" t="s">
        <v>130</v>
      </c>
      <c r="B2" s="49"/>
      <c r="C2" s="49"/>
      <c r="D2" s="49"/>
      <c r="E2" s="49"/>
      <c r="F2" s="6"/>
      <c r="G2" s="6"/>
      <c r="H2" s="23"/>
      <c r="I2" s="11"/>
      <c r="J2" s="23"/>
      <c r="K2" s="11"/>
      <c r="L2" s="17"/>
      <c r="M2" s="17"/>
      <c r="N2" s="6"/>
    </row>
    <row r="3" spans="1:15" x14ac:dyDescent="0.3">
      <c r="B3" s="1">
        <v>2021</v>
      </c>
      <c r="C3" s="1">
        <v>2022</v>
      </c>
      <c r="D3" s="1">
        <v>2023</v>
      </c>
      <c r="E3" s="1">
        <v>2024</v>
      </c>
      <c r="F3" s="1"/>
      <c r="G3" s="1" t="s">
        <v>92</v>
      </c>
      <c r="H3" s="24" t="s">
        <v>96</v>
      </c>
      <c r="I3" s="13" t="s">
        <v>97</v>
      </c>
      <c r="J3" s="24" t="s">
        <v>98</v>
      </c>
      <c r="K3" s="13" t="s">
        <v>99</v>
      </c>
      <c r="L3" s="16">
        <v>2023</v>
      </c>
      <c r="M3" s="16">
        <v>2024</v>
      </c>
      <c r="O3" s="1" t="s">
        <v>14</v>
      </c>
    </row>
    <row r="4" spans="1:15" x14ac:dyDescent="0.3">
      <c r="A4" s="1" t="s">
        <v>18</v>
      </c>
      <c r="B4" s="1"/>
      <c r="C4" s="1"/>
      <c r="D4" s="1"/>
      <c r="E4" s="1"/>
      <c r="F4" s="1"/>
      <c r="G4" s="1"/>
      <c r="H4" s="24"/>
      <c r="I4" s="13"/>
      <c r="J4" s="24"/>
      <c r="K4" s="13"/>
      <c r="L4" s="16"/>
      <c r="M4" s="16"/>
      <c r="O4" s="1"/>
    </row>
    <row r="5" spans="1:15" x14ac:dyDescent="0.3">
      <c r="A5" t="s">
        <v>108</v>
      </c>
      <c r="B5" s="29">
        <v>55694000000</v>
      </c>
      <c r="C5" s="29">
        <v>60849000000</v>
      </c>
      <c r="D5" s="29">
        <v>64294000000</v>
      </c>
      <c r="E5" s="29">
        <v>67922000000</v>
      </c>
      <c r="F5" s="8"/>
      <c r="G5" s="8"/>
      <c r="H5" s="14">
        <f>D5-C5</f>
        <v>3445000000</v>
      </c>
      <c r="I5" s="21">
        <f>(D5-C5)/C5</f>
        <v>5.6615556541602982E-2</v>
      </c>
      <c r="J5" s="14">
        <f>E5-D5</f>
        <v>3628000000</v>
      </c>
      <c r="K5" s="21">
        <f>(E5-D5)/D5</f>
        <v>5.6428282576912306E-2</v>
      </c>
      <c r="L5" s="22">
        <f>D5/$D$5</f>
        <v>1</v>
      </c>
      <c r="M5" s="22">
        <f>E5/$E$5</f>
        <v>1</v>
      </c>
      <c r="O5" s="4" t="s">
        <v>28</v>
      </c>
    </row>
    <row r="6" spans="1:15" x14ac:dyDescent="0.3">
      <c r="A6" t="s">
        <v>107</v>
      </c>
      <c r="B6" s="29">
        <v>117000000</v>
      </c>
      <c r="C6" s="29">
        <v>297000000</v>
      </c>
      <c r="D6" s="29">
        <v>277000000</v>
      </c>
      <c r="E6" s="29">
        <v>310000000</v>
      </c>
      <c r="F6" s="8"/>
      <c r="G6" s="8"/>
      <c r="H6" s="14">
        <f t="shared" ref="H6:H29" si="0">D6-C6</f>
        <v>-20000000</v>
      </c>
      <c r="I6" s="21">
        <f t="shared" ref="I6:I29" si="1">(D6-C6)/C6</f>
        <v>-6.7340067340067339E-2</v>
      </c>
      <c r="J6" s="14">
        <f>E6-D6</f>
        <v>33000000</v>
      </c>
      <c r="K6" s="21">
        <f>(E6-D6)/D6</f>
        <v>0.11913357400722022</v>
      </c>
      <c r="L6" s="22">
        <f>D6/$D$5</f>
        <v>4.3083335925591815E-3</v>
      </c>
      <c r="M6" s="22">
        <f>E6/$E$5</f>
        <v>4.5640587732987837E-3</v>
      </c>
    </row>
    <row r="7" spans="1:15" x14ac:dyDescent="0.3">
      <c r="B7" s="8"/>
      <c r="C7" s="8"/>
      <c r="D7" s="8"/>
      <c r="E7" s="8"/>
      <c r="F7" s="8"/>
      <c r="G7" s="8"/>
      <c r="I7" s="21"/>
      <c r="K7" s="21"/>
      <c r="L7" s="22"/>
      <c r="M7" s="22"/>
    </row>
    <row r="8" spans="1:15" x14ac:dyDescent="0.3">
      <c r="A8" s="1" t="s">
        <v>17</v>
      </c>
      <c r="B8" s="8"/>
      <c r="C8" s="8"/>
      <c r="D8" s="8"/>
      <c r="E8" s="8"/>
      <c r="F8" s="8"/>
      <c r="G8" s="8"/>
      <c r="I8" s="21"/>
      <c r="K8" s="21"/>
      <c r="L8" s="22"/>
      <c r="M8" s="22"/>
    </row>
    <row r="9" spans="1:15" x14ac:dyDescent="0.3">
      <c r="A9" t="s">
        <v>120</v>
      </c>
      <c r="B9" s="8">
        <v>39366000000</v>
      </c>
      <c r="C9" s="8">
        <v>44878000000</v>
      </c>
      <c r="D9" s="8">
        <v>47118000000</v>
      </c>
      <c r="E9" s="8">
        <v>49370000000</v>
      </c>
      <c r="F9" s="8"/>
      <c r="G9" s="8"/>
      <c r="H9" s="14">
        <f t="shared" si="0"/>
        <v>2240000000</v>
      </c>
      <c r="I9" s="21">
        <f t="shared" si="1"/>
        <v>4.991309773162797E-2</v>
      </c>
      <c r="J9" s="14">
        <f t="shared" ref="J9:J20" si="2">E9-D9</f>
        <v>2252000000</v>
      </c>
      <c r="K9" s="21">
        <f t="shared" ref="K9:K20" si="3">(E9-D9)/D9</f>
        <v>4.7794897915870792E-2</v>
      </c>
      <c r="L9" s="22">
        <f>D9/$D$5</f>
        <v>0.73285221015957946</v>
      </c>
      <c r="M9" s="22">
        <f t="shared" ref="M9:M29" si="4">E9/$E$5</f>
        <v>0.72686316657342243</v>
      </c>
    </row>
    <row r="10" spans="1:15" x14ac:dyDescent="0.3">
      <c r="A10" t="s">
        <v>133</v>
      </c>
      <c r="B10" s="8">
        <v>3784000000</v>
      </c>
      <c r="C10" s="8">
        <v>3189000000</v>
      </c>
      <c r="D10" s="8">
        <v>3684000000</v>
      </c>
      <c r="E10" s="8">
        <v>5539000000</v>
      </c>
      <c r="F10" s="8"/>
      <c r="G10" s="8"/>
      <c r="H10" s="14">
        <f t="shared" si="0"/>
        <v>495000000</v>
      </c>
      <c r="I10" s="21">
        <f t="shared" si="1"/>
        <v>0.15522107243650046</v>
      </c>
      <c r="J10" s="14">
        <f t="shared" si="2"/>
        <v>1855000000</v>
      </c>
      <c r="K10" s="21">
        <f t="shared" si="3"/>
        <v>0.50352877307274702</v>
      </c>
      <c r="L10" s="22">
        <f>D10/$D$5</f>
        <v>5.7299281425949547E-2</v>
      </c>
      <c r="M10" s="22">
        <f t="shared" si="4"/>
        <v>8.1549424339683749E-2</v>
      </c>
    </row>
    <row r="11" spans="1:15" x14ac:dyDescent="0.3">
      <c r="A11" t="s">
        <v>135</v>
      </c>
      <c r="B11" s="8">
        <v>9838000000</v>
      </c>
      <c r="C11" s="8">
        <v>10388000000</v>
      </c>
      <c r="D11" s="8">
        <v>10770000000</v>
      </c>
      <c r="E11" s="8">
        <v>11707000000</v>
      </c>
      <c r="F11" s="8"/>
      <c r="G11" s="8"/>
      <c r="H11" s="14">
        <f t="shared" si="0"/>
        <v>382000000</v>
      </c>
      <c r="I11" s="21">
        <f t="shared" si="1"/>
        <v>3.6773199845976129E-2</v>
      </c>
      <c r="J11" s="14">
        <f t="shared" si="2"/>
        <v>937000000</v>
      </c>
      <c r="K11" s="21">
        <f t="shared" si="3"/>
        <v>8.7000928505106781E-2</v>
      </c>
      <c r="L11" s="22">
        <f>D11/$D$5</f>
        <v>0.16751174293091112</v>
      </c>
      <c r="M11" s="22">
        <f t="shared" si="4"/>
        <v>0.17235947115809311</v>
      </c>
    </row>
    <row r="12" spans="1:15" x14ac:dyDescent="0.3">
      <c r="A12" t="s">
        <v>136</v>
      </c>
      <c r="B12" s="8"/>
      <c r="C12" s="8">
        <v>8557000000</v>
      </c>
      <c r="D12" s="8">
        <v>8762000000</v>
      </c>
      <c r="E12" s="8">
        <v>9519000000</v>
      </c>
      <c r="F12" s="8"/>
      <c r="G12" s="8"/>
      <c r="H12" s="14">
        <f t="shared" si="0"/>
        <v>205000000</v>
      </c>
      <c r="I12" s="21">
        <f t="shared" si="1"/>
        <v>2.3956994273694052E-2</v>
      </c>
      <c r="J12" s="14">
        <f t="shared" si="2"/>
        <v>757000000</v>
      </c>
      <c r="K12" s="21">
        <f t="shared" si="3"/>
        <v>8.6395800045651672E-2</v>
      </c>
      <c r="L12" s="22">
        <f t="shared" ref="L12:L20" si="5">D12/$D$5</f>
        <v>0.13628021277257599</v>
      </c>
      <c r="M12" s="22">
        <f t="shared" si="4"/>
        <v>0.14014604988074555</v>
      </c>
    </row>
    <row r="13" spans="1:15" x14ac:dyDescent="0.3">
      <c r="A13" t="s">
        <v>137</v>
      </c>
      <c r="B13" s="8"/>
      <c r="C13" s="8">
        <v>2132000000</v>
      </c>
      <c r="D13" s="8">
        <v>2309000000</v>
      </c>
      <c r="E13" s="8">
        <v>2452000000</v>
      </c>
      <c r="F13" s="8"/>
      <c r="G13" s="8"/>
      <c r="H13" s="14">
        <f t="shared" si="0"/>
        <v>177000000</v>
      </c>
      <c r="I13" s="21">
        <f t="shared" si="1"/>
        <v>8.3020637898686675E-2</v>
      </c>
      <c r="J13" s="14">
        <f t="shared" si="2"/>
        <v>143000000</v>
      </c>
      <c r="K13" s="21">
        <f t="shared" si="3"/>
        <v>6.1931572109138154E-2</v>
      </c>
      <c r="L13" s="22">
        <f t="shared" si="5"/>
        <v>3.5913148971910287E-2</v>
      </c>
      <c r="M13" s="22">
        <f t="shared" si="4"/>
        <v>3.6100232619769738E-2</v>
      </c>
    </row>
    <row r="14" spans="1:15" x14ac:dyDescent="0.3">
      <c r="A14" t="s">
        <v>138</v>
      </c>
      <c r="B14" s="8"/>
      <c r="C14" s="8">
        <v>624000000</v>
      </c>
      <c r="D14" s="8">
        <v>611000000</v>
      </c>
      <c r="E14" s="8">
        <v>706000000</v>
      </c>
      <c r="F14" s="8"/>
      <c r="G14" s="8"/>
      <c r="H14" s="14">
        <f t="shared" si="0"/>
        <v>-13000000</v>
      </c>
      <c r="I14" s="21">
        <f t="shared" si="1"/>
        <v>-2.0833333333333332E-2</v>
      </c>
      <c r="J14" s="14">
        <f t="shared" si="2"/>
        <v>95000000</v>
      </c>
      <c r="K14" s="21">
        <f t="shared" si="3"/>
        <v>0.15548281505728315</v>
      </c>
      <c r="L14" s="22">
        <f t="shared" si="5"/>
        <v>9.5032195850312633E-3</v>
      </c>
      <c r="M14" s="22">
        <f t="shared" si="4"/>
        <v>1.039427578693207E-2</v>
      </c>
    </row>
    <row r="15" spans="1:15" x14ac:dyDescent="0.3">
      <c r="A15" t="s">
        <v>139</v>
      </c>
      <c r="B15" s="8"/>
      <c r="C15" s="8">
        <v>745000000</v>
      </c>
      <c r="D15" s="8">
        <v>832000000</v>
      </c>
      <c r="E15" s="8">
        <v>825000000</v>
      </c>
      <c r="F15" s="8"/>
      <c r="G15" s="8"/>
      <c r="H15" s="14">
        <f t="shared" si="0"/>
        <v>87000000</v>
      </c>
      <c r="I15" s="21">
        <f t="shared" si="1"/>
        <v>0.11677852348993288</v>
      </c>
      <c r="J15" s="14">
        <f t="shared" si="2"/>
        <v>-7000000</v>
      </c>
      <c r="K15" s="21">
        <f t="shared" si="3"/>
        <v>-8.4134615384615381E-3</v>
      </c>
      <c r="L15" s="22">
        <f t="shared" si="5"/>
        <v>1.2940554328553209E-2</v>
      </c>
      <c r="M15" s="22">
        <f t="shared" si="4"/>
        <v>1.2146285445069344E-2</v>
      </c>
    </row>
    <row r="16" spans="1:15" x14ac:dyDescent="0.3">
      <c r="A16" t="s">
        <v>140</v>
      </c>
      <c r="B16" s="8"/>
      <c r="C16" s="8">
        <v>1519000000</v>
      </c>
      <c r="D16" s="8">
        <v>1940000000</v>
      </c>
      <c r="E16" s="8">
        <v>3744000000</v>
      </c>
      <c r="F16" s="8"/>
      <c r="G16" s="8"/>
      <c r="H16" s="14">
        <f t="shared" si="0"/>
        <v>421000000</v>
      </c>
      <c r="I16" s="21">
        <f t="shared" si="1"/>
        <v>0.27715602369980252</v>
      </c>
      <c r="J16" s="14">
        <f t="shared" si="2"/>
        <v>1804000000</v>
      </c>
      <c r="K16" s="21">
        <f t="shared" si="3"/>
        <v>0.92989690721649487</v>
      </c>
      <c r="L16" s="22">
        <f t="shared" si="5"/>
        <v>3.0173888698789935E-2</v>
      </c>
      <c r="M16" s="22">
        <f t="shared" si="4"/>
        <v>5.5122051765260152E-2</v>
      </c>
    </row>
    <row r="17" spans="1:15" x14ac:dyDescent="0.3">
      <c r="A17" t="s">
        <v>116</v>
      </c>
      <c r="B17" s="8">
        <v>102000000</v>
      </c>
      <c r="C17" s="8">
        <v>90000000</v>
      </c>
      <c r="D17" s="8">
        <v>184000000</v>
      </c>
      <c r="E17" s="8">
        <f>225000000+17000000</f>
        <v>242000000</v>
      </c>
      <c r="F17" s="8"/>
      <c r="G17" s="8"/>
      <c r="H17" s="14">
        <f t="shared" si="0"/>
        <v>94000000</v>
      </c>
      <c r="I17" s="21">
        <f t="shared" si="1"/>
        <v>1.0444444444444445</v>
      </c>
      <c r="J17" s="14">
        <f t="shared" si="2"/>
        <v>58000000</v>
      </c>
      <c r="K17" s="21">
        <f t="shared" si="3"/>
        <v>0.31521739130434784</v>
      </c>
      <c r="L17" s="22">
        <f t="shared" si="5"/>
        <v>2.8618533611223444E-3</v>
      </c>
      <c r="M17" s="22">
        <f t="shared" si="4"/>
        <v>3.5629103972203411E-3</v>
      </c>
    </row>
    <row r="18" spans="1:15" x14ac:dyDescent="0.3">
      <c r="A18" t="s">
        <v>117</v>
      </c>
      <c r="B18" s="8">
        <v>528000000</v>
      </c>
      <c r="C18" s="8">
        <v>542000000</v>
      </c>
      <c r="D18" s="8">
        <v>542000000</v>
      </c>
      <c r="E18" s="8">
        <v>570000000</v>
      </c>
      <c r="F18" s="8"/>
      <c r="G18" s="8"/>
      <c r="H18" s="14">
        <f t="shared" si="0"/>
        <v>0</v>
      </c>
      <c r="I18" s="21">
        <f t="shared" si="1"/>
        <v>0</v>
      </c>
      <c r="J18" s="14">
        <f t="shared" si="2"/>
        <v>28000000</v>
      </c>
      <c r="K18" s="21">
        <f t="shared" si="3"/>
        <v>5.1660516605166053E-2</v>
      </c>
      <c r="L18" s="22">
        <f t="shared" si="5"/>
        <v>8.4300245746103831E-3</v>
      </c>
      <c r="M18" s="22">
        <f t="shared" si="4"/>
        <v>8.3919790347751835E-3</v>
      </c>
    </row>
    <row r="19" spans="1:15" x14ac:dyDescent="0.3">
      <c r="A19" t="s">
        <v>134</v>
      </c>
      <c r="B19" s="8">
        <v>-10000000</v>
      </c>
      <c r="C19" s="8">
        <v>-13000000</v>
      </c>
      <c r="D19" s="8">
        <v>-28000000</v>
      </c>
      <c r="E19" s="8">
        <v>-40000000</v>
      </c>
      <c r="F19" s="8"/>
      <c r="G19" s="8"/>
      <c r="H19" s="14">
        <f t="shared" si="0"/>
        <v>-15000000</v>
      </c>
      <c r="I19" s="21">
        <f t="shared" si="1"/>
        <v>1.1538461538461537</v>
      </c>
      <c r="J19" s="14">
        <f t="shared" si="2"/>
        <v>-12000000</v>
      </c>
      <c r="K19" s="21">
        <f t="shared" si="3"/>
        <v>0.42857142857142855</v>
      </c>
      <c r="L19" s="22">
        <f t="shared" si="5"/>
        <v>-4.3549942451861758E-4</v>
      </c>
      <c r="M19" s="22">
        <f t="shared" si="4"/>
        <v>-5.889108094579076E-4</v>
      </c>
    </row>
    <row r="20" spans="1:15" x14ac:dyDescent="0.3">
      <c r="A20" t="s">
        <v>118</v>
      </c>
      <c r="B20" s="8">
        <v>-7000000</v>
      </c>
      <c r="C20" s="8">
        <v>-19000000</v>
      </c>
      <c r="D20" s="8">
        <v>-21000000</v>
      </c>
      <c r="E20" s="8">
        <v>-32000000</v>
      </c>
      <c r="F20" s="8"/>
      <c r="G20" s="8"/>
      <c r="H20" s="14">
        <f t="shared" si="0"/>
        <v>-2000000</v>
      </c>
      <c r="I20" s="21">
        <f t="shared" si="1"/>
        <v>0.10526315789473684</v>
      </c>
      <c r="J20" s="14">
        <f t="shared" si="2"/>
        <v>-11000000</v>
      </c>
      <c r="K20" s="21">
        <f t="shared" si="3"/>
        <v>0.52380952380952384</v>
      </c>
      <c r="L20" s="22">
        <f t="shared" si="5"/>
        <v>-3.266245683889632E-4</v>
      </c>
      <c r="M20" s="22">
        <f t="shared" si="4"/>
        <v>-4.711286475663261E-4</v>
      </c>
      <c r="O20" s="4" t="s">
        <v>23</v>
      </c>
    </row>
    <row r="21" spans="1:15" x14ac:dyDescent="0.3">
      <c r="A21" s="30"/>
      <c r="B21" s="8"/>
      <c r="C21" s="8"/>
      <c r="D21" s="8"/>
      <c r="E21" s="8"/>
      <c r="F21" s="8"/>
      <c r="G21" s="8"/>
      <c r="I21" s="21"/>
      <c r="K21" s="21"/>
      <c r="L21" s="22"/>
      <c r="M21" s="22"/>
    </row>
    <row r="22" spans="1:15" x14ac:dyDescent="0.3">
      <c r="A22" s="2" t="s">
        <v>19</v>
      </c>
      <c r="B22" s="15">
        <f>SUM(B5:B6)-SUM(B9:B20)</f>
        <v>2210000000</v>
      </c>
      <c r="C22" s="15">
        <f>SUM(C5:C6)-(SUM(C9:C20)-SUM(C12:C16))</f>
        <v>2091000000</v>
      </c>
      <c r="D22" s="15">
        <f t="shared" ref="D22:E22" si="6">SUM(D5:D6)-(SUM(D9:D20)-SUM(D12:D16))</f>
        <v>2322000000</v>
      </c>
      <c r="E22" s="15">
        <f t="shared" si="6"/>
        <v>876000000</v>
      </c>
      <c r="F22" s="8"/>
      <c r="G22" s="8"/>
      <c r="H22" s="14">
        <f t="shared" ref="H22:H24" si="7">D22-C22</f>
        <v>231000000</v>
      </c>
      <c r="I22" s="21">
        <f t="shared" ref="I22:I24" si="8">(D22-C22)/C22</f>
        <v>0.11047345767575323</v>
      </c>
      <c r="J22" s="14">
        <f t="shared" ref="J22:J29" si="9">E22-D22</f>
        <v>-1446000000</v>
      </c>
      <c r="K22" s="21">
        <f t="shared" ref="K22:K29" si="10">(E22-D22)/D22</f>
        <v>-0.62273901808785526</v>
      </c>
      <c r="L22" s="22">
        <f>D22/$D$5</f>
        <v>3.6115345133293932E-2</v>
      </c>
      <c r="M22" s="22">
        <f t="shared" si="4"/>
        <v>1.2897146727128177E-2</v>
      </c>
      <c r="O22" s="4" t="s">
        <v>23</v>
      </c>
    </row>
    <row r="23" spans="1:15" x14ac:dyDescent="0.3">
      <c r="B23" s="8"/>
      <c r="C23" s="8"/>
      <c r="D23" s="8"/>
      <c r="E23" s="8"/>
      <c r="F23" s="8"/>
      <c r="G23" s="8"/>
      <c r="I23" s="21"/>
      <c r="K23" s="21"/>
      <c r="L23" s="22"/>
      <c r="M23" s="22"/>
    </row>
    <row r="24" spans="1:15" x14ac:dyDescent="0.3">
      <c r="A24" t="s">
        <v>20</v>
      </c>
      <c r="B24" s="8">
        <v>604000000</v>
      </c>
      <c r="C24" s="8">
        <v>534000000</v>
      </c>
      <c r="D24" s="8">
        <v>693000000</v>
      </c>
      <c r="E24" s="8">
        <v>759000000</v>
      </c>
      <c r="F24" s="8"/>
      <c r="G24" s="8"/>
      <c r="H24" s="14">
        <f t="shared" si="7"/>
        <v>159000000</v>
      </c>
      <c r="I24" s="21">
        <f t="shared" si="8"/>
        <v>0.29775280898876405</v>
      </c>
      <c r="J24" s="14">
        <f t="shared" si="9"/>
        <v>66000000</v>
      </c>
      <c r="K24" s="21">
        <f t="shared" si="10"/>
        <v>9.5238095238095233E-2</v>
      </c>
      <c r="L24" s="22">
        <f>D24/$D$5</f>
        <v>1.0778610756835786E-2</v>
      </c>
      <c r="M24" s="22">
        <f t="shared" si="4"/>
        <v>1.1174582609463796E-2</v>
      </c>
      <c r="O24" s="4" t="s">
        <v>25</v>
      </c>
    </row>
    <row r="25" spans="1:15" x14ac:dyDescent="0.3">
      <c r="A25" s="2" t="s">
        <v>21</v>
      </c>
      <c r="B25" s="15">
        <f>B22-B24</f>
        <v>1606000000</v>
      </c>
      <c r="C25" s="15">
        <f t="shared" ref="C25:E25" si="11">C22-C24</f>
        <v>1557000000</v>
      </c>
      <c r="D25" s="15">
        <f t="shared" si="11"/>
        <v>1629000000</v>
      </c>
      <c r="E25" s="15">
        <f t="shared" si="11"/>
        <v>117000000</v>
      </c>
      <c r="F25" s="8"/>
      <c r="G25" s="8"/>
      <c r="H25" s="14">
        <f t="shared" si="0"/>
        <v>72000000</v>
      </c>
      <c r="I25" s="21">
        <f t="shared" si="1"/>
        <v>4.6242774566473986E-2</v>
      </c>
      <c r="J25" s="14">
        <f t="shared" si="9"/>
        <v>-1512000000</v>
      </c>
      <c r="K25" s="21">
        <f t="shared" si="10"/>
        <v>-0.92817679558011046</v>
      </c>
      <c r="L25" s="22">
        <f>D25/$D$5</f>
        <v>2.5336734376458146E-2</v>
      </c>
      <c r="M25" s="22">
        <f t="shared" si="4"/>
        <v>1.7225641176643798E-3</v>
      </c>
      <c r="O25" s="4" t="s">
        <v>23</v>
      </c>
    </row>
    <row r="26" spans="1:15" x14ac:dyDescent="0.3">
      <c r="B26" s="8"/>
      <c r="C26" s="8"/>
      <c r="D26" s="8"/>
      <c r="E26" s="8"/>
      <c r="F26" s="8"/>
      <c r="G26" s="8"/>
      <c r="I26" s="21"/>
      <c r="K26" s="21"/>
      <c r="L26" s="22"/>
      <c r="M26" s="22"/>
    </row>
    <row r="27" spans="1:15" x14ac:dyDescent="0.3">
      <c r="A27" t="s">
        <v>22</v>
      </c>
      <c r="B27" s="8">
        <v>533000000</v>
      </c>
      <c r="C27" s="8">
        <v>6387000000</v>
      </c>
      <c r="D27" s="8">
        <v>0</v>
      </c>
      <c r="E27" s="8">
        <v>0</v>
      </c>
      <c r="F27" s="8"/>
      <c r="G27" s="8"/>
      <c r="H27" s="14">
        <f t="shared" si="0"/>
        <v>-6387000000</v>
      </c>
      <c r="I27" s="21">
        <v>0</v>
      </c>
      <c r="J27" s="14">
        <f t="shared" si="9"/>
        <v>0</v>
      </c>
      <c r="K27" s="21">
        <v>0</v>
      </c>
      <c r="L27" s="22">
        <f>D27/$D$5</f>
        <v>0</v>
      </c>
      <c r="M27" s="22">
        <f t="shared" si="4"/>
        <v>0</v>
      </c>
    </row>
    <row r="28" spans="1:15" x14ac:dyDescent="0.3">
      <c r="B28" s="8"/>
      <c r="C28" s="8"/>
      <c r="D28" s="8"/>
      <c r="E28" s="8"/>
      <c r="F28" s="8"/>
      <c r="G28" s="8"/>
      <c r="I28" s="21"/>
      <c r="K28" s="21"/>
      <c r="L28" s="22"/>
      <c r="M28" s="22"/>
    </row>
    <row r="29" spans="1:15" x14ac:dyDescent="0.3">
      <c r="A29" s="2" t="s">
        <v>121</v>
      </c>
      <c r="B29" s="15">
        <f>B25+B27</f>
        <v>2139000000</v>
      </c>
      <c r="C29" s="15">
        <f>C25+C27</f>
        <v>7944000000</v>
      </c>
      <c r="D29" s="15">
        <f>D25+D27</f>
        <v>1629000000</v>
      </c>
      <c r="E29" s="15">
        <f t="shared" ref="E29" si="12">E25+E27</f>
        <v>117000000</v>
      </c>
      <c r="F29" s="8"/>
      <c r="G29" s="8"/>
      <c r="H29" s="14">
        <f t="shared" si="0"/>
        <v>-6315000000</v>
      </c>
      <c r="I29" s="21">
        <f t="shared" si="1"/>
        <v>-0.79493957703927487</v>
      </c>
      <c r="J29" s="14">
        <f t="shared" si="9"/>
        <v>-1512000000</v>
      </c>
      <c r="K29" s="21">
        <f t="shared" si="10"/>
        <v>-0.92817679558011046</v>
      </c>
      <c r="L29" s="22">
        <f>D29/$D$5</f>
        <v>2.5336734376458146E-2</v>
      </c>
      <c r="M29" s="22">
        <f t="shared" si="4"/>
        <v>1.7225641176643798E-3</v>
      </c>
      <c r="O29" s="4" t="s">
        <v>23</v>
      </c>
    </row>
  </sheetData>
  <mergeCells count="4">
    <mergeCell ref="A1:E1"/>
    <mergeCell ref="H1:K1"/>
    <mergeCell ref="L1:M1"/>
    <mergeCell ref="A2:E2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6DF4F0D0-5D52-43F8-953E-8F217580E2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'Income Statement - WOW'!B5:E5</xm:f>
              <xm:sqref>F5</xm:sqref>
            </x14:sparkline>
            <x14:sparkline>
              <xm:f>'Income Statement - WOW'!B6:E6</xm:f>
              <xm:sqref>F6</xm:sqref>
            </x14:sparkline>
            <x14:sparkline>
              <xm:f>'Income Statement - WOW'!B7:E7</xm:f>
              <xm:sqref>F7</xm:sqref>
            </x14:sparkline>
            <x14:sparkline>
              <xm:f>'Income Statement - WOW'!B8:E8</xm:f>
              <xm:sqref>F8</xm:sqref>
            </x14:sparkline>
            <x14:sparkline>
              <xm:f>'Income Statement - WOW'!B9:E9</xm:f>
              <xm:sqref>F9</xm:sqref>
            </x14:sparkline>
            <x14:sparkline>
              <xm:f>'Income Statement - WOW'!B10:E10</xm:f>
              <xm:sqref>F10</xm:sqref>
            </x14:sparkline>
            <x14:sparkline>
              <xm:f>'Income Statement - WOW'!B11:E11</xm:f>
              <xm:sqref>F11</xm:sqref>
            </x14:sparkline>
            <x14:sparkline>
              <xm:f>'Income Statement - WOW'!B12:E12</xm:f>
              <xm:sqref>F12</xm:sqref>
            </x14:sparkline>
            <x14:sparkline>
              <xm:f>'Income Statement - WOW'!B13:E13</xm:f>
              <xm:sqref>F13</xm:sqref>
            </x14:sparkline>
            <x14:sparkline>
              <xm:f>'Income Statement - WOW'!B14:E14</xm:f>
              <xm:sqref>F14</xm:sqref>
            </x14:sparkline>
            <x14:sparkline>
              <xm:f>'Income Statement - WOW'!B15:E15</xm:f>
              <xm:sqref>F15</xm:sqref>
            </x14:sparkline>
            <x14:sparkline>
              <xm:f>'Income Statement - WOW'!B16:E16</xm:f>
              <xm:sqref>F16</xm:sqref>
            </x14:sparkline>
            <x14:sparkline>
              <xm:f>'Income Statement - WOW'!B17:E17</xm:f>
              <xm:sqref>F17</xm:sqref>
            </x14:sparkline>
            <x14:sparkline>
              <xm:f>'Income Statement - WOW'!B18:E18</xm:f>
              <xm:sqref>F18</xm:sqref>
            </x14:sparkline>
            <x14:sparkline>
              <xm:f>'Income Statement - WOW'!B19:E19</xm:f>
              <xm:sqref>F19</xm:sqref>
            </x14:sparkline>
            <x14:sparkline>
              <xm:f>'Income Statement - WOW'!B20:E20</xm:f>
              <xm:sqref>F20</xm:sqref>
            </x14:sparkline>
            <x14:sparkline>
              <xm:f>'Income Statement - WOW'!B21:E21</xm:f>
              <xm:sqref>F21</xm:sqref>
            </x14:sparkline>
            <x14:sparkline>
              <xm:f>'Income Statement - WOW'!B25:E25</xm:f>
              <xm:sqref>F25</xm:sqref>
            </x14:sparkline>
            <x14:sparkline>
              <xm:f>'Income Statement - WOW'!B26:E26</xm:f>
              <xm:sqref>F26</xm:sqref>
            </x14:sparkline>
            <x14:sparkline>
              <xm:f>'Income Statement - WOW'!B27:E27</xm:f>
              <xm:sqref>F27</xm:sqref>
            </x14:sparkline>
            <x14:sparkline>
              <xm:f>'Income Statement - WOW'!B28:E28</xm:f>
              <xm:sqref>F28</xm:sqref>
            </x14:sparkline>
            <x14:sparkline>
              <xm:f>'Income Statement - WOW'!B29:E29</xm:f>
              <xm:sqref>F29</xm:sqref>
            </x14:sparkline>
          </x14:sparklines>
        </x14:sparklineGroup>
        <x14:sparklineGroup displayEmptyCellsAs="span" negative="1" xr2:uid="{6F3A8734-AB56-422D-A091-A1B5AF776AFF}">
          <x14:colorSeries rgb="FF0070C0"/>
          <x14:colorNegative rgb="FFFF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'Income Statement - WOW'!B5:E5</xm:f>
              <xm:sqref>G5</xm:sqref>
            </x14:sparkline>
            <x14:sparkline>
              <xm:f>'Income Statement - WOW'!B6:E6</xm:f>
              <xm:sqref>G6</xm:sqref>
            </x14:sparkline>
            <x14:sparkline>
              <xm:f>'Income Statement - WOW'!B7:E7</xm:f>
              <xm:sqref>G7</xm:sqref>
            </x14:sparkline>
            <x14:sparkline>
              <xm:f>'Income Statement - WOW'!B8:E8</xm:f>
              <xm:sqref>G8</xm:sqref>
            </x14:sparkline>
            <x14:sparkline>
              <xm:f>'Income Statement - WOW'!B9:E9</xm:f>
              <xm:sqref>G9</xm:sqref>
            </x14:sparkline>
            <x14:sparkline>
              <xm:f>'Income Statement - WOW'!B10:E10</xm:f>
              <xm:sqref>G10</xm:sqref>
            </x14:sparkline>
            <x14:sparkline>
              <xm:f>'Income Statement - WOW'!B11:E11</xm:f>
              <xm:sqref>G11</xm:sqref>
            </x14:sparkline>
            <x14:sparkline>
              <xm:f>'Income Statement - WOW'!B12:E12</xm:f>
              <xm:sqref>G12</xm:sqref>
            </x14:sparkline>
            <x14:sparkline>
              <xm:f>'Income Statement - WOW'!B13:E13</xm:f>
              <xm:sqref>G13</xm:sqref>
            </x14:sparkline>
            <x14:sparkline>
              <xm:f>'Income Statement - WOW'!B14:E14</xm:f>
              <xm:sqref>G14</xm:sqref>
            </x14:sparkline>
            <x14:sparkline>
              <xm:f>'Income Statement - WOW'!B15:E15</xm:f>
              <xm:sqref>G15</xm:sqref>
            </x14:sparkline>
            <x14:sparkline>
              <xm:f>'Income Statement - WOW'!B16:E16</xm:f>
              <xm:sqref>G16</xm:sqref>
            </x14:sparkline>
            <x14:sparkline>
              <xm:f>'Income Statement - WOW'!B17:E17</xm:f>
              <xm:sqref>G17</xm:sqref>
            </x14:sparkline>
            <x14:sparkline>
              <xm:f>'Income Statement - WOW'!B18:E18</xm:f>
              <xm:sqref>G18</xm:sqref>
            </x14:sparkline>
            <x14:sparkline>
              <xm:f>'Income Statement - WOW'!B19:E19</xm:f>
              <xm:sqref>G19</xm:sqref>
            </x14:sparkline>
            <x14:sparkline>
              <xm:f>'Income Statement - WOW'!B20:E20</xm:f>
              <xm:sqref>G20</xm:sqref>
            </x14:sparkline>
            <x14:sparkline>
              <xm:f>'Income Statement - WOW'!B21:E21</xm:f>
              <xm:sqref>G21</xm:sqref>
            </x14:sparkline>
            <x14:sparkline>
              <xm:f>'Income Statement - WOW'!B25:E25</xm:f>
              <xm:sqref>G25</xm:sqref>
            </x14:sparkline>
            <x14:sparkline>
              <xm:f>'Income Statement - WOW'!B26:E26</xm:f>
              <xm:sqref>G26</xm:sqref>
            </x14:sparkline>
            <x14:sparkline>
              <xm:f>'Income Statement - WOW'!B27:E27</xm:f>
              <xm:sqref>G27</xm:sqref>
            </x14:sparkline>
            <x14:sparkline>
              <xm:f>'Income Statement - WOW'!B28:E28</xm:f>
              <xm:sqref>G28</xm:sqref>
            </x14:sparkline>
            <x14:sparkline>
              <xm:f>'Income Statement - WOW'!B29:E29</xm:f>
              <xm:sqref>G29</xm:sqref>
            </x14:sparkline>
          </x14:sparklines>
        </x14:sparklineGroup>
        <x14:sparklineGroup displayEmptyCellsAs="span" xr2:uid="{56BE36EB-6958-44EA-99CC-2C8E3ABA45A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'Income Statement - WOW'!B22:E22</xm:f>
              <xm:sqref>F22</xm:sqref>
            </x14:sparkline>
            <x14:sparkline>
              <xm:f>'Income Statement - WOW'!B23:E23</xm:f>
              <xm:sqref>F23</xm:sqref>
            </x14:sparkline>
            <x14:sparkline>
              <xm:f>'Income Statement - WOW'!B24:E24</xm:f>
              <xm:sqref>F24</xm:sqref>
            </x14:sparkline>
          </x14:sparklines>
        </x14:sparklineGroup>
        <x14:sparklineGroup displayEmptyCellsAs="span" negative="1" xr2:uid="{3E676F67-C8AF-4194-8853-E5B28680B505}">
          <x14:colorSeries rgb="FF0070C0"/>
          <x14:colorNegative rgb="FFFF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'Income Statement - WOW'!B22:E22</xm:f>
              <xm:sqref>G22</xm:sqref>
            </x14:sparkline>
            <x14:sparkline>
              <xm:f>'Income Statement - WOW'!B23:E23</xm:f>
              <xm:sqref>G23</xm:sqref>
            </x14:sparkline>
            <x14:sparkline>
              <xm:f>'Income Statement - WOW'!B24:E24</xm:f>
              <xm:sqref>G24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2EE5-A0AF-496E-9282-A23C6968B8E7}">
  <dimension ref="A1:K14"/>
  <sheetViews>
    <sheetView topLeftCell="D1" workbookViewId="0">
      <selection activeCell="K14" sqref="K14"/>
    </sheetView>
  </sheetViews>
  <sheetFormatPr defaultRowHeight="14.4" x14ac:dyDescent="0.3"/>
  <cols>
    <col min="1" max="1" width="44.44140625" bestFit="1" customWidth="1"/>
    <col min="2" max="5" width="17.44140625" bestFit="1" customWidth="1"/>
    <col min="8" max="8" width="14.88671875" bestFit="1" customWidth="1"/>
    <col min="9" max="9" width="6" bestFit="1" customWidth="1"/>
    <col min="10" max="10" width="16.33203125" bestFit="1" customWidth="1"/>
    <col min="11" max="11" width="7.6640625" bestFit="1" customWidth="1"/>
  </cols>
  <sheetData>
    <row r="1" spans="1:11" x14ac:dyDescent="0.3">
      <c r="A1" s="1" t="s">
        <v>17</v>
      </c>
      <c r="B1" s="8"/>
      <c r="C1" s="8"/>
      <c r="D1" s="8"/>
      <c r="E1" s="8"/>
      <c r="F1" s="8"/>
      <c r="G1" s="8"/>
      <c r="H1" s="14"/>
      <c r="I1" s="21"/>
      <c r="J1" s="14"/>
      <c r="K1" s="21"/>
    </row>
    <row r="2" spans="1:11" x14ac:dyDescent="0.3">
      <c r="A2" t="s">
        <v>120</v>
      </c>
      <c r="B2" s="8">
        <v>28773000000</v>
      </c>
      <c r="C2" s="8">
        <v>29210000000</v>
      </c>
      <c r="D2" s="8">
        <v>30034000000</v>
      </c>
      <c r="E2" s="8">
        <v>32299000000</v>
      </c>
      <c r="F2" s="8"/>
      <c r="G2" s="8"/>
      <c r="H2" s="14">
        <f t="shared" ref="H2:H13" si="0">D2-C2</f>
        <v>824000000</v>
      </c>
      <c r="I2" s="21">
        <f t="shared" ref="I2:I13" si="1">(D2-C2)/C2</f>
        <v>2.8209517288599793E-2</v>
      </c>
      <c r="J2" s="14">
        <f t="shared" ref="J2:J13" si="2">E2-D2</f>
        <v>2265000000</v>
      </c>
      <c r="K2" s="21">
        <f t="shared" ref="K2:K13" si="3">(E2-D2)/D2</f>
        <v>7.5414530199107682E-2</v>
      </c>
    </row>
    <row r="3" spans="1:11" x14ac:dyDescent="0.3">
      <c r="A3" t="s">
        <v>109</v>
      </c>
      <c r="B3" s="29">
        <v>4898000000</v>
      </c>
      <c r="C3" s="8">
        <v>5085000000</v>
      </c>
      <c r="D3" s="8">
        <v>5118000000</v>
      </c>
      <c r="E3" s="8">
        <v>5512000000</v>
      </c>
      <c r="F3" s="8"/>
      <c r="G3" s="8"/>
      <c r="H3" s="14">
        <f t="shared" si="0"/>
        <v>33000000</v>
      </c>
      <c r="I3" s="21">
        <f t="shared" si="1"/>
        <v>6.4896755162241887E-3</v>
      </c>
      <c r="J3" s="14">
        <f t="shared" si="2"/>
        <v>394000000</v>
      </c>
      <c r="K3" s="21">
        <f t="shared" si="3"/>
        <v>7.6983196561156708E-2</v>
      </c>
    </row>
    <row r="4" spans="1:11" x14ac:dyDescent="0.3">
      <c r="A4" t="s">
        <v>110</v>
      </c>
      <c r="B4" s="8">
        <v>707000000</v>
      </c>
      <c r="C4" s="8">
        <v>734000000</v>
      </c>
      <c r="D4" s="8">
        <v>774000000</v>
      </c>
      <c r="E4" s="8">
        <v>882000000</v>
      </c>
      <c r="F4" s="8"/>
      <c r="G4" s="8"/>
      <c r="H4" s="14">
        <f t="shared" si="0"/>
        <v>40000000</v>
      </c>
      <c r="I4" s="21">
        <f t="shared" si="1"/>
        <v>5.4495912806539509E-2</v>
      </c>
      <c r="J4" s="14">
        <f t="shared" si="2"/>
        <v>108000000</v>
      </c>
      <c r="K4" s="21">
        <f t="shared" si="3"/>
        <v>0.13953488372093023</v>
      </c>
    </row>
    <row r="5" spans="1:11" x14ac:dyDescent="0.3">
      <c r="A5" t="s">
        <v>111</v>
      </c>
      <c r="B5" s="8">
        <v>1513000000</v>
      </c>
      <c r="C5" s="8">
        <v>1524000000</v>
      </c>
      <c r="D5" s="8">
        <v>1461000000</v>
      </c>
      <c r="E5" s="8">
        <v>1517000000</v>
      </c>
      <c r="F5" s="8"/>
      <c r="G5" s="8"/>
      <c r="H5" s="14">
        <f t="shared" si="0"/>
        <v>-63000000</v>
      </c>
      <c r="I5" s="21">
        <f t="shared" si="1"/>
        <v>-4.1338582677165357E-2</v>
      </c>
      <c r="J5" s="14">
        <f t="shared" si="2"/>
        <v>56000000</v>
      </c>
      <c r="K5" s="21">
        <f t="shared" si="3"/>
        <v>3.8329911019849415E-2</v>
      </c>
    </row>
    <row r="6" spans="1:11" x14ac:dyDescent="0.3">
      <c r="A6" t="s">
        <v>112</v>
      </c>
      <c r="B6" s="8">
        <v>242000000</v>
      </c>
      <c r="C6" s="8">
        <v>241000000</v>
      </c>
      <c r="D6" s="8">
        <v>234000000</v>
      </c>
      <c r="E6" s="8">
        <v>233000000</v>
      </c>
      <c r="F6" s="8"/>
      <c r="G6" s="8"/>
      <c r="H6" s="14">
        <f t="shared" si="0"/>
        <v>-7000000</v>
      </c>
      <c r="I6" s="21">
        <f>(D6-C6)/C6</f>
        <v>-2.9045643153526972E-2</v>
      </c>
      <c r="J6" s="14">
        <f t="shared" si="2"/>
        <v>-1000000</v>
      </c>
      <c r="K6" s="21">
        <f t="shared" si="3"/>
        <v>-4.2735042735042739E-3</v>
      </c>
    </row>
    <row r="7" spans="1:11" x14ac:dyDescent="0.3">
      <c r="A7" t="s">
        <v>113</v>
      </c>
      <c r="B7" s="8">
        <v>-3000000</v>
      </c>
      <c r="C7" s="8">
        <v>-10000000</v>
      </c>
      <c r="D7" s="8">
        <v>-11000000</v>
      </c>
      <c r="E7" s="8">
        <v>55000000</v>
      </c>
      <c r="F7" s="8"/>
      <c r="G7" s="8"/>
      <c r="H7" s="14">
        <f t="shared" si="0"/>
        <v>-1000000</v>
      </c>
      <c r="I7" s="21">
        <f>(D7-C7)/C7</f>
        <v>0.1</v>
      </c>
      <c r="J7" s="14">
        <f t="shared" si="2"/>
        <v>66000000</v>
      </c>
      <c r="K7" s="21">
        <f t="shared" si="3"/>
        <v>-6</v>
      </c>
    </row>
    <row r="8" spans="1:11" x14ac:dyDescent="0.3">
      <c r="A8" t="s">
        <v>114</v>
      </c>
      <c r="B8" s="8">
        <v>623000000</v>
      </c>
      <c r="C8" s="8">
        <v>610000000</v>
      </c>
      <c r="D8" s="8">
        <v>668000000</v>
      </c>
      <c r="E8" s="8">
        <v>655000000</v>
      </c>
      <c r="F8" s="8"/>
      <c r="G8" s="8"/>
      <c r="H8" s="14">
        <f t="shared" si="0"/>
        <v>58000000</v>
      </c>
      <c r="I8" s="21">
        <f t="shared" si="1"/>
        <v>9.5081967213114751E-2</v>
      </c>
      <c r="J8" s="14">
        <f t="shared" si="2"/>
        <v>-13000000</v>
      </c>
      <c r="K8" s="21">
        <f t="shared" si="3"/>
        <v>-1.9461077844311378E-2</v>
      </c>
    </row>
    <row r="9" spans="1:11" x14ac:dyDescent="0.3">
      <c r="A9" t="s">
        <v>115</v>
      </c>
      <c r="B9" s="8">
        <v>412000000</v>
      </c>
      <c r="C9" s="8">
        <v>572000000</v>
      </c>
      <c r="D9" s="8">
        <v>604000000</v>
      </c>
      <c r="E9" s="8">
        <v>621000000</v>
      </c>
      <c r="F9" s="8"/>
      <c r="G9" s="8"/>
      <c r="H9" s="14">
        <f t="shared" si="0"/>
        <v>32000000</v>
      </c>
      <c r="I9" s="21">
        <f t="shared" si="1"/>
        <v>5.5944055944055944E-2</v>
      </c>
      <c r="J9" s="14">
        <f t="shared" si="2"/>
        <v>17000000</v>
      </c>
      <c r="K9" s="21">
        <f t="shared" si="3"/>
        <v>2.8145695364238412E-2</v>
      </c>
    </row>
    <row r="10" spans="1:11" x14ac:dyDescent="0.3">
      <c r="A10" t="s">
        <v>116</v>
      </c>
      <c r="B10" s="8">
        <v>23000000</v>
      </c>
      <c r="C10" s="8">
        <v>16000000</v>
      </c>
      <c r="D10" s="8">
        <v>28000000</v>
      </c>
      <c r="E10" s="8">
        <v>48000000</v>
      </c>
      <c r="F10" s="8"/>
      <c r="G10" s="8"/>
      <c r="H10" s="14">
        <f t="shared" si="0"/>
        <v>12000000</v>
      </c>
      <c r="I10" s="21">
        <f t="shared" si="1"/>
        <v>0.75</v>
      </c>
      <c r="J10" s="14">
        <f t="shared" si="2"/>
        <v>20000000</v>
      </c>
      <c r="K10" s="21">
        <f t="shared" si="3"/>
        <v>0.7142857142857143</v>
      </c>
    </row>
    <row r="11" spans="1:11" x14ac:dyDescent="0.3">
      <c r="A11" t="s">
        <v>117</v>
      </c>
      <c r="B11" s="8">
        <v>390000000</v>
      </c>
      <c r="C11" s="8">
        <v>363000000</v>
      </c>
      <c r="D11" s="8">
        <v>343000000</v>
      </c>
      <c r="E11" s="8">
        <v>363000000</v>
      </c>
      <c r="F11" s="8"/>
      <c r="G11" s="8"/>
      <c r="H11" s="14">
        <f t="shared" si="0"/>
        <v>-20000000</v>
      </c>
      <c r="I11" s="21">
        <f t="shared" si="1"/>
        <v>-5.5096418732782371E-2</v>
      </c>
      <c r="J11" s="14">
        <f t="shared" si="2"/>
        <v>20000000</v>
      </c>
      <c r="K11" s="21">
        <f t="shared" si="3"/>
        <v>5.8309037900874633E-2</v>
      </c>
    </row>
    <row r="12" spans="1:11" x14ac:dyDescent="0.3">
      <c r="A12" t="s">
        <v>118</v>
      </c>
      <c r="B12" s="8">
        <v>14000000</v>
      </c>
      <c r="C12" s="8">
        <v>17000000</v>
      </c>
      <c r="D12" s="8">
        <v>23000000</v>
      </c>
      <c r="E12" s="8">
        <v>31000000</v>
      </c>
      <c r="F12" s="8"/>
      <c r="G12" s="8"/>
      <c r="H12" s="14">
        <f t="shared" si="0"/>
        <v>6000000</v>
      </c>
      <c r="I12" s="21">
        <f t="shared" si="1"/>
        <v>0.35294117647058826</v>
      </c>
      <c r="J12" s="14">
        <f t="shared" si="2"/>
        <v>8000000</v>
      </c>
      <c r="K12" s="21">
        <f t="shared" si="3"/>
        <v>0.34782608695652173</v>
      </c>
    </row>
    <row r="13" spans="1:11" x14ac:dyDescent="0.3">
      <c r="A13" t="s">
        <v>119</v>
      </c>
      <c r="B13" s="8">
        <v>5000000</v>
      </c>
      <c r="C13" s="8">
        <v>7000000</v>
      </c>
      <c r="D13" s="8">
        <v>13000000</v>
      </c>
      <c r="E13" s="8">
        <v>18000000</v>
      </c>
      <c r="F13" s="8"/>
      <c r="G13" s="8"/>
      <c r="H13" s="14">
        <f t="shared" si="0"/>
        <v>6000000</v>
      </c>
      <c r="I13" s="21">
        <f t="shared" si="1"/>
        <v>0.8571428571428571</v>
      </c>
      <c r="J13" s="14">
        <f t="shared" si="2"/>
        <v>5000000</v>
      </c>
      <c r="K13" s="21">
        <f t="shared" si="3"/>
        <v>0.38461538461538464</v>
      </c>
    </row>
    <row r="14" spans="1:11" x14ac:dyDescent="0.3">
      <c r="B14" s="40">
        <f>SUM(B2:B13)</f>
        <v>37597000000</v>
      </c>
      <c r="C14" s="40">
        <f t="shared" ref="C14:E14" si="4">SUM(C2:C13)</f>
        <v>38369000000</v>
      </c>
      <c r="D14" s="40">
        <f t="shared" si="4"/>
        <v>39289000000</v>
      </c>
      <c r="E14" s="40">
        <f t="shared" si="4"/>
        <v>42234000000</v>
      </c>
      <c r="F14" s="8"/>
      <c r="G14" s="8"/>
      <c r="H14" s="14">
        <f t="shared" ref="H14" si="5">D14-C14</f>
        <v>920000000</v>
      </c>
      <c r="I14" s="21">
        <f t="shared" ref="I14" si="6">(D14-C14)/C14</f>
        <v>2.3977690322916939E-2</v>
      </c>
      <c r="J14" s="14">
        <f t="shared" ref="J14" si="7">E14-D14</f>
        <v>2945000000</v>
      </c>
      <c r="K14" s="21">
        <f t="shared" ref="K14" si="8">(E14-D14)/D14</f>
        <v>7.4957367202015832E-2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7FB93939-64AE-4DF6-A60B-66E2F30C862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Sheet3!B1:E1</xm:f>
              <xm:sqref>F1</xm:sqref>
            </x14:sparkline>
            <x14:sparkline>
              <xm:f>Sheet3!B2:E2</xm:f>
              <xm:sqref>F2</xm:sqref>
            </x14:sparkline>
            <x14:sparkline>
              <xm:f>Sheet3!B3:E3</xm:f>
              <xm:sqref>F3</xm:sqref>
            </x14:sparkline>
            <x14:sparkline>
              <xm:f>Sheet3!B4:E4</xm:f>
              <xm:sqref>F4</xm:sqref>
            </x14:sparkline>
            <x14:sparkline>
              <xm:f>Sheet3!B5:E5</xm:f>
              <xm:sqref>F5</xm:sqref>
            </x14:sparkline>
            <x14:sparkline>
              <xm:f>Sheet3!B6:E6</xm:f>
              <xm:sqref>F6</xm:sqref>
            </x14:sparkline>
            <x14:sparkline>
              <xm:f>Sheet3!B7:E7</xm:f>
              <xm:sqref>F7</xm:sqref>
            </x14:sparkline>
            <x14:sparkline>
              <xm:f>Sheet3!B8:E8</xm:f>
              <xm:sqref>F8</xm:sqref>
            </x14:sparkline>
            <x14:sparkline>
              <xm:f>Sheet3!B9:E9</xm:f>
              <xm:sqref>F9</xm:sqref>
            </x14:sparkline>
            <x14:sparkline>
              <xm:f>Sheet3!B10:E10</xm:f>
              <xm:sqref>F10</xm:sqref>
            </x14:sparkline>
            <x14:sparkline>
              <xm:f>Sheet3!B11:E11</xm:f>
              <xm:sqref>F11</xm:sqref>
            </x14:sparkline>
            <x14:sparkline>
              <xm:f>Sheet3!B12:E12</xm:f>
              <xm:sqref>F12</xm:sqref>
            </x14:sparkline>
            <x14:sparkline>
              <xm:f>Sheet3!B13:E13</xm:f>
              <xm:sqref>F13</xm:sqref>
            </x14:sparkline>
            <x14:sparkline>
              <xm:f>Sheet3!B14:E14</xm:f>
              <xm:sqref>F14</xm:sqref>
            </x14:sparkline>
          </x14:sparklines>
        </x14:sparklineGroup>
        <x14:sparklineGroup displayEmptyCellsAs="span" negative="1" xr2:uid="{108EA795-FA5F-4C91-A3BE-121BEEC6475F}">
          <x14:colorSeries rgb="FF0070C0"/>
          <x14:colorNegative rgb="FFFF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Sheet3!B1:E1</xm:f>
              <xm:sqref>G1</xm:sqref>
            </x14:sparkline>
            <x14:sparkline>
              <xm:f>Sheet3!B2:E2</xm:f>
              <xm:sqref>G2</xm:sqref>
            </x14:sparkline>
            <x14:sparkline>
              <xm:f>Sheet3!B3:E3</xm:f>
              <xm:sqref>G3</xm:sqref>
            </x14:sparkline>
            <x14:sparkline>
              <xm:f>Sheet3!B4:E4</xm:f>
              <xm:sqref>G4</xm:sqref>
            </x14:sparkline>
            <x14:sparkline>
              <xm:f>Sheet3!B5:E5</xm:f>
              <xm:sqref>G5</xm:sqref>
            </x14:sparkline>
            <x14:sparkline>
              <xm:f>Sheet3!B6:E6</xm:f>
              <xm:sqref>G6</xm:sqref>
            </x14:sparkline>
            <x14:sparkline>
              <xm:f>Sheet3!B7:E7</xm:f>
              <xm:sqref>G7</xm:sqref>
            </x14:sparkline>
            <x14:sparkline>
              <xm:f>Sheet3!B8:E8</xm:f>
              <xm:sqref>G8</xm:sqref>
            </x14:sparkline>
            <x14:sparkline>
              <xm:f>Sheet3!B9:E9</xm:f>
              <xm:sqref>G9</xm:sqref>
            </x14:sparkline>
            <x14:sparkline>
              <xm:f>Sheet3!B10:E10</xm:f>
              <xm:sqref>G10</xm:sqref>
            </x14:sparkline>
            <x14:sparkline>
              <xm:f>Sheet3!B11:E11</xm:f>
              <xm:sqref>G11</xm:sqref>
            </x14:sparkline>
            <x14:sparkline>
              <xm:f>Sheet3!B12:E12</xm:f>
              <xm:sqref>G12</xm:sqref>
            </x14:sparkline>
            <x14:sparkline>
              <xm:f>Sheet3!B13:E13</xm:f>
              <xm:sqref>G13</xm:sqref>
            </x14:sparkline>
            <x14:sparkline>
              <xm:f>Sheet3!B14:E14</xm:f>
              <xm:sqref>G14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C9160-76DC-479E-A53A-807999413F51}">
  <dimension ref="A1:M1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4" x14ac:dyDescent="0.3"/>
  <cols>
    <col min="1" max="1" width="29.77734375" bestFit="1" customWidth="1"/>
    <col min="2" max="5" width="15.6640625" bestFit="1" customWidth="1"/>
    <col min="6" max="6" width="14.109375" customWidth="1"/>
    <col min="7" max="7" width="14.88671875" bestFit="1" customWidth="1"/>
    <col min="8" max="8" width="13.109375" bestFit="1" customWidth="1"/>
    <col min="9" max="9" width="14.88671875" bestFit="1" customWidth="1"/>
    <col min="10" max="10" width="13.109375" bestFit="1" customWidth="1"/>
    <col min="11" max="11" width="13.77734375" customWidth="1"/>
    <col min="12" max="12" width="10.5546875" customWidth="1"/>
    <col min="13" max="13" width="29.77734375" customWidth="1"/>
  </cols>
  <sheetData>
    <row r="1" spans="1:13" x14ac:dyDescent="0.3">
      <c r="A1" s="49" t="s">
        <v>34</v>
      </c>
      <c r="B1" s="49"/>
      <c r="C1" s="49"/>
      <c r="D1" s="49"/>
      <c r="E1" s="49"/>
      <c r="F1" s="6" t="s">
        <v>42</v>
      </c>
      <c r="G1" s="50" t="s">
        <v>27</v>
      </c>
      <c r="H1" s="50"/>
      <c r="I1" s="50"/>
      <c r="J1" s="50"/>
      <c r="K1" s="51" t="s">
        <v>29</v>
      </c>
      <c r="L1" s="51"/>
      <c r="M1" s="16" t="s">
        <v>43</v>
      </c>
    </row>
    <row r="2" spans="1:13" x14ac:dyDescent="0.3">
      <c r="A2" s="49" t="s">
        <v>91</v>
      </c>
      <c r="B2" s="49"/>
      <c r="C2" s="49"/>
      <c r="D2" s="49"/>
      <c r="E2" s="49"/>
      <c r="F2" s="6"/>
      <c r="G2" s="11"/>
      <c r="H2" s="11"/>
      <c r="I2" s="11"/>
      <c r="J2" s="12"/>
      <c r="K2" s="17"/>
      <c r="L2" s="17"/>
      <c r="M2" s="5"/>
    </row>
    <row r="3" spans="1:13" x14ac:dyDescent="0.3">
      <c r="B3" s="1">
        <v>2021</v>
      </c>
      <c r="C3" s="1">
        <v>2022</v>
      </c>
      <c r="D3" s="1">
        <v>2023</v>
      </c>
      <c r="E3" s="1">
        <v>2024</v>
      </c>
      <c r="F3" s="1" t="s">
        <v>92</v>
      </c>
      <c r="G3" s="13" t="s">
        <v>96</v>
      </c>
      <c r="H3" s="13" t="s">
        <v>97</v>
      </c>
      <c r="I3" s="13" t="s">
        <v>98</v>
      </c>
      <c r="J3" s="13" t="s">
        <v>99</v>
      </c>
      <c r="K3" s="16">
        <v>2023</v>
      </c>
      <c r="L3" s="16">
        <v>2024</v>
      </c>
      <c r="M3" s="5"/>
    </row>
    <row r="4" spans="1:13" ht="14.4" customHeight="1" x14ac:dyDescent="0.3">
      <c r="A4" t="s">
        <v>35</v>
      </c>
      <c r="B4" s="29">
        <v>2837000000</v>
      </c>
      <c r="C4" s="29">
        <v>2690000000</v>
      </c>
      <c r="D4" s="29">
        <v>2807000000</v>
      </c>
      <c r="E4" s="29">
        <v>2793000000</v>
      </c>
      <c r="G4" s="8">
        <f>D4-C4</f>
        <v>117000000</v>
      </c>
      <c r="H4" s="18">
        <f>(D4-C4)/C4</f>
        <v>4.3494423791821564E-2</v>
      </c>
      <c r="I4" s="8">
        <f>E4-D4</f>
        <v>-14000000</v>
      </c>
      <c r="J4" s="18">
        <f>I4/D4</f>
        <v>-4.9875311720698253E-3</v>
      </c>
      <c r="K4" s="10">
        <f>D4/'Income Statement - COL'!D5</f>
        <v>6.9337746708494921E-2</v>
      </c>
      <c r="L4" s="10">
        <f>E4/'Income Statement - COL'!E5</f>
        <v>6.4102269858392055E-2</v>
      </c>
      <c r="M4" s="52" t="s">
        <v>44</v>
      </c>
    </row>
    <row r="5" spans="1:13" x14ac:dyDescent="0.3">
      <c r="A5" t="s">
        <v>36</v>
      </c>
      <c r="B5" s="29">
        <v>-1106000000</v>
      </c>
      <c r="C5" s="29">
        <v>-1142000000</v>
      </c>
      <c r="D5" s="29">
        <v>-1000000000</v>
      </c>
      <c r="E5" s="29">
        <v>-1513000000</v>
      </c>
      <c r="G5" s="8">
        <f t="shared" ref="G5:G6" si="0">D5-C5</f>
        <v>142000000</v>
      </c>
      <c r="H5" s="18">
        <f t="shared" ref="H5:H6" si="1">(D5-C5)/C5</f>
        <v>-0.12434325744308231</v>
      </c>
      <c r="I5" s="8">
        <f t="shared" ref="I5" si="2">E5-D5</f>
        <v>-513000000</v>
      </c>
      <c r="J5" s="18">
        <f t="shared" ref="J5:J6" si="3">I5/D5</f>
        <v>0.51300000000000001</v>
      </c>
      <c r="K5" s="10">
        <f>D5/'Income Statement - COL'!D5</f>
        <v>-2.4701726650692882E-2</v>
      </c>
      <c r="L5" s="10">
        <f>E5/'Income Statement - COL'!E5</f>
        <v>-3.4724931720639875E-2</v>
      </c>
      <c r="M5" s="52"/>
    </row>
    <row r="6" spans="1:13" x14ac:dyDescent="0.3">
      <c r="A6" t="s">
        <v>37</v>
      </c>
      <c r="B6" s="29">
        <v>-1936000000</v>
      </c>
      <c r="C6" s="29">
        <v>-1746000000</v>
      </c>
      <c r="D6" s="29">
        <v>-1799000000</v>
      </c>
      <c r="E6" s="29">
        <v>-1202000000</v>
      </c>
      <c r="G6" s="8">
        <f t="shared" si="0"/>
        <v>-53000000</v>
      </c>
      <c r="H6" s="18">
        <f t="shared" si="1"/>
        <v>3.0355097365406643E-2</v>
      </c>
      <c r="I6" s="8">
        <f>E6-D6</f>
        <v>597000000</v>
      </c>
      <c r="J6" s="18">
        <f t="shared" si="3"/>
        <v>-0.33185102834908281</v>
      </c>
      <c r="K6" s="10">
        <f>D6/'Income Statement - COL'!D5</f>
        <v>-4.4438406244596496E-2</v>
      </c>
      <c r="L6" s="10">
        <f>E6/'Income Statement - COL'!E5</f>
        <v>-2.7587156594982901E-2</v>
      </c>
      <c r="M6" s="52"/>
    </row>
    <row r="7" spans="1:13" x14ac:dyDescent="0.3">
      <c r="B7" s="29"/>
      <c r="M7" s="52"/>
    </row>
    <row r="8" spans="1:13" x14ac:dyDescent="0.3">
      <c r="M8" s="52"/>
    </row>
    <row r="9" spans="1:13" x14ac:dyDescent="0.3">
      <c r="M9" s="52"/>
    </row>
    <row r="10" spans="1:13" x14ac:dyDescent="0.3">
      <c r="M10" s="52"/>
    </row>
    <row r="11" spans="1:13" x14ac:dyDescent="0.3">
      <c r="M11" s="52"/>
    </row>
    <row r="12" spans="1:13" x14ac:dyDescent="0.3">
      <c r="M12" s="52"/>
    </row>
    <row r="13" spans="1:13" x14ac:dyDescent="0.3">
      <c r="M13" s="52"/>
    </row>
  </sheetData>
  <mergeCells count="5">
    <mergeCell ref="M4:M13"/>
    <mergeCell ref="A1:E1"/>
    <mergeCell ref="A2:E2"/>
    <mergeCell ref="G1:J1"/>
    <mergeCell ref="K1:L1"/>
  </mergeCells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C4CDE247-F322-4BD1-84A4-34665FD3111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 - COL'!B4:E4</xm:f>
              <xm:sqref>F4</xm:sqref>
            </x14:sparkline>
            <x14:sparkline>
              <xm:f>'Cash Flow Statement - COL'!B5:E5</xm:f>
              <xm:sqref>F5</xm:sqref>
            </x14:sparkline>
            <x14:sparkline>
              <xm:f>'Cash Flow Statement - COL'!B6:E6</xm:f>
              <xm:sqref>F6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372C-B256-41C0-AD2B-07473E687B2F}">
  <dimension ref="A1:M1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4" x14ac:dyDescent="0.3"/>
  <cols>
    <col min="1" max="1" width="29.77734375" bestFit="1" customWidth="1"/>
    <col min="2" max="5" width="15.6640625" bestFit="1" customWidth="1"/>
    <col min="6" max="6" width="14.109375" customWidth="1"/>
    <col min="7" max="7" width="16.6640625" customWidth="1"/>
    <col min="8" max="8" width="13.109375" bestFit="1" customWidth="1"/>
    <col min="9" max="9" width="14.88671875" bestFit="1" customWidth="1"/>
    <col min="10" max="10" width="13.109375" bestFit="1" customWidth="1"/>
    <col min="11" max="11" width="13.77734375" customWidth="1"/>
    <col min="12" max="12" width="10.5546875" customWidth="1"/>
    <col min="13" max="13" width="29.77734375" customWidth="1"/>
  </cols>
  <sheetData>
    <row r="1" spans="1:13" x14ac:dyDescent="0.3">
      <c r="A1" s="49" t="s">
        <v>34</v>
      </c>
      <c r="B1" s="49"/>
      <c r="C1" s="49"/>
      <c r="D1" s="49"/>
      <c r="E1" s="49"/>
      <c r="F1" s="6" t="s">
        <v>42</v>
      </c>
      <c r="G1" s="50" t="s">
        <v>27</v>
      </c>
      <c r="H1" s="50"/>
      <c r="I1" s="50"/>
      <c r="J1" s="50"/>
      <c r="K1" s="51" t="s">
        <v>29</v>
      </c>
      <c r="L1" s="51"/>
      <c r="M1" s="16" t="s">
        <v>43</v>
      </c>
    </row>
    <row r="2" spans="1:13" x14ac:dyDescent="0.3">
      <c r="A2" s="49" t="s">
        <v>91</v>
      </c>
      <c r="B2" s="49"/>
      <c r="C2" s="49"/>
      <c r="D2" s="49"/>
      <c r="E2" s="49"/>
      <c r="F2" s="6"/>
      <c r="G2" s="11"/>
      <c r="H2" s="11"/>
      <c r="I2" s="11"/>
      <c r="J2" s="12"/>
      <c r="K2" s="17"/>
      <c r="L2" s="17"/>
      <c r="M2" s="5"/>
    </row>
    <row r="3" spans="1:13" x14ac:dyDescent="0.3">
      <c r="B3" s="1">
        <v>2021</v>
      </c>
      <c r="C3" s="1">
        <v>2022</v>
      </c>
      <c r="D3" s="1">
        <v>2023</v>
      </c>
      <c r="E3" s="1">
        <v>2024</v>
      </c>
      <c r="F3" s="1" t="s">
        <v>92</v>
      </c>
      <c r="G3" s="13" t="s">
        <v>96</v>
      </c>
      <c r="H3" s="13" t="s">
        <v>97</v>
      </c>
      <c r="I3" s="13" t="s">
        <v>98</v>
      </c>
      <c r="J3" s="13" t="s">
        <v>99</v>
      </c>
      <c r="K3" s="16">
        <v>2023</v>
      </c>
      <c r="L3" s="16">
        <v>2024</v>
      </c>
      <c r="M3" s="5"/>
    </row>
    <row r="4" spans="1:13" ht="14.4" customHeight="1" x14ac:dyDescent="0.3">
      <c r="A4" t="s">
        <v>35</v>
      </c>
      <c r="B4" s="29">
        <v>4624000000</v>
      </c>
      <c r="C4" s="29">
        <v>3378000000</v>
      </c>
      <c r="D4" s="29">
        <v>4754000000</v>
      </c>
      <c r="E4" s="29">
        <v>4359000000</v>
      </c>
      <c r="G4" s="8">
        <f>D4-C4</f>
        <v>1376000000</v>
      </c>
      <c r="H4" s="18">
        <f>(D4-C4)/C4</f>
        <v>0.40734162226169329</v>
      </c>
      <c r="I4" s="8">
        <f>E4-D4</f>
        <v>-395000000</v>
      </c>
      <c r="J4" s="18">
        <f>I4/D4</f>
        <v>-8.3087925957088762E-2</v>
      </c>
      <c r="K4" s="10">
        <f>D4/'Income Statement - WOW'!D5</f>
        <v>7.3941580862910999E-2</v>
      </c>
      <c r="L4" s="10">
        <f>E4/'Income Statement - WOW'!E5</f>
        <v>6.417655546067548E-2</v>
      </c>
      <c r="M4" s="52" t="s">
        <v>44</v>
      </c>
    </row>
    <row r="5" spans="1:13" x14ac:dyDescent="0.3">
      <c r="A5" t="s">
        <v>36</v>
      </c>
      <c r="B5" s="29">
        <v>-2200000000</v>
      </c>
      <c r="C5" s="29">
        <v>-2457000000</v>
      </c>
      <c r="D5" s="29">
        <v>-1844000000</v>
      </c>
      <c r="E5" s="29">
        <v>-2277000000</v>
      </c>
      <c r="G5" s="8">
        <f t="shared" ref="G5:G6" si="0">D5-C5</f>
        <v>613000000</v>
      </c>
      <c r="H5" s="18">
        <f t="shared" ref="H5:H6" si="1">(D5-C5)/C5</f>
        <v>-0.24949124949124948</v>
      </c>
      <c r="I5" s="8">
        <f t="shared" ref="I5:I6" si="2">E5-D5</f>
        <v>-433000000</v>
      </c>
      <c r="J5" s="18">
        <f t="shared" ref="J5:J6" si="3">I5/D5</f>
        <v>0.23481561822125813</v>
      </c>
      <c r="K5" s="10">
        <f>D5/'Income Statement - WOW'!D5</f>
        <v>-2.8680747814726102E-2</v>
      </c>
      <c r="L5" s="10">
        <f>E5/'Income Statement - WOW'!E5</f>
        <v>-3.352374782839139E-2</v>
      </c>
      <c r="M5" s="52"/>
    </row>
    <row r="6" spans="1:13" x14ac:dyDescent="0.3">
      <c r="A6" t="s">
        <v>37</v>
      </c>
      <c r="B6" s="29">
        <v>-3043000000</v>
      </c>
      <c r="C6" s="29">
        <v>-1337000000</v>
      </c>
      <c r="D6" s="29">
        <v>-2809000000</v>
      </c>
      <c r="E6" s="29">
        <v>-1919000000</v>
      </c>
      <c r="G6" s="8">
        <f t="shared" si="0"/>
        <v>-1472000000</v>
      </c>
      <c r="H6" s="18">
        <f t="shared" si="1"/>
        <v>1.100972326103216</v>
      </c>
      <c r="I6" s="8">
        <f t="shared" si="2"/>
        <v>890000000</v>
      </c>
      <c r="J6" s="18">
        <f t="shared" si="3"/>
        <v>-0.3168387326450694</v>
      </c>
      <c r="K6" s="10">
        <f>D6/'Income Statement - WOW'!D5</f>
        <v>-4.3689924409742745E-2</v>
      </c>
      <c r="L6" s="10">
        <f>E6/'Income Statement - WOW'!E5</f>
        <v>-2.8252996083743116E-2</v>
      </c>
      <c r="M6" s="52"/>
    </row>
    <row r="7" spans="1:13" x14ac:dyDescent="0.3">
      <c r="M7" s="52"/>
    </row>
    <row r="8" spans="1:13" x14ac:dyDescent="0.3">
      <c r="M8" s="52"/>
    </row>
    <row r="9" spans="1:13" x14ac:dyDescent="0.3">
      <c r="M9" s="52"/>
    </row>
    <row r="10" spans="1:13" x14ac:dyDescent="0.3">
      <c r="M10" s="52"/>
    </row>
    <row r="11" spans="1:13" x14ac:dyDescent="0.3">
      <c r="M11" s="52"/>
    </row>
    <row r="12" spans="1:13" x14ac:dyDescent="0.3">
      <c r="M12" s="52"/>
    </row>
    <row r="13" spans="1:13" x14ac:dyDescent="0.3">
      <c r="M13" s="52"/>
    </row>
  </sheetData>
  <mergeCells count="5">
    <mergeCell ref="A1:E1"/>
    <mergeCell ref="G1:J1"/>
    <mergeCell ref="K1:L1"/>
    <mergeCell ref="A2:E2"/>
    <mergeCell ref="M4:M13"/>
  </mergeCells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68A96533-6A21-479F-B019-3A796FA7173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 - WOW'!B4:E4</xm:f>
              <xm:sqref>F4</xm:sqref>
            </x14:sparkline>
            <x14:sparkline>
              <xm:f>'Cash Flow Statement - WOW'!B5:E5</xm:f>
              <xm:sqref>F5</xm:sqref>
            </x14:sparkline>
            <x14:sparkline>
              <xm:f>'Cash Flow Statement - WOW'!B6:E6</xm:f>
              <xm:sqref>F6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D1F9-134A-49BD-A48A-77F02529847A}">
  <dimension ref="A1:G4"/>
  <sheetViews>
    <sheetView workbookViewId="0">
      <selection activeCell="A4" sqref="A4:E4"/>
    </sheetView>
  </sheetViews>
  <sheetFormatPr defaultRowHeight="14.4" x14ac:dyDescent="0.3"/>
  <cols>
    <col min="1" max="1" width="23.77734375" customWidth="1"/>
    <col min="2" max="5" width="18.44140625" bestFit="1" customWidth="1"/>
  </cols>
  <sheetData>
    <row r="1" spans="1:7" x14ac:dyDescent="0.3">
      <c r="A1" s="1" t="s">
        <v>129</v>
      </c>
      <c r="B1" s="1">
        <v>2021</v>
      </c>
      <c r="C1" s="1">
        <v>2022</v>
      </c>
      <c r="D1" s="1">
        <v>2023</v>
      </c>
      <c r="E1" s="1">
        <v>2024</v>
      </c>
      <c r="G1" s="1" t="s">
        <v>85</v>
      </c>
    </row>
    <row r="2" spans="1:7" x14ac:dyDescent="0.3">
      <c r="A2" t="s">
        <v>84</v>
      </c>
      <c r="B2" s="8">
        <v>1333900000</v>
      </c>
      <c r="C2" s="8">
        <v>1336100000</v>
      </c>
      <c r="D2" s="8">
        <v>1338400000</v>
      </c>
      <c r="E2" s="8">
        <v>1339400000</v>
      </c>
      <c r="G2" t="s">
        <v>86</v>
      </c>
    </row>
    <row r="3" spans="1:7" x14ac:dyDescent="0.3">
      <c r="A3" t="s">
        <v>82</v>
      </c>
      <c r="B3">
        <v>16.829999999999998</v>
      </c>
      <c r="C3">
        <v>17.809999999999999</v>
      </c>
      <c r="D3">
        <v>18.399999999999999</v>
      </c>
      <c r="E3">
        <v>17.03</v>
      </c>
    </row>
    <row r="4" spans="1:7" x14ac:dyDescent="0.3">
      <c r="A4" t="s">
        <v>83</v>
      </c>
      <c r="B4" s="20">
        <f>B2*B3</f>
        <v>22449536999.999996</v>
      </c>
      <c r="C4" s="20">
        <f t="shared" ref="C4:E4" si="0">C2*C3</f>
        <v>23795941000</v>
      </c>
      <c r="D4" s="20">
        <f t="shared" si="0"/>
        <v>24626560000</v>
      </c>
      <c r="E4" s="20">
        <f t="shared" si="0"/>
        <v>22809982000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59D1-0397-47F5-A924-809930E6BE9F}">
  <dimension ref="A1:G4"/>
  <sheetViews>
    <sheetView workbookViewId="0">
      <selection activeCell="E14" sqref="E14"/>
    </sheetView>
  </sheetViews>
  <sheetFormatPr defaultRowHeight="14.4" x14ac:dyDescent="0.3"/>
  <cols>
    <col min="1" max="1" width="22.77734375" customWidth="1"/>
    <col min="2" max="4" width="18.44140625" bestFit="1" customWidth="1"/>
    <col min="5" max="5" width="19.44140625" bestFit="1" customWidth="1"/>
  </cols>
  <sheetData>
    <row r="1" spans="1:7" x14ac:dyDescent="0.3">
      <c r="A1" s="1" t="s">
        <v>129</v>
      </c>
      <c r="B1" s="1">
        <v>2021</v>
      </c>
      <c r="C1" s="1">
        <v>2022</v>
      </c>
      <c r="D1" s="1">
        <v>2023</v>
      </c>
      <c r="E1" s="1">
        <v>2024</v>
      </c>
      <c r="G1" s="1" t="s">
        <v>85</v>
      </c>
    </row>
    <row r="2" spans="1:7" x14ac:dyDescent="0.3">
      <c r="A2" t="s">
        <v>84</v>
      </c>
      <c r="B2" s="8">
        <v>1267700000</v>
      </c>
      <c r="C2" s="8">
        <v>1213900000</v>
      </c>
      <c r="D2" s="8">
        <v>1218700000</v>
      </c>
      <c r="E2" s="8">
        <v>1221600000</v>
      </c>
      <c r="G2" t="s">
        <v>86</v>
      </c>
    </row>
    <row r="3" spans="1:7" x14ac:dyDescent="0.3">
      <c r="A3" t="s">
        <v>82</v>
      </c>
      <c r="B3">
        <v>42.88</v>
      </c>
      <c r="C3">
        <v>35.46</v>
      </c>
      <c r="D3">
        <v>39.86</v>
      </c>
      <c r="E3">
        <v>33.79</v>
      </c>
    </row>
    <row r="4" spans="1:7" x14ac:dyDescent="0.3">
      <c r="A4" t="s">
        <v>83</v>
      </c>
      <c r="B4" s="20">
        <f>B2*B3</f>
        <v>54358976000</v>
      </c>
      <c r="C4" s="20">
        <f t="shared" ref="C4" si="0">C2*C3</f>
        <v>43044894000</v>
      </c>
      <c r="D4" s="20">
        <f>D2*D3</f>
        <v>48577382000</v>
      </c>
      <c r="E4" s="20">
        <f>E2*E3</f>
        <v>41277864000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C8713-36CB-40AD-AF12-135F7D9E4210}">
  <dimension ref="A1:I35"/>
  <sheetViews>
    <sheetView tabSelected="1" workbookViewId="0">
      <selection activeCell="F5" sqref="F5"/>
    </sheetView>
  </sheetViews>
  <sheetFormatPr defaultRowHeight="14.4" x14ac:dyDescent="0.3"/>
  <cols>
    <col min="1" max="1" width="25.33203125" customWidth="1"/>
    <col min="2" max="2" width="51" customWidth="1"/>
    <col min="3" max="3" width="10.5546875" bestFit="1" customWidth="1"/>
    <col min="4" max="4" width="10.6640625" bestFit="1" customWidth="1"/>
    <col min="5" max="6" width="9.88671875" bestFit="1" customWidth="1"/>
    <col min="8" max="8" width="67.33203125" customWidth="1"/>
  </cols>
  <sheetData>
    <row r="1" spans="1:9" x14ac:dyDescent="0.3">
      <c r="C1" s="53" t="s">
        <v>122</v>
      </c>
      <c r="D1" s="53"/>
      <c r="E1" s="53"/>
      <c r="F1" s="53"/>
    </row>
    <row r="2" spans="1:9" x14ac:dyDescent="0.3">
      <c r="H2" s="1" t="s">
        <v>43</v>
      </c>
    </row>
    <row r="3" spans="1:9" x14ac:dyDescent="0.3">
      <c r="A3" s="1" t="s">
        <v>31</v>
      </c>
      <c r="B3" s="1" t="s">
        <v>46</v>
      </c>
      <c r="C3" s="1">
        <v>2021</v>
      </c>
      <c r="D3" s="1">
        <v>2022</v>
      </c>
      <c r="E3" s="1">
        <v>2023</v>
      </c>
      <c r="F3" s="1">
        <v>2024</v>
      </c>
    </row>
    <row r="4" spans="1:9" x14ac:dyDescent="0.3">
      <c r="A4" s="5" t="s">
        <v>72</v>
      </c>
      <c r="B4" s="5" t="s">
        <v>47</v>
      </c>
      <c r="C4" s="26"/>
      <c r="D4" s="26">
        <f>'Income Statement - COL'!C25/AVERAGE('Balance Sheet - COL'!$B$44:$C$44)</f>
        <v>0.3530402560215597</v>
      </c>
      <c r="E4" s="26">
        <f>'Income Statement - COL'!D25/AVERAGE('Balance Sheet - COL'!$C$44:$D$44)</f>
        <v>0.33888888888888891</v>
      </c>
      <c r="F4" s="26">
        <f>'Income Statement - COL'!E25/AVERAGE('Balance Sheet - COL'!$D$44:$E$44)</f>
        <v>0.32066542377742724</v>
      </c>
      <c r="H4" t="s">
        <v>151</v>
      </c>
    </row>
    <row r="5" spans="1:9" x14ac:dyDescent="0.3">
      <c r="A5" t="s">
        <v>73</v>
      </c>
      <c r="B5" t="s">
        <v>48</v>
      </c>
      <c r="C5" s="19"/>
      <c r="D5" s="19">
        <f>'Income Statement - COL'!C25/AVERAGE(('Balance Sheet - COL'!C21+'Balance Sheet - COL'!C12),('Balance Sheet - COL'!B21+'Balance Sheet - COL'!B12))</f>
        <v>5.6711491111772504E-2</v>
      </c>
      <c r="E5" s="19">
        <f>'Income Statement - COL'!D25/AVERAGE(('Balance Sheet - COL'!D21+'Balance Sheet - COL'!D12),('Balance Sheet - COL'!C21+'Balance Sheet - COL'!C12))</f>
        <v>5.9146735617323851E-2</v>
      </c>
      <c r="F5" s="19">
        <f>'Income Statement - COL'!E25/AVERAGE(('Balance Sheet - COL'!E21+'Balance Sheet - COL'!E12),('Balance Sheet - COL'!D21+'Balance Sheet - COL'!D12))</f>
        <v>5.8592316964519678E-2</v>
      </c>
      <c r="H5" t="s">
        <v>152</v>
      </c>
      <c r="I5" t="s">
        <v>153</v>
      </c>
    </row>
    <row r="6" spans="1:9" x14ac:dyDescent="0.3">
      <c r="A6" t="s">
        <v>74</v>
      </c>
      <c r="B6" t="s">
        <v>49</v>
      </c>
      <c r="C6" s="19">
        <f>'Income Statement - COL'!B25/'Income Statement - COL'!B5</f>
        <v>2.6061926248638557E-2</v>
      </c>
      <c r="D6" s="19">
        <f>'Income Statement - COL'!C25/'Income Statement - COL'!C5</f>
        <v>2.6619929386065177E-2</v>
      </c>
      <c r="E6" s="19">
        <f>'Income Statement - COL'!D25/'Income Statement - COL'!D5</f>
        <v>2.7122495862460787E-2</v>
      </c>
      <c r="F6" s="19">
        <f>'Income Statement - COL'!E25/'Income Statement - COL'!E5</f>
        <v>2.5659268779692913E-2</v>
      </c>
    </row>
    <row r="7" spans="1:9" x14ac:dyDescent="0.3">
      <c r="A7" t="s">
        <v>50</v>
      </c>
      <c r="B7" t="s">
        <v>51</v>
      </c>
      <c r="C7" s="19">
        <f>'Cash Flow Statement - COL'!B4/'Income Statement - COL'!B5</f>
        <v>7.3569835589440385E-2</v>
      </c>
      <c r="D7" s="19">
        <f>'Cash Flow Statement - COL'!C4/'Income Statement - COL'!C5</f>
        <v>6.8327872183697833E-2</v>
      </c>
      <c r="E7" s="19">
        <f>'Cash Flow Statement - COL'!D4/'Income Statement - COL'!D5</f>
        <v>6.9337746708494921E-2</v>
      </c>
      <c r="F7" s="19">
        <f>'Cash Flow Statement - COL'!E4/'Income Statement - COL'!E5</f>
        <v>6.4102269858392055E-2</v>
      </c>
    </row>
    <row r="8" spans="1:9" x14ac:dyDescent="0.3">
      <c r="C8" s="19"/>
      <c r="D8" s="19"/>
      <c r="E8" s="19"/>
      <c r="F8" s="19"/>
    </row>
    <row r="9" spans="1:9" x14ac:dyDescent="0.3">
      <c r="A9" s="1" t="s">
        <v>45</v>
      </c>
      <c r="B9" s="1"/>
    </row>
    <row r="10" spans="1:9" x14ac:dyDescent="0.3">
      <c r="A10" t="s">
        <v>75</v>
      </c>
      <c r="B10" t="s">
        <v>52</v>
      </c>
      <c r="C10" s="7"/>
      <c r="D10" s="7">
        <f>'Income Statement - COL'!C5/AVERAGE('Balance Sheet - COL'!B23:C23)</f>
        <v>2.130414783949782</v>
      </c>
      <c r="E10" s="7">
        <f>'Income Statement - COL'!D5/AVERAGE('Balance Sheet - COL'!C23:D23)</f>
        <v>2.1807261366084894</v>
      </c>
      <c r="F10" s="7">
        <f>'Income Statement - COL'!E5/AVERAGE('Balance Sheet - COL'!D23:E23)</f>
        <v>2.2834757088202924</v>
      </c>
    </row>
    <row r="11" spans="1:9" x14ac:dyDescent="0.3">
      <c r="A11" t="s">
        <v>53</v>
      </c>
      <c r="B11" t="s">
        <v>54</v>
      </c>
      <c r="C11" s="7"/>
      <c r="D11" s="7">
        <f>AVERAGE('Balance Sheet - COL'!B9:C9)/SUM('Income Statement - COL'!C9)*365</f>
        <v>28.459003765833621</v>
      </c>
      <c r="E11" s="7">
        <f>AVERAGE('Balance Sheet - COL'!C9:D9)/SUM('Income Statement - COL'!D9)*365</f>
        <v>28.990727175867352</v>
      </c>
      <c r="F11" s="7">
        <f>AVERAGE('Balance Sheet - COL'!D9:E9)/SUM('Income Statement - COL'!E9)*365</f>
        <v>28.398557230874022</v>
      </c>
    </row>
    <row r="12" spans="1:9" x14ac:dyDescent="0.3">
      <c r="A12" t="s">
        <v>38</v>
      </c>
      <c r="B12" t="s">
        <v>55</v>
      </c>
      <c r="C12" s="7"/>
      <c r="D12" s="7">
        <f>AVERAGE('Balance Sheet - COL'!B7:C7)/'Income Statement - COL'!C5*365</f>
        <v>3.8846554395590438</v>
      </c>
      <c r="E12" s="7">
        <f>AVERAGE('Balance Sheet - COL'!C7:D7)/'Income Statement - COL'!D5*365</f>
        <v>4.8461699972828098</v>
      </c>
      <c r="F12" s="7">
        <f>AVERAGE('Balance Sheet - COL'!D7:E7)/'Income Statement - COL'!E5*365</f>
        <v>4.6116109338780378</v>
      </c>
    </row>
    <row r="13" spans="1:9" x14ac:dyDescent="0.3">
      <c r="A13" s="1"/>
      <c r="B13" s="1"/>
    </row>
    <row r="14" spans="1:9" x14ac:dyDescent="0.3">
      <c r="A14" s="1" t="s">
        <v>56</v>
      </c>
      <c r="B14" s="1"/>
    </row>
    <row r="15" spans="1:9" x14ac:dyDescent="0.3">
      <c r="A15" t="s">
        <v>32</v>
      </c>
      <c r="B15" t="s">
        <v>57</v>
      </c>
      <c r="C15" s="7">
        <f>'Balance Sheet - COL'!B12/'Balance Sheet - COL'!B30</f>
        <v>0.59013576215844643</v>
      </c>
      <c r="D15" s="7">
        <f>'Balance Sheet - COL'!C12/'Balance Sheet - COL'!C30</f>
        <v>0.58472330475448164</v>
      </c>
      <c r="E15" s="7">
        <f>'Balance Sheet - COL'!D12/'Balance Sheet - COL'!D30</f>
        <v>0.58551810237203494</v>
      </c>
      <c r="F15" s="7">
        <f>'Balance Sheet - COL'!E12/'Balance Sheet - COL'!E30</f>
        <v>0.58868704770344116</v>
      </c>
    </row>
    <row r="16" spans="1:9" x14ac:dyDescent="0.3">
      <c r="A16" t="s">
        <v>33</v>
      </c>
      <c r="B16" t="s">
        <v>58</v>
      </c>
      <c r="C16" s="7">
        <f>('Balance Sheet - COL'!B12-'Balance Sheet - COL'!B9-'Balance Sheet - COL'!B8)/'Balance Sheet - COL'!B30</f>
        <v>0.2134387351778656</v>
      </c>
      <c r="D16" s="7">
        <f>('Balance Sheet - COL'!C12-'Balance Sheet - COL'!C9-'Balance Sheet - COL'!C8)/'Balance Sheet - COL'!C30</f>
        <v>0.19017926734216681</v>
      </c>
      <c r="E16" s="7">
        <f>('Balance Sheet - COL'!D12-'Balance Sheet - COL'!D9-'Balance Sheet - COL'!D8)/'Balance Sheet - COL'!D30</f>
        <v>0.21020599250936331</v>
      </c>
      <c r="F16" s="7">
        <f>('Balance Sheet - COL'!E12-'Balance Sheet - COL'!E9-'Balance Sheet - COL'!E8)/'Balance Sheet - COL'!E30</f>
        <v>0.17442032196130558</v>
      </c>
    </row>
    <row r="17" spans="1:6" x14ac:dyDescent="0.3">
      <c r="A17" t="s">
        <v>60</v>
      </c>
      <c r="B17" t="s">
        <v>59</v>
      </c>
      <c r="C17" s="7">
        <f>'Cash Flow Statement - COL'!B4/'Balance Sheet - COL'!B30</f>
        <v>0.48754081457295068</v>
      </c>
      <c r="D17" s="7">
        <f>'Cash Flow Statement - COL'!C4/'Balance Sheet - COL'!C30</f>
        <v>0.41932969602494152</v>
      </c>
      <c r="E17" s="7">
        <f>'Cash Flow Statement - COL'!D4/'Balance Sheet - COL'!D30</f>
        <v>0.43804619225967539</v>
      </c>
      <c r="F17" s="7">
        <f>'Cash Flow Statement - COL'!E4/'Balance Sheet - COL'!E30</f>
        <v>0.41249446167478954</v>
      </c>
    </row>
    <row r="19" spans="1:6" x14ac:dyDescent="0.3">
      <c r="A19" s="1" t="s">
        <v>61</v>
      </c>
      <c r="B19" s="1"/>
    </row>
    <row r="20" spans="1:6" x14ac:dyDescent="0.3">
      <c r="A20" t="s">
        <v>76</v>
      </c>
      <c r="B20" t="s">
        <v>62</v>
      </c>
      <c r="C20" s="27">
        <f>'Balance Sheet - COL'!B38/'Balance Sheet - COL'!B46</f>
        <v>5.4425879843583367</v>
      </c>
      <c r="D20" s="27">
        <f>'Balance Sheet - COL'!C38/'Balance Sheet - COL'!C46</f>
        <v>5.0294494238156213</v>
      </c>
      <c r="E20" s="27">
        <f>'Balance Sheet - COL'!D38/'Balance Sheet - COL'!D46</f>
        <v>4.4505363528009534</v>
      </c>
      <c r="F20" s="27">
        <f>'Balance Sheet - COL'!E38/'Balance Sheet - COL'!E46</f>
        <v>4.4935029029582525</v>
      </c>
    </row>
    <row r="21" spans="1:6" x14ac:dyDescent="0.3">
      <c r="A21" t="s">
        <v>39</v>
      </c>
      <c r="B21" t="s">
        <v>63</v>
      </c>
      <c r="C21" s="27">
        <f>'Balance Sheet - COL'!B38/'Balance Sheet - COL'!B23</f>
        <v>0.8447828725928378</v>
      </c>
      <c r="D21" s="27">
        <f>'Balance Sheet - COL'!C38/'Balance Sheet - COL'!C23</f>
        <v>0.83414737736249733</v>
      </c>
      <c r="E21" s="27">
        <f>'Balance Sheet - COL'!D38/'Balance Sheet - COL'!D23</f>
        <v>0.81653181718784162</v>
      </c>
      <c r="F21" s="27">
        <f>'Balance Sheet - COL'!E38/'Balance Sheet - COL'!E23</f>
        <v>0.81796678409662804</v>
      </c>
    </row>
    <row r="22" spans="1:6" x14ac:dyDescent="0.3">
      <c r="A22" t="s">
        <v>65</v>
      </c>
      <c r="B22" t="s">
        <v>64</v>
      </c>
      <c r="C22" s="27">
        <f>'Balance Sheet - COL'!B44/'Balance Sheet - COL'!B23</f>
        <v>0.15521712740716218</v>
      </c>
      <c r="D22" s="27">
        <f>'Balance Sheet - COL'!C44/'Balance Sheet - COL'!C23</f>
        <v>0.16585262263750267</v>
      </c>
      <c r="E22" s="27">
        <f>'Balance Sheet - COL'!D44/'Balance Sheet - COL'!D23</f>
        <v>0.18346818281215832</v>
      </c>
      <c r="F22" s="27">
        <f>'Balance Sheet - COL'!E44/'Balance Sheet - COL'!E23</f>
        <v>0.18203321590337193</v>
      </c>
    </row>
    <row r="23" spans="1:6" x14ac:dyDescent="0.3">
      <c r="A23" t="s">
        <v>66</v>
      </c>
      <c r="B23" t="s">
        <v>67</v>
      </c>
      <c r="C23" s="7">
        <f>('Income Statement - COL'!B25-SUM('Income Statement - COL'!B17:B18)-'Income Statement - COL'!B18)/SUM('Income Statement - COL'!B17:B18)</f>
        <v>0.48910411622276029</v>
      </c>
      <c r="D23" s="7">
        <f>('Income Statement - COL'!C25-SUM('Income Statement - COL'!C17:C18)-'Income Statement - COL'!C18)/SUM('Income Statement - COL'!C17:C18)</f>
        <v>0.80738786279683372</v>
      </c>
      <c r="E23" s="7">
        <f>('Income Statement - COL'!D25-SUM('Income Statement - COL'!D17:D18)-'Income Statement - COL'!D18)/SUM('Income Statement - COL'!D17:D18)</f>
        <v>1.0350404312668464</v>
      </c>
      <c r="F23" s="7">
        <f>('Income Statement - COL'!E25-SUM('Income Statement - COL'!E17:E18)-'Income Statement - COL'!E18)/SUM('Income Statement - COL'!E17:E18)</f>
        <v>0.83698296836982966</v>
      </c>
    </row>
    <row r="24" spans="1:6" x14ac:dyDescent="0.3">
      <c r="A24" t="s">
        <v>68</v>
      </c>
      <c r="B24" t="s">
        <v>69</v>
      </c>
      <c r="C24" s="7">
        <f>'Balance Sheet - COL'!B36/'Cash Flow Statement - COL'!B4</f>
        <v>3.3454353189989425</v>
      </c>
      <c r="D24" s="7">
        <f>'Balance Sheet - COL'!C36/'Cash Flow Statement - COL'!C4</f>
        <v>3.4561338289962826</v>
      </c>
      <c r="E24" s="7">
        <f>'Balance Sheet - COL'!D36/'Cash Flow Statement - COL'!D4</f>
        <v>3.0381189882436765</v>
      </c>
      <c r="F24" s="7">
        <f>'Balance Sheet - COL'!E36/'Cash Flow Statement - COL'!E4</f>
        <v>3.3949158610812744</v>
      </c>
    </row>
    <row r="26" spans="1:6" x14ac:dyDescent="0.3">
      <c r="A26" s="1" t="s">
        <v>70</v>
      </c>
    </row>
    <row r="27" spans="1:6" x14ac:dyDescent="0.3">
      <c r="A27" t="s">
        <v>71</v>
      </c>
      <c r="B27" t="s">
        <v>77</v>
      </c>
      <c r="C27" s="25">
        <f>'Income Statement - COL'!B25/('Market Cap - COL'!B2)</f>
        <v>0.75342979233825624</v>
      </c>
      <c r="D27" s="25">
        <f>'Income Statement - COL'!C25/('Market Cap - COL'!C2)</f>
        <v>0.78437242721353195</v>
      </c>
      <c r="E27" s="25">
        <f>'Income Statement - COL'!D25/('Market Cap - COL'!D2)</f>
        <v>0.8203825463239689</v>
      </c>
      <c r="F27" s="25">
        <f>'Income Statement - COL'!E25/('Market Cap - COL'!E2)</f>
        <v>0.83470210542033751</v>
      </c>
    </row>
    <row r="28" spans="1:6" x14ac:dyDescent="0.3">
      <c r="A28" t="s">
        <v>78</v>
      </c>
      <c r="B28" t="s">
        <v>79</v>
      </c>
      <c r="C28" s="7">
        <f>'Market Cap - COL'!B3/'Ratio Analysis - COL'!C27</f>
        <v>22.337847761194027</v>
      </c>
      <c r="D28" s="7">
        <f>'Market Cap - COL'!C3/'Ratio Analysis - COL'!D27</f>
        <v>22.706050572519082</v>
      </c>
      <c r="E28" s="7">
        <f>'Market Cap - COL'!D3/'Ratio Analysis - COL'!E27</f>
        <v>22.42856102003643</v>
      </c>
      <c r="F28" s="7">
        <f>'Market Cap - COL'!E3/'Ratio Analysis - COL'!F27</f>
        <v>20.402488372093025</v>
      </c>
    </row>
    <row r="29" spans="1:6" x14ac:dyDescent="0.3">
      <c r="A29" t="s">
        <v>80</v>
      </c>
      <c r="B29" t="s">
        <v>81</v>
      </c>
      <c r="C29" s="7">
        <f>('Market Cap - COL'!B4)/'Balance Sheet - COL'!B44</f>
        <v>7.9806388197653737</v>
      </c>
      <c r="D29" s="7">
        <f>('Market Cap - COL'!C4)/'Balance Sheet - COL'!C44</f>
        <v>7.6171386043533929</v>
      </c>
      <c r="E29" s="7">
        <f>('Market Cap - COL'!D4)/'Balance Sheet - COL'!D44</f>
        <v>7.3380691299165672</v>
      </c>
      <c r="F29" s="7">
        <f>('Market Cap - COL'!E4)/'Balance Sheet - COL'!E44</f>
        <v>6.3063262372131597</v>
      </c>
    </row>
    <row r="31" spans="1:6" x14ac:dyDescent="0.3">
      <c r="A31" s="1" t="s">
        <v>87</v>
      </c>
      <c r="B31" t="s">
        <v>90</v>
      </c>
    </row>
    <row r="32" spans="1:6" x14ac:dyDescent="0.3">
      <c r="A32" t="s">
        <v>74</v>
      </c>
      <c r="B32" t="s">
        <v>49</v>
      </c>
      <c r="C32" s="19">
        <f>'Income Statement - COL'!B25/'Income Statement - COL'!B5</f>
        <v>2.6061926248638557E-2</v>
      </c>
      <c r="D32" s="19">
        <f>'Income Statement - COL'!C25/'Income Statement - COL'!C5</f>
        <v>2.6619929386065177E-2</v>
      </c>
      <c r="E32" s="19">
        <f>'Income Statement - COL'!D25/'Income Statement - COL'!D5</f>
        <v>2.7122495862460787E-2</v>
      </c>
      <c r="F32" s="19">
        <f>'Income Statement - COL'!E25/'Income Statement - COL'!E5</f>
        <v>2.5659268779692913E-2</v>
      </c>
    </row>
    <row r="33" spans="1:6" x14ac:dyDescent="0.3">
      <c r="A33" t="s">
        <v>75</v>
      </c>
      <c r="B33" t="s">
        <v>52</v>
      </c>
      <c r="D33" s="7">
        <f>'Income Statement - COL'!C5/AVERAGE('Balance Sheet - COL'!B23:C23)</f>
        <v>2.130414783949782</v>
      </c>
      <c r="E33" s="7">
        <f>'Income Statement - COL'!D5/AVERAGE('Balance Sheet - COL'!C23:D23)</f>
        <v>2.1807261366084894</v>
      </c>
      <c r="F33" s="7">
        <f>'Income Statement - COL'!E5/AVERAGE('Balance Sheet - COL'!D23:E23)</f>
        <v>2.2834757088202924</v>
      </c>
    </row>
    <row r="34" spans="1:6" x14ac:dyDescent="0.3">
      <c r="A34" t="s">
        <v>88</v>
      </c>
      <c r="B34" t="s">
        <v>89</v>
      </c>
      <c r="C34" s="18"/>
      <c r="D34" s="27">
        <f>AVERAGE('Balance Sheet - COL'!B23:C23)/AVERAGE('Balance Sheet - COL'!B44:C44)</f>
        <v>6.2251979114030656</v>
      </c>
      <c r="E34" s="27">
        <f>AVERAGE('Balance Sheet - COL'!C23:D23)/AVERAGE('Balance Sheet - COL'!C44:D44)</f>
        <v>5.7296296296296294</v>
      </c>
      <c r="F34" s="27">
        <f>AVERAGE('Balance Sheet - COL'!D23:E23)/AVERAGE('Balance Sheet - COL'!D44:E44)</f>
        <v>5.4728237487451601</v>
      </c>
    </row>
    <row r="35" spans="1:6" x14ac:dyDescent="0.3">
      <c r="A35" t="s">
        <v>72</v>
      </c>
      <c r="B35" t="s">
        <v>90</v>
      </c>
      <c r="C35" s="5"/>
      <c r="D35" s="26">
        <f>D32*D33*D34</f>
        <v>0.35304025602155964</v>
      </c>
      <c r="E35" s="26">
        <f t="shared" ref="E35:F35" si="0">E32*E33*E34</f>
        <v>0.33888888888888885</v>
      </c>
      <c r="F35" s="26">
        <f t="shared" si="0"/>
        <v>0.32066542377742718</v>
      </c>
    </row>
  </sheetData>
  <mergeCells count="1">
    <mergeCell ref="C1:F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1B06-8FCA-4B78-BB86-ADCD940CF4E2}">
  <dimension ref="A1:H35"/>
  <sheetViews>
    <sheetView topLeftCell="A11" workbookViewId="0">
      <selection activeCell="F15" sqref="F15"/>
    </sheetView>
  </sheetViews>
  <sheetFormatPr defaultRowHeight="14.4" x14ac:dyDescent="0.3"/>
  <cols>
    <col min="1" max="1" width="25.33203125" customWidth="1"/>
    <col min="2" max="2" width="53.5546875" bestFit="1" customWidth="1"/>
    <col min="3" max="5" width="11.33203125" bestFit="1" customWidth="1"/>
    <col min="6" max="6" width="9.88671875" bestFit="1" customWidth="1"/>
  </cols>
  <sheetData>
    <row r="1" spans="1:8" x14ac:dyDescent="0.3">
      <c r="C1" s="53" t="s">
        <v>141</v>
      </c>
      <c r="D1" s="53"/>
      <c r="E1" s="53"/>
      <c r="F1" s="53"/>
    </row>
    <row r="2" spans="1:8" x14ac:dyDescent="0.3">
      <c r="H2" s="1" t="s">
        <v>43</v>
      </c>
    </row>
    <row r="3" spans="1:8" x14ac:dyDescent="0.3">
      <c r="A3" s="1" t="s">
        <v>31</v>
      </c>
      <c r="B3" s="1" t="s">
        <v>46</v>
      </c>
      <c r="C3" s="1">
        <v>2021</v>
      </c>
      <c r="D3" s="1">
        <v>2022</v>
      </c>
      <c r="E3" s="1">
        <v>2023</v>
      </c>
      <c r="F3" s="1">
        <v>2024</v>
      </c>
    </row>
    <row r="4" spans="1:8" x14ac:dyDescent="0.3">
      <c r="A4" s="5" t="s">
        <v>72</v>
      </c>
      <c r="B4" s="5" t="s">
        <v>47</v>
      </c>
      <c r="C4" s="26"/>
      <c r="D4" s="26">
        <f>'Income Statement - WOW'!C25/AVERAGE('Balance Sheet - WOW'!$B$47:$C$47)</f>
        <v>0.39704194823409411</v>
      </c>
      <c r="E4" s="26">
        <f>'Income Statement - WOW'!D25/AVERAGE('Balance Sheet - WOW'!$C$47:$D$47)</f>
        <v>0.25716315415581342</v>
      </c>
      <c r="F4" s="26">
        <f>'Income Statement - WOW'!E25/AVERAGE('Balance Sheet - WOW'!$D$47:$E$47)</f>
        <v>1.9283065512978988E-2</v>
      </c>
    </row>
    <row r="5" spans="1:8" x14ac:dyDescent="0.3">
      <c r="A5" t="s">
        <v>73</v>
      </c>
      <c r="B5" t="s">
        <v>48</v>
      </c>
      <c r="C5" s="19"/>
      <c r="D5" s="19">
        <f>'Income Statement - WOW'!C25/AVERAGE(('Balance Sheet - WOW'!C25),('Balance Sheet - WOW'!B32))</f>
        <v>5.5222557190991312E-2</v>
      </c>
      <c r="E5" s="19">
        <f>'Income Statement - WOW'!D25/AVERAGE(('Balance Sheet - WOW'!D25),('Balance Sheet - WOW'!C32))</f>
        <v>7.3381683859633312E-2</v>
      </c>
      <c r="F5" s="19">
        <f>'Income Statement - WOW'!E25/AVERAGE(('Balance Sheet - WOW'!E25),('Balance Sheet - WOW'!D32))</f>
        <v>5.1067172973680765E-3</v>
      </c>
    </row>
    <row r="6" spans="1:8" x14ac:dyDescent="0.3">
      <c r="A6" t="s">
        <v>74</v>
      </c>
      <c r="B6" t="s">
        <v>49</v>
      </c>
      <c r="C6" s="19">
        <f>'Income Statement - WOW'!B25/'Income Statement - WOW'!B5</f>
        <v>2.8836140338277014E-2</v>
      </c>
      <c r="D6" s="19">
        <f>'Income Statement - WOW'!C25/'Income Statement - WOW'!C5</f>
        <v>2.5587930779470493E-2</v>
      </c>
      <c r="E6" s="19">
        <f>'Income Statement - WOW'!D25/'Income Statement - WOW'!D5</f>
        <v>2.5336734376458146E-2</v>
      </c>
      <c r="F6" s="19">
        <f>'Income Statement - WOW'!E25/'Income Statement - WOW'!E5</f>
        <v>1.7225641176643798E-3</v>
      </c>
    </row>
    <row r="7" spans="1:8" x14ac:dyDescent="0.3">
      <c r="A7" t="s">
        <v>50</v>
      </c>
      <c r="B7" t="s">
        <v>51</v>
      </c>
      <c r="C7" s="19">
        <f>'Cash Flow Statement - WOW'!B4/'Income Statement - WOW'!B5</f>
        <v>8.3025101447193592E-2</v>
      </c>
      <c r="D7" s="19">
        <f>'Cash Flow Statement - WOW'!C4/'Income Statement - WOW'!C5</f>
        <v>5.5514470246018834E-2</v>
      </c>
      <c r="E7" s="19">
        <f>'Cash Flow Statement - WOW'!D4/'Income Statement - WOW'!D5</f>
        <v>7.3941580862910999E-2</v>
      </c>
      <c r="F7" s="19">
        <f>'Cash Flow Statement - WOW'!E4/'Income Statement - WOW'!E5</f>
        <v>6.417655546067548E-2</v>
      </c>
    </row>
    <row r="8" spans="1:8" x14ac:dyDescent="0.3">
      <c r="C8" s="19"/>
      <c r="D8" s="19"/>
      <c r="E8" s="19"/>
      <c r="F8" s="19"/>
    </row>
    <row r="9" spans="1:8" x14ac:dyDescent="0.3">
      <c r="A9" s="1" t="s">
        <v>45</v>
      </c>
      <c r="B9" s="1"/>
    </row>
    <row r="10" spans="1:8" x14ac:dyDescent="0.3">
      <c r="A10" t="s">
        <v>75</v>
      </c>
      <c r="B10" t="s">
        <v>52</v>
      </c>
      <c r="C10" s="7"/>
      <c r="D10" s="7">
        <f>'Income Statement - WOW'!C5/AVERAGE('Balance Sheet - WOW'!B25:C25)</f>
        <v>1.6783847522376532</v>
      </c>
      <c r="E10" s="7">
        <f>'Income Statement - WOW'!D5/AVERAGE('Balance Sheet - WOW'!C25:D25)</f>
        <v>1.9214895174907727</v>
      </c>
      <c r="F10" s="7">
        <f>'Income Statement - WOW'!E5/AVERAGE('Balance Sheet - WOW'!D25:E25)</f>
        <v>2.0100023674242422</v>
      </c>
    </row>
    <row r="11" spans="1:8" x14ac:dyDescent="0.3">
      <c r="A11" t="s">
        <v>53</v>
      </c>
      <c r="B11" t="s">
        <v>54</v>
      </c>
      <c r="C11" s="7"/>
      <c r="D11" s="7">
        <f>AVERAGE('Balance Sheet - WOW'!B9:C9)/SUM('Income Statement - WOW'!C9)*365</f>
        <v>27.347753910602076</v>
      </c>
      <c r="E11" s="7">
        <f>AVERAGE('Balance Sheet - WOW'!C9:D9)/SUM('Income Statement - WOW'!D9)*365</f>
        <v>28.239897703637673</v>
      </c>
      <c r="F11" s="7">
        <f>AVERAGE('Balance Sheet - WOW'!D9:E9)/SUM('Income Statement - WOW'!E9)*365</f>
        <v>29.147508608466683</v>
      </c>
    </row>
    <row r="12" spans="1:8" x14ac:dyDescent="0.3">
      <c r="A12" t="s">
        <v>38</v>
      </c>
      <c r="B12" t="s">
        <v>55</v>
      </c>
      <c r="C12" s="7"/>
      <c r="D12" s="7">
        <f>AVERAGE('Balance Sheet - WOW'!B7:C7)/'Income Statement - WOW'!C5*365</f>
        <v>4.0069680684974278</v>
      </c>
      <c r="E12" s="7">
        <f>AVERAGE('Balance Sheet - WOW'!C7:D7)/'Income Statement - WOW'!D5*365</f>
        <v>5.3137151211621614</v>
      </c>
      <c r="F12" s="7">
        <f>AVERAGE('Balance Sheet - WOW'!D7:E7)/'Income Statement - WOW'!E5*365</f>
        <v>5.7016136156179149</v>
      </c>
    </row>
    <row r="13" spans="1:8" x14ac:dyDescent="0.3">
      <c r="A13" s="1"/>
      <c r="B13" s="1"/>
    </row>
    <row r="14" spans="1:8" x14ac:dyDescent="0.3">
      <c r="A14" s="1" t="s">
        <v>56</v>
      </c>
      <c r="B14" s="1"/>
    </row>
    <row r="15" spans="1:8" x14ac:dyDescent="0.3">
      <c r="A15" t="s">
        <v>32</v>
      </c>
      <c r="B15" t="s">
        <v>57</v>
      </c>
      <c r="C15" s="7">
        <f>'Balance Sheet - WOW'!B13/'Balance Sheet - WOW'!B32</f>
        <v>0.6828740753557988</v>
      </c>
      <c r="D15" s="7">
        <f>'Balance Sheet - WOW'!C13/'Balance Sheet - WOW'!C32</f>
        <v>0.56837209302325586</v>
      </c>
      <c r="E15" s="7">
        <f>'Balance Sheet - WOW'!D13/'Balance Sheet - WOW'!D32</f>
        <v>0.5363452801615346</v>
      </c>
      <c r="F15" s="7">
        <f>'Balance Sheet - WOW'!E13/'Balance Sheet - WOW'!E32</f>
        <v>0.54536235275762535</v>
      </c>
    </row>
    <row r="16" spans="1:8" x14ac:dyDescent="0.3">
      <c r="A16" t="s">
        <v>33</v>
      </c>
      <c r="B16" t="s">
        <v>58</v>
      </c>
      <c r="C16" s="7">
        <f>('Balance Sheet - WOW'!B13-'Balance Sheet - WOW'!B9-'Balance Sheet - WOW'!B8)/'Balance Sheet - WOW'!B32</f>
        <v>0.54007872993900596</v>
      </c>
      <c r="D16" s="7">
        <f>('Balance Sheet - WOW'!C13-'Balance Sheet - WOW'!C9-'Balance Sheet - WOW'!C8)/'Balance Sheet - WOW'!C32</f>
        <v>0.21665116279069768</v>
      </c>
      <c r="E16" s="7">
        <f>('Balance Sheet - WOW'!D13-'Balance Sheet - WOW'!D9-'Balance Sheet - WOW'!D8)/'Balance Sheet - WOW'!D32</f>
        <v>0.22522295137136125</v>
      </c>
      <c r="F16" s="7">
        <f>('Balance Sheet - WOW'!E13-'Balance Sheet - WOW'!E9-'Balance Sheet - WOW'!E8)/'Balance Sheet - WOW'!E32</f>
        <v>0.20656837506825806</v>
      </c>
    </row>
    <row r="17" spans="1:6" x14ac:dyDescent="0.3">
      <c r="A17" t="s">
        <v>60</v>
      </c>
      <c r="B17" t="s">
        <v>59</v>
      </c>
      <c r="C17" s="7">
        <f>'Cash Flow Statement - WOW'!B4/'Balance Sheet - WOW'!B32</f>
        <v>0.20002595492494701</v>
      </c>
      <c r="D17" s="7">
        <f>'Cash Flow Statement - WOW'!C4/'Balance Sheet - WOW'!C32</f>
        <v>0.31423255813953488</v>
      </c>
      <c r="E17" s="7">
        <f>'Cash Flow Statement - WOW'!D4/'Balance Sheet - WOW'!D32</f>
        <v>0.39996634696281341</v>
      </c>
      <c r="F17" s="7">
        <f>'Cash Flow Statement - WOW'!E4/'Balance Sheet - WOW'!E32</f>
        <v>0.34004212497074654</v>
      </c>
    </row>
    <row r="19" spans="1:6" x14ac:dyDescent="0.3">
      <c r="A19" s="1" t="s">
        <v>61</v>
      </c>
      <c r="B19" s="1"/>
    </row>
    <row r="20" spans="1:6" x14ac:dyDescent="0.3">
      <c r="A20" t="s">
        <v>76</v>
      </c>
      <c r="B20" t="s">
        <v>62</v>
      </c>
      <c r="C20" s="27">
        <f>'Balance Sheet - WOW'!B40/'Balance Sheet - WOW'!B47</f>
        <v>21.562392179413457</v>
      </c>
      <c r="D20" s="27">
        <f>'Balance Sheet - WOW'!C40/'Balance Sheet - WOW'!C47</f>
        <v>4.4510157273918738</v>
      </c>
      <c r="E20" s="27">
        <f>'Balance Sheet - WOW'!D40/'Balance Sheet - WOW'!D47</f>
        <v>4.1253617669459253</v>
      </c>
      <c r="F20" s="27">
        <f>'Balance Sheet - WOW'!E40/'Balance Sheet - WOW'!E47</f>
        <v>5.0926391382405747</v>
      </c>
    </row>
    <row r="21" spans="1:6" x14ac:dyDescent="0.3">
      <c r="A21" t="s">
        <v>39</v>
      </c>
      <c r="B21" t="s">
        <v>63</v>
      </c>
      <c r="C21" s="27">
        <f>'Balance Sheet - WOW'!B40/'Balance Sheet - WOW'!B25</f>
        <v>0.95567845855846667</v>
      </c>
      <c r="D21" s="27">
        <f>'Balance Sheet - WOW'!C40/'Balance Sheet - WOW'!C25</f>
        <v>0.81654795179274486</v>
      </c>
      <c r="E21" s="27">
        <f>'Balance Sheet - WOW'!D40/'Balance Sheet - WOW'!D25</f>
        <v>0.80489182120779834</v>
      </c>
      <c r="F21" s="27">
        <f>'Balance Sheet - WOW'!E40/'Balance Sheet - WOW'!E25</f>
        <v>0.83586751532296089</v>
      </c>
    </row>
    <row r="22" spans="1:6" x14ac:dyDescent="0.3">
      <c r="A22" t="s">
        <v>65</v>
      </c>
      <c r="B22" t="s">
        <v>64</v>
      </c>
      <c r="C22" s="27">
        <f>'Balance Sheet - WOW'!B47/'Balance Sheet - WOW'!B25</f>
        <v>4.4321541441533288E-2</v>
      </c>
      <c r="D22" s="27">
        <f>'Balance Sheet - WOW'!C47/'Balance Sheet - WOW'!C25</f>
        <v>0.18345204820725514</v>
      </c>
      <c r="E22" s="27">
        <f>'Balance Sheet - WOW'!D47/'Balance Sheet - WOW'!D25</f>
        <v>0.1951081787922016</v>
      </c>
      <c r="F22" s="27">
        <f>'Balance Sheet - WOW'!E47/'Balance Sheet - WOW'!E25</f>
        <v>0.16413248467703914</v>
      </c>
    </row>
    <row r="23" spans="1:6" x14ac:dyDescent="0.3">
      <c r="A23" t="s">
        <v>66</v>
      </c>
      <c r="B23" t="s">
        <v>67</v>
      </c>
      <c r="C23" s="7">
        <f>('Income Statement - WOW'!B25-SUM('Income Statement - WOW'!B17:B18)-'Income Statement - WOW'!B24)/SUM('Income Statement - WOW'!B17:B18)</f>
        <v>0.59047619047619049</v>
      </c>
      <c r="D23" s="7">
        <f>('Income Statement - WOW'!C25-SUM('Income Statement - WOW'!C17:C18)-'Income Statement - WOW'!C24)/SUM('Income Statement - WOW'!C17:C18)</f>
        <v>0.61867088607594933</v>
      </c>
      <c r="E23" s="7">
        <f>('Income Statement - WOW'!D25-SUM('Income Statement - WOW'!D17:D18)-'Income Statement - WOW'!D24)/SUM('Income Statement - WOW'!D17:D18)</f>
        <v>0.28925619834710742</v>
      </c>
      <c r="F23" s="7">
        <f>('Income Statement - WOW'!E25-SUM('Income Statement - WOW'!E17:E18)-'Income Statement - WOW'!E24)/SUM('Income Statement - WOW'!E17:E18)</f>
        <v>-1.7906403940886699</v>
      </c>
    </row>
    <row r="24" spans="1:6" x14ac:dyDescent="0.3">
      <c r="A24" t="s">
        <v>68</v>
      </c>
      <c r="B24" t="s">
        <v>69</v>
      </c>
      <c r="C24" s="7">
        <f>'Balance Sheet - WOW'!B38/'Cash Flow Statement - WOW'!B4</f>
        <v>3.1098615916955019</v>
      </c>
      <c r="D24" s="7">
        <f>'Balance Sheet - WOW'!C38/'Cash Flow Statement - WOW'!C4</f>
        <v>4.8605683836589701</v>
      </c>
      <c r="E24" s="7">
        <f>'Balance Sheet - WOW'!D38/'Cash Flow Statement - WOW'!D4</f>
        <v>3.1966764829617165</v>
      </c>
      <c r="F24" s="7">
        <f>'Balance Sheet - WOW'!E38/'Cash Flow Statement - WOW'!E4</f>
        <v>3.5666437256251435</v>
      </c>
    </row>
    <row r="26" spans="1:6" x14ac:dyDescent="0.3">
      <c r="A26" s="1" t="s">
        <v>70</v>
      </c>
      <c r="B26" s="1"/>
      <c r="C26" s="1"/>
      <c r="D26" s="1"/>
      <c r="E26" s="1"/>
      <c r="F26" s="1"/>
    </row>
    <row r="27" spans="1:6" x14ac:dyDescent="0.3">
      <c r="A27" t="s">
        <v>71</v>
      </c>
      <c r="B27" t="s">
        <v>77</v>
      </c>
      <c r="C27" s="25">
        <f>'Income Statement - WOW'!B25/('Market Cap - WOW'!B2)</f>
        <v>1.2668612447740002</v>
      </c>
      <c r="D27" s="25">
        <f>'Income Statement - WOW'!C25/('Market Cap - WOW'!C2)</f>
        <v>1.2826427218057501</v>
      </c>
      <c r="E27" s="25">
        <f>'Income Statement - WOW'!D25/('Market Cap - WOW'!D2)</f>
        <v>1.3366702223680971</v>
      </c>
      <c r="F27" s="25">
        <f>'Income Statement - WOW'!E25/('Market Cap - WOW'!E2)</f>
        <v>9.5776031434184672E-2</v>
      </c>
    </row>
    <row r="28" spans="1:6" x14ac:dyDescent="0.3">
      <c r="A28" t="s">
        <v>78</v>
      </c>
      <c r="B28" t="s">
        <v>79</v>
      </c>
      <c r="C28" s="7">
        <f>'Market Cap - WOW'!B3/'Ratio Analysis - WOW'!C27</f>
        <v>33.847432129514324</v>
      </c>
      <c r="D28" s="7">
        <f>'Market Cap - WOW'!C3/'Ratio Analysis - WOW'!D27</f>
        <v>27.646046242774567</v>
      </c>
      <c r="E28" s="7">
        <f>'Market Cap - WOW'!D3/'Ratio Analysis - WOW'!E27</f>
        <v>29.820369551872314</v>
      </c>
      <c r="F28" s="7">
        <f>'Market Cap - WOW'!E3/'Ratio Analysis - WOW'!F27</f>
        <v>352.8022564102564</v>
      </c>
    </row>
    <row r="29" spans="1:6" x14ac:dyDescent="0.3">
      <c r="A29" t="s">
        <v>80</v>
      </c>
      <c r="B29" t="s">
        <v>81</v>
      </c>
      <c r="C29" s="7">
        <f>('Market Cap - WOW'!B4)/'Balance Sheet - WOW'!B47</f>
        <v>31.258755606670501</v>
      </c>
      <c r="D29" s="7">
        <f>('Market Cap - WOW'!C4)/'Balance Sheet - WOW'!C47</f>
        <v>7.0519157929226735</v>
      </c>
      <c r="E29" s="7">
        <f>('Market Cap - WOW'!D4)/'Balance Sheet - WOW'!D47</f>
        <v>7.3994488956587965</v>
      </c>
      <c r="F29" s="7">
        <f>('Market Cap - WOW'!E4)/'Balance Sheet - WOW'!E47</f>
        <v>7.410747576301616</v>
      </c>
    </row>
    <row r="31" spans="1:6" x14ac:dyDescent="0.3">
      <c r="A31" s="1" t="s">
        <v>87</v>
      </c>
      <c r="B31" t="s">
        <v>90</v>
      </c>
    </row>
    <row r="32" spans="1:6" x14ac:dyDescent="0.3">
      <c r="A32" t="s">
        <v>74</v>
      </c>
      <c r="B32" t="s">
        <v>49</v>
      </c>
      <c r="C32" s="19">
        <f>'Income Statement - WOW'!B25/'Income Statement - WOW'!B5</f>
        <v>2.8836140338277014E-2</v>
      </c>
      <c r="D32" s="19">
        <f>'Income Statement - WOW'!C25/'Income Statement - WOW'!C5</f>
        <v>2.5587930779470493E-2</v>
      </c>
      <c r="E32" s="19">
        <f>'Income Statement - WOW'!D25/'Income Statement - WOW'!D5</f>
        <v>2.5336734376458146E-2</v>
      </c>
      <c r="F32" s="19">
        <f>'Income Statement - WOW'!E25/'Income Statement - WOW'!E5</f>
        <v>1.7225641176643798E-3</v>
      </c>
    </row>
    <row r="33" spans="1:6" x14ac:dyDescent="0.3">
      <c r="A33" t="s">
        <v>75</v>
      </c>
      <c r="B33" t="s">
        <v>52</v>
      </c>
      <c r="D33" s="7">
        <f>'Income Statement - WOW'!C5/AVERAGE('Balance Sheet - WOW'!B25:C25)</f>
        <v>1.6783847522376532</v>
      </c>
      <c r="E33" s="7">
        <f>'Income Statement - WOW'!D5/AVERAGE('Balance Sheet - WOW'!C25:D25)</f>
        <v>1.9214895174907727</v>
      </c>
      <c r="F33" s="7">
        <f>'Income Statement - WOW'!E5/AVERAGE('Balance Sheet - WOW'!D25:E25)</f>
        <v>2.0100023674242422</v>
      </c>
    </row>
    <row r="34" spans="1:6" x14ac:dyDescent="0.3">
      <c r="A34" t="s">
        <v>88</v>
      </c>
      <c r="B34" t="s">
        <v>89</v>
      </c>
      <c r="C34" s="18"/>
      <c r="D34" s="27">
        <f>AVERAGE('Balance Sheet - WOW'!B25:C25)/AVERAGE('Balance Sheet - WOW'!B47:C47)</f>
        <v>9.2450592885375489</v>
      </c>
      <c r="E34" s="27">
        <f>AVERAGE('Balance Sheet - WOW'!C25:D25)/AVERAGE('Balance Sheet - WOW'!C47:D47)</f>
        <v>5.2822637935117216</v>
      </c>
      <c r="F34" s="27">
        <f>AVERAGE('Balance Sheet - WOW'!D25:E25)/AVERAGE('Balance Sheet - WOW'!D47:E47)</f>
        <v>5.569344870210136</v>
      </c>
    </row>
    <row r="35" spans="1:6" x14ac:dyDescent="0.3">
      <c r="A35" s="5" t="s">
        <v>72</v>
      </c>
      <c r="B35" s="5"/>
      <c r="C35" s="5"/>
      <c r="D35" s="26">
        <f>D32*D33*D34</f>
        <v>0.39704194823409406</v>
      </c>
      <c r="E35" s="26">
        <f t="shared" ref="E35:F35" si="0">E32*E33*E34</f>
        <v>0.25716315415581342</v>
      </c>
      <c r="F35" s="26">
        <f t="shared" si="0"/>
        <v>1.9283065512978984E-2</v>
      </c>
    </row>
  </sheetData>
  <mergeCells count="1">
    <mergeCell ref="C1:F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9F38-8677-4301-B487-F986222E654E}">
  <dimension ref="A1:N207"/>
  <sheetViews>
    <sheetView topLeftCell="A200" workbookViewId="0">
      <selection activeCell="F201" sqref="F201:F207"/>
    </sheetView>
  </sheetViews>
  <sheetFormatPr defaultRowHeight="14.4" x14ac:dyDescent="0.3"/>
  <cols>
    <col min="1" max="1" width="30.77734375" bestFit="1" customWidth="1"/>
    <col min="2" max="5" width="18.44140625" bestFit="1" customWidth="1"/>
    <col min="6" max="6" width="13.5546875" bestFit="1" customWidth="1"/>
  </cols>
  <sheetData>
    <row r="1" spans="1:6" ht="15" thickBot="1" x14ac:dyDescent="0.35"/>
    <row r="2" spans="1:6" ht="28.2" thickBot="1" x14ac:dyDescent="0.35">
      <c r="A2" s="31" t="s">
        <v>145</v>
      </c>
      <c r="B2" s="32">
        <v>2021</v>
      </c>
      <c r="C2" s="32">
        <v>2022</v>
      </c>
      <c r="D2" s="32">
        <v>2023</v>
      </c>
      <c r="E2" s="33">
        <v>2024</v>
      </c>
      <c r="F2" s="33" t="s">
        <v>99</v>
      </c>
    </row>
    <row r="3" spans="1:6" ht="15" thickBot="1" x14ac:dyDescent="0.35">
      <c r="A3" s="34" t="s">
        <v>146</v>
      </c>
      <c r="B3" s="38">
        <v>1005000000</v>
      </c>
      <c r="C3" s="38">
        <v>1048000000</v>
      </c>
      <c r="D3" s="38">
        <v>1098000000</v>
      </c>
      <c r="E3" s="38">
        <v>1118000000</v>
      </c>
      <c r="F3" s="38">
        <f>(E3-D3)/D3</f>
        <v>1.8214936247723135E-2</v>
      </c>
    </row>
    <row r="4" spans="1:6" ht="15" thickBot="1" x14ac:dyDescent="0.35">
      <c r="A4" s="36" t="s">
        <v>147</v>
      </c>
      <c r="B4" s="39">
        <v>1606000000</v>
      </c>
      <c r="C4" s="39">
        <v>1557000000</v>
      </c>
      <c r="D4" s="39">
        <v>1629000000</v>
      </c>
      <c r="E4" s="39">
        <v>117000000</v>
      </c>
      <c r="F4" s="39">
        <f t="shared" ref="F4:F7" si="0">(E4-D4)/D4</f>
        <v>-0.92817679558011046</v>
      </c>
    </row>
    <row r="5" spans="1:6" ht="15" thickBot="1" x14ac:dyDescent="0.35">
      <c r="A5" s="34" t="s">
        <v>148</v>
      </c>
      <c r="B5" s="38">
        <v>2813000000</v>
      </c>
      <c r="C5" s="38">
        <v>3124000000</v>
      </c>
      <c r="D5" s="38">
        <v>3356000000</v>
      </c>
      <c r="E5" s="38">
        <v>3617000000</v>
      </c>
      <c r="F5" s="38">
        <f t="shared" si="0"/>
        <v>7.7771156138259828E-2</v>
      </c>
    </row>
    <row r="6" spans="1:6" ht="15" thickBot="1" x14ac:dyDescent="0.35">
      <c r="A6" s="36" t="s">
        <v>149</v>
      </c>
      <c r="B6" s="39">
        <v>1739000000</v>
      </c>
      <c r="C6" s="39">
        <v>6104000000</v>
      </c>
      <c r="D6" s="39">
        <v>6565000000</v>
      </c>
      <c r="E6" s="39">
        <v>5570000000</v>
      </c>
      <c r="F6" s="39">
        <f t="shared" si="0"/>
        <v>-0.15156130997715156</v>
      </c>
    </row>
    <row r="7" spans="1:6" ht="15" thickBot="1" x14ac:dyDescent="0.35">
      <c r="A7" s="31" t="s">
        <v>142</v>
      </c>
      <c r="B7" s="32">
        <v>2021</v>
      </c>
      <c r="C7" s="32">
        <v>2022</v>
      </c>
      <c r="D7" s="32">
        <v>2023</v>
      </c>
      <c r="E7" s="33">
        <v>2024</v>
      </c>
      <c r="F7" s="38">
        <f t="shared" si="0"/>
        <v>4.9431537320810673E-4</v>
      </c>
    </row>
    <row r="8" spans="1:6" ht="15" thickBot="1" x14ac:dyDescent="0.35">
      <c r="A8" s="34" t="s">
        <v>143</v>
      </c>
      <c r="B8" s="35"/>
      <c r="C8" s="35">
        <v>0.35299999999999998</v>
      </c>
      <c r="D8" s="35">
        <v>0.33889999999999998</v>
      </c>
      <c r="E8" s="35">
        <v>0.32069999999999999</v>
      </c>
      <c r="F8" s="39">
        <f>E8-D8</f>
        <v>-1.8199999999999994E-2</v>
      </c>
    </row>
    <row r="9" spans="1:6" ht="15" thickBot="1" x14ac:dyDescent="0.35">
      <c r="A9" s="36" t="s">
        <v>144</v>
      </c>
      <c r="B9" s="37"/>
      <c r="C9" s="37">
        <v>0.39700000000000002</v>
      </c>
      <c r="D9" s="37">
        <v>0.25719999999999998</v>
      </c>
      <c r="E9" s="37">
        <v>1.9300000000000001E-2</v>
      </c>
      <c r="F9" s="38">
        <f>E9-D9</f>
        <v>-0.23789999999999997</v>
      </c>
    </row>
    <row r="11" spans="1:6" ht="15" thickBot="1" x14ac:dyDescent="0.35"/>
    <row r="12" spans="1:6" ht="28.2" thickBot="1" x14ac:dyDescent="0.35">
      <c r="A12" s="31" t="s">
        <v>145</v>
      </c>
      <c r="B12" s="32">
        <v>2021</v>
      </c>
      <c r="C12" s="32">
        <v>2022</v>
      </c>
      <c r="D12" s="32">
        <v>2023</v>
      </c>
      <c r="E12" s="33">
        <v>2024</v>
      </c>
      <c r="F12" s="33" t="s">
        <v>99</v>
      </c>
    </row>
    <row r="13" spans="1:6" ht="15" thickBot="1" x14ac:dyDescent="0.35">
      <c r="A13" s="34" t="s">
        <v>146</v>
      </c>
      <c r="B13" s="38">
        <v>1005000000</v>
      </c>
      <c r="C13" s="38">
        <v>1048000000</v>
      </c>
      <c r="D13" s="38">
        <v>1098000000</v>
      </c>
      <c r="E13" s="38">
        <v>1118000000</v>
      </c>
      <c r="F13" s="38">
        <f>(E13-D13)/D13</f>
        <v>1.8214936247723135E-2</v>
      </c>
    </row>
    <row r="14" spans="1:6" ht="15" thickBot="1" x14ac:dyDescent="0.35">
      <c r="A14" s="36" t="s">
        <v>147</v>
      </c>
      <c r="B14" s="39">
        <v>1606000000</v>
      </c>
      <c r="C14" s="39">
        <v>1557000000</v>
      </c>
      <c r="D14" s="39">
        <v>1629000000</v>
      </c>
      <c r="E14" s="39">
        <v>117000000</v>
      </c>
      <c r="F14" s="39">
        <f t="shared" ref="F14:F16" si="1">(E14-D14)/D14</f>
        <v>-0.92817679558011046</v>
      </c>
    </row>
    <row r="15" spans="1:6" ht="15" thickBot="1" x14ac:dyDescent="0.35">
      <c r="A15" s="34" t="s">
        <v>154</v>
      </c>
      <c r="B15" s="47">
        <v>18123000000</v>
      </c>
      <c r="C15" s="47">
        <v>18836000000</v>
      </c>
      <c r="D15" s="47">
        <v>18292000000</v>
      </c>
      <c r="E15" s="47">
        <v>19870000000</v>
      </c>
      <c r="F15" s="38">
        <f t="shared" si="1"/>
        <v>8.6267220642903999E-2</v>
      </c>
    </row>
    <row r="16" spans="1:6" ht="15" thickBot="1" x14ac:dyDescent="0.35">
      <c r="A16" s="36" t="s">
        <v>155</v>
      </c>
      <c r="B16" s="48">
        <v>39236000000</v>
      </c>
      <c r="C16" s="48">
        <v>33273000000</v>
      </c>
      <c r="D16" s="48">
        <v>33648000000</v>
      </c>
      <c r="E16" s="48">
        <v>33936000000</v>
      </c>
      <c r="F16" s="39">
        <f t="shared" si="1"/>
        <v>8.5592011412268191E-3</v>
      </c>
    </row>
    <row r="17" spans="1:6" ht="15" thickBot="1" x14ac:dyDescent="0.35">
      <c r="A17" s="34" t="s">
        <v>156</v>
      </c>
      <c r="B17" s="35"/>
      <c r="C17" s="35">
        <v>5.6711491111772504E-2</v>
      </c>
      <c r="D17" s="35">
        <v>5.9146735617323851E-2</v>
      </c>
      <c r="E17" s="35">
        <v>5.8592316964519678E-2</v>
      </c>
      <c r="F17" s="38">
        <f>E17-D17</f>
        <v>-5.544186528041728E-4</v>
      </c>
    </row>
    <row r="18" spans="1:6" ht="15" thickBot="1" x14ac:dyDescent="0.35">
      <c r="A18" s="36" t="s">
        <v>157</v>
      </c>
      <c r="B18" s="37"/>
      <c r="C18" s="37">
        <v>5.5222557190991312E-2</v>
      </c>
      <c r="D18" s="37">
        <v>7.3381683859633312E-2</v>
      </c>
      <c r="E18" s="37">
        <v>5.1067172973680765E-3</v>
      </c>
      <c r="F18" s="39">
        <f>E18-D18</f>
        <v>-6.8274966562265241E-2</v>
      </c>
    </row>
    <row r="21" spans="1:6" ht="15" thickBot="1" x14ac:dyDescent="0.35"/>
    <row r="22" spans="1:6" ht="28.2" thickBot="1" x14ac:dyDescent="0.35">
      <c r="A22" s="31" t="s">
        <v>145</v>
      </c>
      <c r="B22" s="32">
        <v>2021</v>
      </c>
      <c r="C22" s="32">
        <v>2022</v>
      </c>
      <c r="D22" s="32">
        <v>2023</v>
      </c>
      <c r="E22" s="33">
        <v>2024</v>
      </c>
      <c r="F22" s="33" t="s">
        <v>99</v>
      </c>
    </row>
    <row r="23" spans="1:6" ht="15" thickBot="1" x14ac:dyDescent="0.35">
      <c r="A23" s="34" t="s">
        <v>146</v>
      </c>
      <c r="B23" s="38">
        <v>1005000000</v>
      </c>
      <c r="C23" s="38">
        <v>1048000000</v>
      </c>
      <c r="D23" s="38">
        <v>1098000000</v>
      </c>
      <c r="E23" s="38">
        <v>1118000000</v>
      </c>
      <c r="F23" s="38">
        <f>(E23-D23)/D23</f>
        <v>1.8214936247723135E-2</v>
      </c>
    </row>
    <row r="24" spans="1:6" ht="15" thickBot="1" x14ac:dyDescent="0.35">
      <c r="A24" s="36" t="s">
        <v>147</v>
      </c>
      <c r="B24" s="39">
        <v>1606000000</v>
      </c>
      <c r="C24" s="39">
        <v>1557000000</v>
      </c>
      <c r="D24" s="39">
        <v>1629000000</v>
      </c>
      <c r="E24" s="39">
        <v>117000000</v>
      </c>
      <c r="F24" s="39">
        <f t="shared" ref="F24:F26" si="2">(E24-D24)/D24</f>
        <v>-0.92817679558011046</v>
      </c>
    </row>
    <row r="25" spans="1:6" ht="15" thickBot="1" x14ac:dyDescent="0.35">
      <c r="A25" s="34" t="s">
        <v>158</v>
      </c>
      <c r="B25" s="38">
        <v>38562000000</v>
      </c>
      <c r="C25" s="38">
        <v>39369000000</v>
      </c>
      <c r="D25" s="38">
        <v>40483000000</v>
      </c>
      <c r="E25" s="38">
        <v>43571000000</v>
      </c>
      <c r="F25" s="38">
        <f t="shared" si="2"/>
        <v>7.6278931897339627E-2</v>
      </c>
    </row>
    <row r="26" spans="1:6" ht="15" thickBot="1" x14ac:dyDescent="0.35">
      <c r="A26" s="36" t="s">
        <v>159</v>
      </c>
      <c r="B26" s="39">
        <v>55694000000</v>
      </c>
      <c r="C26" s="39">
        <v>60849000000</v>
      </c>
      <c r="D26" s="39">
        <v>64294000000</v>
      </c>
      <c r="E26" s="39">
        <v>67922000000</v>
      </c>
      <c r="F26" s="39">
        <f t="shared" si="2"/>
        <v>5.6428282576912306E-2</v>
      </c>
    </row>
    <row r="27" spans="1:6" ht="15" thickBot="1" x14ac:dyDescent="0.35">
      <c r="A27" s="34" t="s">
        <v>160</v>
      </c>
      <c r="B27" s="35">
        <v>2.6061926248638557E-2</v>
      </c>
      <c r="C27" s="35">
        <v>2.6619929386065177E-2</v>
      </c>
      <c r="D27" s="35">
        <v>2.7122495862460787E-2</v>
      </c>
      <c r="E27" s="35">
        <v>2.5659268779692913E-2</v>
      </c>
      <c r="F27" s="38">
        <f>E27-D27</f>
        <v>-1.4632270827678734E-3</v>
      </c>
    </row>
    <row r="28" spans="1:6" ht="15" thickBot="1" x14ac:dyDescent="0.35">
      <c r="A28" s="36" t="s">
        <v>161</v>
      </c>
      <c r="B28" s="37">
        <v>2.8836140338277014E-2</v>
      </c>
      <c r="C28" s="37">
        <v>2.5587930779470493E-2</v>
      </c>
      <c r="D28" s="37">
        <v>2.5336734376458146E-2</v>
      </c>
      <c r="E28" s="37">
        <v>1.7225641176643798E-3</v>
      </c>
      <c r="F28" s="39">
        <f>E28-D28</f>
        <v>-2.3614170258793764E-2</v>
      </c>
    </row>
    <row r="32" spans="1:6" ht="15" thickBot="1" x14ac:dyDescent="0.35"/>
    <row r="33" spans="1:6" ht="28.2" thickBot="1" x14ac:dyDescent="0.35">
      <c r="A33" s="31" t="s">
        <v>145</v>
      </c>
      <c r="B33" s="32">
        <v>2021</v>
      </c>
      <c r="C33" s="32">
        <v>2022</v>
      </c>
      <c r="D33" s="32">
        <v>2023</v>
      </c>
      <c r="E33" s="33">
        <v>2024</v>
      </c>
      <c r="F33" s="33" t="s">
        <v>99</v>
      </c>
    </row>
    <row r="34" spans="1:6" ht="15" thickBot="1" x14ac:dyDescent="0.35">
      <c r="A34" s="34" t="s">
        <v>162</v>
      </c>
      <c r="B34" s="38">
        <v>2837000000</v>
      </c>
      <c r="C34" s="38">
        <v>2690000000</v>
      </c>
      <c r="D34" s="38">
        <v>2807000000</v>
      </c>
      <c r="E34" s="38">
        <v>2793000000</v>
      </c>
      <c r="F34" s="19">
        <f>(E34-D34)/D34</f>
        <v>-4.9875311720698253E-3</v>
      </c>
    </row>
    <row r="35" spans="1:6" ht="28.2" thickBot="1" x14ac:dyDescent="0.35">
      <c r="A35" s="36" t="s">
        <v>163</v>
      </c>
      <c r="B35" s="39">
        <v>4624000000</v>
      </c>
      <c r="C35" s="39">
        <v>3378000000</v>
      </c>
      <c r="D35" s="39">
        <v>4754000000</v>
      </c>
      <c r="E35" s="39">
        <v>4359000000</v>
      </c>
      <c r="F35" s="19">
        <f t="shared" ref="F35:F37" si="3">(E35-D35)/D35</f>
        <v>-8.3087925957088762E-2</v>
      </c>
    </row>
    <row r="36" spans="1:6" ht="15" thickBot="1" x14ac:dyDescent="0.35">
      <c r="A36" s="34" t="s">
        <v>158</v>
      </c>
      <c r="B36" s="38">
        <v>38562000000</v>
      </c>
      <c r="C36" s="38">
        <v>39369000000</v>
      </c>
      <c r="D36" s="38">
        <v>40483000000</v>
      </c>
      <c r="E36" s="38">
        <v>43571000000</v>
      </c>
      <c r="F36" s="19">
        <f t="shared" si="3"/>
        <v>7.6278931897339627E-2</v>
      </c>
    </row>
    <row r="37" spans="1:6" ht="15" thickBot="1" x14ac:dyDescent="0.35">
      <c r="A37" s="36" t="s">
        <v>159</v>
      </c>
      <c r="B37" s="39">
        <v>55694000000</v>
      </c>
      <c r="C37" s="39">
        <v>60849000000</v>
      </c>
      <c r="D37" s="39">
        <v>64294000000</v>
      </c>
      <c r="E37" s="39">
        <v>67922000000</v>
      </c>
      <c r="F37" s="19">
        <f t="shared" si="3"/>
        <v>5.6428282576912306E-2</v>
      </c>
    </row>
    <row r="38" spans="1:6" ht="15" thickBot="1" x14ac:dyDescent="0.35">
      <c r="A38" s="34" t="s">
        <v>164</v>
      </c>
      <c r="B38" s="35">
        <v>7.3569835589440385E-2</v>
      </c>
      <c r="C38" s="35">
        <v>6.8327872183697833E-2</v>
      </c>
      <c r="D38" s="35">
        <v>6.9337746708494921E-2</v>
      </c>
      <c r="E38" s="35">
        <v>6.4102269858392055E-2</v>
      </c>
      <c r="F38" s="46">
        <f>E38-D38</f>
        <v>-5.2354768501028659E-3</v>
      </c>
    </row>
    <row r="39" spans="1:6" ht="15" thickBot="1" x14ac:dyDescent="0.35">
      <c r="A39" s="36" t="s">
        <v>165</v>
      </c>
      <c r="B39" s="37">
        <v>8.3025101447193592E-2</v>
      </c>
      <c r="C39" s="37">
        <v>5.5514470246018834E-2</v>
      </c>
      <c r="D39" s="37">
        <v>7.3941580862910999E-2</v>
      </c>
      <c r="E39" s="37">
        <v>6.417655546067548E-2</v>
      </c>
      <c r="F39" s="46">
        <f>E39-D39</f>
        <v>-9.7650254022355193E-3</v>
      </c>
    </row>
    <row r="43" spans="1:6" ht="15" thickBot="1" x14ac:dyDescent="0.35"/>
    <row r="44" spans="1:6" ht="28.2" thickBot="1" x14ac:dyDescent="0.35">
      <c r="A44" s="31" t="s">
        <v>145</v>
      </c>
      <c r="B44" s="32">
        <v>2021</v>
      </c>
      <c r="C44" s="32">
        <v>2022</v>
      </c>
      <c r="D44" s="32">
        <v>2023</v>
      </c>
      <c r="E44" s="33">
        <v>2024</v>
      </c>
      <c r="F44" s="33" t="s">
        <v>99</v>
      </c>
    </row>
    <row r="45" spans="1:6" ht="15" thickBot="1" x14ac:dyDescent="0.35">
      <c r="A45" s="34" t="s">
        <v>158</v>
      </c>
      <c r="B45" s="38">
        <v>38562000000</v>
      </c>
      <c r="C45" s="38">
        <v>39369000000</v>
      </c>
      <c r="D45" s="38">
        <v>40483000000</v>
      </c>
      <c r="E45" s="38">
        <v>43571000000</v>
      </c>
      <c r="F45" s="19">
        <f>(E45-D45)/D45</f>
        <v>7.6278931897339627E-2</v>
      </c>
    </row>
    <row r="46" spans="1:6" ht="15" thickBot="1" x14ac:dyDescent="0.35">
      <c r="A46" s="36" t="s">
        <v>159</v>
      </c>
      <c r="B46" s="39">
        <v>55694000000</v>
      </c>
      <c r="C46" s="39">
        <v>60849000000</v>
      </c>
      <c r="D46" s="39">
        <v>64294000000</v>
      </c>
      <c r="E46" s="39">
        <v>67922000000</v>
      </c>
      <c r="F46" s="19">
        <f t="shared" ref="F46:F50" si="4">(E46-D46)/D46</f>
        <v>5.6428282576912306E-2</v>
      </c>
    </row>
    <row r="47" spans="1:6" ht="15" thickBot="1" x14ac:dyDescent="0.35">
      <c r="A47" s="34" t="s">
        <v>154</v>
      </c>
      <c r="B47" s="47">
        <v>18123000000</v>
      </c>
      <c r="C47" s="47">
        <v>18836000000</v>
      </c>
      <c r="D47" s="47">
        <v>18292000000</v>
      </c>
      <c r="E47" s="47">
        <v>19870000000</v>
      </c>
      <c r="F47" s="19">
        <f t="shared" si="4"/>
        <v>8.6267220642903999E-2</v>
      </c>
    </row>
    <row r="48" spans="1:6" ht="15" thickBot="1" x14ac:dyDescent="0.35">
      <c r="A48" s="36" t="s">
        <v>155</v>
      </c>
      <c r="B48" s="48">
        <v>39236000000</v>
      </c>
      <c r="C48" s="48">
        <v>33273000000</v>
      </c>
      <c r="D48" s="48">
        <v>33648000000</v>
      </c>
      <c r="E48" s="48">
        <v>33936000000</v>
      </c>
      <c r="F48" s="19">
        <f t="shared" si="4"/>
        <v>8.5592011412268191E-3</v>
      </c>
    </row>
    <row r="49" spans="1:6" ht="15" thickBot="1" x14ac:dyDescent="0.35">
      <c r="A49" s="34" t="s">
        <v>166</v>
      </c>
      <c r="B49" s="38"/>
      <c r="C49" s="38">
        <v>2.130414783949782</v>
      </c>
      <c r="D49" s="38">
        <v>2.1807261366084894</v>
      </c>
      <c r="E49" s="38">
        <v>2.2834757088202924</v>
      </c>
      <c r="F49" s="19">
        <f t="shared" si="4"/>
        <v>4.7117137033814482E-2</v>
      </c>
    </row>
    <row r="50" spans="1:6" ht="15" thickBot="1" x14ac:dyDescent="0.35">
      <c r="A50" s="36" t="s">
        <v>167</v>
      </c>
      <c r="B50" s="39"/>
      <c r="C50" s="39">
        <v>1.6783847522376532</v>
      </c>
      <c r="D50" s="39">
        <v>1.9214895174907727</v>
      </c>
      <c r="E50" s="39">
        <v>2.0100023674242422</v>
      </c>
      <c r="F50" s="19">
        <f t="shared" si="4"/>
        <v>4.6064706118749139E-2</v>
      </c>
    </row>
    <row r="59" spans="1:6" ht="15" thickBot="1" x14ac:dyDescent="0.35"/>
    <row r="60" spans="1:6" ht="15" thickBot="1" x14ac:dyDescent="0.35">
      <c r="A60" s="31" t="s">
        <v>145</v>
      </c>
      <c r="B60" s="32">
        <v>2021</v>
      </c>
      <c r="C60" s="32">
        <v>2022</v>
      </c>
      <c r="D60" s="32">
        <v>2023</v>
      </c>
      <c r="E60" s="33">
        <v>2024</v>
      </c>
    </row>
    <row r="61" spans="1:6" ht="15" thickBot="1" x14ac:dyDescent="0.35">
      <c r="A61" s="34" t="s">
        <v>168</v>
      </c>
      <c r="B61" s="38">
        <v>2107000000</v>
      </c>
      <c r="C61" s="38">
        <v>2448000000</v>
      </c>
      <c r="D61" s="38">
        <v>2323000000</v>
      </c>
      <c r="E61" s="38">
        <v>2703000000</v>
      </c>
      <c r="F61" s="19">
        <f>(E61-D61)/D61</f>
        <v>0.16358157554885924</v>
      </c>
    </row>
    <row r="62" spans="1:6" ht="15" thickBot="1" x14ac:dyDescent="0.35">
      <c r="A62" s="36" t="s">
        <v>169</v>
      </c>
      <c r="B62" s="39">
        <v>3132000000</v>
      </c>
      <c r="C62" s="39">
        <v>3593000000</v>
      </c>
      <c r="D62" s="39">
        <v>3698000000</v>
      </c>
      <c r="E62" s="39">
        <v>4187000000</v>
      </c>
      <c r="F62" s="19">
        <f t="shared" ref="F62:F125" si="5">(E62-D62)/D62</f>
        <v>0.13223363980530017</v>
      </c>
    </row>
    <row r="63" spans="1:6" ht="15" thickBot="1" x14ac:dyDescent="0.35">
      <c r="A63" s="34" t="s">
        <v>170</v>
      </c>
      <c r="B63" s="38">
        <v>28773000000</v>
      </c>
      <c r="C63" s="38">
        <v>29210000000</v>
      </c>
      <c r="D63" s="38">
        <v>30034000000</v>
      </c>
      <c r="E63" s="38">
        <v>32299000000</v>
      </c>
      <c r="F63" s="19">
        <f t="shared" si="5"/>
        <v>7.5414530199107682E-2</v>
      </c>
    </row>
    <row r="64" spans="1:6" ht="15" thickBot="1" x14ac:dyDescent="0.35">
      <c r="A64" s="36" t="s">
        <v>171</v>
      </c>
      <c r="B64" s="39">
        <v>39366000000</v>
      </c>
      <c r="C64" s="39">
        <v>44878000000</v>
      </c>
      <c r="D64" s="39">
        <v>47118000000</v>
      </c>
      <c r="E64" s="39">
        <v>49370000000</v>
      </c>
      <c r="F64" s="19">
        <f t="shared" si="5"/>
        <v>4.7794897915870792E-2</v>
      </c>
    </row>
    <row r="65" spans="1:6" ht="15" thickBot="1" x14ac:dyDescent="0.35">
      <c r="A65" s="34" t="s">
        <v>172</v>
      </c>
      <c r="B65" s="38"/>
      <c r="C65" s="38">
        <v>28.459003765833621</v>
      </c>
      <c r="D65" s="38">
        <v>28.990727175867352</v>
      </c>
      <c r="E65" s="38">
        <v>28.398557230874022</v>
      </c>
      <c r="F65" s="19">
        <f t="shared" si="5"/>
        <v>-2.0426184600373456E-2</v>
      </c>
    </row>
    <row r="66" spans="1:6" ht="15" thickBot="1" x14ac:dyDescent="0.35">
      <c r="A66" s="36" t="s">
        <v>173</v>
      </c>
      <c r="B66" s="39"/>
      <c r="C66" s="39">
        <v>27.347753910602076</v>
      </c>
      <c r="D66" s="39">
        <v>28.239897703637673</v>
      </c>
      <c r="E66" s="39">
        <v>29.147508608466683</v>
      </c>
      <c r="F66" s="19">
        <f t="shared" si="5"/>
        <v>3.2139312767839726E-2</v>
      </c>
    </row>
    <row r="67" spans="1:6" x14ac:dyDescent="0.3">
      <c r="F67" s="19"/>
    </row>
    <row r="68" spans="1:6" x14ac:dyDescent="0.3">
      <c r="F68" s="19"/>
    </row>
    <row r="69" spans="1:6" x14ac:dyDescent="0.3">
      <c r="F69" s="19"/>
    </row>
    <row r="70" spans="1:6" x14ac:dyDescent="0.3">
      <c r="F70" s="19"/>
    </row>
    <row r="71" spans="1:6" x14ac:dyDescent="0.3">
      <c r="F71" s="19"/>
    </row>
    <row r="72" spans="1:6" x14ac:dyDescent="0.3">
      <c r="F72" s="19"/>
    </row>
    <row r="73" spans="1:6" x14ac:dyDescent="0.3">
      <c r="F73" s="19"/>
    </row>
    <row r="74" spans="1:6" ht="15" thickBot="1" x14ac:dyDescent="0.35">
      <c r="F74" s="19"/>
    </row>
    <row r="75" spans="1:6" ht="15" thickBot="1" x14ac:dyDescent="0.35">
      <c r="A75" s="31" t="s">
        <v>145</v>
      </c>
      <c r="B75" s="32">
        <v>2021</v>
      </c>
      <c r="C75" s="32">
        <v>2022</v>
      </c>
      <c r="D75" s="32">
        <v>2023</v>
      </c>
      <c r="E75" s="33">
        <v>2024</v>
      </c>
      <c r="F75" s="19"/>
    </row>
    <row r="76" spans="1:6" ht="15" thickBot="1" x14ac:dyDescent="0.35">
      <c r="A76" s="34" t="s">
        <v>174</v>
      </c>
      <c r="B76" s="38">
        <v>368000000</v>
      </c>
      <c r="C76" s="38">
        <v>470000000</v>
      </c>
      <c r="D76" s="38">
        <v>605000000</v>
      </c>
      <c r="E76" s="38">
        <v>496000000</v>
      </c>
      <c r="F76" s="19">
        <f t="shared" si="5"/>
        <v>-0.18016528925619835</v>
      </c>
    </row>
    <row r="77" spans="1:6" ht="15" thickBot="1" x14ac:dyDescent="0.35">
      <c r="A77" s="36" t="s">
        <v>175</v>
      </c>
      <c r="B77" s="39">
        <v>480000000</v>
      </c>
      <c r="C77" s="39">
        <v>856000000</v>
      </c>
      <c r="D77" s="39">
        <v>1016000000</v>
      </c>
      <c r="E77" s="39">
        <v>1106000000</v>
      </c>
      <c r="F77" s="19">
        <f t="shared" si="5"/>
        <v>8.8582677165354326E-2</v>
      </c>
    </row>
    <row r="78" spans="1:6" ht="15" thickBot="1" x14ac:dyDescent="0.35">
      <c r="A78" s="34" t="s">
        <v>158</v>
      </c>
      <c r="B78" s="38">
        <v>38562000000</v>
      </c>
      <c r="C78" s="38">
        <v>39369000000</v>
      </c>
      <c r="D78" s="38">
        <v>40483000000</v>
      </c>
      <c r="E78" s="38">
        <v>43571000000</v>
      </c>
      <c r="F78" s="19">
        <f t="shared" si="5"/>
        <v>7.6278931897339627E-2</v>
      </c>
    </row>
    <row r="79" spans="1:6" ht="15" thickBot="1" x14ac:dyDescent="0.35">
      <c r="A79" s="36" t="s">
        <v>159</v>
      </c>
      <c r="B79" s="39">
        <v>55694000000</v>
      </c>
      <c r="C79" s="39">
        <v>60849000000</v>
      </c>
      <c r="D79" s="39">
        <v>64294000000</v>
      </c>
      <c r="E79" s="39">
        <v>67922000000</v>
      </c>
      <c r="F79" s="19">
        <f t="shared" si="5"/>
        <v>5.6428282576912306E-2</v>
      </c>
    </row>
    <row r="80" spans="1:6" ht="15" thickBot="1" x14ac:dyDescent="0.35">
      <c r="A80" s="34" t="s">
        <v>176</v>
      </c>
      <c r="B80" s="38"/>
      <c r="C80" s="38">
        <v>3.8846554395590438</v>
      </c>
      <c r="D80" s="38">
        <v>4.8461699972828098</v>
      </c>
      <c r="E80" s="38">
        <v>4.6116109338780378</v>
      </c>
      <c r="F80" s="19">
        <f t="shared" si="5"/>
        <v>-4.8400915266341576E-2</v>
      </c>
    </row>
    <row r="81" spans="1:6" ht="15" thickBot="1" x14ac:dyDescent="0.35">
      <c r="A81" s="36" t="s">
        <v>177</v>
      </c>
      <c r="B81" s="39"/>
      <c r="C81" s="39">
        <v>4.0069680684974278</v>
      </c>
      <c r="D81" s="39">
        <v>5.3137151211621614</v>
      </c>
      <c r="E81" s="39">
        <v>5.7016136156179149</v>
      </c>
      <c r="F81" s="19">
        <f t="shared" si="5"/>
        <v>7.2999490113974413E-2</v>
      </c>
    </row>
    <row r="82" spans="1:6" x14ac:dyDescent="0.3">
      <c r="F82" s="19"/>
    </row>
    <row r="83" spans="1:6" x14ac:dyDescent="0.3">
      <c r="F83" s="19"/>
    </row>
    <row r="84" spans="1:6" x14ac:dyDescent="0.3">
      <c r="F84" s="19"/>
    </row>
    <row r="85" spans="1:6" x14ac:dyDescent="0.3">
      <c r="F85" s="19"/>
    </row>
    <row r="86" spans="1:6" x14ac:dyDescent="0.3">
      <c r="F86" s="19"/>
    </row>
    <row r="87" spans="1:6" x14ac:dyDescent="0.3">
      <c r="F87" s="19"/>
    </row>
    <row r="88" spans="1:6" x14ac:dyDescent="0.3">
      <c r="F88" s="19"/>
    </row>
    <row r="89" spans="1:6" ht="15" thickBot="1" x14ac:dyDescent="0.35">
      <c r="F89" s="19"/>
    </row>
    <row r="90" spans="1:6" ht="15" thickBot="1" x14ac:dyDescent="0.35">
      <c r="A90" s="31" t="s">
        <v>145</v>
      </c>
      <c r="B90" s="32">
        <v>2021</v>
      </c>
      <c r="C90" s="32">
        <v>2022</v>
      </c>
      <c r="D90" s="32">
        <v>2023</v>
      </c>
      <c r="E90" s="33">
        <v>2024</v>
      </c>
      <c r="F90" s="19"/>
    </row>
    <row r="91" spans="1:6" ht="15" thickBot="1" x14ac:dyDescent="0.35">
      <c r="A91" s="34" t="s">
        <v>178</v>
      </c>
      <c r="B91" s="38">
        <v>3434000000</v>
      </c>
      <c r="C91" s="38">
        <v>3751000000</v>
      </c>
      <c r="D91" s="38">
        <v>3752000000</v>
      </c>
      <c r="E91" s="38">
        <v>3986000000</v>
      </c>
      <c r="F91" s="19">
        <f t="shared" si="5"/>
        <v>6.2366737739872065E-2</v>
      </c>
    </row>
    <row r="92" spans="1:6" ht="15" thickBot="1" x14ac:dyDescent="0.35">
      <c r="A92" s="36" t="s">
        <v>179</v>
      </c>
      <c r="B92" s="39">
        <v>15786000000</v>
      </c>
      <c r="C92" s="39">
        <v>6110000000</v>
      </c>
      <c r="D92" s="39">
        <v>6375000000</v>
      </c>
      <c r="E92" s="39">
        <v>6991000000</v>
      </c>
      <c r="F92" s="19">
        <f t="shared" si="5"/>
        <v>9.662745098039216E-2</v>
      </c>
    </row>
    <row r="93" spans="1:6" ht="15" thickBot="1" x14ac:dyDescent="0.35">
      <c r="A93" s="34" t="s">
        <v>180</v>
      </c>
      <c r="B93" s="38">
        <v>5819000000</v>
      </c>
      <c r="C93" s="38">
        <v>6415000000</v>
      </c>
      <c r="D93" s="38">
        <v>6408000000</v>
      </c>
      <c r="E93" s="38">
        <v>6771000000</v>
      </c>
      <c r="F93" s="19">
        <f t="shared" si="5"/>
        <v>5.6647940074906367E-2</v>
      </c>
    </row>
    <row r="94" spans="1:6" ht="15" thickBot="1" x14ac:dyDescent="0.35">
      <c r="A94" s="36" t="s">
        <v>181</v>
      </c>
      <c r="B94" s="39">
        <v>23117000000</v>
      </c>
      <c r="C94" s="39">
        <v>10750000000</v>
      </c>
      <c r="D94" s="39">
        <v>11886000000</v>
      </c>
      <c r="E94" s="39">
        <v>12819000000</v>
      </c>
      <c r="F94" s="19">
        <f t="shared" si="5"/>
        <v>7.8495709237758712E-2</v>
      </c>
    </row>
    <row r="95" spans="1:6" ht="15" thickBot="1" x14ac:dyDescent="0.35">
      <c r="A95" s="34" t="s">
        <v>182</v>
      </c>
      <c r="B95" s="38">
        <v>0.59013576215844643</v>
      </c>
      <c r="C95" s="38">
        <v>0.58472330475448164</v>
      </c>
      <c r="D95" s="38">
        <v>0.58551810237203494</v>
      </c>
      <c r="E95" s="38">
        <v>0.58868704770344116</v>
      </c>
      <c r="F95" s="19">
        <f t="shared" si="5"/>
        <v>5.4122072717619997E-3</v>
      </c>
    </row>
    <row r="96" spans="1:6" ht="15" thickBot="1" x14ac:dyDescent="0.35">
      <c r="A96" s="36" t="s">
        <v>183</v>
      </c>
      <c r="B96" s="39">
        <v>0.6828740753557988</v>
      </c>
      <c r="C96" s="39">
        <v>0.56837209302325586</v>
      </c>
      <c r="D96" s="39">
        <v>0.5363452801615346</v>
      </c>
      <c r="E96" s="39">
        <v>0.54536235275762535</v>
      </c>
      <c r="F96" s="19">
        <f t="shared" si="5"/>
        <v>1.6812066647393667E-2</v>
      </c>
    </row>
    <row r="97" spans="1:6" x14ac:dyDescent="0.3">
      <c r="F97" s="19"/>
    </row>
    <row r="98" spans="1:6" x14ac:dyDescent="0.3">
      <c r="F98" s="19"/>
    </row>
    <row r="99" spans="1:6" x14ac:dyDescent="0.3">
      <c r="F99" s="19"/>
    </row>
    <row r="100" spans="1:6" x14ac:dyDescent="0.3">
      <c r="F100" s="19"/>
    </row>
    <row r="101" spans="1:6" x14ac:dyDescent="0.3">
      <c r="F101" s="19"/>
    </row>
    <row r="102" spans="1:6" x14ac:dyDescent="0.3">
      <c r="F102" s="19"/>
    </row>
    <row r="103" spans="1:6" x14ac:dyDescent="0.3">
      <c r="F103" s="19"/>
    </row>
    <row r="104" spans="1:6" x14ac:dyDescent="0.3">
      <c r="F104" s="19"/>
    </row>
    <row r="105" spans="1:6" x14ac:dyDescent="0.3">
      <c r="F105" s="19"/>
    </row>
    <row r="106" spans="1:6" ht="15" thickBot="1" x14ac:dyDescent="0.35">
      <c r="F106" s="19"/>
    </row>
    <row r="107" spans="1:6" ht="15" thickBot="1" x14ac:dyDescent="0.35">
      <c r="A107" s="31" t="s">
        <v>145</v>
      </c>
      <c r="B107" s="32">
        <v>2021</v>
      </c>
      <c r="C107" s="32">
        <v>2022</v>
      </c>
      <c r="D107" s="32">
        <v>2023</v>
      </c>
      <c r="E107" s="33">
        <v>2024</v>
      </c>
      <c r="F107" s="19"/>
    </row>
    <row r="108" spans="1:6" ht="15" thickBot="1" x14ac:dyDescent="0.35">
      <c r="A108" s="34" t="s">
        <v>162</v>
      </c>
      <c r="B108" s="38">
        <v>2837000000</v>
      </c>
      <c r="C108" s="38">
        <v>2690000000</v>
      </c>
      <c r="D108" s="38">
        <v>2807000000</v>
      </c>
      <c r="E108" s="38">
        <v>2793000000</v>
      </c>
      <c r="F108" s="19">
        <f t="shared" si="5"/>
        <v>-4.9875311720698253E-3</v>
      </c>
    </row>
    <row r="109" spans="1:6" ht="28.2" thickBot="1" x14ac:dyDescent="0.35">
      <c r="A109" s="36" t="s">
        <v>163</v>
      </c>
      <c r="B109" s="39">
        <v>4624000000</v>
      </c>
      <c r="C109" s="39">
        <v>3378000000</v>
      </c>
      <c r="D109" s="39">
        <v>4754000000</v>
      </c>
      <c r="E109" s="39">
        <v>4359000000</v>
      </c>
      <c r="F109" s="19">
        <f t="shared" si="5"/>
        <v>-8.3087925957088762E-2</v>
      </c>
    </row>
    <row r="110" spans="1:6" ht="15" thickBot="1" x14ac:dyDescent="0.35">
      <c r="A110" s="34" t="s">
        <v>180</v>
      </c>
      <c r="B110" s="38">
        <v>5819000000</v>
      </c>
      <c r="C110" s="38">
        <v>6415000000</v>
      </c>
      <c r="D110" s="38">
        <v>6408000000</v>
      </c>
      <c r="E110" s="38">
        <v>6771000000</v>
      </c>
      <c r="F110" s="19">
        <f t="shared" si="5"/>
        <v>5.6647940074906367E-2</v>
      </c>
    </row>
    <row r="111" spans="1:6" ht="15" thickBot="1" x14ac:dyDescent="0.35">
      <c r="A111" s="36" t="s">
        <v>181</v>
      </c>
      <c r="B111" s="39">
        <v>23117000000</v>
      </c>
      <c r="C111" s="39">
        <v>10750000000</v>
      </c>
      <c r="D111" s="39">
        <v>11886000000</v>
      </c>
      <c r="E111" s="39">
        <v>12819000000</v>
      </c>
      <c r="F111" s="19">
        <f t="shared" si="5"/>
        <v>7.8495709237758712E-2</v>
      </c>
    </row>
    <row r="112" spans="1:6" ht="15" thickBot="1" x14ac:dyDescent="0.35">
      <c r="A112" s="34" t="s">
        <v>184</v>
      </c>
      <c r="B112" s="38">
        <v>0.48754081457295068</v>
      </c>
      <c r="C112" s="38">
        <v>0.41932969602494152</v>
      </c>
      <c r="D112" s="38">
        <v>0.43804619225967539</v>
      </c>
      <c r="E112" s="38">
        <v>0.41249446167478954</v>
      </c>
      <c r="F112" s="19">
        <f t="shared" si="5"/>
        <v>-5.8331132735286277E-2</v>
      </c>
    </row>
    <row r="113" spans="1:6" ht="28.2" thickBot="1" x14ac:dyDescent="0.35">
      <c r="A113" s="36" t="s">
        <v>185</v>
      </c>
      <c r="B113" s="39">
        <v>0.20002595492494701</v>
      </c>
      <c r="C113" s="39">
        <v>0.31423255813953488</v>
      </c>
      <c r="D113" s="39">
        <v>0.39996634696281341</v>
      </c>
      <c r="E113" s="39">
        <v>0.34004212497074654</v>
      </c>
      <c r="F113" s="19">
        <f t="shared" si="5"/>
        <v>-0.14982315999110365</v>
      </c>
    </row>
    <row r="114" spans="1:6" x14ac:dyDescent="0.3">
      <c r="F114" s="19"/>
    </row>
    <row r="115" spans="1:6" x14ac:dyDescent="0.3">
      <c r="F115" s="19"/>
    </row>
    <row r="116" spans="1:6" x14ac:dyDescent="0.3">
      <c r="F116" s="19"/>
    </row>
    <row r="117" spans="1:6" x14ac:dyDescent="0.3">
      <c r="F117" s="19"/>
    </row>
    <row r="118" spans="1:6" x14ac:dyDescent="0.3">
      <c r="F118" s="19"/>
    </row>
    <row r="119" spans="1:6" ht="15" thickBot="1" x14ac:dyDescent="0.35">
      <c r="F119" s="19"/>
    </row>
    <row r="120" spans="1:6" ht="15" thickBot="1" x14ac:dyDescent="0.35">
      <c r="A120" s="31" t="s">
        <v>145</v>
      </c>
      <c r="B120" s="32">
        <v>2021</v>
      </c>
      <c r="C120" s="32">
        <v>2022</v>
      </c>
      <c r="D120" s="32">
        <v>2023</v>
      </c>
      <c r="E120" s="33">
        <v>2024</v>
      </c>
      <c r="F120" s="19"/>
    </row>
    <row r="121" spans="1:6" ht="15" thickBot="1" x14ac:dyDescent="0.35">
      <c r="A121" s="38" t="s">
        <v>186</v>
      </c>
      <c r="B121" s="38">
        <v>15310000000</v>
      </c>
      <c r="C121" s="38">
        <v>15712000000</v>
      </c>
      <c r="D121" s="38">
        <v>14936000000</v>
      </c>
      <c r="E121" s="38">
        <v>16253000000</v>
      </c>
      <c r="F121" s="19">
        <f t="shared" si="5"/>
        <v>8.8176218532404926E-2</v>
      </c>
    </row>
    <row r="122" spans="1:6" ht="15" thickBot="1" x14ac:dyDescent="0.35">
      <c r="A122" s="39" t="s">
        <v>187</v>
      </c>
      <c r="B122" s="39">
        <v>37497000000</v>
      </c>
      <c r="C122" s="39">
        <v>27169000000</v>
      </c>
      <c r="D122" s="39">
        <v>27083000000</v>
      </c>
      <c r="E122" s="39">
        <v>28366000000</v>
      </c>
      <c r="F122" s="19">
        <f t="shared" si="5"/>
        <v>4.7372890743270689E-2</v>
      </c>
    </row>
    <row r="123" spans="1:6" ht="15" thickBot="1" x14ac:dyDescent="0.35">
      <c r="A123" s="34" t="s">
        <v>154</v>
      </c>
      <c r="B123" s="47">
        <v>18123000000</v>
      </c>
      <c r="C123" s="47">
        <v>18836000000</v>
      </c>
      <c r="D123" s="47">
        <v>18292000000</v>
      </c>
      <c r="E123" s="47">
        <v>19870000000</v>
      </c>
      <c r="F123" s="19">
        <f t="shared" si="5"/>
        <v>8.6267220642903999E-2</v>
      </c>
    </row>
    <row r="124" spans="1:6" ht="15" thickBot="1" x14ac:dyDescent="0.35">
      <c r="A124" s="36" t="s">
        <v>155</v>
      </c>
      <c r="B124" s="48">
        <v>39236000000</v>
      </c>
      <c r="C124" s="48">
        <v>33273000000</v>
      </c>
      <c r="D124" s="48">
        <v>33648000000</v>
      </c>
      <c r="E124" s="48">
        <v>33936000000</v>
      </c>
      <c r="F124" s="19">
        <f t="shared" si="5"/>
        <v>8.5592011412268191E-3</v>
      </c>
    </row>
    <row r="125" spans="1:6" ht="15" thickBot="1" x14ac:dyDescent="0.35">
      <c r="A125" s="38" t="s">
        <v>188</v>
      </c>
      <c r="B125" s="38">
        <v>2813000000</v>
      </c>
      <c r="C125" s="38">
        <v>3124000000</v>
      </c>
      <c r="D125" s="38">
        <v>3356000000</v>
      </c>
      <c r="E125" s="38">
        <v>3617000000</v>
      </c>
      <c r="F125" s="19">
        <f t="shared" si="5"/>
        <v>7.7771156138259828E-2</v>
      </c>
    </row>
    <row r="126" spans="1:6" ht="15" thickBot="1" x14ac:dyDescent="0.35">
      <c r="A126" s="39" t="s">
        <v>189</v>
      </c>
      <c r="B126" s="39">
        <v>1739000000</v>
      </c>
      <c r="C126" s="39">
        <v>6104000000</v>
      </c>
      <c r="D126" s="39">
        <v>6565000000</v>
      </c>
      <c r="E126" s="39">
        <v>5570000000</v>
      </c>
      <c r="F126" s="19">
        <f t="shared" ref="F126:F189" si="6">(E126-D126)/D126</f>
        <v>-0.15156130997715156</v>
      </c>
    </row>
    <row r="127" spans="1:6" ht="15" thickBot="1" x14ac:dyDescent="0.35">
      <c r="A127" s="38" t="s">
        <v>190</v>
      </c>
      <c r="B127" s="38">
        <v>5.4425879843583367</v>
      </c>
      <c r="C127" s="38">
        <v>5.0294494238156213</v>
      </c>
      <c r="D127" s="38">
        <v>4.4505363528009534</v>
      </c>
      <c r="E127" s="38">
        <v>4.4935029029582525</v>
      </c>
      <c r="F127" s="19">
        <f t="shared" si="6"/>
        <v>9.6542409164365166E-3</v>
      </c>
    </row>
    <row r="128" spans="1:6" ht="15" thickBot="1" x14ac:dyDescent="0.35">
      <c r="A128" s="39" t="s">
        <v>191</v>
      </c>
      <c r="B128" s="39"/>
      <c r="C128" s="39">
        <v>4.4510157273918738</v>
      </c>
      <c r="D128" s="39">
        <v>4.1253617669459253</v>
      </c>
      <c r="E128" s="39">
        <v>5.0926391382405747</v>
      </c>
      <c r="F128" s="19">
        <f t="shared" si="6"/>
        <v>0.23447092059776883</v>
      </c>
    </row>
    <row r="129" spans="1:6" ht="15" thickBot="1" x14ac:dyDescent="0.35">
      <c r="A129" s="38" t="s">
        <v>192</v>
      </c>
      <c r="B129" s="38">
        <v>0.8447828725928378</v>
      </c>
      <c r="C129" s="38">
        <v>0.83414737736249733</v>
      </c>
      <c r="D129" s="38">
        <v>0.81653181718784162</v>
      </c>
      <c r="E129" s="38">
        <v>0.81796678409662804</v>
      </c>
      <c r="F129" s="19">
        <f t="shared" si="6"/>
        <v>1.7573925211248754E-3</v>
      </c>
    </row>
    <row r="130" spans="1:6" ht="15" thickBot="1" x14ac:dyDescent="0.35">
      <c r="A130" s="39" t="s">
        <v>193</v>
      </c>
      <c r="B130" s="39">
        <v>0.95567845855846667</v>
      </c>
      <c r="C130" s="39">
        <v>0.81654795179274486</v>
      </c>
      <c r="D130" s="39">
        <v>0.80489182120779834</v>
      </c>
      <c r="E130" s="39">
        <v>0.83586751532296089</v>
      </c>
      <c r="F130" s="19">
        <f t="shared" si="6"/>
        <v>3.8484294782224621E-2</v>
      </c>
    </row>
    <row r="131" spans="1:6" ht="15" thickBot="1" x14ac:dyDescent="0.35">
      <c r="A131" s="38" t="s">
        <v>194</v>
      </c>
      <c r="B131" s="38">
        <v>0.15521712740716218</v>
      </c>
      <c r="C131" s="38">
        <v>0.16585262263750267</v>
      </c>
      <c r="D131" s="38">
        <v>0.18346818281215832</v>
      </c>
      <c r="E131" s="38">
        <v>0.18203321590337193</v>
      </c>
      <c r="F131" s="19">
        <f t="shared" si="6"/>
        <v>-7.8213393014066237E-3</v>
      </c>
    </row>
    <row r="132" spans="1:6" ht="15" thickBot="1" x14ac:dyDescent="0.35">
      <c r="A132" s="39" t="s">
        <v>195</v>
      </c>
      <c r="B132" s="39">
        <v>4.4321541441533288E-2</v>
      </c>
      <c r="C132" s="39">
        <v>0.18345204820725514</v>
      </c>
      <c r="D132" s="39">
        <v>0.1951081787922016</v>
      </c>
      <c r="E132" s="39">
        <v>0.16413248467703914</v>
      </c>
      <c r="F132" s="19">
        <f t="shared" si="6"/>
        <v>-0.15876163832246559</v>
      </c>
    </row>
    <row r="133" spans="1:6" x14ac:dyDescent="0.3">
      <c r="F133" s="19"/>
    </row>
    <row r="134" spans="1:6" x14ac:dyDescent="0.3">
      <c r="F134" s="19"/>
    </row>
    <row r="135" spans="1:6" x14ac:dyDescent="0.3">
      <c r="F135" s="19"/>
    </row>
    <row r="136" spans="1:6" x14ac:dyDescent="0.3">
      <c r="F136" s="19"/>
    </row>
    <row r="137" spans="1:6" x14ac:dyDescent="0.3">
      <c r="F137" s="19"/>
    </row>
    <row r="138" spans="1:6" x14ac:dyDescent="0.3">
      <c r="F138" s="19"/>
    </row>
    <row r="139" spans="1:6" x14ac:dyDescent="0.3">
      <c r="F139" s="19"/>
    </row>
    <row r="140" spans="1:6" x14ac:dyDescent="0.3">
      <c r="F140" s="19"/>
    </row>
    <row r="141" spans="1:6" ht="15" thickBot="1" x14ac:dyDescent="0.35">
      <c r="F141" s="19"/>
    </row>
    <row r="142" spans="1:6" ht="15" thickBot="1" x14ac:dyDescent="0.35">
      <c r="A142" s="31" t="s">
        <v>145</v>
      </c>
      <c r="B142" s="32">
        <v>2021</v>
      </c>
      <c r="C142" s="32">
        <v>2022</v>
      </c>
      <c r="D142" s="32">
        <v>2023</v>
      </c>
      <c r="E142" s="33">
        <v>2024</v>
      </c>
      <c r="F142" s="19"/>
    </row>
    <row r="143" spans="1:6" ht="15" thickBot="1" x14ac:dyDescent="0.35">
      <c r="A143" s="34" t="s">
        <v>146</v>
      </c>
      <c r="B143" s="38">
        <v>1005000000</v>
      </c>
      <c r="C143" s="38">
        <v>1048000000</v>
      </c>
      <c r="D143" s="38">
        <v>1098000000</v>
      </c>
      <c r="E143" s="38">
        <v>1118000000</v>
      </c>
      <c r="F143" s="19">
        <f t="shared" si="6"/>
        <v>1.8214936247723135E-2</v>
      </c>
    </row>
    <row r="144" spans="1:6" ht="15" thickBot="1" x14ac:dyDescent="0.35">
      <c r="A144" s="36" t="s">
        <v>147</v>
      </c>
      <c r="B144" s="39">
        <v>1606000000</v>
      </c>
      <c r="C144" s="39">
        <v>1557000000</v>
      </c>
      <c r="D144" s="39">
        <v>1629000000</v>
      </c>
      <c r="E144" s="39">
        <v>117000000</v>
      </c>
      <c r="F144" s="19">
        <f t="shared" si="6"/>
        <v>-0.92817679558011046</v>
      </c>
    </row>
    <row r="145" spans="1:6" ht="15" thickBot="1" x14ac:dyDescent="0.35">
      <c r="A145" s="34" t="s">
        <v>196</v>
      </c>
      <c r="B145" s="38">
        <f>SUM('Income Statement - COL'!B17,'Income Statement - COL'!B18)</f>
        <v>413000000</v>
      </c>
      <c r="C145" s="38">
        <f>SUM('Income Statement - COL'!C17,'Income Statement - COL'!C18)</f>
        <v>379000000</v>
      </c>
      <c r="D145" s="38">
        <f>SUM('Income Statement - COL'!D17,'Income Statement - COL'!D18)</f>
        <v>371000000</v>
      </c>
      <c r="E145" s="38">
        <f>SUM('Income Statement - COL'!E17,'Income Statement - COL'!E18)</f>
        <v>411000000</v>
      </c>
      <c r="F145" s="19">
        <f t="shared" si="6"/>
        <v>0.1078167115902965</v>
      </c>
    </row>
    <row r="146" spans="1:6" ht="15" thickBot="1" x14ac:dyDescent="0.35">
      <c r="A146" s="36" t="s">
        <v>197</v>
      </c>
      <c r="B146" s="39">
        <f>SUM('Income Statement - WOW'!B17,'Income Statement - WOW'!B18)</f>
        <v>630000000</v>
      </c>
      <c r="C146" s="39">
        <f>SUM('Income Statement - WOW'!C17,'Income Statement - WOW'!C18)</f>
        <v>632000000</v>
      </c>
      <c r="D146" s="39">
        <f>SUM('Income Statement - WOW'!D17,'Income Statement - WOW'!D18)</f>
        <v>726000000</v>
      </c>
      <c r="E146" s="39">
        <f>SUM('Income Statement - WOW'!E17,'Income Statement - WOW'!E18)</f>
        <v>812000000</v>
      </c>
      <c r="F146" s="19">
        <f t="shared" si="6"/>
        <v>0.1184573002754821</v>
      </c>
    </row>
    <row r="147" spans="1:6" ht="15" thickBot="1" x14ac:dyDescent="0.35">
      <c r="A147" s="34" t="s">
        <v>198</v>
      </c>
      <c r="B147" s="38">
        <v>441000000</v>
      </c>
      <c r="C147" s="38">
        <v>425000000</v>
      </c>
      <c r="D147" s="38">
        <v>423000000</v>
      </c>
      <c r="E147" s="38">
        <v>487000000</v>
      </c>
      <c r="F147" s="19">
        <f t="shared" si="6"/>
        <v>0.15130023640661938</v>
      </c>
    </row>
    <row r="148" spans="1:6" ht="15" thickBot="1" x14ac:dyDescent="0.35">
      <c r="A148" s="36" t="s">
        <v>199</v>
      </c>
      <c r="B148" s="39">
        <v>604000000</v>
      </c>
      <c r="C148" s="39">
        <v>534000000</v>
      </c>
      <c r="D148" s="39">
        <v>693000000</v>
      </c>
      <c r="E148" s="39">
        <v>759000000</v>
      </c>
      <c r="F148" s="19">
        <f t="shared" si="6"/>
        <v>9.5238095238095233E-2</v>
      </c>
    </row>
    <row r="149" spans="1:6" ht="15" thickBot="1" x14ac:dyDescent="0.35">
      <c r="A149" s="34" t="s">
        <v>200</v>
      </c>
      <c r="B149" s="38">
        <v>0.48910411622276029</v>
      </c>
      <c r="C149" s="38">
        <v>0.80738786279683372</v>
      </c>
      <c r="D149" s="38">
        <v>1.0350404312668464</v>
      </c>
      <c r="E149" s="38">
        <v>0.83698296836982966</v>
      </c>
      <c r="F149" s="19">
        <f t="shared" si="6"/>
        <v>-0.19135239253852399</v>
      </c>
    </row>
    <row r="150" spans="1:6" ht="28.2" thickBot="1" x14ac:dyDescent="0.35">
      <c r="A150" s="36" t="s">
        <v>201</v>
      </c>
      <c r="B150" s="39">
        <v>0.59047619047619049</v>
      </c>
      <c r="C150" s="39">
        <v>0.61867088607594933</v>
      </c>
      <c r="D150" s="39">
        <v>0.28925619834710742</v>
      </c>
      <c r="E150" s="39">
        <v>-1.7906403940886699</v>
      </c>
      <c r="F150" s="19">
        <f t="shared" si="6"/>
        <v>-7.1904996481351171</v>
      </c>
    </row>
    <row r="151" spans="1:6" x14ac:dyDescent="0.3">
      <c r="F151" s="19"/>
    </row>
    <row r="152" spans="1:6" x14ac:dyDescent="0.3">
      <c r="F152" s="19"/>
    </row>
    <row r="153" spans="1:6" x14ac:dyDescent="0.3">
      <c r="F153" s="19"/>
    </row>
    <row r="154" spans="1:6" x14ac:dyDescent="0.3">
      <c r="F154" s="19"/>
    </row>
    <row r="155" spans="1:6" x14ac:dyDescent="0.3">
      <c r="F155" s="19"/>
    </row>
    <row r="156" spans="1:6" ht="15" thickBot="1" x14ac:dyDescent="0.35">
      <c r="F156" s="19"/>
    </row>
    <row r="157" spans="1:6" ht="15" thickBot="1" x14ac:dyDescent="0.35">
      <c r="A157" s="31" t="s">
        <v>145</v>
      </c>
      <c r="B157" s="32">
        <v>2021</v>
      </c>
      <c r="C157" s="32">
        <v>2022</v>
      </c>
      <c r="D157" s="32">
        <v>2023</v>
      </c>
      <c r="E157" s="33">
        <v>2024</v>
      </c>
      <c r="F157" s="19"/>
    </row>
    <row r="158" spans="1:6" ht="15" thickBot="1" x14ac:dyDescent="0.35">
      <c r="A158" s="34" t="s">
        <v>202</v>
      </c>
      <c r="B158" s="38">
        <v>9491000000</v>
      </c>
      <c r="C158" s="38">
        <v>9297000000</v>
      </c>
      <c r="D158" s="38">
        <v>8528000000</v>
      </c>
      <c r="E158" s="38">
        <v>9482000000</v>
      </c>
      <c r="F158" s="19">
        <f t="shared" si="6"/>
        <v>0.11186679174484053</v>
      </c>
    </row>
    <row r="159" spans="1:6" ht="28.2" thickBot="1" x14ac:dyDescent="0.35">
      <c r="A159" s="36" t="s">
        <v>203</v>
      </c>
      <c r="B159" s="39">
        <v>14380000000</v>
      </c>
      <c r="C159" s="39">
        <v>16419000000</v>
      </c>
      <c r="D159" s="39">
        <v>15197000000</v>
      </c>
      <c r="E159" s="39">
        <v>15547000000</v>
      </c>
      <c r="F159" s="19">
        <f t="shared" si="6"/>
        <v>2.3030861354214647E-2</v>
      </c>
    </row>
    <row r="160" spans="1:6" ht="15" thickBot="1" x14ac:dyDescent="0.35">
      <c r="A160" s="34" t="s">
        <v>162</v>
      </c>
      <c r="B160" s="38">
        <v>2837000000</v>
      </c>
      <c r="C160" s="38">
        <v>2690000000</v>
      </c>
      <c r="D160" s="38">
        <v>2807000000</v>
      </c>
      <c r="E160" s="38">
        <v>2793000000</v>
      </c>
      <c r="F160" s="19">
        <f t="shared" si="6"/>
        <v>-4.9875311720698253E-3</v>
      </c>
    </row>
    <row r="161" spans="1:14" ht="28.2" thickBot="1" x14ac:dyDescent="0.35">
      <c r="A161" s="36" t="s">
        <v>163</v>
      </c>
      <c r="B161" s="39">
        <v>4624000000</v>
      </c>
      <c r="C161" s="39">
        <v>3378000000</v>
      </c>
      <c r="D161" s="39">
        <v>4754000000</v>
      </c>
      <c r="E161" s="39">
        <v>4359000000</v>
      </c>
      <c r="F161" s="19">
        <f t="shared" si="6"/>
        <v>-8.3087925957088762E-2</v>
      </c>
    </row>
    <row r="162" spans="1:14" ht="15" thickBot="1" x14ac:dyDescent="0.35">
      <c r="A162" s="34" t="s">
        <v>204</v>
      </c>
      <c r="B162" s="38">
        <v>3.3454353189989425</v>
      </c>
      <c r="C162" s="38">
        <v>3.4561338289962826</v>
      </c>
      <c r="D162" s="38">
        <v>3.0381189882436765</v>
      </c>
      <c r="E162" s="38">
        <v>3.3949158610812744</v>
      </c>
      <c r="F162" s="19">
        <f t="shared" si="6"/>
        <v>0.11744005887138101</v>
      </c>
    </row>
    <row r="163" spans="1:14" ht="15" thickBot="1" x14ac:dyDescent="0.35">
      <c r="A163" s="36" t="s">
        <v>205</v>
      </c>
      <c r="B163" s="39">
        <v>3.1098615916955019</v>
      </c>
      <c r="C163" s="39">
        <v>4.8605683836589701</v>
      </c>
      <c r="D163" s="39">
        <v>3.1966764829617165</v>
      </c>
      <c r="E163" s="39">
        <v>3.5666437256251435</v>
      </c>
      <c r="F163" s="19">
        <f t="shared" si="6"/>
        <v>0.1157349655604351</v>
      </c>
    </row>
    <row r="164" spans="1:14" x14ac:dyDescent="0.3">
      <c r="F164" s="19"/>
    </row>
    <row r="165" spans="1:14" x14ac:dyDescent="0.3">
      <c r="F165" s="19"/>
    </row>
    <row r="166" spans="1:14" x14ac:dyDescent="0.3">
      <c r="F166" s="19"/>
    </row>
    <row r="167" spans="1:14" x14ac:dyDescent="0.3">
      <c r="F167" s="19"/>
    </row>
    <row r="168" spans="1:14" x14ac:dyDescent="0.3">
      <c r="F168" s="19"/>
    </row>
    <row r="169" spans="1:14" x14ac:dyDescent="0.3">
      <c r="F169" s="19"/>
    </row>
    <row r="170" spans="1:14" x14ac:dyDescent="0.3">
      <c r="F170" s="19"/>
    </row>
    <row r="171" spans="1:14" ht="15" thickBot="1" x14ac:dyDescent="0.35">
      <c r="F171" s="19"/>
    </row>
    <row r="172" spans="1:14" ht="15" thickBot="1" x14ac:dyDescent="0.35">
      <c r="A172" s="31" t="s">
        <v>145</v>
      </c>
      <c r="B172" s="32">
        <v>2021</v>
      </c>
      <c r="C172" s="32">
        <v>2022</v>
      </c>
      <c r="D172" s="32">
        <v>2023</v>
      </c>
      <c r="E172" s="33">
        <v>2024</v>
      </c>
      <c r="F172" s="19"/>
    </row>
    <row r="173" spans="1:14" ht="15" thickBot="1" x14ac:dyDescent="0.35">
      <c r="A173" s="34" t="s">
        <v>146</v>
      </c>
      <c r="B173" s="38">
        <v>1005000000</v>
      </c>
      <c r="C173" s="38">
        <v>1048000000</v>
      </c>
      <c r="D173" s="38">
        <v>1098000000</v>
      </c>
      <c r="E173" s="38">
        <v>1118000000</v>
      </c>
      <c r="F173" s="19">
        <f t="shared" si="6"/>
        <v>1.8214936247723135E-2</v>
      </c>
    </row>
    <row r="174" spans="1:14" ht="15" thickBot="1" x14ac:dyDescent="0.35">
      <c r="A174" s="36" t="s">
        <v>147</v>
      </c>
      <c r="B174" s="39">
        <v>1606000000</v>
      </c>
      <c r="C174" s="39">
        <v>1557000000</v>
      </c>
      <c r="D174" s="39">
        <v>1629000000</v>
      </c>
      <c r="E174" s="39">
        <v>117000000</v>
      </c>
      <c r="F174" s="19">
        <f t="shared" si="6"/>
        <v>-0.92817679558011046</v>
      </c>
    </row>
    <row r="175" spans="1:14" ht="15" thickBot="1" x14ac:dyDescent="0.35">
      <c r="A175" s="34" t="s">
        <v>206</v>
      </c>
      <c r="B175" s="38">
        <v>1333900000</v>
      </c>
      <c r="C175" s="38">
        <v>1336100000</v>
      </c>
      <c r="D175" s="38">
        <v>1338400000</v>
      </c>
      <c r="E175" s="38">
        <v>1339400000</v>
      </c>
      <c r="F175" s="19">
        <f t="shared" si="6"/>
        <v>7.4716078900179323E-4</v>
      </c>
    </row>
    <row r="176" spans="1:14" ht="28.2" thickBot="1" x14ac:dyDescent="0.35">
      <c r="A176" s="36" t="s">
        <v>207</v>
      </c>
      <c r="B176" s="39">
        <v>1267700000</v>
      </c>
      <c r="C176" s="39">
        <v>1213900000</v>
      </c>
      <c r="D176" s="39">
        <v>1218700000</v>
      </c>
      <c r="E176" s="39">
        <v>1221600000</v>
      </c>
      <c r="F176" s="19">
        <f t="shared" si="6"/>
        <v>2.3795848034791171E-3</v>
      </c>
      <c r="K176" s="41"/>
      <c r="L176" s="41"/>
      <c r="M176" s="41"/>
      <c r="N176" s="41"/>
    </row>
    <row r="177" spans="1:14" ht="15" thickBot="1" x14ac:dyDescent="0.35">
      <c r="A177" s="34" t="s">
        <v>208</v>
      </c>
      <c r="B177" s="43">
        <v>0.75342979233825624</v>
      </c>
      <c r="C177" s="43">
        <v>0.78437242721353195</v>
      </c>
      <c r="D177" s="43">
        <v>0.8203825463239689</v>
      </c>
      <c r="E177" s="43">
        <v>0.83470210542033751</v>
      </c>
      <c r="F177" s="19">
        <f t="shared" si="6"/>
        <v>1.7454733965919633E-2</v>
      </c>
      <c r="K177" s="41"/>
      <c r="L177" s="41"/>
      <c r="M177" s="41"/>
      <c r="N177" s="42"/>
    </row>
    <row r="178" spans="1:14" ht="28.2" thickBot="1" x14ac:dyDescent="0.35">
      <c r="A178" s="36" t="s">
        <v>209</v>
      </c>
      <c r="B178" s="44">
        <v>1.2668612447740002</v>
      </c>
      <c r="C178" s="44">
        <v>1.2826427218057501</v>
      </c>
      <c r="D178" s="44">
        <v>1.3366702223680971</v>
      </c>
      <c r="E178" s="44">
        <v>9.5776031434184672E-2</v>
      </c>
      <c r="F178" s="19">
        <f t="shared" si="6"/>
        <v>-0.92834729925792459</v>
      </c>
    </row>
    <row r="179" spans="1:14" x14ac:dyDescent="0.3">
      <c r="F179" s="19"/>
    </row>
    <row r="180" spans="1:14" x14ac:dyDescent="0.3">
      <c r="F180" s="19"/>
    </row>
    <row r="181" spans="1:14" x14ac:dyDescent="0.3">
      <c r="F181" s="19"/>
    </row>
    <row r="182" spans="1:14" x14ac:dyDescent="0.3">
      <c r="F182" s="19"/>
    </row>
    <row r="183" spans="1:14" x14ac:dyDescent="0.3">
      <c r="F183" s="19"/>
    </row>
    <row r="184" spans="1:14" x14ac:dyDescent="0.3">
      <c r="F184" s="19"/>
    </row>
    <row r="185" spans="1:14" ht="15" thickBot="1" x14ac:dyDescent="0.35">
      <c r="F185" s="19"/>
    </row>
    <row r="186" spans="1:14" ht="28.2" thickBot="1" x14ac:dyDescent="0.35">
      <c r="A186" s="31" t="s">
        <v>145</v>
      </c>
      <c r="B186" s="32">
        <v>2021</v>
      </c>
      <c r="C186" s="32">
        <v>2022</v>
      </c>
      <c r="D186" s="32">
        <v>2023</v>
      </c>
      <c r="E186" s="33">
        <v>2024</v>
      </c>
      <c r="F186" s="33" t="s">
        <v>99</v>
      </c>
    </row>
    <row r="187" spans="1:14" ht="15" thickBot="1" x14ac:dyDescent="0.35">
      <c r="A187" s="34" t="s">
        <v>210</v>
      </c>
      <c r="B187" s="38">
        <v>16.829999999999998</v>
      </c>
      <c r="C187" s="38">
        <v>17.809999999999999</v>
      </c>
      <c r="D187" s="38">
        <v>18.399999999999999</v>
      </c>
      <c r="E187" s="38">
        <v>17.03</v>
      </c>
      <c r="F187" s="19">
        <f t="shared" si="6"/>
        <v>-7.4456521739130296E-2</v>
      </c>
    </row>
    <row r="188" spans="1:14" ht="15" thickBot="1" x14ac:dyDescent="0.35">
      <c r="A188" s="36" t="s">
        <v>82</v>
      </c>
      <c r="B188" s="39">
        <v>42.88</v>
      </c>
      <c r="C188" s="39">
        <v>35.46</v>
      </c>
      <c r="D188" s="39">
        <v>39.86</v>
      </c>
      <c r="E188" s="39">
        <v>33.79</v>
      </c>
      <c r="F188" s="19">
        <f t="shared" si="6"/>
        <v>-0.15228299046663324</v>
      </c>
    </row>
    <row r="189" spans="1:14" ht="15" thickBot="1" x14ac:dyDescent="0.35">
      <c r="A189" s="34" t="s">
        <v>211</v>
      </c>
      <c r="B189" s="43">
        <v>0.75342979233825624</v>
      </c>
      <c r="C189" s="43">
        <v>0.78437242721353195</v>
      </c>
      <c r="D189" s="43">
        <v>0.8203825463239689</v>
      </c>
      <c r="E189" s="43">
        <v>0.83470210542033751</v>
      </c>
      <c r="F189" s="19">
        <f t="shared" si="6"/>
        <v>1.7454733965919633E-2</v>
      </c>
    </row>
    <row r="190" spans="1:14" ht="15" thickBot="1" x14ac:dyDescent="0.35">
      <c r="A190" s="36" t="s">
        <v>212</v>
      </c>
      <c r="B190" s="44">
        <v>1.2668612447740002</v>
      </c>
      <c r="C190" s="44">
        <v>1.2826427218057501</v>
      </c>
      <c r="D190" s="44">
        <v>1.3366702223680971</v>
      </c>
      <c r="E190" s="44">
        <v>9.5776031434184672E-2</v>
      </c>
      <c r="F190" s="19">
        <f t="shared" ref="F190:F207" si="7">(E190-D190)/D190</f>
        <v>-0.92834729925792459</v>
      </c>
    </row>
    <row r="191" spans="1:14" ht="15" thickBot="1" x14ac:dyDescent="0.35">
      <c r="A191" s="34" t="s">
        <v>213</v>
      </c>
      <c r="B191" s="38">
        <v>22.337847761194027</v>
      </c>
      <c r="C191" s="38">
        <v>22.706050572519082</v>
      </c>
      <c r="D191" s="38">
        <v>22.42856102003643</v>
      </c>
      <c r="E191" s="38">
        <v>20.402488372093025</v>
      </c>
      <c r="F191" s="19">
        <f t="shared" si="7"/>
        <v>-9.0334491193323735E-2</v>
      </c>
    </row>
    <row r="192" spans="1:14" ht="28.2" thickBot="1" x14ac:dyDescent="0.35">
      <c r="A192" s="36" t="s">
        <v>214</v>
      </c>
      <c r="B192" s="39">
        <v>33.847432129514324</v>
      </c>
      <c r="C192" s="39">
        <v>27.646046242774567</v>
      </c>
      <c r="D192" s="39">
        <v>29.820369551872314</v>
      </c>
      <c r="E192" s="39">
        <v>352.8022564102564</v>
      </c>
      <c r="F192" s="19">
        <f t="shared" si="7"/>
        <v>10.830914965576113</v>
      </c>
    </row>
    <row r="193" spans="1:6" x14ac:dyDescent="0.3">
      <c r="F193" s="19"/>
    </row>
    <row r="194" spans="1:6" x14ac:dyDescent="0.3">
      <c r="F194" s="19"/>
    </row>
    <row r="195" spans="1:6" x14ac:dyDescent="0.3">
      <c r="F195" s="19"/>
    </row>
    <row r="196" spans="1:6" x14ac:dyDescent="0.3">
      <c r="F196" s="19"/>
    </row>
    <row r="197" spans="1:6" x14ac:dyDescent="0.3">
      <c r="F197" s="19"/>
    </row>
    <row r="198" spans="1:6" x14ac:dyDescent="0.3">
      <c r="F198" s="19"/>
    </row>
    <row r="199" spans="1:6" x14ac:dyDescent="0.3">
      <c r="F199" s="19"/>
    </row>
    <row r="200" spans="1:6" ht="15" thickBot="1" x14ac:dyDescent="0.35">
      <c r="F200" s="19"/>
    </row>
    <row r="201" spans="1:6" ht="28.2" thickBot="1" x14ac:dyDescent="0.35">
      <c r="A201" s="31" t="s">
        <v>145</v>
      </c>
      <c r="B201" s="32">
        <v>2021</v>
      </c>
      <c r="C201" s="32">
        <v>2022</v>
      </c>
      <c r="D201" s="32">
        <v>2023</v>
      </c>
      <c r="E201" s="33">
        <v>2024</v>
      </c>
      <c r="F201" s="33" t="s">
        <v>99</v>
      </c>
    </row>
    <row r="202" spans="1:6" x14ac:dyDescent="0.3">
      <c r="A202" t="s">
        <v>215</v>
      </c>
      <c r="B202" s="45">
        <v>22449536999.999996</v>
      </c>
      <c r="C202" s="45">
        <v>23795941000</v>
      </c>
      <c r="D202" s="45">
        <v>24626560000</v>
      </c>
      <c r="E202" s="45">
        <v>22809982000</v>
      </c>
      <c r="F202" s="19">
        <f t="shared" si="7"/>
        <v>-7.3764991943657585E-2</v>
      </c>
    </row>
    <row r="203" spans="1:6" x14ac:dyDescent="0.3">
      <c r="A203" t="s">
        <v>216</v>
      </c>
      <c r="B203" s="45">
        <v>54358976000</v>
      </c>
      <c r="C203" s="45">
        <v>43044894000</v>
      </c>
      <c r="D203" s="45">
        <v>48577382000</v>
      </c>
      <c r="E203" s="45">
        <v>41277864000</v>
      </c>
      <c r="F203" s="19">
        <f t="shared" si="7"/>
        <v>-0.15026577595309684</v>
      </c>
    </row>
    <row r="204" spans="1:6" x14ac:dyDescent="0.3">
      <c r="A204" t="s">
        <v>217</v>
      </c>
      <c r="B204" s="40">
        <v>2813000000</v>
      </c>
      <c r="C204" s="40">
        <v>3124000000</v>
      </c>
      <c r="D204" s="40">
        <v>3356000000</v>
      </c>
      <c r="E204" s="40">
        <v>3617000000</v>
      </c>
      <c r="F204" s="19">
        <f t="shared" si="7"/>
        <v>7.7771156138259828E-2</v>
      </c>
    </row>
    <row r="205" spans="1:6" x14ac:dyDescent="0.3">
      <c r="A205" t="s">
        <v>218</v>
      </c>
      <c r="B205" s="40">
        <v>1739000000</v>
      </c>
      <c r="C205" s="40">
        <v>6104000000</v>
      </c>
      <c r="D205" s="40">
        <v>6565000000</v>
      </c>
      <c r="E205" s="40">
        <v>5570000000</v>
      </c>
      <c r="F205" s="19">
        <f t="shared" si="7"/>
        <v>-0.15156130997715156</v>
      </c>
    </row>
    <row r="206" spans="1:6" x14ac:dyDescent="0.3">
      <c r="A206" t="s">
        <v>219</v>
      </c>
      <c r="B206" s="7">
        <v>7.9806388197653737</v>
      </c>
      <c r="C206" s="7">
        <v>7.6171386043533929</v>
      </c>
      <c r="D206" s="7">
        <v>7.3380691299165672</v>
      </c>
      <c r="E206" s="7">
        <v>6.3063262372131597</v>
      </c>
      <c r="F206" s="19">
        <f t="shared" si="7"/>
        <v>-0.14060141359217998</v>
      </c>
    </row>
    <row r="207" spans="1:6" x14ac:dyDescent="0.3">
      <c r="A207" t="s">
        <v>220</v>
      </c>
      <c r="B207" s="7">
        <v>31.258755606670501</v>
      </c>
      <c r="C207" s="7">
        <v>7.0519157929226735</v>
      </c>
      <c r="D207" s="7">
        <v>7.3994488956587965</v>
      </c>
      <c r="E207" s="7">
        <v>7.410747576301616</v>
      </c>
      <c r="F207" s="19">
        <f t="shared" si="7"/>
        <v>1.5269624538454918E-3</v>
      </c>
    </row>
  </sheetData>
  <phoneticPr fontId="26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0131BDB11A1489EE86C61EC436E15" ma:contentTypeVersion="10" ma:contentTypeDescription="Create a new document." ma:contentTypeScope="" ma:versionID="eefab059b6989033d9bd50f915b58382">
  <xsd:schema xmlns:xsd="http://www.w3.org/2001/XMLSchema" xmlns:xs="http://www.w3.org/2001/XMLSchema" xmlns:p="http://schemas.microsoft.com/office/2006/metadata/properties" xmlns:ns3="423adb74-9347-4fc8-b498-eb7d889ee1ed" targetNamespace="http://schemas.microsoft.com/office/2006/metadata/properties" ma:root="true" ma:fieldsID="da35139be379817730155c32980850a3" ns3:_="">
    <xsd:import namespace="423adb74-9347-4fc8-b498-eb7d889ee1e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adb74-9347-4fc8-b498-eb7d889ee1e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3adb74-9347-4fc8-b498-eb7d889ee1e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1EDC39-56E4-4A13-A6CE-8A7CE9E6D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3adb74-9347-4fc8-b498-eb7d889ee1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BB9D29-A353-40B2-BAED-562FE77AA2D9}">
  <ds:schemaRefs>
    <ds:schemaRef ds:uri="http://www.w3.org/XML/1998/namespace"/>
    <ds:schemaRef ds:uri="423adb74-9347-4fc8-b498-eb7d889ee1ed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0227014-B1BE-4F83-81E1-7D42C413E5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Balance Sheet - COL</vt:lpstr>
      <vt:lpstr>Balance Sheet - WOW</vt:lpstr>
      <vt:lpstr>Income Statement - COL</vt:lpstr>
      <vt:lpstr>Income Statement - WOW</vt:lpstr>
      <vt:lpstr>Sheet3</vt:lpstr>
      <vt:lpstr>Cash Flow Statement - COL</vt:lpstr>
      <vt:lpstr>Cash Flow Statement - WOW</vt:lpstr>
      <vt:lpstr>Market Cap - COL</vt:lpstr>
      <vt:lpstr>Market Cap - WOW</vt:lpstr>
      <vt:lpstr>Ratio Analysis - COL</vt:lpstr>
      <vt:lpstr>Ratio Analysis - WOW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Grosse</dc:creator>
  <cp:lastModifiedBy>Somesh Shanbhag</cp:lastModifiedBy>
  <dcterms:created xsi:type="dcterms:W3CDTF">2015-06-05T18:17:20Z</dcterms:created>
  <dcterms:modified xsi:type="dcterms:W3CDTF">2024-09-17T10:57:20Z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0x010100DE90131BDB11A1489EE86C61EC436E15</vt:lpwstr>
  </property>
</Properties>
</file>