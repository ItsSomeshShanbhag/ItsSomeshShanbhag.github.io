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omesh Shanbhag\Downloads\"/>
    </mc:Choice>
  </mc:AlternateContent>
  <xr:revisionPtr revIDLastSave="0" documentId="8_{B6354944-C319-480C-AD96-98407D9C7EF3}" xr6:coauthVersionLast="47" xr6:coauthVersionMax="47" xr10:uidLastSave="{00000000-0000-0000-0000-000000000000}"/>
  <bookViews>
    <workbookView xWindow="-108" yWindow="-108" windowWidth="23256" windowHeight="12456" firstSheet="4" activeTab="7" xr2:uid="{2196C712-6DA9-4A09-9D61-8F7BBB0F4026}"/>
  </bookViews>
  <sheets>
    <sheet name="Dataset" sheetId="1" r:id="rId1"/>
    <sheet name="Q1. Summary Statistics" sheetId="3" r:id="rId2"/>
    <sheet name="Q2. Visualize Frequency" sheetId="4" r:id="rId3"/>
    <sheet name="Q3. Null &amp; Alt. Hypo." sheetId="5" r:id="rId4"/>
    <sheet name="Q4. Corr. btw Price &amp; Subs" sheetId="6" r:id="rId5"/>
    <sheet name="Q5. Regression Analysis" sheetId="7" r:id="rId6"/>
    <sheet name="Q10. Using Log for Regression" sheetId="9" r:id="rId7"/>
    <sheet name="Q11. Demand Curve" sheetId="10" r:id="rId8"/>
  </sheets>
  <definedNames>
    <definedName name="_xlnm._FilterDatabase" localSheetId="0" hidden="1">Dataset!$A$1:$Q$1204</definedName>
    <definedName name="_xlnm._FilterDatabase" localSheetId="1" hidden="1">'Q1. Summary Statistics'!$A$1:$G$1204</definedName>
    <definedName name="_xlnm._FilterDatabase" localSheetId="2" hidden="1">'Q2. Visualize Frequency'!$A$1:$B$1204</definedName>
    <definedName name="_xlnm._FilterDatabase" localSheetId="3" hidden="1">'Q3. Null &amp; Alt. Hypo.'!#REF!</definedName>
    <definedName name="_xlnm._FilterDatabase" localSheetId="5" hidden="1">'Q5. Regression Analysis'!$C$1:$F$1204</definedName>
    <definedName name="_xlchart.v1.0" hidden="1">'Q1. Summary Statistics'!$A$1</definedName>
    <definedName name="_xlchart.v1.1" hidden="1">'Q1. Summary Statistics'!$A$2:$A$1204</definedName>
    <definedName name="_xlchart.v1.2" hidden="1">'Q1. Summary Statistics'!$B$1</definedName>
    <definedName name="_xlchart.v1.3" hidden="1">'Q1. Summary Statistics'!$B$2:$B$1204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9" i="10" l="1"/>
  <c r="C34" i="10"/>
  <c r="C42" i="10"/>
  <c r="C35" i="10"/>
  <c r="C36" i="10"/>
  <c r="C37" i="10"/>
  <c r="C38" i="10"/>
  <c r="C39" i="10"/>
  <c r="C40" i="10"/>
  <c r="C41" i="10"/>
  <c r="C43" i="10"/>
  <c r="C44" i="10"/>
  <c r="C45" i="10"/>
  <c r="C46" i="10"/>
  <c r="C47" i="10"/>
  <c r="C48" i="10"/>
  <c r="C49" i="10"/>
  <c r="C50" i="10"/>
  <c r="C51" i="10"/>
  <c r="C52" i="10"/>
  <c r="C53" i="10"/>
  <c r="C54" i="10"/>
  <c r="C55" i="10"/>
  <c r="C56" i="10"/>
  <c r="C57" i="10"/>
  <c r="C58" i="10"/>
  <c r="C59" i="10"/>
  <c r="C60" i="10"/>
  <c r="C61" i="10"/>
  <c r="C62" i="10"/>
  <c r="C63" i="10"/>
  <c r="C64" i="10"/>
  <c r="C65" i="10"/>
  <c r="C66" i="10"/>
  <c r="C67" i="10"/>
  <c r="C68" i="10"/>
  <c r="C69" i="10"/>
  <c r="C70" i="10"/>
  <c r="C71" i="10"/>
  <c r="M3" i="7" l="1"/>
  <c r="N3" i="7"/>
  <c r="O3" i="7"/>
  <c r="M4" i="7"/>
  <c r="N4" i="7"/>
  <c r="O4" i="7"/>
  <c r="M5" i="7"/>
  <c r="N5" i="7"/>
  <c r="O5" i="7"/>
  <c r="M6" i="7"/>
  <c r="N6" i="7"/>
  <c r="O6" i="7"/>
  <c r="M7" i="7"/>
  <c r="N7" i="7"/>
  <c r="O7" i="7"/>
  <c r="M8" i="7"/>
  <c r="N8" i="7"/>
  <c r="O8" i="7"/>
  <c r="M9" i="7"/>
  <c r="N9" i="7"/>
  <c r="O9" i="7"/>
  <c r="M10" i="7"/>
  <c r="N10" i="7"/>
  <c r="O10" i="7"/>
  <c r="M11" i="7"/>
  <c r="N11" i="7"/>
  <c r="O11" i="7"/>
  <c r="M12" i="7"/>
  <c r="N12" i="7"/>
  <c r="O12" i="7"/>
  <c r="M13" i="7"/>
  <c r="N13" i="7"/>
  <c r="O13" i="7"/>
  <c r="M14" i="7"/>
  <c r="N14" i="7"/>
  <c r="O14" i="7"/>
  <c r="M15" i="7"/>
  <c r="N15" i="7"/>
  <c r="O15" i="7"/>
  <c r="M16" i="7"/>
  <c r="N16" i="7"/>
  <c r="O16" i="7"/>
  <c r="M17" i="7"/>
  <c r="N17" i="7"/>
  <c r="O17" i="7"/>
  <c r="M18" i="7"/>
  <c r="N18" i="7"/>
  <c r="O18" i="7"/>
  <c r="M19" i="7"/>
  <c r="N19" i="7"/>
  <c r="O19" i="7"/>
  <c r="M20" i="7"/>
  <c r="N20" i="7"/>
  <c r="O20" i="7"/>
  <c r="M21" i="7"/>
  <c r="N21" i="7"/>
  <c r="O21" i="7"/>
  <c r="M22" i="7"/>
  <c r="N22" i="7"/>
  <c r="O22" i="7"/>
  <c r="M23" i="7"/>
  <c r="N23" i="7"/>
  <c r="O23" i="7"/>
  <c r="M24" i="7"/>
  <c r="N24" i="7"/>
  <c r="O24" i="7"/>
  <c r="M25" i="7"/>
  <c r="N25" i="7"/>
  <c r="O25" i="7"/>
  <c r="M26" i="7"/>
  <c r="N26" i="7"/>
  <c r="O26" i="7"/>
  <c r="M27" i="7"/>
  <c r="N27" i="7"/>
  <c r="O27" i="7"/>
  <c r="M28" i="7"/>
  <c r="N28" i="7"/>
  <c r="O28" i="7"/>
  <c r="M29" i="7"/>
  <c r="N29" i="7"/>
  <c r="O29" i="7"/>
  <c r="M30" i="7"/>
  <c r="N30" i="7"/>
  <c r="O30" i="7"/>
  <c r="M31" i="7"/>
  <c r="N31" i="7"/>
  <c r="O31" i="7"/>
  <c r="M32" i="7"/>
  <c r="N32" i="7"/>
  <c r="O32" i="7"/>
  <c r="M33" i="7"/>
  <c r="N33" i="7"/>
  <c r="O33" i="7"/>
  <c r="M34" i="7"/>
  <c r="N34" i="7"/>
  <c r="O34" i="7"/>
  <c r="M35" i="7"/>
  <c r="N35" i="7"/>
  <c r="O35" i="7"/>
  <c r="M36" i="7"/>
  <c r="N36" i="7"/>
  <c r="O36" i="7"/>
  <c r="M37" i="7"/>
  <c r="N37" i="7"/>
  <c r="O37" i="7"/>
  <c r="M38" i="7"/>
  <c r="N38" i="7"/>
  <c r="O38" i="7"/>
  <c r="M39" i="7"/>
  <c r="N39" i="7"/>
  <c r="O39" i="7"/>
  <c r="M40" i="7"/>
  <c r="N40" i="7"/>
  <c r="O40" i="7"/>
  <c r="M41" i="7"/>
  <c r="N41" i="7"/>
  <c r="O41" i="7"/>
  <c r="M42" i="7"/>
  <c r="N42" i="7"/>
  <c r="O42" i="7"/>
  <c r="M43" i="7"/>
  <c r="N43" i="7"/>
  <c r="O43" i="7"/>
  <c r="M44" i="7"/>
  <c r="N44" i="7"/>
  <c r="O44" i="7"/>
  <c r="M45" i="7"/>
  <c r="N45" i="7"/>
  <c r="O45" i="7"/>
  <c r="M46" i="7"/>
  <c r="N46" i="7"/>
  <c r="O46" i="7"/>
  <c r="M47" i="7"/>
  <c r="N47" i="7"/>
  <c r="O47" i="7"/>
  <c r="M48" i="7"/>
  <c r="N48" i="7"/>
  <c r="O48" i="7"/>
  <c r="M49" i="7"/>
  <c r="N49" i="7"/>
  <c r="O49" i="7"/>
  <c r="M50" i="7"/>
  <c r="N50" i="7"/>
  <c r="O50" i="7"/>
  <c r="M51" i="7"/>
  <c r="N51" i="7"/>
  <c r="O51" i="7"/>
  <c r="M52" i="7"/>
  <c r="N52" i="7"/>
  <c r="O52" i="7"/>
  <c r="M53" i="7"/>
  <c r="N53" i="7"/>
  <c r="O53" i="7"/>
  <c r="M54" i="7"/>
  <c r="N54" i="7"/>
  <c r="O54" i="7"/>
  <c r="M55" i="7"/>
  <c r="N55" i="7"/>
  <c r="O55" i="7"/>
  <c r="M56" i="7"/>
  <c r="N56" i="7"/>
  <c r="O56" i="7"/>
  <c r="M57" i="7"/>
  <c r="N57" i="7"/>
  <c r="O57" i="7"/>
  <c r="M58" i="7"/>
  <c r="N58" i="7"/>
  <c r="O58" i="7"/>
  <c r="M59" i="7"/>
  <c r="N59" i="7"/>
  <c r="O59" i="7"/>
  <c r="M60" i="7"/>
  <c r="N60" i="7"/>
  <c r="O60" i="7"/>
  <c r="M61" i="7"/>
  <c r="N61" i="7"/>
  <c r="O61" i="7"/>
  <c r="M62" i="7"/>
  <c r="N62" i="7"/>
  <c r="O62" i="7"/>
  <c r="M63" i="7"/>
  <c r="N63" i="7"/>
  <c r="O63" i="7"/>
  <c r="M64" i="7"/>
  <c r="N64" i="7"/>
  <c r="O64" i="7"/>
  <c r="M65" i="7"/>
  <c r="N65" i="7"/>
  <c r="O65" i="7"/>
  <c r="M66" i="7"/>
  <c r="N66" i="7"/>
  <c r="O66" i="7"/>
  <c r="M67" i="7"/>
  <c r="N67" i="7"/>
  <c r="O67" i="7"/>
  <c r="M68" i="7"/>
  <c r="N68" i="7"/>
  <c r="O68" i="7"/>
  <c r="M69" i="7"/>
  <c r="N69" i="7"/>
  <c r="O69" i="7"/>
  <c r="M70" i="7"/>
  <c r="N70" i="7"/>
  <c r="O70" i="7"/>
  <c r="M71" i="7"/>
  <c r="N71" i="7"/>
  <c r="O71" i="7"/>
  <c r="M72" i="7"/>
  <c r="N72" i="7"/>
  <c r="O72" i="7"/>
  <c r="M73" i="7"/>
  <c r="N73" i="7"/>
  <c r="O73" i="7"/>
  <c r="M74" i="7"/>
  <c r="N74" i="7"/>
  <c r="O74" i="7"/>
  <c r="M75" i="7"/>
  <c r="N75" i="7"/>
  <c r="O75" i="7"/>
  <c r="M76" i="7"/>
  <c r="N76" i="7"/>
  <c r="O76" i="7"/>
  <c r="M77" i="7"/>
  <c r="N77" i="7"/>
  <c r="O77" i="7"/>
  <c r="M78" i="7"/>
  <c r="N78" i="7"/>
  <c r="O78" i="7"/>
  <c r="M79" i="7"/>
  <c r="N79" i="7"/>
  <c r="O79" i="7"/>
  <c r="M80" i="7"/>
  <c r="N80" i="7"/>
  <c r="O80" i="7"/>
  <c r="M81" i="7"/>
  <c r="N81" i="7"/>
  <c r="O81" i="7"/>
  <c r="M82" i="7"/>
  <c r="N82" i="7"/>
  <c r="O82" i="7"/>
  <c r="M83" i="7"/>
  <c r="N83" i="7"/>
  <c r="O83" i="7"/>
  <c r="M84" i="7"/>
  <c r="N84" i="7"/>
  <c r="O84" i="7"/>
  <c r="M85" i="7"/>
  <c r="N85" i="7"/>
  <c r="O85" i="7"/>
  <c r="M86" i="7"/>
  <c r="N86" i="7"/>
  <c r="O86" i="7"/>
  <c r="M87" i="7"/>
  <c r="N87" i="7"/>
  <c r="O87" i="7"/>
  <c r="M88" i="7"/>
  <c r="N88" i="7"/>
  <c r="O88" i="7"/>
  <c r="M89" i="7"/>
  <c r="N89" i="7"/>
  <c r="O89" i="7"/>
  <c r="M90" i="7"/>
  <c r="N90" i="7"/>
  <c r="O90" i="7"/>
  <c r="M91" i="7"/>
  <c r="N91" i="7"/>
  <c r="O91" i="7"/>
  <c r="M92" i="7"/>
  <c r="N92" i="7"/>
  <c r="O92" i="7"/>
  <c r="M93" i="7"/>
  <c r="N93" i="7"/>
  <c r="O93" i="7"/>
  <c r="M94" i="7"/>
  <c r="N94" i="7"/>
  <c r="O94" i="7"/>
  <c r="M95" i="7"/>
  <c r="N95" i="7"/>
  <c r="O95" i="7"/>
  <c r="M96" i="7"/>
  <c r="N96" i="7"/>
  <c r="O96" i="7"/>
  <c r="M97" i="7"/>
  <c r="N97" i="7"/>
  <c r="O97" i="7"/>
  <c r="M98" i="7"/>
  <c r="N98" i="7"/>
  <c r="O98" i="7"/>
  <c r="M99" i="7"/>
  <c r="N99" i="7"/>
  <c r="O99" i="7"/>
  <c r="M100" i="7"/>
  <c r="N100" i="7"/>
  <c r="O100" i="7"/>
  <c r="M101" i="7"/>
  <c r="N101" i="7"/>
  <c r="O101" i="7"/>
  <c r="M102" i="7"/>
  <c r="N102" i="7"/>
  <c r="O102" i="7"/>
  <c r="M103" i="7"/>
  <c r="N103" i="7"/>
  <c r="O103" i="7"/>
  <c r="M104" i="7"/>
  <c r="N104" i="7"/>
  <c r="O104" i="7"/>
  <c r="M105" i="7"/>
  <c r="N105" i="7"/>
  <c r="O105" i="7"/>
  <c r="M106" i="7"/>
  <c r="N106" i="7"/>
  <c r="O106" i="7"/>
  <c r="M107" i="7"/>
  <c r="N107" i="7"/>
  <c r="O107" i="7"/>
  <c r="M108" i="7"/>
  <c r="N108" i="7"/>
  <c r="O108" i="7"/>
  <c r="M109" i="7"/>
  <c r="N109" i="7"/>
  <c r="O109" i="7"/>
  <c r="M110" i="7"/>
  <c r="N110" i="7"/>
  <c r="O110" i="7"/>
  <c r="M111" i="7"/>
  <c r="N111" i="7"/>
  <c r="O111" i="7"/>
  <c r="M112" i="7"/>
  <c r="N112" i="7"/>
  <c r="O112" i="7"/>
  <c r="M113" i="7"/>
  <c r="N113" i="7"/>
  <c r="O113" i="7"/>
  <c r="M114" i="7"/>
  <c r="N114" i="7"/>
  <c r="O114" i="7"/>
  <c r="M115" i="7"/>
  <c r="N115" i="7"/>
  <c r="O115" i="7"/>
  <c r="M116" i="7"/>
  <c r="N116" i="7"/>
  <c r="O116" i="7"/>
  <c r="M117" i="7"/>
  <c r="N117" i="7"/>
  <c r="O117" i="7"/>
  <c r="M118" i="7"/>
  <c r="N118" i="7"/>
  <c r="O118" i="7"/>
  <c r="M119" i="7"/>
  <c r="N119" i="7"/>
  <c r="O119" i="7"/>
  <c r="M120" i="7"/>
  <c r="N120" i="7"/>
  <c r="O120" i="7"/>
  <c r="M121" i="7"/>
  <c r="N121" i="7"/>
  <c r="O121" i="7"/>
  <c r="M122" i="7"/>
  <c r="N122" i="7"/>
  <c r="O122" i="7"/>
  <c r="M123" i="7"/>
  <c r="N123" i="7"/>
  <c r="O123" i="7"/>
  <c r="M124" i="7"/>
  <c r="N124" i="7"/>
  <c r="O124" i="7"/>
  <c r="M125" i="7"/>
  <c r="N125" i="7"/>
  <c r="O125" i="7"/>
  <c r="M126" i="7"/>
  <c r="N126" i="7"/>
  <c r="O126" i="7"/>
  <c r="M127" i="7"/>
  <c r="N127" i="7"/>
  <c r="O127" i="7"/>
  <c r="M128" i="7"/>
  <c r="N128" i="7"/>
  <c r="O128" i="7"/>
  <c r="M129" i="7"/>
  <c r="N129" i="7"/>
  <c r="O129" i="7"/>
  <c r="M130" i="7"/>
  <c r="N130" i="7"/>
  <c r="O130" i="7"/>
  <c r="M131" i="7"/>
  <c r="N131" i="7"/>
  <c r="O131" i="7"/>
  <c r="M132" i="7"/>
  <c r="N132" i="7"/>
  <c r="O132" i="7"/>
  <c r="M133" i="7"/>
  <c r="N133" i="7"/>
  <c r="O133" i="7"/>
  <c r="M134" i="7"/>
  <c r="N134" i="7"/>
  <c r="O134" i="7"/>
  <c r="M135" i="7"/>
  <c r="N135" i="7"/>
  <c r="O135" i="7"/>
  <c r="M136" i="7"/>
  <c r="N136" i="7"/>
  <c r="O136" i="7"/>
  <c r="M137" i="7"/>
  <c r="N137" i="7"/>
  <c r="O137" i="7"/>
  <c r="M138" i="7"/>
  <c r="N138" i="7"/>
  <c r="O138" i="7"/>
  <c r="M139" i="7"/>
  <c r="N139" i="7"/>
  <c r="O139" i="7"/>
  <c r="M140" i="7"/>
  <c r="N140" i="7"/>
  <c r="O140" i="7"/>
  <c r="M141" i="7"/>
  <c r="N141" i="7"/>
  <c r="O141" i="7"/>
  <c r="M142" i="7"/>
  <c r="N142" i="7"/>
  <c r="O142" i="7"/>
  <c r="M143" i="7"/>
  <c r="N143" i="7"/>
  <c r="O143" i="7"/>
  <c r="M144" i="7"/>
  <c r="N144" i="7"/>
  <c r="O144" i="7"/>
  <c r="M145" i="7"/>
  <c r="N145" i="7"/>
  <c r="O145" i="7"/>
  <c r="M146" i="7"/>
  <c r="N146" i="7"/>
  <c r="O146" i="7"/>
  <c r="M147" i="7"/>
  <c r="N147" i="7"/>
  <c r="O147" i="7"/>
  <c r="M148" i="7"/>
  <c r="N148" i="7"/>
  <c r="O148" i="7"/>
  <c r="M149" i="7"/>
  <c r="N149" i="7"/>
  <c r="O149" i="7"/>
  <c r="M150" i="7"/>
  <c r="N150" i="7"/>
  <c r="O150" i="7"/>
  <c r="M151" i="7"/>
  <c r="N151" i="7"/>
  <c r="O151" i="7"/>
  <c r="M152" i="7"/>
  <c r="N152" i="7"/>
  <c r="O152" i="7"/>
  <c r="M153" i="7"/>
  <c r="N153" i="7"/>
  <c r="O153" i="7"/>
  <c r="M154" i="7"/>
  <c r="N154" i="7"/>
  <c r="O154" i="7"/>
  <c r="M155" i="7"/>
  <c r="N155" i="7"/>
  <c r="O155" i="7"/>
  <c r="M156" i="7"/>
  <c r="N156" i="7"/>
  <c r="O156" i="7"/>
  <c r="M157" i="7"/>
  <c r="N157" i="7"/>
  <c r="O157" i="7"/>
  <c r="M158" i="7"/>
  <c r="N158" i="7"/>
  <c r="O158" i="7"/>
  <c r="M159" i="7"/>
  <c r="N159" i="7"/>
  <c r="O159" i="7"/>
  <c r="M160" i="7"/>
  <c r="N160" i="7"/>
  <c r="O160" i="7"/>
  <c r="M161" i="7"/>
  <c r="N161" i="7"/>
  <c r="O161" i="7"/>
  <c r="M162" i="7"/>
  <c r="N162" i="7"/>
  <c r="O162" i="7"/>
  <c r="M163" i="7"/>
  <c r="N163" i="7"/>
  <c r="O163" i="7"/>
  <c r="M164" i="7"/>
  <c r="N164" i="7"/>
  <c r="O164" i="7"/>
  <c r="M165" i="7"/>
  <c r="N165" i="7"/>
  <c r="O165" i="7"/>
  <c r="M166" i="7"/>
  <c r="N166" i="7"/>
  <c r="O166" i="7"/>
  <c r="M167" i="7"/>
  <c r="N167" i="7"/>
  <c r="O167" i="7"/>
  <c r="M168" i="7"/>
  <c r="N168" i="7"/>
  <c r="O168" i="7"/>
  <c r="M169" i="7"/>
  <c r="N169" i="7"/>
  <c r="O169" i="7"/>
  <c r="M170" i="7"/>
  <c r="N170" i="7"/>
  <c r="O170" i="7"/>
  <c r="M171" i="7"/>
  <c r="N171" i="7"/>
  <c r="O171" i="7"/>
  <c r="M172" i="7"/>
  <c r="N172" i="7"/>
  <c r="O172" i="7"/>
  <c r="M173" i="7"/>
  <c r="N173" i="7"/>
  <c r="O173" i="7"/>
  <c r="M174" i="7"/>
  <c r="N174" i="7"/>
  <c r="O174" i="7"/>
  <c r="M175" i="7"/>
  <c r="N175" i="7"/>
  <c r="O175" i="7"/>
  <c r="M176" i="7"/>
  <c r="N176" i="7"/>
  <c r="O176" i="7"/>
  <c r="M177" i="7"/>
  <c r="N177" i="7"/>
  <c r="O177" i="7"/>
  <c r="M178" i="7"/>
  <c r="N178" i="7"/>
  <c r="O178" i="7"/>
  <c r="M179" i="7"/>
  <c r="N179" i="7"/>
  <c r="O179" i="7"/>
  <c r="M180" i="7"/>
  <c r="N180" i="7"/>
  <c r="O180" i="7"/>
  <c r="M181" i="7"/>
  <c r="N181" i="7"/>
  <c r="O181" i="7"/>
  <c r="M182" i="7"/>
  <c r="N182" i="7"/>
  <c r="O182" i="7"/>
  <c r="M183" i="7"/>
  <c r="N183" i="7"/>
  <c r="O183" i="7"/>
  <c r="M184" i="7"/>
  <c r="N184" i="7"/>
  <c r="O184" i="7"/>
  <c r="M185" i="7"/>
  <c r="N185" i="7"/>
  <c r="O185" i="7"/>
  <c r="M186" i="7"/>
  <c r="N186" i="7"/>
  <c r="O186" i="7"/>
  <c r="M187" i="7"/>
  <c r="N187" i="7"/>
  <c r="O187" i="7"/>
  <c r="M188" i="7"/>
  <c r="N188" i="7"/>
  <c r="O188" i="7"/>
  <c r="M189" i="7"/>
  <c r="N189" i="7"/>
  <c r="O189" i="7"/>
  <c r="M190" i="7"/>
  <c r="N190" i="7"/>
  <c r="O190" i="7"/>
  <c r="M191" i="7"/>
  <c r="N191" i="7"/>
  <c r="O191" i="7"/>
  <c r="M192" i="7"/>
  <c r="N192" i="7"/>
  <c r="O192" i="7"/>
  <c r="M193" i="7"/>
  <c r="N193" i="7"/>
  <c r="O193" i="7"/>
  <c r="M194" i="7"/>
  <c r="N194" i="7"/>
  <c r="O194" i="7"/>
  <c r="M195" i="7"/>
  <c r="N195" i="7"/>
  <c r="O195" i="7"/>
  <c r="M196" i="7"/>
  <c r="N196" i="7"/>
  <c r="O196" i="7"/>
  <c r="M197" i="7"/>
  <c r="N197" i="7"/>
  <c r="O197" i="7"/>
  <c r="M198" i="7"/>
  <c r="N198" i="7"/>
  <c r="O198" i="7"/>
  <c r="M199" i="7"/>
  <c r="N199" i="7"/>
  <c r="O199" i="7"/>
  <c r="M200" i="7"/>
  <c r="N200" i="7"/>
  <c r="O200" i="7"/>
  <c r="M201" i="7"/>
  <c r="N201" i="7"/>
  <c r="O201" i="7"/>
  <c r="M202" i="7"/>
  <c r="N202" i="7"/>
  <c r="O202" i="7"/>
  <c r="M203" i="7"/>
  <c r="N203" i="7"/>
  <c r="O203" i="7"/>
  <c r="M204" i="7"/>
  <c r="N204" i="7"/>
  <c r="O204" i="7"/>
  <c r="M205" i="7"/>
  <c r="N205" i="7"/>
  <c r="O205" i="7"/>
  <c r="M206" i="7"/>
  <c r="N206" i="7"/>
  <c r="O206" i="7"/>
  <c r="M207" i="7"/>
  <c r="N207" i="7"/>
  <c r="O207" i="7"/>
  <c r="M208" i="7"/>
  <c r="N208" i="7"/>
  <c r="O208" i="7"/>
  <c r="M209" i="7"/>
  <c r="N209" i="7"/>
  <c r="O209" i="7"/>
  <c r="M210" i="7"/>
  <c r="N210" i="7"/>
  <c r="O210" i="7"/>
  <c r="M211" i="7"/>
  <c r="N211" i="7"/>
  <c r="O211" i="7"/>
  <c r="M212" i="7"/>
  <c r="N212" i="7"/>
  <c r="O212" i="7"/>
  <c r="M213" i="7"/>
  <c r="N213" i="7"/>
  <c r="O213" i="7"/>
  <c r="M214" i="7"/>
  <c r="N214" i="7"/>
  <c r="O214" i="7"/>
  <c r="M215" i="7"/>
  <c r="N215" i="7"/>
  <c r="O215" i="7"/>
  <c r="M216" i="7"/>
  <c r="N216" i="7"/>
  <c r="O216" i="7"/>
  <c r="M217" i="7"/>
  <c r="N217" i="7"/>
  <c r="O217" i="7"/>
  <c r="M218" i="7"/>
  <c r="N218" i="7"/>
  <c r="O218" i="7"/>
  <c r="M219" i="7"/>
  <c r="N219" i="7"/>
  <c r="O219" i="7"/>
  <c r="M220" i="7"/>
  <c r="N220" i="7"/>
  <c r="O220" i="7"/>
  <c r="M221" i="7"/>
  <c r="N221" i="7"/>
  <c r="O221" i="7"/>
  <c r="M222" i="7"/>
  <c r="N222" i="7"/>
  <c r="O222" i="7"/>
  <c r="M223" i="7"/>
  <c r="N223" i="7"/>
  <c r="O223" i="7"/>
  <c r="M224" i="7"/>
  <c r="N224" i="7"/>
  <c r="O224" i="7"/>
  <c r="M225" i="7"/>
  <c r="N225" i="7"/>
  <c r="O225" i="7"/>
  <c r="M226" i="7"/>
  <c r="N226" i="7"/>
  <c r="O226" i="7"/>
  <c r="M227" i="7"/>
  <c r="N227" i="7"/>
  <c r="O227" i="7"/>
  <c r="M228" i="7"/>
  <c r="N228" i="7"/>
  <c r="O228" i="7"/>
  <c r="M229" i="7"/>
  <c r="N229" i="7"/>
  <c r="O229" i="7"/>
  <c r="M230" i="7"/>
  <c r="N230" i="7"/>
  <c r="O230" i="7"/>
  <c r="M231" i="7"/>
  <c r="N231" i="7"/>
  <c r="O231" i="7"/>
  <c r="M232" i="7"/>
  <c r="N232" i="7"/>
  <c r="O232" i="7"/>
  <c r="M233" i="7"/>
  <c r="N233" i="7"/>
  <c r="O233" i="7"/>
  <c r="M234" i="7"/>
  <c r="N234" i="7"/>
  <c r="O234" i="7"/>
  <c r="M235" i="7"/>
  <c r="N235" i="7"/>
  <c r="O235" i="7"/>
  <c r="M236" i="7"/>
  <c r="N236" i="7"/>
  <c r="O236" i="7"/>
  <c r="M237" i="7"/>
  <c r="N237" i="7"/>
  <c r="O237" i="7"/>
  <c r="M238" i="7"/>
  <c r="N238" i="7"/>
  <c r="O238" i="7"/>
  <c r="M239" i="7"/>
  <c r="N239" i="7"/>
  <c r="O239" i="7"/>
  <c r="M240" i="7"/>
  <c r="N240" i="7"/>
  <c r="O240" i="7"/>
  <c r="M241" i="7"/>
  <c r="N241" i="7"/>
  <c r="O241" i="7"/>
  <c r="M242" i="7"/>
  <c r="N242" i="7"/>
  <c r="O242" i="7"/>
  <c r="M243" i="7"/>
  <c r="N243" i="7"/>
  <c r="O243" i="7"/>
  <c r="M244" i="7"/>
  <c r="N244" i="7"/>
  <c r="O244" i="7"/>
  <c r="M245" i="7"/>
  <c r="N245" i="7"/>
  <c r="O245" i="7"/>
  <c r="M246" i="7"/>
  <c r="N246" i="7"/>
  <c r="O246" i="7"/>
  <c r="M247" i="7"/>
  <c r="N247" i="7"/>
  <c r="O247" i="7"/>
  <c r="M248" i="7"/>
  <c r="N248" i="7"/>
  <c r="O248" i="7"/>
  <c r="M249" i="7"/>
  <c r="N249" i="7"/>
  <c r="O249" i="7"/>
  <c r="M250" i="7"/>
  <c r="N250" i="7"/>
  <c r="O250" i="7"/>
  <c r="M251" i="7"/>
  <c r="N251" i="7"/>
  <c r="O251" i="7"/>
  <c r="M252" i="7"/>
  <c r="N252" i="7"/>
  <c r="O252" i="7"/>
  <c r="M253" i="7"/>
  <c r="N253" i="7"/>
  <c r="O253" i="7"/>
  <c r="M254" i="7"/>
  <c r="N254" i="7"/>
  <c r="O254" i="7"/>
  <c r="M255" i="7"/>
  <c r="N255" i="7"/>
  <c r="O255" i="7"/>
  <c r="M256" i="7"/>
  <c r="N256" i="7"/>
  <c r="O256" i="7"/>
  <c r="M257" i="7"/>
  <c r="N257" i="7"/>
  <c r="O257" i="7"/>
  <c r="M258" i="7"/>
  <c r="N258" i="7"/>
  <c r="O258" i="7"/>
  <c r="M259" i="7"/>
  <c r="N259" i="7"/>
  <c r="O259" i="7"/>
  <c r="M260" i="7"/>
  <c r="N260" i="7"/>
  <c r="O260" i="7"/>
  <c r="M261" i="7"/>
  <c r="N261" i="7"/>
  <c r="O261" i="7"/>
  <c r="M262" i="7"/>
  <c r="N262" i="7"/>
  <c r="O262" i="7"/>
  <c r="M263" i="7"/>
  <c r="N263" i="7"/>
  <c r="O263" i="7"/>
  <c r="M264" i="7"/>
  <c r="N264" i="7"/>
  <c r="O264" i="7"/>
  <c r="M265" i="7"/>
  <c r="N265" i="7"/>
  <c r="O265" i="7"/>
  <c r="M266" i="7"/>
  <c r="N266" i="7"/>
  <c r="O266" i="7"/>
  <c r="M267" i="7"/>
  <c r="N267" i="7"/>
  <c r="O267" i="7"/>
  <c r="M268" i="7"/>
  <c r="N268" i="7"/>
  <c r="O268" i="7"/>
  <c r="M269" i="7"/>
  <c r="N269" i="7"/>
  <c r="O269" i="7"/>
  <c r="M270" i="7"/>
  <c r="N270" i="7"/>
  <c r="O270" i="7"/>
  <c r="M271" i="7"/>
  <c r="N271" i="7"/>
  <c r="O271" i="7"/>
  <c r="M272" i="7"/>
  <c r="N272" i="7"/>
  <c r="O272" i="7"/>
  <c r="M273" i="7"/>
  <c r="N273" i="7"/>
  <c r="O273" i="7"/>
  <c r="M274" i="7"/>
  <c r="N274" i="7"/>
  <c r="O274" i="7"/>
  <c r="M275" i="7"/>
  <c r="N275" i="7"/>
  <c r="O275" i="7"/>
  <c r="M276" i="7"/>
  <c r="N276" i="7"/>
  <c r="O276" i="7"/>
  <c r="M277" i="7"/>
  <c r="N277" i="7"/>
  <c r="O277" i="7"/>
  <c r="M278" i="7"/>
  <c r="N278" i="7"/>
  <c r="O278" i="7"/>
  <c r="M279" i="7"/>
  <c r="N279" i="7"/>
  <c r="O279" i="7"/>
  <c r="M280" i="7"/>
  <c r="N280" i="7"/>
  <c r="O280" i="7"/>
  <c r="M281" i="7"/>
  <c r="N281" i="7"/>
  <c r="O281" i="7"/>
  <c r="M282" i="7"/>
  <c r="N282" i="7"/>
  <c r="O282" i="7"/>
  <c r="M283" i="7"/>
  <c r="N283" i="7"/>
  <c r="O283" i="7"/>
  <c r="M284" i="7"/>
  <c r="N284" i="7"/>
  <c r="O284" i="7"/>
  <c r="M285" i="7"/>
  <c r="N285" i="7"/>
  <c r="O285" i="7"/>
  <c r="M286" i="7"/>
  <c r="N286" i="7"/>
  <c r="O286" i="7"/>
  <c r="M287" i="7"/>
  <c r="N287" i="7"/>
  <c r="O287" i="7"/>
  <c r="M288" i="7"/>
  <c r="N288" i="7"/>
  <c r="O288" i="7"/>
  <c r="M289" i="7"/>
  <c r="N289" i="7"/>
  <c r="O289" i="7"/>
  <c r="M290" i="7"/>
  <c r="N290" i="7"/>
  <c r="O290" i="7"/>
  <c r="M291" i="7"/>
  <c r="N291" i="7"/>
  <c r="O291" i="7"/>
  <c r="M292" i="7"/>
  <c r="N292" i="7"/>
  <c r="O292" i="7"/>
  <c r="M293" i="7"/>
  <c r="N293" i="7"/>
  <c r="O293" i="7"/>
  <c r="M294" i="7"/>
  <c r="N294" i="7"/>
  <c r="O294" i="7"/>
  <c r="M295" i="7"/>
  <c r="N295" i="7"/>
  <c r="O295" i="7"/>
  <c r="M296" i="7"/>
  <c r="N296" i="7"/>
  <c r="O296" i="7"/>
  <c r="M297" i="7"/>
  <c r="N297" i="7"/>
  <c r="O297" i="7"/>
  <c r="M298" i="7"/>
  <c r="N298" i="7"/>
  <c r="O298" i="7"/>
  <c r="M299" i="7"/>
  <c r="N299" i="7"/>
  <c r="O299" i="7"/>
  <c r="M300" i="7"/>
  <c r="N300" i="7"/>
  <c r="O300" i="7"/>
  <c r="M301" i="7"/>
  <c r="N301" i="7"/>
  <c r="O301" i="7"/>
  <c r="M302" i="7"/>
  <c r="N302" i="7"/>
  <c r="O302" i="7"/>
  <c r="M303" i="7"/>
  <c r="N303" i="7"/>
  <c r="O303" i="7"/>
  <c r="M304" i="7"/>
  <c r="N304" i="7"/>
  <c r="O304" i="7"/>
  <c r="M305" i="7"/>
  <c r="N305" i="7"/>
  <c r="O305" i="7"/>
  <c r="M306" i="7"/>
  <c r="N306" i="7"/>
  <c r="O306" i="7"/>
  <c r="M307" i="7"/>
  <c r="N307" i="7"/>
  <c r="O307" i="7"/>
  <c r="M308" i="7"/>
  <c r="N308" i="7"/>
  <c r="O308" i="7"/>
  <c r="M309" i="7"/>
  <c r="N309" i="7"/>
  <c r="O309" i="7"/>
  <c r="M310" i="7"/>
  <c r="N310" i="7"/>
  <c r="O310" i="7"/>
  <c r="M311" i="7"/>
  <c r="N311" i="7"/>
  <c r="O311" i="7"/>
  <c r="M312" i="7"/>
  <c r="N312" i="7"/>
  <c r="O312" i="7"/>
  <c r="M313" i="7"/>
  <c r="N313" i="7"/>
  <c r="O313" i="7"/>
  <c r="M314" i="7"/>
  <c r="N314" i="7"/>
  <c r="O314" i="7"/>
  <c r="M315" i="7"/>
  <c r="N315" i="7"/>
  <c r="O315" i="7"/>
  <c r="M316" i="7"/>
  <c r="N316" i="7"/>
  <c r="O316" i="7"/>
  <c r="M317" i="7"/>
  <c r="N317" i="7"/>
  <c r="O317" i="7"/>
  <c r="M318" i="7"/>
  <c r="N318" i="7"/>
  <c r="O318" i="7"/>
  <c r="M319" i="7"/>
  <c r="N319" i="7"/>
  <c r="O319" i="7"/>
  <c r="M320" i="7"/>
  <c r="N320" i="7"/>
  <c r="O320" i="7"/>
  <c r="M321" i="7"/>
  <c r="N321" i="7"/>
  <c r="O321" i="7"/>
  <c r="M322" i="7"/>
  <c r="N322" i="7"/>
  <c r="O322" i="7"/>
  <c r="M323" i="7"/>
  <c r="N323" i="7"/>
  <c r="O323" i="7"/>
  <c r="M324" i="7"/>
  <c r="N324" i="7"/>
  <c r="O324" i="7"/>
  <c r="M325" i="7"/>
  <c r="N325" i="7"/>
  <c r="O325" i="7"/>
  <c r="M326" i="7"/>
  <c r="N326" i="7"/>
  <c r="O326" i="7"/>
  <c r="M327" i="7"/>
  <c r="N327" i="7"/>
  <c r="O327" i="7"/>
  <c r="M328" i="7"/>
  <c r="N328" i="7"/>
  <c r="O328" i="7"/>
  <c r="M329" i="7"/>
  <c r="N329" i="7"/>
  <c r="O329" i="7"/>
  <c r="M330" i="7"/>
  <c r="N330" i="7"/>
  <c r="O330" i="7"/>
  <c r="M331" i="7"/>
  <c r="N331" i="7"/>
  <c r="O331" i="7"/>
  <c r="M332" i="7"/>
  <c r="N332" i="7"/>
  <c r="O332" i="7"/>
  <c r="M333" i="7"/>
  <c r="N333" i="7"/>
  <c r="O333" i="7"/>
  <c r="M334" i="7"/>
  <c r="N334" i="7"/>
  <c r="O334" i="7"/>
  <c r="M335" i="7"/>
  <c r="N335" i="7"/>
  <c r="O335" i="7"/>
  <c r="M336" i="7"/>
  <c r="N336" i="7"/>
  <c r="O336" i="7"/>
  <c r="M337" i="7"/>
  <c r="N337" i="7"/>
  <c r="O337" i="7"/>
  <c r="M338" i="7"/>
  <c r="N338" i="7"/>
  <c r="O338" i="7"/>
  <c r="M339" i="7"/>
  <c r="N339" i="7"/>
  <c r="O339" i="7"/>
  <c r="M340" i="7"/>
  <c r="N340" i="7"/>
  <c r="O340" i="7"/>
  <c r="M341" i="7"/>
  <c r="N341" i="7"/>
  <c r="O341" i="7"/>
  <c r="M342" i="7"/>
  <c r="N342" i="7"/>
  <c r="O342" i="7"/>
  <c r="M343" i="7"/>
  <c r="N343" i="7"/>
  <c r="O343" i="7"/>
  <c r="M344" i="7"/>
  <c r="N344" i="7"/>
  <c r="O344" i="7"/>
  <c r="M345" i="7"/>
  <c r="N345" i="7"/>
  <c r="O345" i="7"/>
  <c r="M346" i="7"/>
  <c r="N346" i="7"/>
  <c r="O346" i="7"/>
  <c r="M347" i="7"/>
  <c r="N347" i="7"/>
  <c r="O347" i="7"/>
  <c r="M348" i="7"/>
  <c r="N348" i="7"/>
  <c r="O348" i="7"/>
  <c r="M349" i="7"/>
  <c r="N349" i="7"/>
  <c r="O349" i="7"/>
  <c r="M350" i="7"/>
  <c r="N350" i="7"/>
  <c r="O350" i="7"/>
  <c r="M351" i="7"/>
  <c r="N351" i="7"/>
  <c r="O351" i="7"/>
  <c r="M352" i="7"/>
  <c r="N352" i="7"/>
  <c r="O352" i="7"/>
  <c r="M353" i="7"/>
  <c r="N353" i="7"/>
  <c r="O353" i="7"/>
  <c r="M354" i="7"/>
  <c r="N354" i="7"/>
  <c r="O354" i="7"/>
  <c r="M355" i="7"/>
  <c r="N355" i="7"/>
  <c r="O355" i="7"/>
  <c r="M356" i="7"/>
  <c r="N356" i="7"/>
  <c r="O356" i="7"/>
  <c r="M357" i="7"/>
  <c r="N357" i="7"/>
  <c r="O357" i="7"/>
  <c r="M358" i="7"/>
  <c r="N358" i="7"/>
  <c r="O358" i="7"/>
  <c r="M359" i="7"/>
  <c r="N359" i="7"/>
  <c r="O359" i="7"/>
  <c r="M360" i="7"/>
  <c r="N360" i="7"/>
  <c r="O360" i="7"/>
  <c r="M361" i="7"/>
  <c r="N361" i="7"/>
  <c r="O361" i="7"/>
  <c r="M362" i="7"/>
  <c r="N362" i="7"/>
  <c r="O362" i="7"/>
  <c r="M363" i="7"/>
  <c r="N363" i="7"/>
  <c r="O363" i="7"/>
  <c r="M364" i="7"/>
  <c r="N364" i="7"/>
  <c r="O364" i="7"/>
  <c r="M365" i="7"/>
  <c r="N365" i="7"/>
  <c r="O365" i="7"/>
  <c r="M366" i="7"/>
  <c r="N366" i="7"/>
  <c r="O366" i="7"/>
  <c r="M367" i="7"/>
  <c r="N367" i="7"/>
  <c r="O367" i="7"/>
  <c r="M368" i="7"/>
  <c r="N368" i="7"/>
  <c r="O368" i="7"/>
  <c r="M369" i="7"/>
  <c r="N369" i="7"/>
  <c r="O369" i="7"/>
  <c r="M370" i="7"/>
  <c r="N370" i="7"/>
  <c r="O370" i="7"/>
  <c r="M371" i="7"/>
  <c r="N371" i="7"/>
  <c r="O371" i="7"/>
  <c r="M372" i="7"/>
  <c r="N372" i="7"/>
  <c r="O372" i="7"/>
  <c r="M373" i="7"/>
  <c r="N373" i="7"/>
  <c r="O373" i="7"/>
  <c r="M374" i="7"/>
  <c r="N374" i="7"/>
  <c r="O374" i="7"/>
  <c r="M375" i="7"/>
  <c r="N375" i="7"/>
  <c r="O375" i="7"/>
  <c r="M376" i="7"/>
  <c r="N376" i="7"/>
  <c r="O376" i="7"/>
  <c r="M377" i="7"/>
  <c r="N377" i="7"/>
  <c r="O377" i="7"/>
  <c r="M378" i="7"/>
  <c r="N378" i="7"/>
  <c r="O378" i="7"/>
  <c r="M379" i="7"/>
  <c r="N379" i="7"/>
  <c r="O379" i="7"/>
  <c r="M380" i="7"/>
  <c r="N380" i="7"/>
  <c r="O380" i="7"/>
  <c r="M381" i="7"/>
  <c r="N381" i="7"/>
  <c r="O381" i="7"/>
  <c r="M382" i="7"/>
  <c r="N382" i="7"/>
  <c r="O382" i="7"/>
  <c r="M383" i="7"/>
  <c r="N383" i="7"/>
  <c r="O383" i="7"/>
  <c r="M384" i="7"/>
  <c r="N384" i="7"/>
  <c r="O384" i="7"/>
  <c r="M385" i="7"/>
  <c r="N385" i="7"/>
  <c r="O385" i="7"/>
  <c r="M386" i="7"/>
  <c r="N386" i="7"/>
  <c r="O386" i="7"/>
  <c r="M387" i="7"/>
  <c r="N387" i="7"/>
  <c r="O387" i="7"/>
  <c r="M388" i="7"/>
  <c r="N388" i="7"/>
  <c r="O388" i="7"/>
  <c r="M389" i="7"/>
  <c r="N389" i="7"/>
  <c r="O389" i="7"/>
  <c r="M390" i="7"/>
  <c r="N390" i="7"/>
  <c r="O390" i="7"/>
  <c r="M391" i="7"/>
  <c r="N391" i="7"/>
  <c r="O391" i="7"/>
  <c r="M392" i="7"/>
  <c r="N392" i="7"/>
  <c r="O392" i="7"/>
  <c r="M393" i="7"/>
  <c r="N393" i="7"/>
  <c r="O393" i="7"/>
  <c r="M394" i="7"/>
  <c r="N394" i="7"/>
  <c r="O394" i="7"/>
  <c r="M395" i="7"/>
  <c r="N395" i="7"/>
  <c r="O395" i="7"/>
  <c r="M396" i="7"/>
  <c r="N396" i="7"/>
  <c r="O396" i="7"/>
  <c r="M397" i="7"/>
  <c r="N397" i="7"/>
  <c r="O397" i="7"/>
  <c r="M398" i="7"/>
  <c r="N398" i="7"/>
  <c r="O398" i="7"/>
  <c r="M399" i="7"/>
  <c r="N399" i="7"/>
  <c r="O399" i="7"/>
  <c r="M400" i="7"/>
  <c r="N400" i="7"/>
  <c r="O400" i="7"/>
  <c r="M401" i="7"/>
  <c r="N401" i="7"/>
  <c r="O401" i="7"/>
  <c r="M402" i="7"/>
  <c r="N402" i="7"/>
  <c r="O402" i="7"/>
  <c r="M403" i="7"/>
  <c r="N403" i="7"/>
  <c r="O403" i="7"/>
  <c r="M404" i="7"/>
  <c r="N404" i="7"/>
  <c r="O404" i="7"/>
  <c r="M405" i="7"/>
  <c r="N405" i="7"/>
  <c r="O405" i="7"/>
  <c r="M406" i="7"/>
  <c r="N406" i="7"/>
  <c r="O406" i="7"/>
  <c r="M407" i="7"/>
  <c r="N407" i="7"/>
  <c r="O407" i="7"/>
  <c r="M408" i="7"/>
  <c r="N408" i="7"/>
  <c r="O408" i="7"/>
  <c r="M409" i="7"/>
  <c r="N409" i="7"/>
  <c r="O409" i="7"/>
  <c r="M410" i="7"/>
  <c r="N410" i="7"/>
  <c r="O410" i="7"/>
  <c r="M411" i="7"/>
  <c r="N411" i="7"/>
  <c r="O411" i="7"/>
  <c r="M412" i="7"/>
  <c r="N412" i="7"/>
  <c r="O412" i="7"/>
  <c r="M413" i="7"/>
  <c r="N413" i="7"/>
  <c r="O413" i="7"/>
  <c r="M414" i="7"/>
  <c r="N414" i="7"/>
  <c r="O414" i="7"/>
  <c r="M415" i="7"/>
  <c r="N415" i="7"/>
  <c r="O415" i="7"/>
  <c r="M416" i="7"/>
  <c r="N416" i="7"/>
  <c r="O416" i="7"/>
  <c r="M417" i="7"/>
  <c r="N417" i="7"/>
  <c r="O417" i="7"/>
  <c r="M418" i="7"/>
  <c r="N418" i="7"/>
  <c r="O418" i="7"/>
  <c r="M419" i="7"/>
  <c r="N419" i="7"/>
  <c r="O419" i="7"/>
  <c r="M420" i="7"/>
  <c r="N420" i="7"/>
  <c r="O420" i="7"/>
  <c r="M421" i="7"/>
  <c r="N421" i="7"/>
  <c r="O421" i="7"/>
  <c r="M422" i="7"/>
  <c r="N422" i="7"/>
  <c r="O422" i="7"/>
  <c r="M423" i="7"/>
  <c r="N423" i="7"/>
  <c r="O423" i="7"/>
  <c r="M424" i="7"/>
  <c r="N424" i="7"/>
  <c r="O424" i="7"/>
  <c r="M425" i="7"/>
  <c r="N425" i="7"/>
  <c r="O425" i="7"/>
  <c r="M426" i="7"/>
  <c r="N426" i="7"/>
  <c r="O426" i="7"/>
  <c r="M427" i="7"/>
  <c r="N427" i="7"/>
  <c r="O427" i="7"/>
  <c r="M428" i="7"/>
  <c r="N428" i="7"/>
  <c r="O428" i="7"/>
  <c r="M429" i="7"/>
  <c r="N429" i="7"/>
  <c r="O429" i="7"/>
  <c r="M430" i="7"/>
  <c r="N430" i="7"/>
  <c r="O430" i="7"/>
  <c r="M431" i="7"/>
  <c r="N431" i="7"/>
  <c r="O431" i="7"/>
  <c r="M432" i="7"/>
  <c r="N432" i="7"/>
  <c r="O432" i="7"/>
  <c r="M433" i="7"/>
  <c r="N433" i="7"/>
  <c r="O433" i="7"/>
  <c r="M434" i="7"/>
  <c r="N434" i="7"/>
  <c r="O434" i="7"/>
  <c r="M435" i="7"/>
  <c r="N435" i="7"/>
  <c r="O435" i="7"/>
  <c r="M436" i="7"/>
  <c r="N436" i="7"/>
  <c r="O436" i="7"/>
  <c r="M437" i="7"/>
  <c r="N437" i="7"/>
  <c r="O437" i="7"/>
  <c r="M438" i="7"/>
  <c r="N438" i="7"/>
  <c r="O438" i="7"/>
  <c r="M439" i="7"/>
  <c r="N439" i="7"/>
  <c r="O439" i="7"/>
  <c r="M440" i="7"/>
  <c r="N440" i="7"/>
  <c r="O440" i="7"/>
  <c r="M441" i="7"/>
  <c r="N441" i="7"/>
  <c r="O441" i="7"/>
  <c r="M442" i="7"/>
  <c r="N442" i="7"/>
  <c r="O442" i="7"/>
  <c r="M443" i="7"/>
  <c r="N443" i="7"/>
  <c r="O443" i="7"/>
  <c r="M444" i="7"/>
  <c r="N444" i="7"/>
  <c r="O444" i="7"/>
  <c r="M445" i="7"/>
  <c r="N445" i="7"/>
  <c r="O445" i="7"/>
  <c r="M446" i="7"/>
  <c r="N446" i="7"/>
  <c r="O446" i="7"/>
  <c r="M447" i="7"/>
  <c r="N447" i="7"/>
  <c r="O447" i="7"/>
  <c r="M448" i="7"/>
  <c r="N448" i="7"/>
  <c r="O448" i="7"/>
  <c r="M449" i="7"/>
  <c r="N449" i="7"/>
  <c r="O449" i="7"/>
  <c r="M450" i="7"/>
  <c r="N450" i="7"/>
  <c r="O450" i="7"/>
  <c r="M451" i="7"/>
  <c r="N451" i="7"/>
  <c r="O451" i="7"/>
  <c r="M452" i="7"/>
  <c r="N452" i="7"/>
  <c r="O452" i="7"/>
  <c r="M453" i="7"/>
  <c r="N453" i="7"/>
  <c r="O453" i="7"/>
  <c r="M454" i="7"/>
  <c r="N454" i="7"/>
  <c r="O454" i="7"/>
  <c r="M455" i="7"/>
  <c r="N455" i="7"/>
  <c r="O455" i="7"/>
  <c r="M456" i="7"/>
  <c r="N456" i="7"/>
  <c r="O456" i="7"/>
  <c r="M457" i="7"/>
  <c r="N457" i="7"/>
  <c r="O457" i="7"/>
  <c r="M458" i="7"/>
  <c r="N458" i="7"/>
  <c r="O458" i="7"/>
  <c r="M459" i="7"/>
  <c r="N459" i="7"/>
  <c r="O459" i="7"/>
  <c r="M460" i="7"/>
  <c r="N460" i="7"/>
  <c r="O460" i="7"/>
  <c r="M461" i="7"/>
  <c r="N461" i="7"/>
  <c r="O461" i="7"/>
  <c r="M462" i="7"/>
  <c r="N462" i="7"/>
  <c r="O462" i="7"/>
  <c r="M463" i="7"/>
  <c r="N463" i="7"/>
  <c r="O463" i="7"/>
  <c r="M464" i="7"/>
  <c r="N464" i="7"/>
  <c r="O464" i="7"/>
  <c r="M465" i="7"/>
  <c r="N465" i="7"/>
  <c r="O465" i="7"/>
  <c r="M466" i="7"/>
  <c r="N466" i="7"/>
  <c r="O466" i="7"/>
  <c r="M467" i="7"/>
  <c r="N467" i="7"/>
  <c r="O467" i="7"/>
  <c r="M468" i="7"/>
  <c r="N468" i="7"/>
  <c r="O468" i="7"/>
  <c r="M469" i="7"/>
  <c r="N469" i="7"/>
  <c r="O469" i="7"/>
  <c r="M470" i="7"/>
  <c r="N470" i="7"/>
  <c r="O470" i="7"/>
  <c r="M471" i="7"/>
  <c r="N471" i="7"/>
  <c r="O471" i="7"/>
  <c r="M472" i="7"/>
  <c r="N472" i="7"/>
  <c r="O472" i="7"/>
  <c r="M473" i="7"/>
  <c r="N473" i="7"/>
  <c r="O473" i="7"/>
  <c r="M474" i="7"/>
  <c r="N474" i="7"/>
  <c r="O474" i="7"/>
  <c r="M475" i="7"/>
  <c r="N475" i="7"/>
  <c r="O475" i="7"/>
  <c r="M476" i="7"/>
  <c r="N476" i="7"/>
  <c r="O476" i="7"/>
  <c r="M477" i="7"/>
  <c r="N477" i="7"/>
  <c r="O477" i="7"/>
  <c r="M478" i="7"/>
  <c r="N478" i="7"/>
  <c r="O478" i="7"/>
  <c r="M479" i="7"/>
  <c r="N479" i="7"/>
  <c r="O479" i="7"/>
  <c r="M480" i="7"/>
  <c r="N480" i="7"/>
  <c r="O480" i="7"/>
  <c r="M481" i="7"/>
  <c r="N481" i="7"/>
  <c r="O481" i="7"/>
  <c r="M482" i="7"/>
  <c r="N482" i="7"/>
  <c r="O482" i="7"/>
  <c r="M483" i="7"/>
  <c r="N483" i="7"/>
  <c r="O483" i="7"/>
  <c r="M484" i="7"/>
  <c r="N484" i="7"/>
  <c r="O484" i="7"/>
  <c r="M485" i="7"/>
  <c r="N485" i="7"/>
  <c r="O485" i="7"/>
  <c r="M486" i="7"/>
  <c r="N486" i="7"/>
  <c r="O486" i="7"/>
  <c r="M487" i="7"/>
  <c r="N487" i="7"/>
  <c r="O487" i="7"/>
  <c r="M488" i="7"/>
  <c r="N488" i="7"/>
  <c r="O488" i="7"/>
  <c r="M489" i="7"/>
  <c r="N489" i="7"/>
  <c r="O489" i="7"/>
  <c r="M490" i="7"/>
  <c r="N490" i="7"/>
  <c r="O490" i="7"/>
  <c r="M491" i="7"/>
  <c r="N491" i="7"/>
  <c r="O491" i="7"/>
  <c r="M492" i="7"/>
  <c r="N492" i="7"/>
  <c r="O492" i="7"/>
  <c r="M493" i="7"/>
  <c r="N493" i="7"/>
  <c r="O493" i="7"/>
  <c r="M494" i="7"/>
  <c r="N494" i="7"/>
  <c r="O494" i="7"/>
  <c r="M495" i="7"/>
  <c r="N495" i="7"/>
  <c r="O495" i="7"/>
  <c r="M496" i="7"/>
  <c r="N496" i="7"/>
  <c r="O496" i="7"/>
  <c r="M497" i="7"/>
  <c r="N497" i="7"/>
  <c r="O497" i="7"/>
  <c r="M498" i="7"/>
  <c r="N498" i="7"/>
  <c r="O498" i="7"/>
  <c r="M499" i="7"/>
  <c r="N499" i="7"/>
  <c r="O499" i="7"/>
  <c r="M500" i="7"/>
  <c r="N500" i="7"/>
  <c r="O500" i="7"/>
  <c r="M501" i="7"/>
  <c r="N501" i="7"/>
  <c r="O501" i="7"/>
  <c r="M502" i="7"/>
  <c r="N502" i="7"/>
  <c r="O502" i="7"/>
  <c r="M503" i="7"/>
  <c r="N503" i="7"/>
  <c r="O503" i="7"/>
  <c r="M504" i="7"/>
  <c r="N504" i="7"/>
  <c r="O504" i="7"/>
  <c r="M505" i="7"/>
  <c r="N505" i="7"/>
  <c r="O505" i="7"/>
  <c r="M506" i="7"/>
  <c r="N506" i="7"/>
  <c r="O506" i="7"/>
  <c r="M507" i="7"/>
  <c r="N507" i="7"/>
  <c r="O507" i="7"/>
  <c r="M508" i="7"/>
  <c r="N508" i="7"/>
  <c r="O508" i="7"/>
  <c r="M509" i="7"/>
  <c r="N509" i="7"/>
  <c r="O509" i="7"/>
  <c r="M510" i="7"/>
  <c r="N510" i="7"/>
  <c r="O510" i="7"/>
  <c r="M511" i="7"/>
  <c r="N511" i="7"/>
  <c r="O511" i="7"/>
  <c r="M512" i="7"/>
  <c r="N512" i="7"/>
  <c r="O512" i="7"/>
  <c r="M513" i="7"/>
  <c r="N513" i="7"/>
  <c r="O513" i="7"/>
  <c r="M514" i="7"/>
  <c r="N514" i="7"/>
  <c r="O514" i="7"/>
  <c r="M515" i="7"/>
  <c r="N515" i="7"/>
  <c r="O515" i="7"/>
  <c r="M516" i="7"/>
  <c r="N516" i="7"/>
  <c r="O516" i="7"/>
  <c r="M517" i="7"/>
  <c r="N517" i="7"/>
  <c r="O517" i="7"/>
  <c r="M518" i="7"/>
  <c r="N518" i="7"/>
  <c r="O518" i="7"/>
  <c r="M519" i="7"/>
  <c r="N519" i="7"/>
  <c r="O519" i="7"/>
  <c r="M520" i="7"/>
  <c r="N520" i="7"/>
  <c r="O520" i="7"/>
  <c r="M521" i="7"/>
  <c r="N521" i="7"/>
  <c r="O521" i="7"/>
  <c r="M522" i="7"/>
  <c r="N522" i="7"/>
  <c r="O522" i="7"/>
  <c r="M523" i="7"/>
  <c r="N523" i="7"/>
  <c r="O523" i="7"/>
  <c r="M524" i="7"/>
  <c r="N524" i="7"/>
  <c r="O524" i="7"/>
  <c r="M525" i="7"/>
  <c r="N525" i="7"/>
  <c r="O525" i="7"/>
  <c r="M526" i="7"/>
  <c r="N526" i="7"/>
  <c r="O526" i="7"/>
  <c r="M527" i="7"/>
  <c r="N527" i="7"/>
  <c r="O527" i="7"/>
  <c r="M528" i="7"/>
  <c r="N528" i="7"/>
  <c r="O528" i="7"/>
  <c r="M529" i="7"/>
  <c r="N529" i="7"/>
  <c r="O529" i="7"/>
  <c r="M530" i="7"/>
  <c r="N530" i="7"/>
  <c r="O530" i="7"/>
  <c r="M531" i="7"/>
  <c r="N531" i="7"/>
  <c r="O531" i="7"/>
  <c r="M532" i="7"/>
  <c r="N532" i="7"/>
  <c r="O532" i="7"/>
  <c r="M533" i="7"/>
  <c r="N533" i="7"/>
  <c r="O533" i="7"/>
  <c r="M534" i="7"/>
  <c r="N534" i="7"/>
  <c r="O534" i="7"/>
  <c r="M535" i="7"/>
  <c r="N535" i="7"/>
  <c r="O535" i="7"/>
  <c r="M536" i="7"/>
  <c r="N536" i="7"/>
  <c r="O536" i="7"/>
  <c r="M537" i="7"/>
  <c r="N537" i="7"/>
  <c r="O537" i="7"/>
  <c r="M538" i="7"/>
  <c r="N538" i="7"/>
  <c r="O538" i="7"/>
  <c r="M539" i="7"/>
  <c r="N539" i="7"/>
  <c r="O539" i="7"/>
  <c r="M540" i="7"/>
  <c r="N540" i="7"/>
  <c r="O540" i="7"/>
  <c r="M541" i="7"/>
  <c r="N541" i="7"/>
  <c r="O541" i="7"/>
  <c r="M542" i="7"/>
  <c r="N542" i="7"/>
  <c r="O542" i="7"/>
  <c r="M543" i="7"/>
  <c r="N543" i="7"/>
  <c r="O543" i="7"/>
  <c r="M544" i="7"/>
  <c r="N544" i="7"/>
  <c r="O544" i="7"/>
  <c r="M545" i="7"/>
  <c r="N545" i="7"/>
  <c r="O545" i="7"/>
  <c r="M546" i="7"/>
  <c r="N546" i="7"/>
  <c r="O546" i="7"/>
  <c r="M547" i="7"/>
  <c r="N547" i="7"/>
  <c r="O547" i="7"/>
  <c r="M548" i="7"/>
  <c r="N548" i="7"/>
  <c r="O548" i="7"/>
  <c r="M549" i="7"/>
  <c r="N549" i="7"/>
  <c r="O549" i="7"/>
  <c r="M550" i="7"/>
  <c r="N550" i="7"/>
  <c r="O550" i="7"/>
  <c r="M551" i="7"/>
  <c r="N551" i="7"/>
  <c r="O551" i="7"/>
  <c r="M552" i="7"/>
  <c r="N552" i="7"/>
  <c r="O552" i="7"/>
  <c r="M553" i="7"/>
  <c r="N553" i="7"/>
  <c r="O553" i="7"/>
  <c r="M554" i="7"/>
  <c r="N554" i="7"/>
  <c r="O554" i="7"/>
  <c r="M555" i="7"/>
  <c r="N555" i="7"/>
  <c r="O555" i="7"/>
  <c r="M556" i="7"/>
  <c r="N556" i="7"/>
  <c r="O556" i="7"/>
  <c r="M557" i="7"/>
  <c r="N557" i="7"/>
  <c r="O557" i="7"/>
  <c r="M558" i="7"/>
  <c r="N558" i="7"/>
  <c r="O558" i="7"/>
  <c r="M559" i="7"/>
  <c r="N559" i="7"/>
  <c r="O559" i="7"/>
  <c r="M560" i="7"/>
  <c r="N560" i="7"/>
  <c r="O560" i="7"/>
  <c r="M561" i="7"/>
  <c r="N561" i="7"/>
  <c r="O561" i="7"/>
  <c r="M562" i="7"/>
  <c r="N562" i="7"/>
  <c r="O562" i="7"/>
  <c r="M563" i="7"/>
  <c r="N563" i="7"/>
  <c r="O563" i="7"/>
  <c r="M564" i="7"/>
  <c r="N564" i="7"/>
  <c r="O564" i="7"/>
  <c r="M565" i="7"/>
  <c r="N565" i="7"/>
  <c r="O565" i="7"/>
  <c r="M566" i="7"/>
  <c r="N566" i="7"/>
  <c r="O566" i="7"/>
  <c r="M567" i="7"/>
  <c r="N567" i="7"/>
  <c r="O567" i="7"/>
  <c r="M568" i="7"/>
  <c r="N568" i="7"/>
  <c r="O568" i="7"/>
  <c r="M569" i="7"/>
  <c r="N569" i="7"/>
  <c r="O569" i="7"/>
  <c r="M570" i="7"/>
  <c r="N570" i="7"/>
  <c r="O570" i="7"/>
  <c r="M571" i="7"/>
  <c r="N571" i="7"/>
  <c r="O571" i="7"/>
  <c r="M572" i="7"/>
  <c r="N572" i="7"/>
  <c r="O572" i="7"/>
  <c r="M573" i="7"/>
  <c r="N573" i="7"/>
  <c r="O573" i="7"/>
  <c r="M574" i="7"/>
  <c r="N574" i="7"/>
  <c r="O574" i="7"/>
  <c r="M575" i="7"/>
  <c r="N575" i="7"/>
  <c r="O575" i="7"/>
  <c r="M576" i="7"/>
  <c r="N576" i="7"/>
  <c r="O576" i="7"/>
  <c r="M577" i="7"/>
  <c r="N577" i="7"/>
  <c r="O577" i="7"/>
  <c r="M578" i="7"/>
  <c r="N578" i="7"/>
  <c r="O578" i="7"/>
  <c r="M579" i="7"/>
  <c r="N579" i="7"/>
  <c r="O579" i="7"/>
  <c r="M580" i="7"/>
  <c r="N580" i="7"/>
  <c r="O580" i="7"/>
  <c r="M581" i="7"/>
  <c r="N581" i="7"/>
  <c r="O581" i="7"/>
  <c r="M582" i="7"/>
  <c r="N582" i="7"/>
  <c r="O582" i="7"/>
  <c r="M583" i="7"/>
  <c r="N583" i="7"/>
  <c r="O583" i="7"/>
  <c r="M584" i="7"/>
  <c r="N584" i="7"/>
  <c r="O584" i="7"/>
  <c r="M585" i="7"/>
  <c r="N585" i="7"/>
  <c r="O585" i="7"/>
  <c r="M586" i="7"/>
  <c r="N586" i="7"/>
  <c r="O586" i="7"/>
  <c r="M587" i="7"/>
  <c r="N587" i="7"/>
  <c r="O587" i="7"/>
  <c r="M588" i="7"/>
  <c r="N588" i="7"/>
  <c r="O588" i="7"/>
  <c r="M589" i="7"/>
  <c r="N589" i="7"/>
  <c r="O589" i="7"/>
  <c r="M590" i="7"/>
  <c r="N590" i="7"/>
  <c r="O590" i="7"/>
  <c r="M591" i="7"/>
  <c r="N591" i="7"/>
  <c r="O591" i="7"/>
  <c r="M592" i="7"/>
  <c r="N592" i="7"/>
  <c r="O592" i="7"/>
  <c r="M593" i="7"/>
  <c r="N593" i="7"/>
  <c r="O593" i="7"/>
  <c r="M594" i="7"/>
  <c r="N594" i="7"/>
  <c r="O594" i="7"/>
  <c r="M595" i="7"/>
  <c r="N595" i="7"/>
  <c r="O595" i="7"/>
  <c r="M596" i="7"/>
  <c r="N596" i="7"/>
  <c r="O596" i="7"/>
  <c r="M597" i="7"/>
  <c r="N597" i="7"/>
  <c r="O597" i="7"/>
  <c r="M598" i="7"/>
  <c r="N598" i="7"/>
  <c r="O598" i="7"/>
  <c r="M599" i="7"/>
  <c r="N599" i="7"/>
  <c r="O599" i="7"/>
  <c r="M600" i="7"/>
  <c r="N600" i="7"/>
  <c r="O600" i="7"/>
  <c r="M601" i="7"/>
  <c r="N601" i="7"/>
  <c r="O601" i="7"/>
  <c r="M602" i="7"/>
  <c r="N602" i="7"/>
  <c r="O602" i="7"/>
  <c r="M603" i="7"/>
  <c r="N603" i="7"/>
  <c r="O603" i="7"/>
  <c r="M604" i="7"/>
  <c r="N604" i="7"/>
  <c r="O604" i="7"/>
  <c r="M605" i="7"/>
  <c r="N605" i="7"/>
  <c r="O605" i="7"/>
  <c r="M606" i="7"/>
  <c r="N606" i="7"/>
  <c r="O606" i="7"/>
  <c r="M607" i="7"/>
  <c r="N607" i="7"/>
  <c r="O607" i="7"/>
  <c r="M608" i="7"/>
  <c r="N608" i="7"/>
  <c r="O608" i="7"/>
  <c r="M609" i="7"/>
  <c r="N609" i="7"/>
  <c r="O609" i="7"/>
  <c r="M610" i="7"/>
  <c r="N610" i="7"/>
  <c r="O610" i="7"/>
  <c r="M611" i="7"/>
  <c r="N611" i="7"/>
  <c r="O611" i="7"/>
  <c r="M612" i="7"/>
  <c r="N612" i="7"/>
  <c r="O612" i="7"/>
  <c r="M613" i="7"/>
  <c r="N613" i="7"/>
  <c r="O613" i="7"/>
  <c r="M614" i="7"/>
  <c r="N614" i="7"/>
  <c r="O614" i="7"/>
  <c r="M615" i="7"/>
  <c r="N615" i="7"/>
  <c r="O615" i="7"/>
  <c r="M616" i="7"/>
  <c r="N616" i="7"/>
  <c r="O616" i="7"/>
  <c r="M617" i="7"/>
  <c r="N617" i="7"/>
  <c r="O617" i="7"/>
  <c r="M618" i="7"/>
  <c r="N618" i="7"/>
  <c r="O618" i="7"/>
  <c r="M619" i="7"/>
  <c r="N619" i="7"/>
  <c r="O619" i="7"/>
  <c r="M620" i="7"/>
  <c r="N620" i="7"/>
  <c r="O620" i="7"/>
  <c r="M621" i="7"/>
  <c r="N621" i="7"/>
  <c r="O621" i="7"/>
  <c r="M622" i="7"/>
  <c r="N622" i="7"/>
  <c r="O622" i="7"/>
  <c r="M623" i="7"/>
  <c r="N623" i="7"/>
  <c r="O623" i="7"/>
  <c r="M624" i="7"/>
  <c r="N624" i="7"/>
  <c r="O624" i="7"/>
  <c r="M625" i="7"/>
  <c r="N625" i="7"/>
  <c r="O625" i="7"/>
  <c r="M626" i="7"/>
  <c r="N626" i="7"/>
  <c r="O626" i="7"/>
  <c r="M627" i="7"/>
  <c r="N627" i="7"/>
  <c r="O627" i="7"/>
  <c r="M628" i="7"/>
  <c r="N628" i="7"/>
  <c r="O628" i="7"/>
  <c r="M629" i="7"/>
  <c r="N629" i="7"/>
  <c r="O629" i="7"/>
  <c r="M630" i="7"/>
  <c r="N630" i="7"/>
  <c r="O630" i="7"/>
  <c r="M631" i="7"/>
  <c r="N631" i="7"/>
  <c r="O631" i="7"/>
  <c r="M632" i="7"/>
  <c r="N632" i="7"/>
  <c r="O632" i="7"/>
  <c r="M633" i="7"/>
  <c r="N633" i="7"/>
  <c r="O633" i="7"/>
  <c r="M634" i="7"/>
  <c r="N634" i="7"/>
  <c r="O634" i="7"/>
  <c r="M635" i="7"/>
  <c r="N635" i="7"/>
  <c r="O635" i="7"/>
  <c r="M636" i="7"/>
  <c r="N636" i="7"/>
  <c r="O636" i="7"/>
  <c r="M637" i="7"/>
  <c r="N637" i="7"/>
  <c r="O637" i="7"/>
  <c r="M638" i="7"/>
  <c r="N638" i="7"/>
  <c r="O638" i="7"/>
  <c r="M639" i="7"/>
  <c r="N639" i="7"/>
  <c r="O639" i="7"/>
  <c r="M640" i="7"/>
  <c r="N640" i="7"/>
  <c r="O640" i="7"/>
  <c r="M641" i="7"/>
  <c r="N641" i="7"/>
  <c r="O641" i="7"/>
  <c r="M642" i="7"/>
  <c r="N642" i="7"/>
  <c r="O642" i="7"/>
  <c r="M643" i="7"/>
  <c r="N643" i="7"/>
  <c r="O643" i="7"/>
  <c r="M644" i="7"/>
  <c r="N644" i="7"/>
  <c r="O644" i="7"/>
  <c r="M645" i="7"/>
  <c r="N645" i="7"/>
  <c r="O645" i="7"/>
  <c r="M646" i="7"/>
  <c r="N646" i="7"/>
  <c r="O646" i="7"/>
  <c r="M647" i="7"/>
  <c r="N647" i="7"/>
  <c r="O647" i="7"/>
  <c r="M648" i="7"/>
  <c r="N648" i="7"/>
  <c r="O648" i="7"/>
  <c r="M649" i="7"/>
  <c r="N649" i="7"/>
  <c r="O649" i="7"/>
  <c r="M650" i="7"/>
  <c r="N650" i="7"/>
  <c r="O650" i="7"/>
  <c r="M651" i="7"/>
  <c r="N651" i="7"/>
  <c r="O651" i="7"/>
  <c r="M652" i="7"/>
  <c r="N652" i="7"/>
  <c r="O652" i="7"/>
  <c r="M653" i="7"/>
  <c r="N653" i="7"/>
  <c r="O653" i="7"/>
  <c r="M654" i="7"/>
  <c r="N654" i="7"/>
  <c r="O654" i="7"/>
  <c r="M655" i="7"/>
  <c r="N655" i="7"/>
  <c r="O655" i="7"/>
  <c r="M656" i="7"/>
  <c r="N656" i="7"/>
  <c r="O656" i="7"/>
  <c r="M657" i="7"/>
  <c r="N657" i="7"/>
  <c r="O657" i="7"/>
  <c r="M658" i="7"/>
  <c r="N658" i="7"/>
  <c r="O658" i="7"/>
  <c r="M659" i="7"/>
  <c r="N659" i="7"/>
  <c r="O659" i="7"/>
  <c r="M660" i="7"/>
  <c r="N660" i="7"/>
  <c r="O660" i="7"/>
  <c r="M661" i="7"/>
  <c r="N661" i="7"/>
  <c r="O661" i="7"/>
  <c r="M662" i="7"/>
  <c r="N662" i="7"/>
  <c r="O662" i="7"/>
  <c r="M663" i="7"/>
  <c r="N663" i="7"/>
  <c r="O663" i="7"/>
  <c r="M664" i="7"/>
  <c r="N664" i="7"/>
  <c r="O664" i="7"/>
  <c r="M665" i="7"/>
  <c r="N665" i="7"/>
  <c r="O665" i="7"/>
  <c r="M666" i="7"/>
  <c r="N666" i="7"/>
  <c r="O666" i="7"/>
  <c r="M667" i="7"/>
  <c r="N667" i="7"/>
  <c r="O667" i="7"/>
  <c r="M668" i="7"/>
  <c r="N668" i="7"/>
  <c r="O668" i="7"/>
  <c r="M669" i="7"/>
  <c r="N669" i="7"/>
  <c r="O669" i="7"/>
  <c r="M670" i="7"/>
  <c r="N670" i="7"/>
  <c r="O670" i="7"/>
  <c r="M671" i="7"/>
  <c r="N671" i="7"/>
  <c r="O671" i="7"/>
  <c r="M672" i="7"/>
  <c r="N672" i="7"/>
  <c r="O672" i="7"/>
  <c r="M673" i="7"/>
  <c r="N673" i="7"/>
  <c r="O673" i="7"/>
  <c r="M674" i="7"/>
  <c r="N674" i="7"/>
  <c r="O674" i="7"/>
  <c r="M675" i="7"/>
  <c r="N675" i="7"/>
  <c r="O675" i="7"/>
  <c r="M676" i="7"/>
  <c r="N676" i="7"/>
  <c r="O676" i="7"/>
  <c r="M677" i="7"/>
  <c r="N677" i="7"/>
  <c r="O677" i="7"/>
  <c r="M678" i="7"/>
  <c r="N678" i="7"/>
  <c r="O678" i="7"/>
  <c r="M679" i="7"/>
  <c r="N679" i="7"/>
  <c r="O679" i="7"/>
  <c r="M680" i="7"/>
  <c r="N680" i="7"/>
  <c r="O680" i="7"/>
  <c r="M681" i="7"/>
  <c r="N681" i="7"/>
  <c r="O681" i="7"/>
  <c r="M682" i="7"/>
  <c r="N682" i="7"/>
  <c r="O682" i="7"/>
  <c r="M683" i="7"/>
  <c r="N683" i="7"/>
  <c r="O683" i="7"/>
  <c r="M684" i="7"/>
  <c r="N684" i="7"/>
  <c r="O684" i="7"/>
  <c r="M685" i="7"/>
  <c r="N685" i="7"/>
  <c r="O685" i="7"/>
  <c r="M686" i="7"/>
  <c r="N686" i="7"/>
  <c r="O686" i="7"/>
  <c r="M687" i="7"/>
  <c r="N687" i="7"/>
  <c r="O687" i="7"/>
  <c r="M688" i="7"/>
  <c r="N688" i="7"/>
  <c r="O688" i="7"/>
  <c r="M689" i="7"/>
  <c r="N689" i="7"/>
  <c r="O689" i="7"/>
  <c r="M690" i="7"/>
  <c r="N690" i="7"/>
  <c r="O690" i="7"/>
  <c r="M691" i="7"/>
  <c r="N691" i="7"/>
  <c r="O691" i="7"/>
  <c r="M692" i="7"/>
  <c r="N692" i="7"/>
  <c r="O692" i="7"/>
  <c r="M693" i="7"/>
  <c r="N693" i="7"/>
  <c r="O693" i="7"/>
  <c r="M694" i="7"/>
  <c r="N694" i="7"/>
  <c r="O694" i="7"/>
  <c r="M695" i="7"/>
  <c r="N695" i="7"/>
  <c r="O695" i="7"/>
  <c r="M696" i="7"/>
  <c r="N696" i="7"/>
  <c r="O696" i="7"/>
  <c r="M697" i="7"/>
  <c r="N697" i="7"/>
  <c r="O697" i="7"/>
  <c r="M698" i="7"/>
  <c r="N698" i="7"/>
  <c r="O698" i="7"/>
  <c r="M699" i="7"/>
  <c r="N699" i="7"/>
  <c r="O699" i="7"/>
  <c r="M700" i="7"/>
  <c r="N700" i="7"/>
  <c r="O700" i="7"/>
  <c r="M701" i="7"/>
  <c r="N701" i="7"/>
  <c r="O701" i="7"/>
  <c r="M702" i="7"/>
  <c r="N702" i="7"/>
  <c r="O702" i="7"/>
  <c r="M703" i="7"/>
  <c r="N703" i="7"/>
  <c r="O703" i="7"/>
  <c r="M704" i="7"/>
  <c r="N704" i="7"/>
  <c r="O704" i="7"/>
  <c r="M705" i="7"/>
  <c r="N705" i="7"/>
  <c r="O705" i="7"/>
  <c r="M706" i="7"/>
  <c r="N706" i="7"/>
  <c r="O706" i="7"/>
  <c r="M707" i="7"/>
  <c r="N707" i="7"/>
  <c r="O707" i="7"/>
  <c r="M708" i="7"/>
  <c r="N708" i="7"/>
  <c r="O708" i="7"/>
  <c r="M709" i="7"/>
  <c r="N709" i="7"/>
  <c r="O709" i="7"/>
  <c r="M710" i="7"/>
  <c r="N710" i="7"/>
  <c r="O710" i="7"/>
  <c r="M711" i="7"/>
  <c r="N711" i="7"/>
  <c r="O711" i="7"/>
  <c r="M712" i="7"/>
  <c r="N712" i="7"/>
  <c r="O712" i="7"/>
  <c r="M713" i="7"/>
  <c r="N713" i="7"/>
  <c r="O713" i="7"/>
  <c r="M714" i="7"/>
  <c r="N714" i="7"/>
  <c r="O714" i="7"/>
  <c r="M715" i="7"/>
  <c r="N715" i="7"/>
  <c r="O715" i="7"/>
  <c r="M716" i="7"/>
  <c r="N716" i="7"/>
  <c r="O716" i="7"/>
  <c r="M717" i="7"/>
  <c r="N717" i="7"/>
  <c r="O717" i="7"/>
  <c r="M718" i="7"/>
  <c r="N718" i="7"/>
  <c r="O718" i="7"/>
  <c r="M719" i="7"/>
  <c r="N719" i="7"/>
  <c r="O719" i="7"/>
  <c r="M720" i="7"/>
  <c r="N720" i="7"/>
  <c r="O720" i="7"/>
  <c r="M721" i="7"/>
  <c r="N721" i="7"/>
  <c r="O721" i="7"/>
  <c r="M722" i="7"/>
  <c r="N722" i="7"/>
  <c r="O722" i="7"/>
  <c r="M723" i="7"/>
  <c r="N723" i="7"/>
  <c r="O723" i="7"/>
  <c r="M724" i="7"/>
  <c r="N724" i="7"/>
  <c r="O724" i="7"/>
  <c r="M725" i="7"/>
  <c r="N725" i="7"/>
  <c r="O725" i="7"/>
  <c r="M726" i="7"/>
  <c r="N726" i="7"/>
  <c r="O726" i="7"/>
  <c r="M727" i="7"/>
  <c r="N727" i="7"/>
  <c r="O727" i="7"/>
  <c r="M728" i="7"/>
  <c r="N728" i="7"/>
  <c r="O728" i="7"/>
  <c r="M729" i="7"/>
  <c r="N729" i="7"/>
  <c r="O729" i="7"/>
  <c r="M730" i="7"/>
  <c r="N730" i="7"/>
  <c r="O730" i="7"/>
  <c r="M731" i="7"/>
  <c r="N731" i="7"/>
  <c r="O731" i="7"/>
  <c r="M732" i="7"/>
  <c r="N732" i="7"/>
  <c r="O732" i="7"/>
  <c r="M733" i="7"/>
  <c r="N733" i="7"/>
  <c r="O733" i="7"/>
  <c r="M734" i="7"/>
  <c r="N734" i="7"/>
  <c r="O734" i="7"/>
  <c r="M735" i="7"/>
  <c r="N735" i="7"/>
  <c r="O735" i="7"/>
  <c r="M736" i="7"/>
  <c r="N736" i="7"/>
  <c r="O736" i="7"/>
  <c r="M737" i="7"/>
  <c r="N737" i="7"/>
  <c r="O737" i="7"/>
  <c r="M738" i="7"/>
  <c r="N738" i="7"/>
  <c r="O738" i="7"/>
  <c r="M739" i="7"/>
  <c r="N739" i="7"/>
  <c r="O739" i="7"/>
  <c r="M740" i="7"/>
  <c r="N740" i="7"/>
  <c r="O740" i="7"/>
  <c r="M741" i="7"/>
  <c r="N741" i="7"/>
  <c r="O741" i="7"/>
  <c r="M742" i="7"/>
  <c r="N742" i="7"/>
  <c r="O742" i="7"/>
  <c r="M743" i="7"/>
  <c r="N743" i="7"/>
  <c r="O743" i="7"/>
  <c r="M744" i="7"/>
  <c r="N744" i="7"/>
  <c r="O744" i="7"/>
  <c r="M745" i="7"/>
  <c r="N745" i="7"/>
  <c r="O745" i="7"/>
  <c r="M746" i="7"/>
  <c r="N746" i="7"/>
  <c r="O746" i="7"/>
  <c r="M747" i="7"/>
  <c r="N747" i="7"/>
  <c r="O747" i="7"/>
  <c r="M748" i="7"/>
  <c r="N748" i="7"/>
  <c r="O748" i="7"/>
  <c r="M749" i="7"/>
  <c r="N749" i="7"/>
  <c r="O749" i="7"/>
  <c r="M750" i="7"/>
  <c r="N750" i="7"/>
  <c r="O750" i="7"/>
  <c r="M751" i="7"/>
  <c r="N751" i="7"/>
  <c r="O751" i="7"/>
  <c r="M752" i="7"/>
  <c r="N752" i="7"/>
  <c r="O752" i="7"/>
  <c r="M753" i="7"/>
  <c r="N753" i="7"/>
  <c r="O753" i="7"/>
  <c r="M754" i="7"/>
  <c r="N754" i="7"/>
  <c r="O754" i="7"/>
  <c r="M755" i="7"/>
  <c r="N755" i="7"/>
  <c r="O755" i="7"/>
  <c r="M756" i="7"/>
  <c r="N756" i="7"/>
  <c r="O756" i="7"/>
  <c r="M757" i="7"/>
  <c r="N757" i="7"/>
  <c r="O757" i="7"/>
  <c r="M758" i="7"/>
  <c r="N758" i="7"/>
  <c r="O758" i="7"/>
  <c r="M759" i="7"/>
  <c r="N759" i="7"/>
  <c r="O759" i="7"/>
  <c r="M760" i="7"/>
  <c r="N760" i="7"/>
  <c r="O760" i="7"/>
  <c r="M761" i="7"/>
  <c r="N761" i="7"/>
  <c r="O761" i="7"/>
  <c r="M762" i="7"/>
  <c r="N762" i="7"/>
  <c r="O762" i="7"/>
  <c r="M763" i="7"/>
  <c r="N763" i="7"/>
  <c r="O763" i="7"/>
  <c r="M764" i="7"/>
  <c r="N764" i="7"/>
  <c r="O764" i="7"/>
  <c r="M765" i="7"/>
  <c r="N765" i="7"/>
  <c r="O765" i="7"/>
  <c r="M766" i="7"/>
  <c r="N766" i="7"/>
  <c r="O766" i="7"/>
  <c r="M767" i="7"/>
  <c r="N767" i="7"/>
  <c r="O767" i="7"/>
  <c r="M768" i="7"/>
  <c r="N768" i="7"/>
  <c r="O768" i="7"/>
  <c r="M769" i="7"/>
  <c r="N769" i="7"/>
  <c r="O769" i="7"/>
  <c r="M770" i="7"/>
  <c r="N770" i="7"/>
  <c r="O770" i="7"/>
  <c r="M771" i="7"/>
  <c r="N771" i="7"/>
  <c r="O771" i="7"/>
  <c r="M772" i="7"/>
  <c r="N772" i="7"/>
  <c r="O772" i="7"/>
  <c r="M773" i="7"/>
  <c r="N773" i="7"/>
  <c r="O773" i="7"/>
  <c r="M774" i="7"/>
  <c r="N774" i="7"/>
  <c r="O774" i="7"/>
  <c r="M775" i="7"/>
  <c r="N775" i="7"/>
  <c r="O775" i="7"/>
  <c r="M776" i="7"/>
  <c r="N776" i="7"/>
  <c r="O776" i="7"/>
  <c r="M777" i="7"/>
  <c r="N777" i="7"/>
  <c r="O777" i="7"/>
  <c r="M778" i="7"/>
  <c r="N778" i="7"/>
  <c r="O778" i="7"/>
  <c r="M779" i="7"/>
  <c r="N779" i="7"/>
  <c r="O779" i="7"/>
  <c r="M780" i="7"/>
  <c r="N780" i="7"/>
  <c r="O780" i="7"/>
  <c r="M781" i="7"/>
  <c r="N781" i="7"/>
  <c r="O781" i="7"/>
  <c r="M782" i="7"/>
  <c r="N782" i="7"/>
  <c r="O782" i="7"/>
  <c r="M783" i="7"/>
  <c r="N783" i="7"/>
  <c r="O783" i="7"/>
  <c r="M784" i="7"/>
  <c r="N784" i="7"/>
  <c r="O784" i="7"/>
  <c r="M785" i="7"/>
  <c r="N785" i="7"/>
  <c r="O785" i="7"/>
  <c r="M786" i="7"/>
  <c r="N786" i="7"/>
  <c r="O786" i="7"/>
  <c r="M787" i="7"/>
  <c r="N787" i="7"/>
  <c r="O787" i="7"/>
  <c r="M788" i="7"/>
  <c r="N788" i="7"/>
  <c r="O788" i="7"/>
  <c r="M789" i="7"/>
  <c r="N789" i="7"/>
  <c r="O789" i="7"/>
  <c r="M790" i="7"/>
  <c r="N790" i="7"/>
  <c r="O790" i="7"/>
  <c r="M791" i="7"/>
  <c r="N791" i="7"/>
  <c r="O791" i="7"/>
  <c r="M792" i="7"/>
  <c r="N792" i="7"/>
  <c r="O792" i="7"/>
  <c r="M793" i="7"/>
  <c r="N793" i="7"/>
  <c r="O793" i="7"/>
  <c r="M794" i="7"/>
  <c r="N794" i="7"/>
  <c r="O794" i="7"/>
  <c r="M795" i="7"/>
  <c r="N795" i="7"/>
  <c r="O795" i="7"/>
  <c r="M796" i="7"/>
  <c r="N796" i="7"/>
  <c r="O796" i="7"/>
  <c r="M797" i="7"/>
  <c r="N797" i="7"/>
  <c r="O797" i="7"/>
  <c r="M798" i="7"/>
  <c r="N798" i="7"/>
  <c r="O798" i="7"/>
  <c r="M799" i="7"/>
  <c r="N799" i="7"/>
  <c r="O799" i="7"/>
  <c r="M800" i="7"/>
  <c r="N800" i="7"/>
  <c r="O800" i="7"/>
  <c r="M801" i="7"/>
  <c r="N801" i="7"/>
  <c r="O801" i="7"/>
  <c r="M802" i="7"/>
  <c r="N802" i="7"/>
  <c r="O802" i="7"/>
  <c r="M803" i="7"/>
  <c r="N803" i="7"/>
  <c r="O803" i="7"/>
  <c r="M804" i="7"/>
  <c r="N804" i="7"/>
  <c r="O804" i="7"/>
  <c r="M805" i="7"/>
  <c r="N805" i="7"/>
  <c r="O805" i="7"/>
  <c r="M806" i="7"/>
  <c r="N806" i="7"/>
  <c r="O806" i="7"/>
  <c r="M807" i="7"/>
  <c r="N807" i="7"/>
  <c r="O807" i="7"/>
  <c r="M808" i="7"/>
  <c r="N808" i="7"/>
  <c r="O808" i="7"/>
  <c r="M809" i="7"/>
  <c r="N809" i="7"/>
  <c r="O809" i="7"/>
  <c r="M810" i="7"/>
  <c r="N810" i="7"/>
  <c r="O810" i="7"/>
  <c r="M811" i="7"/>
  <c r="N811" i="7"/>
  <c r="O811" i="7"/>
  <c r="M812" i="7"/>
  <c r="N812" i="7"/>
  <c r="O812" i="7"/>
  <c r="M813" i="7"/>
  <c r="N813" i="7"/>
  <c r="O813" i="7"/>
  <c r="M814" i="7"/>
  <c r="N814" i="7"/>
  <c r="O814" i="7"/>
  <c r="M815" i="7"/>
  <c r="N815" i="7"/>
  <c r="O815" i="7"/>
  <c r="M816" i="7"/>
  <c r="N816" i="7"/>
  <c r="O816" i="7"/>
  <c r="M817" i="7"/>
  <c r="N817" i="7"/>
  <c r="O817" i="7"/>
  <c r="M818" i="7"/>
  <c r="N818" i="7"/>
  <c r="O818" i="7"/>
  <c r="M819" i="7"/>
  <c r="N819" i="7"/>
  <c r="O819" i="7"/>
  <c r="M820" i="7"/>
  <c r="N820" i="7"/>
  <c r="O820" i="7"/>
  <c r="M821" i="7"/>
  <c r="N821" i="7"/>
  <c r="O821" i="7"/>
  <c r="M822" i="7"/>
  <c r="N822" i="7"/>
  <c r="O822" i="7"/>
  <c r="M823" i="7"/>
  <c r="N823" i="7"/>
  <c r="O823" i="7"/>
  <c r="M824" i="7"/>
  <c r="N824" i="7"/>
  <c r="O824" i="7"/>
  <c r="M825" i="7"/>
  <c r="N825" i="7"/>
  <c r="O825" i="7"/>
  <c r="M826" i="7"/>
  <c r="N826" i="7"/>
  <c r="O826" i="7"/>
  <c r="M827" i="7"/>
  <c r="N827" i="7"/>
  <c r="O827" i="7"/>
  <c r="M828" i="7"/>
  <c r="N828" i="7"/>
  <c r="O828" i="7"/>
  <c r="M829" i="7"/>
  <c r="N829" i="7"/>
  <c r="O829" i="7"/>
  <c r="M830" i="7"/>
  <c r="N830" i="7"/>
  <c r="O830" i="7"/>
  <c r="M831" i="7"/>
  <c r="N831" i="7"/>
  <c r="O831" i="7"/>
  <c r="M832" i="7"/>
  <c r="N832" i="7"/>
  <c r="O832" i="7"/>
  <c r="M833" i="7"/>
  <c r="N833" i="7"/>
  <c r="O833" i="7"/>
  <c r="M834" i="7"/>
  <c r="N834" i="7"/>
  <c r="O834" i="7"/>
  <c r="M835" i="7"/>
  <c r="N835" i="7"/>
  <c r="O835" i="7"/>
  <c r="M836" i="7"/>
  <c r="N836" i="7"/>
  <c r="O836" i="7"/>
  <c r="M837" i="7"/>
  <c r="N837" i="7"/>
  <c r="O837" i="7"/>
  <c r="M838" i="7"/>
  <c r="N838" i="7"/>
  <c r="O838" i="7"/>
  <c r="M839" i="7"/>
  <c r="N839" i="7"/>
  <c r="O839" i="7"/>
  <c r="M840" i="7"/>
  <c r="N840" i="7"/>
  <c r="O840" i="7"/>
  <c r="M841" i="7"/>
  <c r="N841" i="7"/>
  <c r="O841" i="7"/>
  <c r="M842" i="7"/>
  <c r="N842" i="7"/>
  <c r="O842" i="7"/>
  <c r="M843" i="7"/>
  <c r="N843" i="7"/>
  <c r="O843" i="7"/>
  <c r="M844" i="7"/>
  <c r="N844" i="7"/>
  <c r="O844" i="7"/>
  <c r="M845" i="7"/>
  <c r="N845" i="7"/>
  <c r="O845" i="7"/>
  <c r="M846" i="7"/>
  <c r="N846" i="7"/>
  <c r="O846" i="7"/>
  <c r="M847" i="7"/>
  <c r="N847" i="7"/>
  <c r="O847" i="7"/>
  <c r="M848" i="7"/>
  <c r="N848" i="7"/>
  <c r="O848" i="7"/>
  <c r="M849" i="7"/>
  <c r="N849" i="7"/>
  <c r="O849" i="7"/>
  <c r="M850" i="7"/>
  <c r="N850" i="7"/>
  <c r="O850" i="7"/>
  <c r="M851" i="7"/>
  <c r="N851" i="7"/>
  <c r="O851" i="7"/>
  <c r="M852" i="7"/>
  <c r="N852" i="7"/>
  <c r="O852" i="7"/>
  <c r="M853" i="7"/>
  <c r="N853" i="7"/>
  <c r="O853" i="7"/>
  <c r="M854" i="7"/>
  <c r="N854" i="7"/>
  <c r="O854" i="7"/>
  <c r="M855" i="7"/>
  <c r="N855" i="7"/>
  <c r="O855" i="7"/>
  <c r="M856" i="7"/>
  <c r="N856" i="7"/>
  <c r="O856" i="7"/>
  <c r="M857" i="7"/>
  <c r="N857" i="7"/>
  <c r="O857" i="7"/>
  <c r="M858" i="7"/>
  <c r="N858" i="7"/>
  <c r="O858" i="7"/>
  <c r="M859" i="7"/>
  <c r="N859" i="7"/>
  <c r="O859" i="7"/>
  <c r="M860" i="7"/>
  <c r="N860" i="7"/>
  <c r="O860" i="7"/>
  <c r="M861" i="7"/>
  <c r="N861" i="7"/>
  <c r="O861" i="7"/>
  <c r="M862" i="7"/>
  <c r="N862" i="7"/>
  <c r="O862" i="7"/>
  <c r="M863" i="7"/>
  <c r="N863" i="7"/>
  <c r="O863" i="7"/>
  <c r="M864" i="7"/>
  <c r="N864" i="7"/>
  <c r="O864" i="7"/>
  <c r="M865" i="7"/>
  <c r="N865" i="7"/>
  <c r="O865" i="7"/>
  <c r="M866" i="7"/>
  <c r="N866" i="7"/>
  <c r="O866" i="7"/>
  <c r="M867" i="7"/>
  <c r="N867" i="7"/>
  <c r="O867" i="7"/>
  <c r="M868" i="7"/>
  <c r="N868" i="7"/>
  <c r="O868" i="7"/>
  <c r="M869" i="7"/>
  <c r="N869" i="7"/>
  <c r="O869" i="7"/>
  <c r="M870" i="7"/>
  <c r="N870" i="7"/>
  <c r="O870" i="7"/>
  <c r="M871" i="7"/>
  <c r="N871" i="7"/>
  <c r="O871" i="7"/>
  <c r="M872" i="7"/>
  <c r="N872" i="7"/>
  <c r="O872" i="7"/>
  <c r="M873" i="7"/>
  <c r="N873" i="7"/>
  <c r="O873" i="7"/>
  <c r="M874" i="7"/>
  <c r="N874" i="7"/>
  <c r="O874" i="7"/>
  <c r="M875" i="7"/>
  <c r="N875" i="7"/>
  <c r="O875" i="7"/>
  <c r="M876" i="7"/>
  <c r="N876" i="7"/>
  <c r="O876" i="7"/>
  <c r="M877" i="7"/>
  <c r="N877" i="7"/>
  <c r="O877" i="7"/>
  <c r="M878" i="7"/>
  <c r="N878" i="7"/>
  <c r="O878" i="7"/>
  <c r="M879" i="7"/>
  <c r="N879" i="7"/>
  <c r="O879" i="7"/>
  <c r="M880" i="7"/>
  <c r="N880" i="7"/>
  <c r="O880" i="7"/>
  <c r="M881" i="7"/>
  <c r="N881" i="7"/>
  <c r="O881" i="7"/>
  <c r="M882" i="7"/>
  <c r="N882" i="7"/>
  <c r="O882" i="7"/>
  <c r="M883" i="7"/>
  <c r="N883" i="7"/>
  <c r="O883" i="7"/>
  <c r="M884" i="7"/>
  <c r="N884" i="7"/>
  <c r="O884" i="7"/>
  <c r="M885" i="7"/>
  <c r="N885" i="7"/>
  <c r="O885" i="7"/>
  <c r="M886" i="7"/>
  <c r="N886" i="7"/>
  <c r="O886" i="7"/>
  <c r="M887" i="7"/>
  <c r="N887" i="7"/>
  <c r="O887" i="7"/>
  <c r="M888" i="7"/>
  <c r="N888" i="7"/>
  <c r="O888" i="7"/>
  <c r="M889" i="7"/>
  <c r="N889" i="7"/>
  <c r="O889" i="7"/>
  <c r="M890" i="7"/>
  <c r="N890" i="7"/>
  <c r="O890" i="7"/>
  <c r="M891" i="7"/>
  <c r="N891" i="7"/>
  <c r="O891" i="7"/>
  <c r="M892" i="7"/>
  <c r="N892" i="7"/>
  <c r="O892" i="7"/>
  <c r="M893" i="7"/>
  <c r="N893" i="7"/>
  <c r="O893" i="7"/>
  <c r="M894" i="7"/>
  <c r="N894" i="7"/>
  <c r="O894" i="7"/>
  <c r="M895" i="7"/>
  <c r="N895" i="7"/>
  <c r="O895" i="7"/>
  <c r="M896" i="7"/>
  <c r="N896" i="7"/>
  <c r="O896" i="7"/>
  <c r="M897" i="7"/>
  <c r="N897" i="7"/>
  <c r="O897" i="7"/>
  <c r="M898" i="7"/>
  <c r="N898" i="7"/>
  <c r="O898" i="7"/>
  <c r="M899" i="7"/>
  <c r="N899" i="7"/>
  <c r="O899" i="7"/>
  <c r="M900" i="7"/>
  <c r="N900" i="7"/>
  <c r="O900" i="7"/>
  <c r="M901" i="7"/>
  <c r="N901" i="7"/>
  <c r="O901" i="7"/>
  <c r="M902" i="7"/>
  <c r="N902" i="7"/>
  <c r="O902" i="7"/>
  <c r="M903" i="7"/>
  <c r="N903" i="7"/>
  <c r="O903" i="7"/>
  <c r="M904" i="7"/>
  <c r="N904" i="7"/>
  <c r="O904" i="7"/>
  <c r="M905" i="7"/>
  <c r="N905" i="7"/>
  <c r="O905" i="7"/>
  <c r="M906" i="7"/>
  <c r="N906" i="7"/>
  <c r="O906" i="7"/>
  <c r="M907" i="7"/>
  <c r="N907" i="7"/>
  <c r="O907" i="7"/>
  <c r="M908" i="7"/>
  <c r="N908" i="7"/>
  <c r="O908" i="7"/>
  <c r="M909" i="7"/>
  <c r="N909" i="7"/>
  <c r="O909" i="7"/>
  <c r="M910" i="7"/>
  <c r="N910" i="7"/>
  <c r="O910" i="7"/>
  <c r="M911" i="7"/>
  <c r="N911" i="7"/>
  <c r="O911" i="7"/>
  <c r="M912" i="7"/>
  <c r="N912" i="7"/>
  <c r="O912" i="7"/>
  <c r="M913" i="7"/>
  <c r="N913" i="7"/>
  <c r="O913" i="7"/>
  <c r="M914" i="7"/>
  <c r="N914" i="7"/>
  <c r="O914" i="7"/>
  <c r="M915" i="7"/>
  <c r="N915" i="7"/>
  <c r="O915" i="7"/>
  <c r="M916" i="7"/>
  <c r="N916" i="7"/>
  <c r="O916" i="7"/>
  <c r="M917" i="7"/>
  <c r="N917" i="7"/>
  <c r="O917" i="7"/>
  <c r="M918" i="7"/>
  <c r="N918" i="7"/>
  <c r="O918" i="7"/>
  <c r="M919" i="7"/>
  <c r="N919" i="7"/>
  <c r="O919" i="7"/>
  <c r="M920" i="7"/>
  <c r="N920" i="7"/>
  <c r="O920" i="7"/>
  <c r="M921" i="7"/>
  <c r="N921" i="7"/>
  <c r="O921" i="7"/>
  <c r="M922" i="7"/>
  <c r="N922" i="7"/>
  <c r="O922" i="7"/>
  <c r="M923" i="7"/>
  <c r="N923" i="7"/>
  <c r="O923" i="7"/>
  <c r="M924" i="7"/>
  <c r="N924" i="7"/>
  <c r="O924" i="7"/>
  <c r="M925" i="7"/>
  <c r="N925" i="7"/>
  <c r="O925" i="7"/>
  <c r="M926" i="7"/>
  <c r="N926" i="7"/>
  <c r="O926" i="7"/>
  <c r="M927" i="7"/>
  <c r="N927" i="7"/>
  <c r="O927" i="7"/>
  <c r="M928" i="7"/>
  <c r="N928" i="7"/>
  <c r="O928" i="7"/>
  <c r="M929" i="7"/>
  <c r="N929" i="7"/>
  <c r="O929" i="7"/>
  <c r="M930" i="7"/>
  <c r="N930" i="7"/>
  <c r="O930" i="7"/>
  <c r="M931" i="7"/>
  <c r="N931" i="7"/>
  <c r="O931" i="7"/>
  <c r="M932" i="7"/>
  <c r="N932" i="7"/>
  <c r="O932" i="7"/>
  <c r="M933" i="7"/>
  <c r="N933" i="7"/>
  <c r="O933" i="7"/>
  <c r="M934" i="7"/>
  <c r="N934" i="7"/>
  <c r="O934" i="7"/>
  <c r="M935" i="7"/>
  <c r="N935" i="7"/>
  <c r="O935" i="7"/>
  <c r="M936" i="7"/>
  <c r="N936" i="7"/>
  <c r="O936" i="7"/>
  <c r="M937" i="7"/>
  <c r="N937" i="7"/>
  <c r="O937" i="7"/>
  <c r="M938" i="7"/>
  <c r="N938" i="7"/>
  <c r="O938" i="7"/>
  <c r="M939" i="7"/>
  <c r="N939" i="7"/>
  <c r="O939" i="7"/>
  <c r="M940" i="7"/>
  <c r="N940" i="7"/>
  <c r="O940" i="7"/>
  <c r="M941" i="7"/>
  <c r="N941" i="7"/>
  <c r="O941" i="7"/>
  <c r="M942" i="7"/>
  <c r="N942" i="7"/>
  <c r="O942" i="7"/>
  <c r="M943" i="7"/>
  <c r="N943" i="7"/>
  <c r="O943" i="7"/>
  <c r="M944" i="7"/>
  <c r="N944" i="7"/>
  <c r="O944" i="7"/>
  <c r="M945" i="7"/>
  <c r="N945" i="7"/>
  <c r="O945" i="7"/>
  <c r="M946" i="7"/>
  <c r="N946" i="7"/>
  <c r="O946" i="7"/>
  <c r="M947" i="7"/>
  <c r="N947" i="7"/>
  <c r="O947" i="7"/>
  <c r="M948" i="7"/>
  <c r="N948" i="7"/>
  <c r="O948" i="7"/>
  <c r="M949" i="7"/>
  <c r="N949" i="7"/>
  <c r="O949" i="7"/>
  <c r="M950" i="7"/>
  <c r="N950" i="7"/>
  <c r="O950" i="7"/>
  <c r="M951" i="7"/>
  <c r="N951" i="7"/>
  <c r="O951" i="7"/>
  <c r="M952" i="7"/>
  <c r="N952" i="7"/>
  <c r="O952" i="7"/>
  <c r="M953" i="7"/>
  <c r="N953" i="7"/>
  <c r="O953" i="7"/>
  <c r="M954" i="7"/>
  <c r="N954" i="7"/>
  <c r="O954" i="7"/>
  <c r="M955" i="7"/>
  <c r="N955" i="7"/>
  <c r="O955" i="7"/>
  <c r="M956" i="7"/>
  <c r="N956" i="7"/>
  <c r="O956" i="7"/>
  <c r="M957" i="7"/>
  <c r="N957" i="7"/>
  <c r="O957" i="7"/>
  <c r="M958" i="7"/>
  <c r="N958" i="7"/>
  <c r="O958" i="7"/>
  <c r="M959" i="7"/>
  <c r="N959" i="7"/>
  <c r="O959" i="7"/>
  <c r="M960" i="7"/>
  <c r="N960" i="7"/>
  <c r="O960" i="7"/>
  <c r="M961" i="7"/>
  <c r="N961" i="7"/>
  <c r="O961" i="7"/>
  <c r="M962" i="7"/>
  <c r="N962" i="7"/>
  <c r="O962" i="7"/>
  <c r="M963" i="7"/>
  <c r="N963" i="7"/>
  <c r="O963" i="7"/>
  <c r="M964" i="7"/>
  <c r="N964" i="7"/>
  <c r="O964" i="7"/>
  <c r="M965" i="7"/>
  <c r="N965" i="7"/>
  <c r="O965" i="7"/>
  <c r="M966" i="7"/>
  <c r="N966" i="7"/>
  <c r="O966" i="7"/>
  <c r="M967" i="7"/>
  <c r="N967" i="7"/>
  <c r="O967" i="7"/>
  <c r="M968" i="7"/>
  <c r="N968" i="7"/>
  <c r="O968" i="7"/>
  <c r="M969" i="7"/>
  <c r="N969" i="7"/>
  <c r="O969" i="7"/>
  <c r="M970" i="7"/>
  <c r="N970" i="7"/>
  <c r="O970" i="7"/>
  <c r="M971" i="7"/>
  <c r="N971" i="7"/>
  <c r="O971" i="7"/>
  <c r="M972" i="7"/>
  <c r="N972" i="7"/>
  <c r="O972" i="7"/>
  <c r="M973" i="7"/>
  <c r="N973" i="7"/>
  <c r="O973" i="7"/>
  <c r="M974" i="7"/>
  <c r="N974" i="7"/>
  <c r="O974" i="7"/>
  <c r="M975" i="7"/>
  <c r="N975" i="7"/>
  <c r="O975" i="7"/>
  <c r="M976" i="7"/>
  <c r="N976" i="7"/>
  <c r="O976" i="7"/>
  <c r="M977" i="7"/>
  <c r="N977" i="7"/>
  <c r="O977" i="7"/>
  <c r="M978" i="7"/>
  <c r="N978" i="7"/>
  <c r="O978" i="7"/>
  <c r="M979" i="7"/>
  <c r="N979" i="7"/>
  <c r="O979" i="7"/>
  <c r="M980" i="7"/>
  <c r="N980" i="7"/>
  <c r="O980" i="7"/>
  <c r="M981" i="7"/>
  <c r="N981" i="7"/>
  <c r="O981" i="7"/>
  <c r="M982" i="7"/>
  <c r="N982" i="7"/>
  <c r="O982" i="7"/>
  <c r="M983" i="7"/>
  <c r="N983" i="7"/>
  <c r="O983" i="7"/>
  <c r="M984" i="7"/>
  <c r="N984" i="7"/>
  <c r="O984" i="7"/>
  <c r="M985" i="7"/>
  <c r="N985" i="7"/>
  <c r="O985" i="7"/>
  <c r="M986" i="7"/>
  <c r="N986" i="7"/>
  <c r="O986" i="7"/>
  <c r="M987" i="7"/>
  <c r="N987" i="7"/>
  <c r="O987" i="7"/>
  <c r="M988" i="7"/>
  <c r="N988" i="7"/>
  <c r="O988" i="7"/>
  <c r="M989" i="7"/>
  <c r="N989" i="7"/>
  <c r="O989" i="7"/>
  <c r="M990" i="7"/>
  <c r="N990" i="7"/>
  <c r="O990" i="7"/>
  <c r="M991" i="7"/>
  <c r="N991" i="7"/>
  <c r="O991" i="7"/>
  <c r="M992" i="7"/>
  <c r="N992" i="7"/>
  <c r="O992" i="7"/>
  <c r="M993" i="7"/>
  <c r="N993" i="7"/>
  <c r="O993" i="7"/>
  <c r="M994" i="7"/>
  <c r="N994" i="7"/>
  <c r="O994" i="7"/>
  <c r="M995" i="7"/>
  <c r="N995" i="7"/>
  <c r="O995" i="7"/>
  <c r="M996" i="7"/>
  <c r="N996" i="7"/>
  <c r="O996" i="7"/>
  <c r="M997" i="7"/>
  <c r="N997" i="7"/>
  <c r="O997" i="7"/>
  <c r="M998" i="7"/>
  <c r="N998" i="7"/>
  <c r="O998" i="7"/>
  <c r="M999" i="7"/>
  <c r="N999" i="7"/>
  <c r="O999" i="7"/>
  <c r="M1000" i="7"/>
  <c r="N1000" i="7"/>
  <c r="O1000" i="7"/>
  <c r="M1001" i="7"/>
  <c r="N1001" i="7"/>
  <c r="O1001" i="7"/>
  <c r="M1002" i="7"/>
  <c r="N1002" i="7"/>
  <c r="O1002" i="7"/>
  <c r="M1003" i="7"/>
  <c r="N1003" i="7"/>
  <c r="O1003" i="7"/>
  <c r="M1004" i="7"/>
  <c r="N1004" i="7"/>
  <c r="O1004" i="7"/>
  <c r="M1005" i="7"/>
  <c r="N1005" i="7"/>
  <c r="O1005" i="7"/>
  <c r="M1006" i="7"/>
  <c r="N1006" i="7"/>
  <c r="O1006" i="7"/>
  <c r="M1007" i="7"/>
  <c r="N1007" i="7"/>
  <c r="O1007" i="7"/>
  <c r="M1008" i="7"/>
  <c r="N1008" i="7"/>
  <c r="O1008" i="7"/>
  <c r="M1009" i="7"/>
  <c r="N1009" i="7"/>
  <c r="O1009" i="7"/>
  <c r="M1010" i="7"/>
  <c r="N1010" i="7"/>
  <c r="O1010" i="7"/>
  <c r="M1011" i="7"/>
  <c r="N1011" i="7"/>
  <c r="O1011" i="7"/>
  <c r="M1012" i="7"/>
  <c r="N1012" i="7"/>
  <c r="O1012" i="7"/>
  <c r="M1013" i="7"/>
  <c r="N1013" i="7"/>
  <c r="O1013" i="7"/>
  <c r="M1014" i="7"/>
  <c r="N1014" i="7"/>
  <c r="O1014" i="7"/>
  <c r="M1015" i="7"/>
  <c r="N1015" i="7"/>
  <c r="O1015" i="7"/>
  <c r="M1016" i="7"/>
  <c r="N1016" i="7"/>
  <c r="O1016" i="7"/>
  <c r="M1017" i="7"/>
  <c r="N1017" i="7"/>
  <c r="O1017" i="7"/>
  <c r="M1018" i="7"/>
  <c r="N1018" i="7"/>
  <c r="O1018" i="7"/>
  <c r="M1019" i="7"/>
  <c r="N1019" i="7"/>
  <c r="O1019" i="7"/>
  <c r="M1020" i="7"/>
  <c r="N1020" i="7"/>
  <c r="O1020" i="7"/>
  <c r="M1021" i="7"/>
  <c r="N1021" i="7"/>
  <c r="O1021" i="7"/>
  <c r="M1022" i="7"/>
  <c r="N1022" i="7"/>
  <c r="O1022" i="7"/>
  <c r="M1023" i="7"/>
  <c r="N1023" i="7"/>
  <c r="O1023" i="7"/>
  <c r="M1024" i="7"/>
  <c r="N1024" i="7"/>
  <c r="O1024" i="7"/>
  <c r="M1025" i="7"/>
  <c r="N1025" i="7"/>
  <c r="O1025" i="7"/>
  <c r="M1026" i="7"/>
  <c r="N1026" i="7"/>
  <c r="O1026" i="7"/>
  <c r="M1027" i="7"/>
  <c r="N1027" i="7"/>
  <c r="O1027" i="7"/>
  <c r="M1028" i="7"/>
  <c r="N1028" i="7"/>
  <c r="O1028" i="7"/>
  <c r="M1029" i="7"/>
  <c r="N1029" i="7"/>
  <c r="O1029" i="7"/>
  <c r="M1030" i="7"/>
  <c r="N1030" i="7"/>
  <c r="O1030" i="7"/>
  <c r="M1031" i="7"/>
  <c r="N1031" i="7"/>
  <c r="O1031" i="7"/>
  <c r="M1032" i="7"/>
  <c r="N1032" i="7"/>
  <c r="O1032" i="7"/>
  <c r="M1033" i="7"/>
  <c r="N1033" i="7"/>
  <c r="O1033" i="7"/>
  <c r="M1034" i="7"/>
  <c r="N1034" i="7"/>
  <c r="O1034" i="7"/>
  <c r="M1035" i="7"/>
  <c r="N1035" i="7"/>
  <c r="O1035" i="7"/>
  <c r="M1036" i="7"/>
  <c r="N1036" i="7"/>
  <c r="O1036" i="7"/>
  <c r="M1037" i="7"/>
  <c r="N1037" i="7"/>
  <c r="O1037" i="7"/>
  <c r="M1038" i="7"/>
  <c r="N1038" i="7"/>
  <c r="O1038" i="7"/>
  <c r="M1039" i="7"/>
  <c r="N1039" i="7"/>
  <c r="O1039" i="7"/>
  <c r="M1040" i="7"/>
  <c r="N1040" i="7"/>
  <c r="O1040" i="7"/>
  <c r="M1041" i="7"/>
  <c r="N1041" i="7"/>
  <c r="O1041" i="7"/>
  <c r="M1042" i="7"/>
  <c r="N1042" i="7"/>
  <c r="O1042" i="7"/>
  <c r="M1043" i="7"/>
  <c r="N1043" i="7"/>
  <c r="O1043" i="7"/>
  <c r="M1044" i="7"/>
  <c r="N1044" i="7"/>
  <c r="O1044" i="7"/>
  <c r="M1045" i="7"/>
  <c r="N1045" i="7"/>
  <c r="O1045" i="7"/>
  <c r="M1046" i="7"/>
  <c r="N1046" i="7"/>
  <c r="O1046" i="7"/>
  <c r="M1047" i="7"/>
  <c r="N1047" i="7"/>
  <c r="O1047" i="7"/>
  <c r="M1048" i="7"/>
  <c r="N1048" i="7"/>
  <c r="O1048" i="7"/>
  <c r="M1049" i="7"/>
  <c r="N1049" i="7"/>
  <c r="O1049" i="7"/>
  <c r="M1050" i="7"/>
  <c r="N1050" i="7"/>
  <c r="O1050" i="7"/>
  <c r="M1051" i="7"/>
  <c r="N1051" i="7"/>
  <c r="O1051" i="7"/>
  <c r="M1052" i="7"/>
  <c r="N1052" i="7"/>
  <c r="O1052" i="7"/>
  <c r="M1053" i="7"/>
  <c r="N1053" i="7"/>
  <c r="O1053" i="7"/>
  <c r="M1054" i="7"/>
  <c r="N1054" i="7"/>
  <c r="O1054" i="7"/>
  <c r="M1055" i="7"/>
  <c r="N1055" i="7"/>
  <c r="O1055" i="7"/>
  <c r="M1056" i="7"/>
  <c r="N1056" i="7"/>
  <c r="O1056" i="7"/>
  <c r="M1057" i="7"/>
  <c r="N1057" i="7"/>
  <c r="O1057" i="7"/>
  <c r="M1058" i="7"/>
  <c r="N1058" i="7"/>
  <c r="O1058" i="7"/>
  <c r="M1059" i="7"/>
  <c r="N1059" i="7"/>
  <c r="O1059" i="7"/>
  <c r="M1060" i="7"/>
  <c r="N1060" i="7"/>
  <c r="O1060" i="7"/>
  <c r="M1061" i="7"/>
  <c r="N1061" i="7"/>
  <c r="O1061" i="7"/>
  <c r="M1062" i="7"/>
  <c r="N1062" i="7"/>
  <c r="O1062" i="7"/>
  <c r="M1063" i="7"/>
  <c r="N1063" i="7"/>
  <c r="O1063" i="7"/>
  <c r="M1064" i="7"/>
  <c r="N1064" i="7"/>
  <c r="O1064" i="7"/>
  <c r="M1065" i="7"/>
  <c r="N1065" i="7"/>
  <c r="O1065" i="7"/>
  <c r="M1066" i="7"/>
  <c r="N1066" i="7"/>
  <c r="O1066" i="7"/>
  <c r="M1067" i="7"/>
  <c r="N1067" i="7"/>
  <c r="O1067" i="7"/>
  <c r="M1068" i="7"/>
  <c r="N1068" i="7"/>
  <c r="O1068" i="7"/>
  <c r="M1069" i="7"/>
  <c r="N1069" i="7"/>
  <c r="O1069" i="7"/>
  <c r="M1070" i="7"/>
  <c r="N1070" i="7"/>
  <c r="O1070" i="7"/>
  <c r="M1071" i="7"/>
  <c r="N1071" i="7"/>
  <c r="O1071" i="7"/>
  <c r="M1072" i="7"/>
  <c r="N1072" i="7"/>
  <c r="O1072" i="7"/>
  <c r="M1073" i="7"/>
  <c r="N1073" i="7"/>
  <c r="O1073" i="7"/>
  <c r="M1074" i="7"/>
  <c r="N1074" i="7"/>
  <c r="O1074" i="7"/>
  <c r="M1075" i="7"/>
  <c r="N1075" i="7"/>
  <c r="O1075" i="7"/>
  <c r="M1076" i="7"/>
  <c r="N1076" i="7"/>
  <c r="O1076" i="7"/>
  <c r="M1077" i="7"/>
  <c r="N1077" i="7"/>
  <c r="O1077" i="7"/>
  <c r="M1078" i="7"/>
  <c r="N1078" i="7"/>
  <c r="O1078" i="7"/>
  <c r="M1079" i="7"/>
  <c r="N1079" i="7"/>
  <c r="O1079" i="7"/>
  <c r="M1080" i="7"/>
  <c r="N1080" i="7"/>
  <c r="O1080" i="7"/>
  <c r="M1081" i="7"/>
  <c r="N1081" i="7"/>
  <c r="O1081" i="7"/>
  <c r="M1082" i="7"/>
  <c r="N1082" i="7"/>
  <c r="O1082" i="7"/>
  <c r="M1083" i="7"/>
  <c r="N1083" i="7"/>
  <c r="O1083" i="7"/>
  <c r="M1084" i="7"/>
  <c r="N1084" i="7"/>
  <c r="O1084" i="7"/>
  <c r="M1085" i="7"/>
  <c r="N1085" i="7"/>
  <c r="O1085" i="7"/>
  <c r="M1086" i="7"/>
  <c r="N1086" i="7"/>
  <c r="O1086" i="7"/>
  <c r="M1087" i="7"/>
  <c r="N1087" i="7"/>
  <c r="O1087" i="7"/>
  <c r="M1088" i="7"/>
  <c r="N1088" i="7"/>
  <c r="O1088" i="7"/>
  <c r="M1089" i="7"/>
  <c r="N1089" i="7"/>
  <c r="O1089" i="7"/>
  <c r="M1090" i="7"/>
  <c r="N1090" i="7"/>
  <c r="O1090" i="7"/>
  <c r="M1091" i="7"/>
  <c r="N1091" i="7"/>
  <c r="O1091" i="7"/>
  <c r="M1092" i="7"/>
  <c r="N1092" i="7"/>
  <c r="O1092" i="7"/>
  <c r="M1093" i="7"/>
  <c r="N1093" i="7"/>
  <c r="O1093" i="7"/>
  <c r="M1094" i="7"/>
  <c r="N1094" i="7"/>
  <c r="O1094" i="7"/>
  <c r="M1095" i="7"/>
  <c r="N1095" i="7"/>
  <c r="O1095" i="7"/>
  <c r="M1096" i="7"/>
  <c r="N1096" i="7"/>
  <c r="O1096" i="7"/>
  <c r="M1097" i="7"/>
  <c r="N1097" i="7"/>
  <c r="O1097" i="7"/>
  <c r="M1098" i="7"/>
  <c r="N1098" i="7"/>
  <c r="O1098" i="7"/>
  <c r="M1099" i="7"/>
  <c r="N1099" i="7"/>
  <c r="O1099" i="7"/>
  <c r="M1100" i="7"/>
  <c r="N1100" i="7"/>
  <c r="O1100" i="7"/>
  <c r="M1101" i="7"/>
  <c r="N1101" i="7"/>
  <c r="O1101" i="7"/>
  <c r="M1102" i="7"/>
  <c r="N1102" i="7"/>
  <c r="O1102" i="7"/>
  <c r="M1103" i="7"/>
  <c r="N1103" i="7"/>
  <c r="O1103" i="7"/>
  <c r="M1104" i="7"/>
  <c r="N1104" i="7"/>
  <c r="O1104" i="7"/>
  <c r="M1105" i="7"/>
  <c r="N1105" i="7"/>
  <c r="O1105" i="7"/>
  <c r="M1106" i="7"/>
  <c r="N1106" i="7"/>
  <c r="O1106" i="7"/>
  <c r="M1107" i="7"/>
  <c r="N1107" i="7"/>
  <c r="O1107" i="7"/>
  <c r="M1108" i="7"/>
  <c r="N1108" i="7"/>
  <c r="O1108" i="7"/>
  <c r="M1109" i="7"/>
  <c r="N1109" i="7"/>
  <c r="O1109" i="7"/>
  <c r="M1110" i="7"/>
  <c r="N1110" i="7"/>
  <c r="O1110" i="7"/>
  <c r="M1111" i="7"/>
  <c r="N1111" i="7"/>
  <c r="O1111" i="7"/>
  <c r="M1112" i="7"/>
  <c r="N1112" i="7"/>
  <c r="O1112" i="7"/>
  <c r="M1113" i="7"/>
  <c r="N1113" i="7"/>
  <c r="O1113" i="7"/>
  <c r="M1114" i="7"/>
  <c r="N1114" i="7"/>
  <c r="O1114" i="7"/>
  <c r="M1115" i="7"/>
  <c r="N1115" i="7"/>
  <c r="O1115" i="7"/>
  <c r="M1116" i="7"/>
  <c r="N1116" i="7"/>
  <c r="O1116" i="7"/>
  <c r="M1117" i="7"/>
  <c r="N1117" i="7"/>
  <c r="O1117" i="7"/>
  <c r="M1118" i="7"/>
  <c r="N1118" i="7"/>
  <c r="O1118" i="7"/>
  <c r="M1119" i="7"/>
  <c r="N1119" i="7"/>
  <c r="O1119" i="7"/>
  <c r="M1120" i="7"/>
  <c r="N1120" i="7"/>
  <c r="O1120" i="7"/>
  <c r="M1121" i="7"/>
  <c r="N1121" i="7"/>
  <c r="O1121" i="7"/>
  <c r="M1122" i="7"/>
  <c r="N1122" i="7"/>
  <c r="O1122" i="7"/>
  <c r="M1123" i="7"/>
  <c r="N1123" i="7"/>
  <c r="O1123" i="7"/>
  <c r="M1124" i="7"/>
  <c r="N1124" i="7"/>
  <c r="O1124" i="7"/>
  <c r="M1125" i="7"/>
  <c r="N1125" i="7"/>
  <c r="O1125" i="7"/>
  <c r="M1126" i="7"/>
  <c r="N1126" i="7"/>
  <c r="O1126" i="7"/>
  <c r="M1127" i="7"/>
  <c r="N1127" i="7"/>
  <c r="O1127" i="7"/>
  <c r="M1128" i="7"/>
  <c r="N1128" i="7"/>
  <c r="O1128" i="7"/>
  <c r="M1129" i="7"/>
  <c r="N1129" i="7"/>
  <c r="O1129" i="7"/>
  <c r="M1130" i="7"/>
  <c r="N1130" i="7"/>
  <c r="O1130" i="7"/>
  <c r="M1131" i="7"/>
  <c r="N1131" i="7"/>
  <c r="O1131" i="7"/>
  <c r="M1132" i="7"/>
  <c r="N1132" i="7"/>
  <c r="O1132" i="7"/>
  <c r="M1133" i="7"/>
  <c r="N1133" i="7"/>
  <c r="O1133" i="7"/>
  <c r="M1134" i="7"/>
  <c r="N1134" i="7"/>
  <c r="O1134" i="7"/>
  <c r="M1135" i="7"/>
  <c r="N1135" i="7"/>
  <c r="O1135" i="7"/>
  <c r="M1136" i="7"/>
  <c r="N1136" i="7"/>
  <c r="O1136" i="7"/>
  <c r="M1137" i="7"/>
  <c r="N1137" i="7"/>
  <c r="O1137" i="7"/>
  <c r="M1138" i="7"/>
  <c r="N1138" i="7"/>
  <c r="O1138" i="7"/>
  <c r="M1139" i="7"/>
  <c r="N1139" i="7"/>
  <c r="O1139" i="7"/>
  <c r="M1140" i="7"/>
  <c r="N1140" i="7"/>
  <c r="O1140" i="7"/>
  <c r="M1141" i="7"/>
  <c r="N1141" i="7"/>
  <c r="O1141" i="7"/>
  <c r="M1142" i="7"/>
  <c r="N1142" i="7"/>
  <c r="O1142" i="7"/>
  <c r="M1143" i="7"/>
  <c r="N1143" i="7"/>
  <c r="O1143" i="7"/>
  <c r="M1144" i="7"/>
  <c r="N1144" i="7"/>
  <c r="O1144" i="7"/>
  <c r="M1145" i="7"/>
  <c r="N1145" i="7"/>
  <c r="O1145" i="7"/>
  <c r="M1146" i="7"/>
  <c r="N1146" i="7"/>
  <c r="O1146" i="7"/>
  <c r="M1147" i="7"/>
  <c r="N1147" i="7"/>
  <c r="O1147" i="7"/>
  <c r="M1148" i="7"/>
  <c r="N1148" i="7"/>
  <c r="O1148" i="7"/>
  <c r="M1149" i="7"/>
  <c r="N1149" i="7"/>
  <c r="O1149" i="7"/>
  <c r="M1150" i="7"/>
  <c r="N1150" i="7"/>
  <c r="O1150" i="7"/>
  <c r="M1151" i="7"/>
  <c r="N1151" i="7"/>
  <c r="O1151" i="7"/>
  <c r="M1152" i="7"/>
  <c r="N1152" i="7"/>
  <c r="O1152" i="7"/>
  <c r="M1153" i="7"/>
  <c r="N1153" i="7"/>
  <c r="O1153" i="7"/>
  <c r="M1154" i="7"/>
  <c r="N1154" i="7"/>
  <c r="O1154" i="7"/>
  <c r="M1155" i="7"/>
  <c r="N1155" i="7"/>
  <c r="O1155" i="7"/>
  <c r="M1156" i="7"/>
  <c r="N1156" i="7"/>
  <c r="O1156" i="7"/>
  <c r="M1157" i="7"/>
  <c r="N1157" i="7"/>
  <c r="O1157" i="7"/>
  <c r="M1158" i="7"/>
  <c r="N1158" i="7"/>
  <c r="O1158" i="7"/>
  <c r="M1159" i="7"/>
  <c r="N1159" i="7"/>
  <c r="O1159" i="7"/>
  <c r="M1160" i="7"/>
  <c r="N1160" i="7"/>
  <c r="O1160" i="7"/>
  <c r="M1161" i="7"/>
  <c r="N1161" i="7"/>
  <c r="O1161" i="7"/>
  <c r="M1162" i="7"/>
  <c r="N1162" i="7"/>
  <c r="O1162" i="7"/>
  <c r="M1163" i="7"/>
  <c r="N1163" i="7"/>
  <c r="O1163" i="7"/>
  <c r="M1164" i="7"/>
  <c r="N1164" i="7"/>
  <c r="O1164" i="7"/>
  <c r="M1165" i="7"/>
  <c r="N1165" i="7"/>
  <c r="O1165" i="7"/>
  <c r="M1166" i="7"/>
  <c r="N1166" i="7"/>
  <c r="O1166" i="7"/>
  <c r="M1167" i="7"/>
  <c r="N1167" i="7"/>
  <c r="O1167" i="7"/>
  <c r="M1168" i="7"/>
  <c r="N1168" i="7"/>
  <c r="O1168" i="7"/>
  <c r="M1169" i="7"/>
  <c r="N1169" i="7"/>
  <c r="O1169" i="7"/>
  <c r="M1170" i="7"/>
  <c r="N1170" i="7"/>
  <c r="O1170" i="7"/>
  <c r="M1171" i="7"/>
  <c r="N1171" i="7"/>
  <c r="O1171" i="7"/>
  <c r="M1172" i="7"/>
  <c r="N1172" i="7"/>
  <c r="O1172" i="7"/>
  <c r="M1173" i="7"/>
  <c r="N1173" i="7"/>
  <c r="O1173" i="7"/>
  <c r="M1174" i="7"/>
  <c r="N1174" i="7"/>
  <c r="O1174" i="7"/>
  <c r="M1175" i="7"/>
  <c r="N1175" i="7"/>
  <c r="O1175" i="7"/>
  <c r="M1176" i="7"/>
  <c r="N1176" i="7"/>
  <c r="O1176" i="7"/>
  <c r="M1177" i="7"/>
  <c r="N1177" i="7"/>
  <c r="O1177" i="7"/>
  <c r="M1178" i="7"/>
  <c r="N1178" i="7"/>
  <c r="O1178" i="7"/>
  <c r="M1179" i="7"/>
  <c r="N1179" i="7"/>
  <c r="O1179" i="7"/>
  <c r="M1180" i="7"/>
  <c r="N1180" i="7"/>
  <c r="O1180" i="7"/>
  <c r="M1181" i="7"/>
  <c r="N1181" i="7"/>
  <c r="O1181" i="7"/>
  <c r="M1182" i="7"/>
  <c r="N1182" i="7"/>
  <c r="O1182" i="7"/>
  <c r="M1183" i="7"/>
  <c r="N1183" i="7"/>
  <c r="O1183" i="7"/>
  <c r="M1184" i="7"/>
  <c r="N1184" i="7"/>
  <c r="O1184" i="7"/>
  <c r="M1185" i="7"/>
  <c r="N1185" i="7"/>
  <c r="O1185" i="7"/>
  <c r="M1186" i="7"/>
  <c r="N1186" i="7"/>
  <c r="O1186" i="7"/>
  <c r="M1187" i="7"/>
  <c r="N1187" i="7"/>
  <c r="O1187" i="7"/>
  <c r="M1188" i="7"/>
  <c r="N1188" i="7"/>
  <c r="O1188" i="7"/>
  <c r="M1189" i="7"/>
  <c r="N1189" i="7"/>
  <c r="O1189" i="7"/>
  <c r="M1190" i="7"/>
  <c r="N1190" i="7"/>
  <c r="O1190" i="7"/>
  <c r="M1191" i="7"/>
  <c r="N1191" i="7"/>
  <c r="O1191" i="7"/>
  <c r="M1192" i="7"/>
  <c r="N1192" i="7"/>
  <c r="O1192" i="7"/>
  <c r="M1193" i="7"/>
  <c r="N1193" i="7"/>
  <c r="O1193" i="7"/>
  <c r="M1194" i="7"/>
  <c r="N1194" i="7"/>
  <c r="O1194" i="7"/>
  <c r="M1195" i="7"/>
  <c r="N1195" i="7"/>
  <c r="O1195" i="7"/>
  <c r="M1196" i="7"/>
  <c r="N1196" i="7"/>
  <c r="O1196" i="7"/>
  <c r="M1197" i="7"/>
  <c r="N1197" i="7"/>
  <c r="O1197" i="7"/>
  <c r="M1198" i="7"/>
  <c r="N1198" i="7"/>
  <c r="O1198" i="7"/>
  <c r="M1199" i="7"/>
  <c r="N1199" i="7"/>
  <c r="O1199" i="7"/>
  <c r="M1200" i="7"/>
  <c r="N1200" i="7"/>
  <c r="O1200" i="7"/>
  <c r="M1201" i="7"/>
  <c r="N1201" i="7"/>
  <c r="O1201" i="7"/>
  <c r="M1202" i="7"/>
  <c r="N1202" i="7"/>
  <c r="O1202" i="7"/>
  <c r="M1203" i="7"/>
  <c r="N1203" i="7"/>
  <c r="O1203" i="7"/>
  <c r="M1204" i="7"/>
  <c r="N1204" i="7"/>
  <c r="O1204" i="7"/>
  <c r="N2" i="7"/>
  <c r="O2" i="7"/>
  <c r="M2" i="7"/>
  <c r="G860" i="7"/>
  <c r="H860" i="7"/>
  <c r="I860" i="7"/>
  <c r="J860" i="7"/>
  <c r="K860" i="7"/>
  <c r="L860" i="7"/>
  <c r="G861" i="7"/>
  <c r="H861" i="7"/>
  <c r="I861" i="7"/>
  <c r="J861" i="7"/>
  <c r="K861" i="7"/>
  <c r="L861" i="7"/>
  <c r="G862" i="7"/>
  <c r="H862" i="7"/>
  <c r="I862" i="7"/>
  <c r="J862" i="7"/>
  <c r="K862" i="7"/>
  <c r="L862" i="7"/>
  <c r="G863" i="7"/>
  <c r="H863" i="7"/>
  <c r="I863" i="7"/>
  <c r="J863" i="7"/>
  <c r="K863" i="7"/>
  <c r="L863" i="7"/>
  <c r="G864" i="7"/>
  <c r="H864" i="7"/>
  <c r="I864" i="7"/>
  <c r="J864" i="7"/>
  <c r="K864" i="7"/>
  <c r="L864" i="7"/>
  <c r="G865" i="7"/>
  <c r="H865" i="7"/>
  <c r="I865" i="7"/>
  <c r="J865" i="7"/>
  <c r="K865" i="7"/>
  <c r="L865" i="7"/>
  <c r="G866" i="7"/>
  <c r="H866" i="7"/>
  <c r="I866" i="7"/>
  <c r="J866" i="7"/>
  <c r="K866" i="7"/>
  <c r="L866" i="7"/>
  <c r="G867" i="7"/>
  <c r="H867" i="7"/>
  <c r="I867" i="7"/>
  <c r="J867" i="7"/>
  <c r="K867" i="7"/>
  <c r="L867" i="7"/>
  <c r="G868" i="7"/>
  <c r="H868" i="7"/>
  <c r="I868" i="7"/>
  <c r="J868" i="7"/>
  <c r="K868" i="7"/>
  <c r="L868" i="7"/>
  <c r="G869" i="7"/>
  <c r="H869" i="7"/>
  <c r="I869" i="7"/>
  <c r="J869" i="7"/>
  <c r="K869" i="7"/>
  <c r="L869" i="7"/>
  <c r="G870" i="7"/>
  <c r="H870" i="7"/>
  <c r="I870" i="7"/>
  <c r="J870" i="7"/>
  <c r="K870" i="7"/>
  <c r="L870" i="7"/>
  <c r="G871" i="7"/>
  <c r="H871" i="7"/>
  <c r="I871" i="7"/>
  <c r="J871" i="7"/>
  <c r="K871" i="7"/>
  <c r="L871" i="7"/>
  <c r="G872" i="7"/>
  <c r="H872" i="7"/>
  <c r="I872" i="7"/>
  <c r="J872" i="7"/>
  <c r="K872" i="7"/>
  <c r="L872" i="7"/>
  <c r="G873" i="7"/>
  <c r="H873" i="7"/>
  <c r="I873" i="7"/>
  <c r="J873" i="7"/>
  <c r="K873" i="7"/>
  <c r="L873" i="7"/>
  <c r="G874" i="7"/>
  <c r="H874" i="7"/>
  <c r="I874" i="7"/>
  <c r="J874" i="7"/>
  <c r="K874" i="7"/>
  <c r="L874" i="7"/>
  <c r="G875" i="7"/>
  <c r="H875" i="7"/>
  <c r="I875" i="7"/>
  <c r="J875" i="7"/>
  <c r="K875" i="7"/>
  <c r="L875" i="7"/>
  <c r="G876" i="7"/>
  <c r="H876" i="7"/>
  <c r="I876" i="7"/>
  <c r="J876" i="7"/>
  <c r="K876" i="7"/>
  <c r="L876" i="7"/>
  <c r="G877" i="7"/>
  <c r="H877" i="7"/>
  <c r="I877" i="7"/>
  <c r="J877" i="7"/>
  <c r="K877" i="7"/>
  <c r="L877" i="7"/>
  <c r="G878" i="7"/>
  <c r="H878" i="7"/>
  <c r="I878" i="7"/>
  <c r="J878" i="7"/>
  <c r="K878" i="7"/>
  <c r="L878" i="7"/>
  <c r="G879" i="7"/>
  <c r="H879" i="7"/>
  <c r="I879" i="7"/>
  <c r="J879" i="7"/>
  <c r="K879" i="7"/>
  <c r="L879" i="7"/>
  <c r="G880" i="7"/>
  <c r="H880" i="7"/>
  <c r="I880" i="7"/>
  <c r="J880" i="7"/>
  <c r="K880" i="7"/>
  <c r="L880" i="7"/>
  <c r="G881" i="7"/>
  <c r="H881" i="7"/>
  <c r="I881" i="7"/>
  <c r="J881" i="7"/>
  <c r="K881" i="7"/>
  <c r="L881" i="7"/>
  <c r="G882" i="7"/>
  <c r="H882" i="7"/>
  <c r="I882" i="7"/>
  <c r="J882" i="7"/>
  <c r="K882" i="7"/>
  <c r="L882" i="7"/>
  <c r="G883" i="7"/>
  <c r="H883" i="7"/>
  <c r="I883" i="7"/>
  <c r="J883" i="7"/>
  <c r="K883" i="7"/>
  <c r="L883" i="7"/>
  <c r="G884" i="7"/>
  <c r="H884" i="7"/>
  <c r="I884" i="7"/>
  <c r="J884" i="7"/>
  <c r="K884" i="7"/>
  <c r="L884" i="7"/>
  <c r="G885" i="7"/>
  <c r="H885" i="7"/>
  <c r="I885" i="7"/>
  <c r="J885" i="7"/>
  <c r="K885" i="7"/>
  <c r="L885" i="7"/>
  <c r="G886" i="7"/>
  <c r="H886" i="7"/>
  <c r="I886" i="7"/>
  <c r="J886" i="7"/>
  <c r="K886" i="7"/>
  <c r="L886" i="7"/>
  <c r="G887" i="7"/>
  <c r="H887" i="7"/>
  <c r="I887" i="7"/>
  <c r="J887" i="7"/>
  <c r="K887" i="7"/>
  <c r="L887" i="7"/>
  <c r="G888" i="7"/>
  <c r="H888" i="7"/>
  <c r="I888" i="7"/>
  <c r="J888" i="7"/>
  <c r="K888" i="7"/>
  <c r="L888" i="7"/>
  <c r="G889" i="7"/>
  <c r="H889" i="7"/>
  <c r="I889" i="7"/>
  <c r="J889" i="7"/>
  <c r="K889" i="7"/>
  <c r="L889" i="7"/>
  <c r="G890" i="7"/>
  <c r="H890" i="7"/>
  <c r="I890" i="7"/>
  <c r="J890" i="7"/>
  <c r="K890" i="7"/>
  <c r="L890" i="7"/>
  <c r="G891" i="7"/>
  <c r="H891" i="7"/>
  <c r="I891" i="7"/>
  <c r="J891" i="7"/>
  <c r="K891" i="7"/>
  <c r="L891" i="7"/>
  <c r="G892" i="7"/>
  <c r="H892" i="7"/>
  <c r="I892" i="7"/>
  <c r="J892" i="7"/>
  <c r="K892" i="7"/>
  <c r="L892" i="7"/>
  <c r="G893" i="7"/>
  <c r="H893" i="7"/>
  <c r="I893" i="7"/>
  <c r="J893" i="7"/>
  <c r="K893" i="7"/>
  <c r="L893" i="7"/>
  <c r="G894" i="7"/>
  <c r="H894" i="7"/>
  <c r="I894" i="7"/>
  <c r="J894" i="7"/>
  <c r="K894" i="7"/>
  <c r="L894" i="7"/>
  <c r="G895" i="7"/>
  <c r="H895" i="7"/>
  <c r="I895" i="7"/>
  <c r="J895" i="7"/>
  <c r="K895" i="7"/>
  <c r="L895" i="7"/>
  <c r="G896" i="7"/>
  <c r="H896" i="7"/>
  <c r="I896" i="7"/>
  <c r="J896" i="7"/>
  <c r="K896" i="7"/>
  <c r="L896" i="7"/>
  <c r="G897" i="7"/>
  <c r="H897" i="7"/>
  <c r="I897" i="7"/>
  <c r="J897" i="7"/>
  <c r="K897" i="7"/>
  <c r="L897" i="7"/>
  <c r="G898" i="7"/>
  <c r="H898" i="7"/>
  <c r="I898" i="7"/>
  <c r="J898" i="7"/>
  <c r="K898" i="7"/>
  <c r="L898" i="7"/>
  <c r="G899" i="7"/>
  <c r="H899" i="7"/>
  <c r="I899" i="7"/>
  <c r="J899" i="7"/>
  <c r="K899" i="7"/>
  <c r="L899" i="7"/>
  <c r="G900" i="7"/>
  <c r="H900" i="7"/>
  <c r="I900" i="7"/>
  <c r="J900" i="7"/>
  <c r="K900" i="7"/>
  <c r="L900" i="7"/>
  <c r="G901" i="7"/>
  <c r="H901" i="7"/>
  <c r="I901" i="7"/>
  <c r="J901" i="7"/>
  <c r="K901" i="7"/>
  <c r="L901" i="7"/>
  <c r="G902" i="7"/>
  <c r="H902" i="7"/>
  <c r="I902" i="7"/>
  <c r="J902" i="7"/>
  <c r="K902" i="7"/>
  <c r="L902" i="7"/>
  <c r="G903" i="7"/>
  <c r="H903" i="7"/>
  <c r="I903" i="7"/>
  <c r="J903" i="7"/>
  <c r="K903" i="7"/>
  <c r="L903" i="7"/>
  <c r="G904" i="7"/>
  <c r="H904" i="7"/>
  <c r="I904" i="7"/>
  <c r="J904" i="7"/>
  <c r="K904" i="7"/>
  <c r="L904" i="7"/>
  <c r="G905" i="7"/>
  <c r="H905" i="7"/>
  <c r="I905" i="7"/>
  <c r="J905" i="7"/>
  <c r="K905" i="7"/>
  <c r="L905" i="7"/>
  <c r="G906" i="7"/>
  <c r="H906" i="7"/>
  <c r="I906" i="7"/>
  <c r="J906" i="7"/>
  <c r="K906" i="7"/>
  <c r="L906" i="7"/>
  <c r="G907" i="7"/>
  <c r="H907" i="7"/>
  <c r="I907" i="7"/>
  <c r="J907" i="7"/>
  <c r="K907" i="7"/>
  <c r="L907" i="7"/>
  <c r="G908" i="7"/>
  <c r="H908" i="7"/>
  <c r="I908" i="7"/>
  <c r="J908" i="7"/>
  <c r="K908" i="7"/>
  <c r="L908" i="7"/>
  <c r="G909" i="7"/>
  <c r="H909" i="7"/>
  <c r="I909" i="7"/>
  <c r="J909" i="7"/>
  <c r="K909" i="7"/>
  <c r="L909" i="7"/>
  <c r="G910" i="7"/>
  <c r="H910" i="7"/>
  <c r="I910" i="7"/>
  <c r="J910" i="7"/>
  <c r="K910" i="7"/>
  <c r="L910" i="7"/>
  <c r="G911" i="7"/>
  <c r="H911" i="7"/>
  <c r="I911" i="7"/>
  <c r="J911" i="7"/>
  <c r="K911" i="7"/>
  <c r="L911" i="7"/>
  <c r="G912" i="7"/>
  <c r="H912" i="7"/>
  <c r="I912" i="7"/>
  <c r="J912" i="7"/>
  <c r="K912" i="7"/>
  <c r="L912" i="7"/>
  <c r="G913" i="7"/>
  <c r="H913" i="7"/>
  <c r="I913" i="7"/>
  <c r="J913" i="7"/>
  <c r="K913" i="7"/>
  <c r="L913" i="7"/>
  <c r="G914" i="7"/>
  <c r="H914" i="7"/>
  <c r="I914" i="7"/>
  <c r="J914" i="7"/>
  <c r="K914" i="7"/>
  <c r="L914" i="7"/>
  <c r="G915" i="7"/>
  <c r="H915" i="7"/>
  <c r="I915" i="7"/>
  <c r="J915" i="7"/>
  <c r="K915" i="7"/>
  <c r="L915" i="7"/>
  <c r="G916" i="7"/>
  <c r="H916" i="7"/>
  <c r="I916" i="7"/>
  <c r="J916" i="7"/>
  <c r="K916" i="7"/>
  <c r="L916" i="7"/>
  <c r="G917" i="7"/>
  <c r="H917" i="7"/>
  <c r="I917" i="7"/>
  <c r="J917" i="7"/>
  <c r="K917" i="7"/>
  <c r="L917" i="7"/>
  <c r="G918" i="7"/>
  <c r="H918" i="7"/>
  <c r="I918" i="7"/>
  <c r="J918" i="7"/>
  <c r="K918" i="7"/>
  <c r="L918" i="7"/>
  <c r="G919" i="7"/>
  <c r="H919" i="7"/>
  <c r="I919" i="7"/>
  <c r="J919" i="7"/>
  <c r="K919" i="7"/>
  <c r="L919" i="7"/>
  <c r="G920" i="7"/>
  <c r="H920" i="7"/>
  <c r="I920" i="7"/>
  <c r="J920" i="7"/>
  <c r="K920" i="7"/>
  <c r="L920" i="7"/>
  <c r="G921" i="7"/>
  <c r="H921" i="7"/>
  <c r="I921" i="7"/>
  <c r="J921" i="7"/>
  <c r="K921" i="7"/>
  <c r="L921" i="7"/>
  <c r="G922" i="7"/>
  <c r="H922" i="7"/>
  <c r="I922" i="7"/>
  <c r="J922" i="7"/>
  <c r="K922" i="7"/>
  <c r="L922" i="7"/>
  <c r="G923" i="7"/>
  <c r="H923" i="7"/>
  <c r="I923" i="7"/>
  <c r="J923" i="7"/>
  <c r="K923" i="7"/>
  <c r="L923" i="7"/>
  <c r="G924" i="7"/>
  <c r="H924" i="7"/>
  <c r="I924" i="7"/>
  <c r="J924" i="7"/>
  <c r="K924" i="7"/>
  <c r="L924" i="7"/>
  <c r="G925" i="7"/>
  <c r="H925" i="7"/>
  <c r="I925" i="7"/>
  <c r="J925" i="7"/>
  <c r="K925" i="7"/>
  <c r="L925" i="7"/>
  <c r="G926" i="7"/>
  <c r="H926" i="7"/>
  <c r="I926" i="7"/>
  <c r="J926" i="7"/>
  <c r="K926" i="7"/>
  <c r="L926" i="7"/>
  <c r="G927" i="7"/>
  <c r="H927" i="7"/>
  <c r="I927" i="7"/>
  <c r="J927" i="7"/>
  <c r="K927" i="7"/>
  <c r="L927" i="7"/>
  <c r="G928" i="7"/>
  <c r="H928" i="7"/>
  <c r="I928" i="7"/>
  <c r="J928" i="7"/>
  <c r="K928" i="7"/>
  <c r="L928" i="7"/>
  <c r="G929" i="7"/>
  <c r="H929" i="7"/>
  <c r="I929" i="7"/>
  <c r="J929" i="7"/>
  <c r="K929" i="7"/>
  <c r="L929" i="7"/>
  <c r="G930" i="7"/>
  <c r="H930" i="7"/>
  <c r="I930" i="7"/>
  <c r="J930" i="7"/>
  <c r="K930" i="7"/>
  <c r="L930" i="7"/>
  <c r="G931" i="7"/>
  <c r="H931" i="7"/>
  <c r="I931" i="7"/>
  <c r="J931" i="7"/>
  <c r="K931" i="7"/>
  <c r="L931" i="7"/>
  <c r="G932" i="7"/>
  <c r="H932" i="7"/>
  <c r="I932" i="7"/>
  <c r="J932" i="7"/>
  <c r="K932" i="7"/>
  <c r="L932" i="7"/>
  <c r="G933" i="7"/>
  <c r="H933" i="7"/>
  <c r="I933" i="7"/>
  <c r="J933" i="7"/>
  <c r="K933" i="7"/>
  <c r="L933" i="7"/>
  <c r="G934" i="7"/>
  <c r="H934" i="7"/>
  <c r="I934" i="7"/>
  <c r="J934" i="7"/>
  <c r="K934" i="7"/>
  <c r="L934" i="7"/>
  <c r="G935" i="7"/>
  <c r="H935" i="7"/>
  <c r="I935" i="7"/>
  <c r="J935" i="7"/>
  <c r="K935" i="7"/>
  <c r="L935" i="7"/>
  <c r="G936" i="7"/>
  <c r="H936" i="7"/>
  <c r="I936" i="7"/>
  <c r="J936" i="7"/>
  <c r="K936" i="7"/>
  <c r="L936" i="7"/>
  <c r="G937" i="7"/>
  <c r="H937" i="7"/>
  <c r="I937" i="7"/>
  <c r="J937" i="7"/>
  <c r="K937" i="7"/>
  <c r="L937" i="7"/>
  <c r="G938" i="7"/>
  <c r="H938" i="7"/>
  <c r="I938" i="7"/>
  <c r="J938" i="7"/>
  <c r="K938" i="7"/>
  <c r="L938" i="7"/>
  <c r="G939" i="7"/>
  <c r="H939" i="7"/>
  <c r="I939" i="7"/>
  <c r="J939" i="7"/>
  <c r="K939" i="7"/>
  <c r="L939" i="7"/>
  <c r="G940" i="7"/>
  <c r="H940" i="7"/>
  <c r="I940" i="7"/>
  <c r="J940" i="7"/>
  <c r="K940" i="7"/>
  <c r="L940" i="7"/>
  <c r="G941" i="7"/>
  <c r="H941" i="7"/>
  <c r="I941" i="7"/>
  <c r="J941" i="7"/>
  <c r="K941" i="7"/>
  <c r="L941" i="7"/>
  <c r="G942" i="7"/>
  <c r="H942" i="7"/>
  <c r="I942" i="7"/>
  <c r="J942" i="7"/>
  <c r="K942" i="7"/>
  <c r="L942" i="7"/>
  <c r="G943" i="7"/>
  <c r="H943" i="7"/>
  <c r="I943" i="7"/>
  <c r="J943" i="7"/>
  <c r="K943" i="7"/>
  <c r="L943" i="7"/>
  <c r="G944" i="7"/>
  <c r="H944" i="7"/>
  <c r="I944" i="7"/>
  <c r="J944" i="7"/>
  <c r="K944" i="7"/>
  <c r="L944" i="7"/>
  <c r="G945" i="7"/>
  <c r="H945" i="7"/>
  <c r="I945" i="7"/>
  <c r="J945" i="7"/>
  <c r="K945" i="7"/>
  <c r="L945" i="7"/>
  <c r="G946" i="7"/>
  <c r="H946" i="7"/>
  <c r="I946" i="7"/>
  <c r="J946" i="7"/>
  <c r="K946" i="7"/>
  <c r="L946" i="7"/>
  <c r="G947" i="7"/>
  <c r="H947" i="7"/>
  <c r="I947" i="7"/>
  <c r="J947" i="7"/>
  <c r="K947" i="7"/>
  <c r="L947" i="7"/>
  <c r="G948" i="7"/>
  <c r="H948" i="7"/>
  <c r="I948" i="7"/>
  <c r="J948" i="7"/>
  <c r="K948" i="7"/>
  <c r="L948" i="7"/>
  <c r="G949" i="7"/>
  <c r="H949" i="7"/>
  <c r="I949" i="7"/>
  <c r="J949" i="7"/>
  <c r="K949" i="7"/>
  <c r="L949" i="7"/>
  <c r="G950" i="7"/>
  <c r="H950" i="7"/>
  <c r="I950" i="7"/>
  <c r="J950" i="7"/>
  <c r="K950" i="7"/>
  <c r="L950" i="7"/>
  <c r="G951" i="7"/>
  <c r="H951" i="7"/>
  <c r="I951" i="7"/>
  <c r="J951" i="7"/>
  <c r="K951" i="7"/>
  <c r="L951" i="7"/>
  <c r="G952" i="7"/>
  <c r="H952" i="7"/>
  <c r="I952" i="7"/>
  <c r="J952" i="7"/>
  <c r="K952" i="7"/>
  <c r="L952" i="7"/>
  <c r="G953" i="7"/>
  <c r="H953" i="7"/>
  <c r="I953" i="7"/>
  <c r="J953" i="7"/>
  <c r="K953" i="7"/>
  <c r="L953" i="7"/>
  <c r="G954" i="7"/>
  <c r="H954" i="7"/>
  <c r="I954" i="7"/>
  <c r="J954" i="7"/>
  <c r="K954" i="7"/>
  <c r="L954" i="7"/>
  <c r="G955" i="7"/>
  <c r="H955" i="7"/>
  <c r="I955" i="7"/>
  <c r="J955" i="7"/>
  <c r="K955" i="7"/>
  <c r="L955" i="7"/>
  <c r="G956" i="7"/>
  <c r="H956" i="7"/>
  <c r="I956" i="7"/>
  <c r="J956" i="7"/>
  <c r="K956" i="7"/>
  <c r="L956" i="7"/>
  <c r="G957" i="7"/>
  <c r="H957" i="7"/>
  <c r="I957" i="7"/>
  <c r="J957" i="7"/>
  <c r="K957" i="7"/>
  <c r="L957" i="7"/>
  <c r="G958" i="7"/>
  <c r="H958" i="7"/>
  <c r="I958" i="7"/>
  <c r="J958" i="7"/>
  <c r="K958" i="7"/>
  <c r="L958" i="7"/>
  <c r="G959" i="7"/>
  <c r="H959" i="7"/>
  <c r="I959" i="7"/>
  <c r="J959" i="7"/>
  <c r="K959" i="7"/>
  <c r="L959" i="7"/>
  <c r="G960" i="7"/>
  <c r="H960" i="7"/>
  <c r="I960" i="7"/>
  <c r="J960" i="7"/>
  <c r="K960" i="7"/>
  <c r="L960" i="7"/>
  <c r="G961" i="7"/>
  <c r="H961" i="7"/>
  <c r="I961" i="7"/>
  <c r="J961" i="7"/>
  <c r="K961" i="7"/>
  <c r="L961" i="7"/>
  <c r="G962" i="7"/>
  <c r="H962" i="7"/>
  <c r="I962" i="7"/>
  <c r="J962" i="7"/>
  <c r="K962" i="7"/>
  <c r="L962" i="7"/>
  <c r="G963" i="7"/>
  <c r="H963" i="7"/>
  <c r="I963" i="7"/>
  <c r="J963" i="7"/>
  <c r="K963" i="7"/>
  <c r="L963" i="7"/>
  <c r="G964" i="7"/>
  <c r="H964" i="7"/>
  <c r="I964" i="7"/>
  <c r="J964" i="7"/>
  <c r="K964" i="7"/>
  <c r="L964" i="7"/>
  <c r="G965" i="7"/>
  <c r="H965" i="7"/>
  <c r="I965" i="7"/>
  <c r="J965" i="7"/>
  <c r="K965" i="7"/>
  <c r="L965" i="7"/>
  <c r="G966" i="7"/>
  <c r="H966" i="7"/>
  <c r="I966" i="7"/>
  <c r="J966" i="7"/>
  <c r="K966" i="7"/>
  <c r="L966" i="7"/>
  <c r="G967" i="7"/>
  <c r="H967" i="7"/>
  <c r="I967" i="7"/>
  <c r="J967" i="7"/>
  <c r="K967" i="7"/>
  <c r="L967" i="7"/>
  <c r="G968" i="7"/>
  <c r="H968" i="7"/>
  <c r="I968" i="7"/>
  <c r="J968" i="7"/>
  <c r="K968" i="7"/>
  <c r="L968" i="7"/>
  <c r="G969" i="7"/>
  <c r="H969" i="7"/>
  <c r="I969" i="7"/>
  <c r="J969" i="7"/>
  <c r="K969" i="7"/>
  <c r="L969" i="7"/>
  <c r="G970" i="7"/>
  <c r="H970" i="7"/>
  <c r="I970" i="7"/>
  <c r="J970" i="7"/>
  <c r="K970" i="7"/>
  <c r="L970" i="7"/>
  <c r="G971" i="7"/>
  <c r="H971" i="7"/>
  <c r="I971" i="7"/>
  <c r="J971" i="7"/>
  <c r="K971" i="7"/>
  <c r="L971" i="7"/>
  <c r="G972" i="7"/>
  <c r="H972" i="7"/>
  <c r="I972" i="7"/>
  <c r="J972" i="7"/>
  <c r="K972" i="7"/>
  <c r="L972" i="7"/>
  <c r="G973" i="7"/>
  <c r="H973" i="7"/>
  <c r="I973" i="7"/>
  <c r="J973" i="7"/>
  <c r="K973" i="7"/>
  <c r="L973" i="7"/>
  <c r="G974" i="7"/>
  <c r="H974" i="7"/>
  <c r="I974" i="7"/>
  <c r="J974" i="7"/>
  <c r="K974" i="7"/>
  <c r="L974" i="7"/>
  <c r="G975" i="7"/>
  <c r="H975" i="7"/>
  <c r="I975" i="7"/>
  <c r="J975" i="7"/>
  <c r="K975" i="7"/>
  <c r="L975" i="7"/>
  <c r="G976" i="7"/>
  <c r="H976" i="7"/>
  <c r="I976" i="7"/>
  <c r="J976" i="7"/>
  <c r="K976" i="7"/>
  <c r="L976" i="7"/>
  <c r="G977" i="7"/>
  <c r="H977" i="7"/>
  <c r="I977" i="7"/>
  <c r="J977" i="7"/>
  <c r="K977" i="7"/>
  <c r="L977" i="7"/>
  <c r="G978" i="7"/>
  <c r="H978" i="7"/>
  <c r="I978" i="7"/>
  <c r="J978" i="7"/>
  <c r="K978" i="7"/>
  <c r="L978" i="7"/>
  <c r="G979" i="7"/>
  <c r="H979" i="7"/>
  <c r="I979" i="7"/>
  <c r="J979" i="7"/>
  <c r="K979" i="7"/>
  <c r="L979" i="7"/>
  <c r="G980" i="7"/>
  <c r="H980" i="7"/>
  <c r="I980" i="7"/>
  <c r="J980" i="7"/>
  <c r="K980" i="7"/>
  <c r="L980" i="7"/>
  <c r="G981" i="7"/>
  <c r="H981" i="7"/>
  <c r="I981" i="7"/>
  <c r="J981" i="7"/>
  <c r="K981" i="7"/>
  <c r="L981" i="7"/>
  <c r="G982" i="7"/>
  <c r="H982" i="7"/>
  <c r="I982" i="7"/>
  <c r="J982" i="7"/>
  <c r="K982" i="7"/>
  <c r="L982" i="7"/>
  <c r="G983" i="7"/>
  <c r="H983" i="7"/>
  <c r="I983" i="7"/>
  <c r="J983" i="7"/>
  <c r="K983" i="7"/>
  <c r="L983" i="7"/>
  <c r="G984" i="7"/>
  <c r="H984" i="7"/>
  <c r="I984" i="7"/>
  <c r="J984" i="7"/>
  <c r="K984" i="7"/>
  <c r="L984" i="7"/>
  <c r="G985" i="7"/>
  <c r="H985" i="7"/>
  <c r="I985" i="7"/>
  <c r="J985" i="7"/>
  <c r="K985" i="7"/>
  <c r="L985" i="7"/>
  <c r="G986" i="7"/>
  <c r="H986" i="7"/>
  <c r="I986" i="7"/>
  <c r="J986" i="7"/>
  <c r="K986" i="7"/>
  <c r="L986" i="7"/>
  <c r="G987" i="7"/>
  <c r="H987" i="7"/>
  <c r="I987" i="7"/>
  <c r="J987" i="7"/>
  <c r="K987" i="7"/>
  <c r="L987" i="7"/>
  <c r="G988" i="7"/>
  <c r="H988" i="7"/>
  <c r="I988" i="7"/>
  <c r="J988" i="7"/>
  <c r="K988" i="7"/>
  <c r="L988" i="7"/>
  <c r="G989" i="7"/>
  <c r="H989" i="7"/>
  <c r="I989" i="7"/>
  <c r="J989" i="7"/>
  <c r="K989" i="7"/>
  <c r="L989" i="7"/>
  <c r="G990" i="7"/>
  <c r="H990" i="7"/>
  <c r="I990" i="7"/>
  <c r="J990" i="7"/>
  <c r="K990" i="7"/>
  <c r="L990" i="7"/>
  <c r="G991" i="7"/>
  <c r="H991" i="7"/>
  <c r="I991" i="7"/>
  <c r="J991" i="7"/>
  <c r="K991" i="7"/>
  <c r="L991" i="7"/>
  <c r="G992" i="7"/>
  <c r="H992" i="7"/>
  <c r="I992" i="7"/>
  <c r="J992" i="7"/>
  <c r="K992" i="7"/>
  <c r="L992" i="7"/>
  <c r="G993" i="7"/>
  <c r="H993" i="7"/>
  <c r="I993" i="7"/>
  <c r="J993" i="7"/>
  <c r="K993" i="7"/>
  <c r="L993" i="7"/>
  <c r="G994" i="7"/>
  <c r="H994" i="7"/>
  <c r="I994" i="7"/>
  <c r="J994" i="7"/>
  <c r="K994" i="7"/>
  <c r="L994" i="7"/>
  <c r="G995" i="7"/>
  <c r="H995" i="7"/>
  <c r="I995" i="7"/>
  <c r="J995" i="7"/>
  <c r="K995" i="7"/>
  <c r="L995" i="7"/>
  <c r="G996" i="7"/>
  <c r="H996" i="7"/>
  <c r="I996" i="7"/>
  <c r="J996" i="7"/>
  <c r="K996" i="7"/>
  <c r="L996" i="7"/>
  <c r="G997" i="7"/>
  <c r="H997" i="7"/>
  <c r="I997" i="7"/>
  <c r="J997" i="7"/>
  <c r="K997" i="7"/>
  <c r="L997" i="7"/>
  <c r="G998" i="7"/>
  <c r="H998" i="7"/>
  <c r="I998" i="7"/>
  <c r="J998" i="7"/>
  <c r="K998" i="7"/>
  <c r="L998" i="7"/>
  <c r="G999" i="7"/>
  <c r="H999" i="7"/>
  <c r="I999" i="7"/>
  <c r="J999" i="7"/>
  <c r="K999" i="7"/>
  <c r="L999" i="7"/>
  <c r="G1000" i="7"/>
  <c r="H1000" i="7"/>
  <c r="I1000" i="7"/>
  <c r="J1000" i="7"/>
  <c r="K1000" i="7"/>
  <c r="L1000" i="7"/>
  <c r="G1001" i="7"/>
  <c r="H1001" i="7"/>
  <c r="I1001" i="7"/>
  <c r="J1001" i="7"/>
  <c r="K1001" i="7"/>
  <c r="L1001" i="7"/>
  <c r="G1002" i="7"/>
  <c r="H1002" i="7"/>
  <c r="I1002" i="7"/>
  <c r="J1002" i="7"/>
  <c r="K1002" i="7"/>
  <c r="L1002" i="7"/>
  <c r="G1003" i="7"/>
  <c r="H1003" i="7"/>
  <c r="I1003" i="7"/>
  <c r="J1003" i="7"/>
  <c r="K1003" i="7"/>
  <c r="L1003" i="7"/>
  <c r="G1004" i="7"/>
  <c r="H1004" i="7"/>
  <c r="I1004" i="7"/>
  <c r="J1004" i="7"/>
  <c r="K1004" i="7"/>
  <c r="L1004" i="7"/>
  <c r="G1005" i="7"/>
  <c r="H1005" i="7"/>
  <c r="I1005" i="7"/>
  <c r="J1005" i="7"/>
  <c r="K1005" i="7"/>
  <c r="L1005" i="7"/>
  <c r="G1006" i="7"/>
  <c r="H1006" i="7"/>
  <c r="I1006" i="7"/>
  <c r="J1006" i="7"/>
  <c r="K1006" i="7"/>
  <c r="L1006" i="7"/>
  <c r="G1007" i="7"/>
  <c r="H1007" i="7"/>
  <c r="I1007" i="7"/>
  <c r="J1007" i="7"/>
  <c r="K1007" i="7"/>
  <c r="L1007" i="7"/>
  <c r="G1008" i="7"/>
  <c r="H1008" i="7"/>
  <c r="I1008" i="7"/>
  <c r="J1008" i="7"/>
  <c r="K1008" i="7"/>
  <c r="L1008" i="7"/>
  <c r="G1009" i="7"/>
  <c r="H1009" i="7"/>
  <c r="I1009" i="7"/>
  <c r="J1009" i="7"/>
  <c r="K1009" i="7"/>
  <c r="L1009" i="7"/>
  <c r="G1010" i="7"/>
  <c r="H1010" i="7"/>
  <c r="I1010" i="7"/>
  <c r="J1010" i="7"/>
  <c r="K1010" i="7"/>
  <c r="L1010" i="7"/>
  <c r="G1011" i="7"/>
  <c r="H1011" i="7"/>
  <c r="I1011" i="7"/>
  <c r="J1011" i="7"/>
  <c r="K1011" i="7"/>
  <c r="L1011" i="7"/>
  <c r="G1012" i="7"/>
  <c r="H1012" i="7"/>
  <c r="I1012" i="7"/>
  <c r="J1012" i="7"/>
  <c r="K1012" i="7"/>
  <c r="L1012" i="7"/>
  <c r="G1013" i="7"/>
  <c r="H1013" i="7"/>
  <c r="I1013" i="7"/>
  <c r="J1013" i="7"/>
  <c r="K1013" i="7"/>
  <c r="L1013" i="7"/>
  <c r="G1014" i="7"/>
  <c r="H1014" i="7"/>
  <c r="I1014" i="7"/>
  <c r="J1014" i="7"/>
  <c r="K1014" i="7"/>
  <c r="L1014" i="7"/>
  <c r="G1015" i="7"/>
  <c r="H1015" i="7"/>
  <c r="I1015" i="7"/>
  <c r="J1015" i="7"/>
  <c r="K1015" i="7"/>
  <c r="L1015" i="7"/>
  <c r="G1016" i="7"/>
  <c r="H1016" i="7"/>
  <c r="I1016" i="7"/>
  <c r="J1016" i="7"/>
  <c r="K1016" i="7"/>
  <c r="L1016" i="7"/>
  <c r="G1017" i="7"/>
  <c r="H1017" i="7"/>
  <c r="I1017" i="7"/>
  <c r="J1017" i="7"/>
  <c r="K1017" i="7"/>
  <c r="L1017" i="7"/>
  <c r="G1018" i="7"/>
  <c r="H1018" i="7"/>
  <c r="I1018" i="7"/>
  <c r="J1018" i="7"/>
  <c r="K1018" i="7"/>
  <c r="L1018" i="7"/>
  <c r="G1019" i="7"/>
  <c r="H1019" i="7"/>
  <c r="I1019" i="7"/>
  <c r="J1019" i="7"/>
  <c r="K1019" i="7"/>
  <c r="L1019" i="7"/>
  <c r="G1020" i="7"/>
  <c r="H1020" i="7"/>
  <c r="I1020" i="7"/>
  <c r="J1020" i="7"/>
  <c r="K1020" i="7"/>
  <c r="L1020" i="7"/>
  <c r="G1021" i="7"/>
  <c r="H1021" i="7"/>
  <c r="I1021" i="7"/>
  <c r="J1021" i="7"/>
  <c r="K1021" i="7"/>
  <c r="L1021" i="7"/>
  <c r="G1022" i="7"/>
  <c r="H1022" i="7"/>
  <c r="I1022" i="7"/>
  <c r="J1022" i="7"/>
  <c r="K1022" i="7"/>
  <c r="L1022" i="7"/>
  <c r="G1023" i="7"/>
  <c r="H1023" i="7"/>
  <c r="I1023" i="7"/>
  <c r="J1023" i="7"/>
  <c r="K1023" i="7"/>
  <c r="L1023" i="7"/>
  <c r="G1024" i="7"/>
  <c r="H1024" i="7"/>
  <c r="I1024" i="7"/>
  <c r="J1024" i="7"/>
  <c r="K1024" i="7"/>
  <c r="L1024" i="7"/>
  <c r="G1025" i="7"/>
  <c r="H1025" i="7"/>
  <c r="I1025" i="7"/>
  <c r="J1025" i="7"/>
  <c r="K1025" i="7"/>
  <c r="L1025" i="7"/>
  <c r="G1026" i="7"/>
  <c r="H1026" i="7"/>
  <c r="I1026" i="7"/>
  <c r="J1026" i="7"/>
  <c r="K1026" i="7"/>
  <c r="L1026" i="7"/>
  <c r="G1027" i="7"/>
  <c r="H1027" i="7"/>
  <c r="I1027" i="7"/>
  <c r="J1027" i="7"/>
  <c r="K1027" i="7"/>
  <c r="L1027" i="7"/>
  <c r="G1028" i="7"/>
  <c r="H1028" i="7"/>
  <c r="I1028" i="7"/>
  <c r="J1028" i="7"/>
  <c r="K1028" i="7"/>
  <c r="L1028" i="7"/>
  <c r="G1029" i="7"/>
  <c r="H1029" i="7"/>
  <c r="I1029" i="7"/>
  <c r="J1029" i="7"/>
  <c r="K1029" i="7"/>
  <c r="L1029" i="7"/>
  <c r="G1030" i="7"/>
  <c r="H1030" i="7"/>
  <c r="I1030" i="7"/>
  <c r="J1030" i="7"/>
  <c r="K1030" i="7"/>
  <c r="L1030" i="7"/>
  <c r="G1031" i="7"/>
  <c r="H1031" i="7"/>
  <c r="I1031" i="7"/>
  <c r="J1031" i="7"/>
  <c r="K1031" i="7"/>
  <c r="L1031" i="7"/>
  <c r="G1032" i="7"/>
  <c r="H1032" i="7"/>
  <c r="I1032" i="7"/>
  <c r="J1032" i="7"/>
  <c r="K1032" i="7"/>
  <c r="L1032" i="7"/>
  <c r="G1033" i="7"/>
  <c r="H1033" i="7"/>
  <c r="I1033" i="7"/>
  <c r="J1033" i="7"/>
  <c r="K1033" i="7"/>
  <c r="L1033" i="7"/>
  <c r="G1034" i="7"/>
  <c r="H1034" i="7"/>
  <c r="I1034" i="7"/>
  <c r="J1034" i="7"/>
  <c r="K1034" i="7"/>
  <c r="L1034" i="7"/>
  <c r="G1035" i="7"/>
  <c r="H1035" i="7"/>
  <c r="I1035" i="7"/>
  <c r="J1035" i="7"/>
  <c r="K1035" i="7"/>
  <c r="L1035" i="7"/>
  <c r="G1036" i="7"/>
  <c r="H1036" i="7"/>
  <c r="I1036" i="7"/>
  <c r="J1036" i="7"/>
  <c r="K1036" i="7"/>
  <c r="L1036" i="7"/>
  <c r="G1037" i="7"/>
  <c r="H1037" i="7"/>
  <c r="I1037" i="7"/>
  <c r="J1037" i="7"/>
  <c r="K1037" i="7"/>
  <c r="L1037" i="7"/>
  <c r="G1038" i="7"/>
  <c r="H1038" i="7"/>
  <c r="I1038" i="7"/>
  <c r="J1038" i="7"/>
  <c r="K1038" i="7"/>
  <c r="L1038" i="7"/>
  <c r="G1039" i="7"/>
  <c r="H1039" i="7"/>
  <c r="I1039" i="7"/>
  <c r="J1039" i="7"/>
  <c r="K1039" i="7"/>
  <c r="L1039" i="7"/>
  <c r="G1040" i="7"/>
  <c r="H1040" i="7"/>
  <c r="I1040" i="7"/>
  <c r="J1040" i="7"/>
  <c r="K1040" i="7"/>
  <c r="L1040" i="7"/>
  <c r="G1041" i="7"/>
  <c r="H1041" i="7"/>
  <c r="I1041" i="7"/>
  <c r="J1041" i="7"/>
  <c r="K1041" i="7"/>
  <c r="L1041" i="7"/>
  <c r="G1042" i="7"/>
  <c r="H1042" i="7"/>
  <c r="I1042" i="7"/>
  <c r="J1042" i="7"/>
  <c r="K1042" i="7"/>
  <c r="L1042" i="7"/>
  <c r="G1043" i="7"/>
  <c r="H1043" i="7"/>
  <c r="I1043" i="7"/>
  <c r="J1043" i="7"/>
  <c r="K1043" i="7"/>
  <c r="L1043" i="7"/>
  <c r="G1044" i="7"/>
  <c r="H1044" i="7"/>
  <c r="I1044" i="7"/>
  <c r="J1044" i="7"/>
  <c r="K1044" i="7"/>
  <c r="L1044" i="7"/>
  <c r="G1045" i="7"/>
  <c r="H1045" i="7"/>
  <c r="I1045" i="7"/>
  <c r="J1045" i="7"/>
  <c r="K1045" i="7"/>
  <c r="L1045" i="7"/>
  <c r="G1046" i="7"/>
  <c r="H1046" i="7"/>
  <c r="I1046" i="7"/>
  <c r="J1046" i="7"/>
  <c r="K1046" i="7"/>
  <c r="L1046" i="7"/>
  <c r="G1047" i="7"/>
  <c r="H1047" i="7"/>
  <c r="I1047" i="7"/>
  <c r="J1047" i="7"/>
  <c r="K1047" i="7"/>
  <c r="L1047" i="7"/>
  <c r="G1048" i="7"/>
  <c r="H1048" i="7"/>
  <c r="I1048" i="7"/>
  <c r="J1048" i="7"/>
  <c r="K1048" i="7"/>
  <c r="L1048" i="7"/>
  <c r="G1049" i="7"/>
  <c r="H1049" i="7"/>
  <c r="I1049" i="7"/>
  <c r="J1049" i="7"/>
  <c r="K1049" i="7"/>
  <c r="L1049" i="7"/>
  <c r="G1050" i="7"/>
  <c r="H1050" i="7"/>
  <c r="I1050" i="7"/>
  <c r="J1050" i="7"/>
  <c r="K1050" i="7"/>
  <c r="L1050" i="7"/>
  <c r="G1051" i="7"/>
  <c r="H1051" i="7"/>
  <c r="I1051" i="7"/>
  <c r="J1051" i="7"/>
  <c r="K1051" i="7"/>
  <c r="L1051" i="7"/>
  <c r="G1052" i="7"/>
  <c r="H1052" i="7"/>
  <c r="I1052" i="7"/>
  <c r="J1052" i="7"/>
  <c r="K1052" i="7"/>
  <c r="L1052" i="7"/>
  <c r="G1053" i="7"/>
  <c r="H1053" i="7"/>
  <c r="I1053" i="7"/>
  <c r="J1053" i="7"/>
  <c r="K1053" i="7"/>
  <c r="L1053" i="7"/>
  <c r="G1054" i="7"/>
  <c r="H1054" i="7"/>
  <c r="I1054" i="7"/>
  <c r="J1054" i="7"/>
  <c r="K1054" i="7"/>
  <c r="L1054" i="7"/>
  <c r="G1055" i="7"/>
  <c r="H1055" i="7"/>
  <c r="I1055" i="7"/>
  <c r="J1055" i="7"/>
  <c r="K1055" i="7"/>
  <c r="L1055" i="7"/>
  <c r="G1056" i="7"/>
  <c r="H1056" i="7"/>
  <c r="I1056" i="7"/>
  <c r="J1056" i="7"/>
  <c r="K1056" i="7"/>
  <c r="L1056" i="7"/>
  <c r="G1057" i="7"/>
  <c r="H1057" i="7"/>
  <c r="I1057" i="7"/>
  <c r="J1057" i="7"/>
  <c r="K1057" i="7"/>
  <c r="L1057" i="7"/>
  <c r="G1058" i="7"/>
  <c r="H1058" i="7"/>
  <c r="I1058" i="7"/>
  <c r="J1058" i="7"/>
  <c r="K1058" i="7"/>
  <c r="L1058" i="7"/>
  <c r="G1059" i="7"/>
  <c r="H1059" i="7"/>
  <c r="I1059" i="7"/>
  <c r="J1059" i="7"/>
  <c r="K1059" i="7"/>
  <c r="L1059" i="7"/>
  <c r="G1060" i="7"/>
  <c r="H1060" i="7"/>
  <c r="I1060" i="7"/>
  <c r="J1060" i="7"/>
  <c r="K1060" i="7"/>
  <c r="L1060" i="7"/>
  <c r="G1061" i="7"/>
  <c r="H1061" i="7"/>
  <c r="I1061" i="7"/>
  <c r="J1061" i="7"/>
  <c r="K1061" i="7"/>
  <c r="L1061" i="7"/>
  <c r="G1062" i="7"/>
  <c r="H1062" i="7"/>
  <c r="I1062" i="7"/>
  <c r="J1062" i="7"/>
  <c r="K1062" i="7"/>
  <c r="L1062" i="7"/>
  <c r="G1063" i="7"/>
  <c r="H1063" i="7"/>
  <c r="I1063" i="7"/>
  <c r="J1063" i="7"/>
  <c r="K1063" i="7"/>
  <c r="L1063" i="7"/>
  <c r="G1064" i="7"/>
  <c r="H1064" i="7"/>
  <c r="I1064" i="7"/>
  <c r="J1064" i="7"/>
  <c r="K1064" i="7"/>
  <c r="L1064" i="7"/>
  <c r="G1065" i="7"/>
  <c r="H1065" i="7"/>
  <c r="I1065" i="7"/>
  <c r="J1065" i="7"/>
  <c r="K1065" i="7"/>
  <c r="L1065" i="7"/>
  <c r="G1066" i="7"/>
  <c r="H1066" i="7"/>
  <c r="I1066" i="7"/>
  <c r="J1066" i="7"/>
  <c r="K1066" i="7"/>
  <c r="L1066" i="7"/>
  <c r="G1067" i="7"/>
  <c r="H1067" i="7"/>
  <c r="I1067" i="7"/>
  <c r="J1067" i="7"/>
  <c r="K1067" i="7"/>
  <c r="L1067" i="7"/>
  <c r="G1068" i="7"/>
  <c r="H1068" i="7"/>
  <c r="I1068" i="7"/>
  <c r="J1068" i="7"/>
  <c r="K1068" i="7"/>
  <c r="L1068" i="7"/>
  <c r="G1069" i="7"/>
  <c r="H1069" i="7"/>
  <c r="I1069" i="7"/>
  <c r="J1069" i="7"/>
  <c r="K1069" i="7"/>
  <c r="L1069" i="7"/>
  <c r="G1070" i="7"/>
  <c r="H1070" i="7"/>
  <c r="I1070" i="7"/>
  <c r="J1070" i="7"/>
  <c r="K1070" i="7"/>
  <c r="L1070" i="7"/>
  <c r="G1071" i="7"/>
  <c r="H1071" i="7"/>
  <c r="I1071" i="7"/>
  <c r="J1071" i="7"/>
  <c r="K1071" i="7"/>
  <c r="L1071" i="7"/>
  <c r="G1072" i="7"/>
  <c r="H1072" i="7"/>
  <c r="I1072" i="7"/>
  <c r="J1072" i="7"/>
  <c r="K1072" i="7"/>
  <c r="L1072" i="7"/>
  <c r="G1073" i="7"/>
  <c r="H1073" i="7"/>
  <c r="I1073" i="7"/>
  <c r="J1073" i="7"/>
  <c r="K1073" i="7"/>
  <c r="L1073" i="7"/>
  <c r="G1074" i="7"/>
  <c r="H1074" i="7"/>
  <c r="I1074" i="7"/>
  <c r="J1074" i="7"/>
  <c r="K1074" i="7"/>
  <c r="L1074" i="7"/>
  <c r="G1075" i="7"/>
  <c r="H1075" i="7"/>
  <c r="I1075" i="7"/>
  <c r="J1075" i="7"/>
  <c r="K1075" i="7"/>
  <c r="L1075" i="7"/>
  <c r="G1076" i="7"/>
  <c r="H1076" i="7"/>
  <c r="I1076" i="7"/>
  <c r="J1076" i="7"/>
  <c r="K1076" i="7"/>
  <c r="L1076" i="7"/>
  <c r="G1077" i="7"/>
  <c r="H1077" i="7"/>
  <c r="I1077" i="7"/>
  <c r="J1077" i="7"/>
  <c r="K1077" i="7"/>
  <c r="L1077" i="7"/>
  <c r="G1078" i="7"/>
  <c r="H1078" i="7"/>
  <c r="I1078" i="7"/>
  <c r="J1078" i="7"/>
  <c r="K1078" i="7"/>
  <c r="L1078" i="7"/>
  <c r="G1079" i="7"/>
  <c r="H1079" i="7"/>
  <c r="I1079" i="7"/>
  <c r="J1079" i="7"/>
  <c r="K1079" i="7"/>
  <c r="L1079" i="7"/>
  <c r="G1080" i="7"/>
  <c r="H1080" i="7"/>
  <c r="I1080" i="7"/>
  <c r="J1080" i="7"/>
  <c r="K1080" i="7"/>
  <c r="L1080" i="7"/>
  <c r="G1081" i="7"/>
  <c r="H1081" i="7"/>
  <c r="I1081" i="7"/>
  <c r="J1081" i="7"/>
  <c r="K1081" i="7"/>
  <c r="L1081" i="7"/>
  <c r="G1082" i="7"/>
  <c r="H1082" i="7"/>
  <c r="I1082" i="7"/>
  <c r="J1082" i="7"/>
  <c r="K1082" i="7"/>
  <c r="L1082" i="7"/>
  <c r="G1083" i="7"/>
  <c r="H1083" i="7"/>
  <c r="I1083" i="7"/>
  <c r="J1083" i="7"/>
  <c r="K1083" i="7"/>
  <c r="L1083" i="7"/>
  <c r="G1084" i="7"/>
  <c r="H1084" i="7"/>
  <c r="I1084" i="7"/>
  <c r="J1084" i="7"/>
  <c r="K1084" i="7"/>
  <c r="L1084" i="7"/>
  <c r="G1085" i="7"/>
  <c r="H1085" i="7"/>
  <c r="I1085" i="7"/>
  <c r="J1085" i="7"/>
  <c r="K1085" i="7"/>
  <c r="L1085" i="7"/>
  <c r="G1086" i="7"/>
  <c r="H1086" i="7"/>
  <c r="I1086" i="7"/>
  <c r="J1086" i="7"/>
  <c r="K1086" i="7"/>
  <c r="L1086" i="7"/>
  <c r="G1087" i="7"/>
  <c r="H1087" i="7"/>
  <c r="I1087" i="7"/>
  <c r="J1087" i="7"/>
  <c r="K1087" i="7"/>
  <c r="L1087" i="7"/>
  <c r="G1088" i="7"/>
  <c r="H1088" i="7"/>
  <c r="I1088" i="7"/>
  <c r="J1088" i="7"/>
  <c r="K1088" i="7"/>
  <c r="L1088" i="7"/>
  <c r="G1089" i="7"/>
  <c r="H1089" i="7"/>
  <c r="I1089" i="7"/>
  <c r="J1089" i="7"/>
  <c r="K1089" i="7"/>
  <c r="L1089" i="7"/>
  <c r="G1090" i="7"/>
  <c r="H1090" i="7"/>
  <c r="I1090" i="7"/>
  <c r="J1090" i="7"/>
  <c r="K1090" i="7"/>
  <c r="L1090" i="7"/>
  <c r="G1091" i="7"/>
  <c r="H1091" i="7"/>
  <c r="I1091" i="7"/>
  <c r="J1091" i="7"/>
  <c r="K1091" i="7"/>
  <c r="L1091" i="7"/>
  <c r="G1092" i="7"/>
  <c r="H1092" i="7"/>
  <c r="I1092" i="7"/>
  <c r="J1092" i="7"/>
  <c r="K1092" i="7"/>
  <c r="L1092" i="7"/>
  <c r="G1093" i="7"/>
  <c r="H1093" i="7"/>
  <c r="I1093" i="7"/>
  <c r="J1093" i="7"/>
  <c r="K1093" i="7"/>
  <c r="L1093" i="7"/>
  <c r="G1094" i="7"/>
  <c r="H1094" i="7"/>
  <c r="I1094" i="7"/>
  <c r="J1094" i="7"/>
  <c r="K1094" i="7"/>
  <c r="L1094" i="7"/>
  <c r="G1095" i="7"/>
  <c r="H1095" i="7"/>
  <c r="I1095" i="7"/>
  <c r="J1095" i="7"/>
  <c r="K1095" i="7"/>
  <c r="L1095" i="7"/>
  <c r="G1096" i="7"/>
  <c r="H1096" i="7"/>
  <c r="I1096" i="7"/>
  <c r="J1096" i="7"/>
  <c r="K1096" i="7"/>
  <c r="L1096" i="7"/>
  <c r="G1097" i="7"/>
  <c r="H1097" i="7"/>
  <c r="I1097" i="7"/>
  <c r="J1097" i="7"/>
  <c r="K1097" i="7"/>
  <c r="L1097" i="7"/>
  <c r="G1098" i="7"/>
  <c r="H1098" i="7"/>
  <c r="I1098" i="7"/>
  <c r="J1098" i="7"/>
  <c r="K1098" i="7"/>
  <c r="L1098" i="7"/>
  <c r="G1099" i="7"/>
  <c r="H1099" i="7"/>
  <c r="I1099" i="7"/>
  <c r="J1099" i="7"/>
  <c r="K1099" i="7"/>
  <c r="L1099" i="7"/>
  <c r="G1100" i="7"/>
  <c r="H1100" i="7"/>
  <c r="I1100" i="7"/>
  <c r="J1100" i="7"/>
  <c r="K1100" i="7"/>
  <c r="L1100" i="7"/>
  <c r="G1101" i="7"/>
  <c r="H1101" i="7"/>
  <c r="I1101" i="7"/>
  <c r="J1101" i="7"/>
  <c r="K1101" i="7"/>
  <c r="L1101" i="7"/>
  <c r="G1102" i="7"/>
  <c r="H1102" i="7"/>
  <c r="I1102" i="7"/>
  <c r="J1102" i="7"/>
  <c r="K1102" i="7"/>
  <c r="L1102" i="7"/>
  <c r="G1103" i="7"/>
  <c r="H1103" i="7"/>
  <c r="I1103" i="7"/>
  <c r="J1103" i="7"/>
  <c r="K1103" i="7"/>
  <c r="L1103" i="7"/>
  <c r="G1104" i="7"/>
  <c r="H1104" i="7"/>
  <c r="I1104" i="7"/>
  <c r="J1104" i="7"/>
  <c r="K1104" i="7"/>
  <c r="L1104" i="7"/>
  <c r="G1105" i="7"/>
  <c r="H1105" i="7"/>
  <c r="I1105" i="7"/>
  <c r="J1105" i="7"/>
  <c r="K1105" i="7"/>
  <c r="L1105" i="7"/>
  <c r="G1106" i="7"/>
  <c r="H1106" i="7"/>
  <c r="I1106" i="7"/>
  <c r="J1106" i="7"/>
  <c r="K1106" i="7"/>
  <c r="L1106" i="7"/>
  <c r="G1107" i="7"/>
  <c r="H1107" i="7"/>
  <c r="I1107" i="7"/>
  <c r="J1107" i="7"/>
  <c r="K1107" i="7"/>
  <c r="L1107" i="7"/>
  <c r="G1108" i="7"/>
  <c r="H1108" i="7"/>
  <c r="I1108" i="7"/>
  <c r="J1108" i="7"/>
  <c r="K1108" i="7"/>
  <c r="L1108" i="7"/>
  <c r="G1109" i="7"/>
  <c r="H1109" i="7"/>
  <c r="I1109" i="7"/>
  <c r="J1109" i="7"/>
  <c r="K1109" i="7"/>
  <c r="L1109" i="7"/>
  <c r="G1110" i="7"/>
  <c r="H1110" i="7"/>
  <c r="I1110" i="7"/>
  <c r="J1110" i="7"/>
  <c r="K1110" i="7"/>
  <c r="L1110" i="7"/>
  <c r="G1111" i="7"/>
  <c r="H1111" i="7"/>
  <c r="I1111" i="7"/>
  <c r="J1111" i="7"/>
  <c r="K1111" i="7"/>
  <c r="L1111" i="7"/>
  <c r="G1112" i="7"/>
  <c r="H1112" i="7"/>
  <c r="I1112" i="7"/>
  <c r="J1112" i="7"/>
  <c r="K1112" i="7"/>
  <c r="L1112" i="7"/>
  <c r="G1113" i="7"/>
  <c r="H1113" i="7"/>
  <c r="I1113" i="7"/>
  <c r="J1113" i="7"/>
  <c r="K1113" i="7"/>
  <c r="L1113" i="7"/>
  <c r="G1114" i="7"/>
  <c r="H1114" i="7"/>
  <c r="I1114" i="7"/>
  <c r="J1114" i="7"/>
  <c r="K1114" i="7"/>
  <c r="L1114" i="7"/>
  <c r="G1115" i="7"/>
  <c r="H1115" i="7"/>
  <c r="I1115" i="7"/>
  <c r="J1115" i="7"/>
  <c r="K1115" i="7"/>
  <c r="L1115" i="7"/>
  <c r="G1116" i="7"/>
  <c r="H1116" i="7"/>
  <c r="I1116" i="7"/>
  <c r="J1116" i="7"/>
  <c r="K1116" i="7"/>
  <c r="L1116" i="7"/>
  <c r="G1117" i="7"/>
  <c r="H1117" i="7"/>
  <c r="I1117" i="7"/>
  <c r="J1117" i="7"/>
  <c r="K1117" i="7"/>
  <c r="L1117" i="7"/>
  <c r="G1118" i="7"/>
  <c r="H1118" i="7"/>
  <c r="I1118" i="7"/>
  <c r="J1118" i="7"/>
  <c r="K1118" i="7"/>
  <c r="L1118" i="7"/>
  <c r="G1119" i="7"/>
  <c r="H1119" i="7"/>
  <c r="I1119" i="7"/>
  <c r="J1119" i="7"/>
  <c r="K1119" i="7"/>
  <c r="L1119" i="7"/>
  <c r="G1120" i="7"/>
  <c r="H1120" i="7"/>
  <c r="I1120" i="7"/>
  <c r="J1120" i="7"/>
  <c r="K1120" i="7"/>
  <c r="L1120" i="7"/>
  <c r="G1121" i="7"/>
  <c r="H1121" i="7"/>
  <c r="I1121" i="7"/>
  <c r="J1121" i="7"/>
  <c r="K1121" i="7"/>
  <c r="L1121" i="7"/>
  <c r="G1122" i="7"/>
  <c r="H1122" i="7"/>
  <c r="I1122" i="7"/>
  <c r="J1122" i="7"/>
  <c r="K1122" i="7"/>
  <c r="L1122" i="7"/>
  <c r="G1123" i="7"/>
  <c r="H1123" i="7"/>
  <c r="I1123" i="7"/>
  <c r="J1123" i="7"/>
  <c r="K1123" i="7"/>
  <c r="L1123" i="7"/>
  <c r="G1124" i="7"/>
  <c r="H1124" i="7"/>
  <c r="I1124" i="7"/>
  <c r="J1124" i="7"/>
  <c r="K1124" i="7"/>
  <c r="L1124" i="7"/>
  <c r="G1125" i="7"/>
  <c r="H1125" i="7"/>
  <c r="I1125" i="7"/>
  <c r="J1125" i="7"/>
  <c r="K1125" i="7"/>
  <c r="L1125" i="7"/>
  <c r="G1126" i="7"/>
  <c r="H1126" i="7"/>
  <c r="I1126" i="7"/>
  <c r="J1126" i="7"/>
  <c r="K1126" i="7"/>
  <c r="L1126" i="7"/>
  <c r="G1127" i="7"/>
  <c r="H1127" i="7"/>
  <c r="I1127" i="7"/>
  <c r="J1127" i="7"/>
  <c r="K1127" i="7"/>
  <c r="L1127" i="7"/>
  <c r="G1128" i="7"/>
  <c r="H1128" i="7"/>
  <c r="I1128" i="7"/>
  <c r="J1128" i="7"/>
  <c r="K1128" i="7"/>
  <c r="L1128" i="7"/>
  <c r="G1129" i="7"/>
  <c r="H1129" i="7"/>
  <c r="I1129" i="7"/>
  <c r="J1129" i="7"/>
  <c r="K1129" i="7"/>
  <c r="L1129" i="7"/>
  <c r="G1130" i="7"/>
  <c r="H1130" i="7"/>
  <c r="I1130" i="7"/>
  <c r="J1130" i="7"/>
  <c r="K1130" i="7"/>
  <c r="L1130" i="7"/>
  <c r="G1131" i="7"/>
  <c r="H1131" i="7"/>
  <c r="I1131" i="7"/>
  <c r="J1131" i="7"/>
  <c r="K1131" i="7"/>
  <c r="L1131" i="7"/>
  <c r="G1132" i="7"/>
  <c r="H1132" i="7"/>
  <c r="I1132" i="7"/>
  <c r="J1132" i="7"/>
  <c r="K1132" i="7"/>
  <c r="L1132" i="7"/>
  <c r="G1133" i="7"/>
  <c r="H1133" i="7"/>
  <c r="I1133" i="7"/>
  <c r="J1133" i="7"/>
  <c r="K1133" i="7"/>
  <c r="L1133" i="7"/>
  <c r="G1134" i="7"/>
  <c r="H1134" i="7"/>
  <c r="I1134" i="7"/>
  <c r="J1134" i="7"/>
  <c r="K1134" i="7"/>
  <c r="L1134" i="7"/>
  <c r="G1135" i="7"/>
  <c r="H1135" i="7"/>
  <c r="I1135" i="7"/>
  <c r="J1135" i="7"/>
  <c r="K1135" i="7"/>
  <c r="L1135" i="7"/>
  <c r="G1136" i="7"/>
  <c r="H1136" i="7"/>
  <c r="I1136" i="7"/>
  <c r="J1136" i="7"/>
  <c r="K1136" i="7"/>
  <c r="L1136" i="7"/>
  <c r="G1137" i="7"/>
  <c r="H1137" i="7"/>
  <c r="I1137" i="7"/>
  <c r="J1137" i="7"/>
  <c r="K1137" i="7"/>
  <c r="L1137" i="7"/>
  <c r="G1138" i="7"/>
  <c r="H1138" i="7"/>
  <c r="I1138" i="7"/>
  <c r="J1138" i="7"/>
  <c r="K1138" i="7"/>
  <c r="L1138" i="7"/>
  <c r="G1139" i="7"/>
  <c r="H1139" i="7"/>
  <c r="I1139" i="7"/>
  <c r="J1139" i="7"/>
  <c r="K1139" i="7"/>
  <c r="L1139" i="7"/>
  <c r="G1140" i="7"/>
  <c r="H1140" i="7"/>
  <c r="I1140" i="7"/>
  <c r="J1140" i="7"/>
  <c r="K1140" i="7"/>
  <c r="L1140" i="7"/>
  <c r="G1141" i="7"/>
  <c r="H1141" i="7"/>
  <c r="I1141" i="7"/>
  <c r="J1141" i="7"/>
  <c r="K1141" i="7"/>
  <c r="L1141" i="7"/>
  <c r="G1142" i="7"/>
  <c r="H1142" i="7"/>
  <c r="I1142" i="7"/>
  <c r="J1142" i="7"/>
  <c r="K1142" i="7"/>
  <c r="L1142" i="7"/>
  <c r="G1143" i="7"/>
  <c r="H1143" i="7"/>
  <c r="I1143" i="7"/>
  <c r="J1143" i="7"/>
  <c r="K1143" i="7"/>
  <c r="L1143" i="7"/>
  <c r="G1144" i="7"/>
  <c r="H1144" i="7"/>
  <c r="I1144" i="7"/>
  <c r="J1144" i="7"/>
  <c r="K1144" i="7"/>
  <c r="L1144" i="7"/>
  <c r="G1145" i="7"/>
  <c r="H1145" i="7"/>
  <c r="I1145" i="7"/>
  <c r="J1145" i="7"/>
  <c r="K1145" i="7"/>
  <c r="L1145" i="7"/>
  <c r="G1146" i="7"/>
  <c r="H1146" i="7"/>
  <c r="I1146" i="7"/>
  <c r="J1146" i="7"/>
  <c r="K1146" i="7"/>
  <c r="L1146" i="7"/>
  <c r="G1147" i="7"/>
  <c r="H1147" i="7"/>
  <c r="I1147" i="7"/>
  <c r="J1147" i="7"/>
  <c r="K1147" i="7"/>
  <c r="L1147" i="7"/>
  <c r="G1148" i="7"/>
  <c r="H1148" i="7"/>
  <c r="I1148" i="7"/>
  <c r="J1148" i="7"/>
  <c r="K1148" i="7"/>
  <c r="L1148" i="7"/>
  <c r="G1149" i="7"/>
  <c r="H1149" i="7"/>
  <c r="I1149" i="7"/>
  <c r="J1149" i="7"/>
  <c r="K1149" i="7"/>
  <c r="L1149" i="7"/>
  <c r="G1150" i="7"/>
  <c r="H1150" i="7"/>
  <c r="I1150" i="7"/>
  <c r="J1150" i="7"/>
  <c r="K1150" i="7"/>
  <c r="L1150" i="7"/>
  <c r="G1151" i="7"/>
  <c r="H1151" i="7"/>
  <c r="I1151" i="7"/>
  <c r="J1151" i="7"/>
  <c r="K1151" i="7"/>
  <c r="L1151" i="7"/>
  <c r="G1152" i="7"/>
  <c r="H1152" i="7"/>
  <c r="I1152" i="7"/>
  <c r="J1152" i="7"/>
  <c r="K1152" i="7"/>
  <c r="L1152" i="7"/>
  <c r="G1153" i="7"/>
  <c r="H1153" i="7"/>
  <c r="I1153" i="7"/>
  <c r="J1153" i="7"/>
  <c r="K1153" i="7"/>
  <c r="L1153" i="7"/>
  <c r="G1154" i="7"/>
  <c r="H1154" i="7"/>
  <c r="I1154" i="7"/>
  <c r="J1154" i="7"/>
  <c r="K1154" i="7"/>
  <c r="L1154" i="7"/>
  <c r="G1155" i="7"/>
  <c r="H1155" i="7"/>
  <c r="I1155" i="7"/>
  <c r="J1155" i="7"/>
  <c r="K1155" i="7"/>
  <c r="L1155" i="7"/>
  <c r="G1156" i="7"/>
  <c r="H1156" i="7"/>
  <c r="I1156" i="7"/>
  <c r="J1156" i="7"/>
  <c r="K1156" i="7"/>
  <c r="L1156" i="7"/>
  <c r="G1157" i="7"/>
  <c r="H1157" i="7"/>
  <c r="I1157" i="7"/>
  <c r="J1157" i="7"/>
  <c r="K1157" i="7"/>
  <c r="L1157" i="7"/>
  <c r="G1158" i="7"/>
  <c r="H1158" i="7"/>
  <c r="I1158" i="7"/>
  <c r="J1158" i="7"/>
  <c r="K1158" i="7"/>
  <c r="L1158" i="7"/>
  <c r="G1159" i="7"/>
  <c r="H1159" i="7"/>
  <c r="I1159" i="7"/>
  <c r="J1159" i="7"/>
  <c r="K1159" i="7"/>
  <c r="L1159" i="7"/>
  <c r="G1160" i="7"/>
  <c r="H1160" i="7"/>
  <c r="I1160" i="7"/>
  <c r="J1160" i="7"/>
  <c r="K1160" i="7"/>
  <c r="L1160" i="7"/>
  <c r="G1161" i="7"/>
  <c r="H1161" i="7"/>
  <c r="I1161" i="7"/>
  <c r="J1161" i="7"/>
  <c r="K1161" i="7"/>
  <c r="L1161" i="7"/>
  <c r="G1162" i="7"/>
  <c r="H1162" i="7"/>
  <c r="I1162" i="7"/>
  <c r="J1162" i="7"/>
  <c r="K1162" i="7"/>
  <c r="L1162" i="7"/>
  <c r="G1163" i="7"/>
  <c r="H1163" i="7"/>
  <c r="I1163" i="7"/>
  <c r="J1163" i="7"/>
  <c r="K1163" i="7"/>
  <c r="L1163" i="7"/>
  <c r="G1164" i="7"/>
  <c r="H1164" i="7"/>
  <c r="I1164" i="7"/>
  <c r="J1164" i="7"/>
  <c r="K1164" i="7"/>
  <c r="L1164" i="7"/>
  <c r="G1165" i="7"/>
  <c r="H1165" i="7"/>
  <c r="I1165" i="7"/>
  <c r="J1165" i="7"/>
  <c r="K1165" i="7"/>
  <c r="L1165" i="7"/>
  <c r="G1166" i="7"/>
  <c r="H1166" i="7"/>
  <c r="I1166" i="7"/>
  <c r="J1166" i="7"/>
  <c r="K1166" i="7"/>
  <c r="L1166" i="7"/>
  <c r="G1167" i="7"/>
  <c r="H1167" i="7"/>
  <c r="I1167" i="7"/>
  <c r="J1167" i="7"/>
  <c r="K1167" i="7"/>
  <c r="L1167" i="7"/>
  <c r="G1168" i="7"/>
  <c r="H1168" i="7"/>
  <c r="I1168" i="7"/>
  <c r="J1168" i="7"/>
  <c r="K1168" i="7"/>
  <c r="L1168" i="7"/>
  <c r="G1169" i="7"/>
  <c r="H1169" i="7"/>
  <c r="I1169" i="7"/>
  <c r="J1169" i="7"/>
  <c r="K1169" i="7"/>
  <c r="L1169" i="7"/>
  <c r="G1170" i="7"/>
  <c r="H1170" i="7"/>
  <c r="I1170" i="7"/>
  <c r="J1170" i="7"/>
  <c r="K1170" i="7"/>
  <c r="L1170" i="7"/>
  <c r="G1171" i="7"/>
  <c r="H1171" i="7"/>
  <c r="I1171" i="7"/>
  <c r="J1171" i="7"/>
  <c r="K1171" i="7"/>
  <c r="L1171" i="7"/>
  <c r="G1172" i="7"/>
  <c r="H1172" i="7"/>
  <c r="I1172" i="7"/>
  <c r="J1172" i="7"/>
  <c r="K1172" i="7"/>
  <c r="L1172" i="7"/>
  <c r="G1173" i="7"/>
  <c r="H1173" i="7"/>
  <c r="I1173" i="7"/>
  <c r="J1173" i="7"/>
  <c r="K1173" i="7"/>
  <c r="L1173" i="7"/>
  <c r="G1174" i="7"/>
  <c r="H1174" i="7"/>
  <c r="I1174" i="7"/>
  <c r="J1174" i="7"/>
  <c r="K1174" i="7"/>
  <c r="L1174" i="7"/>
  <c r="G1175" i="7"/>
  <c r="H1175" i="7"/>
  <c r="I1175" i="7"/>
  <c r="J1175" i="7"/>
  <c r="K1175" i="7"/>
  <c r="L1175" i="7"/>
  <c r="G1176" i="7"/>
  <c r="H1176" i="7"/>
  <c r="I1176" i="7"/>
  <c r="J1176" i="7"/>
  <c r="K1176" i="7"/>
  <c r="L1176" i="7"/>
  <c r="G1177" i="7"/>
  <c r="H1177" i="7"/>
  <c r="I1177" i="7"/>
  <c r="J1177" i="7"/>
  <c r="K1177" i="7"/>
  <c r="L1177" i="7"/>
  <c r="G1178" i="7"/>
  <c r="H1178" i="7"/>
  <c r="I1178" i="7"/>
  <c r="J1178" i="7"/>
  <c r="K1178" i="7"/>
  <c r="L1178" i="7"/>
  <c r="G1179" i="7"/>
  <c r="H1179" i="7"/>
  <c r="I1179" i="7"/>
  <c r="J1179" i="7"/>
  <c r="K1179" i="7"/>
  <c r="L1179" i="7"/>
  <c r="G1180" i="7"/>
  <c r="H1180" i="7"/>
  <c r="I1180" i="7"/>
  <c r="J1180" i="7"/>
  <c r="K1180" i="7"/>
  <c r="L1180" i="7"/>
  <c r="G1181" i="7"/>
  <c r="H1181" i="7"/>
  <c r="I1181" i="7"/>
  <c r="J1181" i="7"/>
  <c r="K1181" i="7"/>
  <c r="L1181" i="7"/>
  <c r="G1182" i="7"/>
  <c r="H1182" i="7"/>
  <c r="I1182" i="7"/>
  <c r="J1182" i="7"/>
  <c r="K1182" i="7"/>
  <c r="L1182" i="7"/>
  <c r="G1183" i="7"/>
  <c r="H1183" i="7"/>
  <c r="I1183" i="7"/>
  <c r="J1183" i="7"/>
  <c r="K1183" i="7"/>
  <c r="L1183" i="7"/>
  <c r="G1184" i="7"/>
  <c r="H1184" i="7"/>
  <c r="I1184" i="7"/>
  <c r="J1184" i="7"/>
  <c r="K1184" i="7"/>
  <c r="L1184" i="7"/>
  <c r="G1185" i="7"/>
  <c r="H1185" i="7"/>
  <c r="I1185" i="7"/>
  <c r="J1185" i="7"/>
  <c r="K1185" i="7"/>
  <c r="L1185" i="7"/>
  <c r="G1186" i="7"/>
  <c r="H1186" i="7"/>
  <c r="I1186" i="7"/>
  <c r="J1186" i="7"/>
  <c r="K1186" i="7"/>
  <c r="L1186" i="7"/>
  <c r="G1187" i="7"/>
  <c r="H1187" i="7"/>
  <c r="I1187" i="7"/>
  <c r="J1187" i="7"/>
  <c r="K1187" i="7"/>
  <c r="L1187" i="7"/>
  <c r="G1188" i="7"/>
  <c r="H1188" i="7"/>
  <c r="I1188" i="7"/>
  <c r="J1188" i="7"/>
  <c r="K1188" i="7"/>
  <c r="L1188" i="7"/>
  <c r="G1189" i="7"/>
  <c r="H1189" i="7"/>
  <c r="I1189" i="7"/>
  <c r="J1189" i="7"/>
  <c r="K1189" i="7"/>
  <c r="L1189" i="7"/>
  <c r="G1190" i="7"/>
  <c r="H1190" i="7"/>
  <c r="I1190" i="7"/>
  <c r="J1190" i="7"/>
  <c r="K1190" i="7"/>
  <c r="L1190" i="7"/>
  <c r="G1191" i="7"/>
  <c r="H1191" i="7"/>
  <c r="I1191" i="7"/>
  <c r="J1191" i="7"/>
  <c r="K1191" i="7"/>
  <c r="L1191" i="7"/>
  <c r="G1192" i="7"/>
  <c r="H1192" i="7"/>
  <c r="I1192" i="7"/>
  <c r="J1192" i="7"/>
  <c r="K1192" i="7"/>
  <c r="L1192" i="7"/>
  <c r="G1193" i="7"/>
  <c r="H1193" i="7"/>
  <c r="I1193" i="7"/>
  <c r="J1193" i="7"/>
  <c r="K1193" i="7"/>
  <c r="L1193" i="7"/>
  <c r="G1194" i="7"/>
  <c r="H1194" i="7"/>
  <c r="I1194" i="7"/>
  <c r="J1194" i="7"/>
  <c r="K1194" i="7"/>
  <c r="L1194" i="7"/>
  <c r="G1195" i="7"/>
  <c r="H1195" i="7"/>
  <c r="I1195" i="7"/>
  <c r="J1195" i="7"/>
  <c r="K1195" i="7"/>
  <c r="L1195" i="7"/>
  <c r="G1196" i="7"/>
  <c r="H1196" i="7"/>
  <c r="I1196" i="7"/>
  <c r="J1196" i="7"/>
  <c r="K1196" i="7"/>
  <c r="L1196" i="7"/>
  <c r="G1197" i="7"/>
  <c r="H1197" i="7"/>
  <c r="I1197" i="7"/>
  <c r="J1197" i="7"/>
  <c r="K1197" i="7"/>
  <c r="L1197" i="7"/>
  <c r="G1198" i="7"/>
  <c r="H1198" i="7"/>
  <c r="I1198" i="7"/>
  <c r="J1198" i="7"/>
  <c r="K1198" i="7"/>
  <c r="L1198" i="7"/>
  <c r="G1199" i="7"/>
  <c r="H1199" i="7"/>
  <c r="I1199" i="7"/>
  <c r="J1199" i="7"/>
  <c r="K1199" i="7"/>
  <c r="L1199" i="7"/>
  <c r="G1200" i="7"/>
  <c r="H1200" i="7"/>
  <c r="I1200" i="7"/>
  <c r="J1200" i="7"/>
  <c r="K1200" i="7"/>
  <c r="L1200" i="7"/>
  <c r="G1201" i="7"/>
  <c r="H1201" i="7"/>
  <c r="I1201" i="7"/>
  <c r="J1201" i="7"/>
  <c r="K1201" i="7"/>
  <c r="L1201" i="7"/>
  <c r="G1202" i="7"/>
  <c r="H1202" i="7"/>
  <c r="I1202" i="7"/>
  <c r="J1202" i="7"/>
  <c r="K1202" i="7"/>
  <c r="L1202" i="7"/>
  <c r="G1203" i="7"/>
  <c r="H1203" i="7"/>
  <c r="I1203" i="7"/>
  <c r="J1203" i="7"/>
  <c r="K1203" i="7"/>
  <c r="L1203" i="7"/>
  <c r="G1204" i="7"/>
  <c r="H1204" i="7"/>
  <c r="I1204" i="7"/>
  <c r="J1204" i="7"/>
  <c r="K1204" i="7"/>
  <c r="L1204" i="7"/>
  <c r="G3" i="7"/>
  <c r="H3" i="7"/>
  <c r="I3" i="7"/>
  <c r="J3" i="7"/>
  <c r="K3" i="7"/>
  <c r="L3" i="7"/>
  <c r="G4" i="7"/>
  <c r="H4" i="7"/>
  <c r="I4" i="7"/>
  <c r="J4" i="7"/>
  <c r="K4" i="7"/>
  <c r="L4" i="7"/>
  <c r="G5" i="7"/>
  <c r="H5" i="7"/>
  <c r="I5" i="7"/>
  <c r="J5" i="7"/>
  <c r="K5" i="7"/>
  <c r="L5" i="7"/>
  <c r="G6" i="7"/>
  <c r="H6" i="7"/>
  <c r="I6" i="7"/>
  <c r="J6" i="7"/>
  <c r="K6" i="7"/>
  <c r="L6" i="7"/>
  <c r="G7" i="7"/>
  <c r="H7" i="7"/>
  <c r="I7" i="7"/>
  <c r="J7" i="7"/>
  <c r="K7" i="7"/>
  <c r="L7" i="7"/>
  <c r="G8" i="7"/>
  <c r="H8" i="7"/>
  <c r="I8" i="7"/>
  <c r="J8" i="7"/>
  <c r="K8" i="7"/>
  <c r="L8" i="7"/>
  <c r="G9" i="7"/>
  <c r="H9" i="7"/>
  <c r="I9" i="7"/>
  <c r="J9" i="7"/>
  <c r="K9" i="7"/>
  <c r="L9" i="7"/>
  <c r="G10" i="7"/>
  <c r="H10" i="7"/>
  <c r="I10" i="7"/>
  <c r="J10" i="7"/>
  <c r="K10" i="7"/>
  <c r="L10" i="7"/>
  <c r="G11" i="7"/>
  <c r="H11" i="7"/>
  <c r="I11" i="7"/>
  <c r="J11" i="7"/>
  <c r="K11" i="7"/>
  <c r="L11" i="7"/>
  <c r="G12" i="7"/>
  <c r="H12" i="7"/>
  <c r="I12" i="7"/>
  <c r="J12" i="7"/>
  <c r="K12" i="7"/>
  <c r="L12" i="7"/>
  <c r="G13" i="7"/>
  <c r="H13" i="7"/>
  <c r="I13" i="7"/>
  <c r="J13" i="7"/>
  <c r="K13" i="7"/>
  <c r="L13" i="7"/>
  <c r="G14" i="7"/>
  <c r="H14" i="7"/>
  <c r="I14" i="7"/>
  <c r="J14" i="7"/>
  <c r="K14" i="7"/>
  <c r="L14" i="7"/>
  <c r="G15" i="7"/>
  <c r="H15" i="7"/>
  <c r="I15" i="7"/>
  <c r="J15" i="7"/>
  <c r="K15" i="7"/>
  <c r="L15" i="7"/>
  <c r="G16" i="7"/>
  <c r="H16" i="7"/>
  <c r="I16" i="7"/>
  <c r="J16" i="7"/>
  <c r="K16" i="7"/>
  <c r="L16" i="7"/>
  <c r="G17" i="7"/>
  <c r="H17" i="7"/>
  <c r="I17" i="7"/>
  <c r="J17" i="7"/>
  <c r="K17" i="7"/>
  <c r="L17" i="7"/>
  <c r="G18" i="7"/>
  <c r="H18" i="7"/>
  <c r="I18" i="7"/>
  <c r="J18" i="7"/>
  <c r="K18" i="7"/>
  <c r="L18" i="7"/>
  <c r="G19" i="7"/>
  <c r="H19" i="7"/>
  <c r="I19" i="7"/>
  <c r="J19" i="7"/>
  <c r="K19" i="7"/>
  <c r="L19" i="7"/>
  <c r="G20" i="7"/>
  <c r="H20" i="7"/>
  <c r="I20" i="7"/>
  <c r="J20" i="7"/>
  <c r="K20" i="7"/>
  <c r="L20" i="7"/>
  <c r="G21" i="7"/>
  <c r="H21" i="7"/>
  <c r="I21" i="7"/>
  <c r="J21" i="7"/>
  <c r="K21" i="7"/>
  <c r="L21" i="7"/>
  <c r="G22" i="7"/>
  <c r="H22" i="7"/>
  <c r="I22" i="7"/>
  <c r="J22" i="7"/>
  <c r="K22" i="7"/>
  <c r="L22" i="7"/>
  <c r="G23" i="7"/>
  <c r="H23" i="7"/>
  <c r="I23" i="7"/>
  <c r="J23" i="7"/>
  <c r="K23" i="7"/>
  <c r="L23" i="7"/>
  <c r="G24" i="7"/>
  <c r="H24" i="7"/>
  <c r="I24" i="7"/>
  <c r="J24" i="7"/>
  <c r="K24" i="7"/>
  <c r="L24" i="7"/>
  <c r="G25" i="7"/>
  <c r="H25" i="7"/>
  <c r="I25" i="7"/>
  <c r="J25" i="7"/>
  <c r="K25" i="7"/>
  <c r="L25" i="7"/>
  <c r="G26" i="7"/>
  <c r="H26" i="7"/>
  <c r="I26" i="7"/>
  <c r="J26" i="7"/>
  <c r="K26" i="7"/>
  <c r="L26" i="7"/>
  <c r="G27" i="7"/>
  <c r="H27" i="7"/>
  <c r="I27" i="7"/>
  <c r="J27" i="7"/>
  <c r="K27" i="7"/>
  <c r="L27" i="7"/>
  <c r="G28" i="7"/>
  <c r="H28" i="7"/>
  <c r="I28" i="7"/>
  <c r="J28" i="7"/>
  <c r="K28" i="7"/>
  <c r="L28" i="7"/>
  <c r="G29" i="7"/>
  <c r="H29" i="7"/>
  <c r="I29" i="7"/>
  <c r="J29" i="7"/>
  <c r="K29" i="7"/>
  <c r="L29" i="7"/>
  <c r="G30" i="7"/>
  <c r="H30" i="7"/>
  <c r="I30" i="7"/>
  <c r="J30" i="7"/>
  <c r="K30" i="7"/>
  <c r="L30" i="7"/>
  <c r="G31" i="7"/>
  <c r="H31" i="7"/>
  <c r="I31" i="7"/>
  <c r="J31" i="7"/>
  <c r="K31" i="7"/>
  <c r="L31" i="7"/>
  <c r="G32" i="7"/>
  <c r="H32" i="7"/>
  <c r="I32" i="7"/>
  <c r="J32" i="7"/>
  <c r="K32" i="7"/>
  <c r="L32" i="7"/>
  <c r="G33" i="7"/>
  <c r="H33" i="7"/>
  <c r="I33" i="7"/>
  <c r="J33" i="7"/>
  <c r="K33" i="7"/>
  <c r="L33" i="7"/>
  <c r="G34" i="7"/>
  <c r="H34" i="7"/>
  <c r="I34" i="7"/>
  <c r="J34" i="7"/>
  <c r="K34" i="7"/>
  <c r="L34" i="7"/>
  <c r="G35" i="7"/>
  <c r="H35" i="7"/>
  <c r="I35" i="7"/>
  <c r="J35" i="7"/>
  <c r="K35" i="7"/>
  <c r="L35" i="7"/>
  <c r="G36" i="7"/>
  <c r="H36" i="7"/>
  <c r="I36" i="7"/>
  <c r="J36" i="7"/>
  <c r="K36" i="7"/>
  <c r="L36" i="7"/>
  <c r="G37" i="7"/>
  <c r="H37" i="7"/>
  <c r="I37" i="7"/>
  <c r="J37" i="7"/>
  <c r="K37" i="7"/>
  <c r="L37" i="7"/>
  <c r="G38" i="7"/>
  <c r="H38" i="7"/>
  <c r="I38" i="7"/>
  <c r="J38" i="7"/>
  <c r="K38" i="7"/>
  <c r="L38" i="7"/>
  <c r="G39" i="7"/>
  <c r="H39" i="7"/>
  <c r="I39" i="7"/>
  <c r="J39" i="7"/>
  <c r="K39" i="7"/>
  <c r="L39" i="7"/>
  <c r="G40" i="7"/>
  <c r="H40" i="7"/>
  <c r="I40" i="7"/>
  <c r="J40" i="7"/>
  <c r="K40" i="7"/>
  <c r="L40" i="7"/>
  <c r="G41" i="7"/>
  <c r="H41" i="7"/>
  <c r="I41" i="7"/>
  <c r="J41" i="7"/>
  <c r="K41" i="7"/>
  <c r="L41" i="7"/>
  <c r="G42" i="7"/>
  <c r="H42" i="7"/>
  <c r="I42" i="7"/>
  <c r="J42" i="7"/>
  <c r="K42" i="7"/>
  <c r="L42" i="7"/>
  <c r="G43" i="7"/>
  <c r="H43" i="7"/>
  <c r="I43" i="7"/>
  <c r="J43" i="7"/>
  <c r="K43" i="7"/>
  <c r="L43" i="7"/>
  <c r="G44" i="7"/>
  <c r="H44" i="7"/>
  <c r="I44" i="7"/>
  <c r="J44" i="7"/>
  <c r="K44" i="7"/>
  <c r="L44" i="7"/>
  <c r="G45" i="7"/>
  <c r="H45" i="7"/>
  <c r="I45" i="7"/>
  <c r="J45" i="7"/>
  <c r="K45" i="7"/>
  <c r="L45" i="7"/>
  <c r="G46" i="7"/>
  <c r="H46" i="7"/>
  <c r="I46" i="7"/>
  <c r="J46" i="7"/>
  <c r="K46" i="7"/>
  <c r="L46" i="7"/>
  <c r="G47" i="7"/>
  <c r="H47" i="7"/>
  <c r="I47" i="7"/>
  <c r="J47" i="7"/>
  <c r="K47" i="7"/>
  <c r="L47" i="7"/>
  <c r="G48" i="7"/>
  <c r="H48" i="7"/>
  <c r="I48" i="7"/>
  <c r="J48" i="7"/>
  <c r="K48" i="7"/>
  <c r="L48" i="7"/>
  <c r="G49" i="7"/>
  <c r="H49" i="7"/>
  <c r="I49" i="7"/>
  <c r="J49" i="7"/>
  <c r="K49" i="7"/>
  <c r="L49" i="7"/>
  <c r="G50" i="7"/>
  <c r="H50" i="7"/>
  <c r="I50" i="7"/>
  <c r="J50" i="7"/>
  <c r="K50" i="7"/>
  <c r="L50" i="7"/>
  <c r="G51" i="7"/>
  <c r="H51" i="7"/>
  <c r="I51" i="7"/>
  <c r="J51" i="7"/>
  <c r="K51" i="7"/>
  <c r="L51" i="7"/>
  <c r="G52" i="7"/>
  <c r="H52" i="7"/>
  <c r="I52" i="7"/>
  <c r="J52" i="7"/>
  <c r="K52" i="7"/>
  <c r="L52" i="7"/>
  <c r="G53" i="7"/>
  <c r="H53" i="7"/>
  <c r="I53" i="7"/>
  <c r="J53" i="7"/>
  <c r="K53" i="7"/>
  <c r="L53" i="7"/>
  <c r="G54" i="7"/>
  <c r="H54" i="7"/>
  <c r="I54" i="7"/>
  <c r="J54" i="7"/>
  <c r="K54" i="7"/>
  <c r="L54" i="7"/>
  <c r="G55" i="7"/>
  <c r="H55" i="7"/>
  <c r="I55" i="7"/>
  <c r="J55" i="7"/>
  <c r="K55" i="7"/>
  <c r="L55" i="7"/>
  <c r="G56" i="7"/>
  <c r="H56" i="7"/>
  <c r="I56" i="7"/>
  <c r="J56" i="7"/>
  <c r="K56" i="7"/>
  <c r="L56" i="7"/>
  <c r="G57" i="7"/>
  <c r="H57" i="7"/>
  <c r="I57" i="7"/>
  <c r="J57" i="7"/>
  <c r="K57" i="7"/>
  <c r="L57" i="7"/>
  <c r="G58" i="7"/>
  <c r="H58" i="7"/>
  <c r="I58" i="7"/>
  <c r="J58" i="7"/>
  <c r="K58" i="7"/>
  <c r="L58" i="7"/>
  <c r="G59" i="7"/>
  <c r="H59" i="7"/>
  <c r="I59" i="7"/>
  <c r="J59" i="7"/>
  <c r="K59" i="7"/>
  <c r="L59" i="7"/>
  <c r="G60" i="7"/>
  <c r="H60" i="7"/>
  <c r="I60" i="7"/>
  <c r="J60" i="7"/>
  <c r="K60" i="7"/>
  <c r="L60" i="7"/>
  <c r="G61" i="7"/>
  <c r="H61" i="7"/>
  <c r="I61" i="7"/>
  <c r="J61" i="7"/>
  <c r="K61" i="7"/>
  <c r="L61" i="7"/>
  <c r="G62" i="7"/>
  <c r="H62" i="7"/>
  <c r="I62" i="7"/>
  <c r="J62" i="7"/>
  <c r="K62" i="7"/>
  <c r="L62" i="7"/>
  <c r="G63" i="7"/>
  <c r="H63" i="7"/>
  <c r="I63" i="7"/>
  <c r="J63" i="7"/>
  <c r="K63" i="7"/>
  <c r="L63" i="7"/>
  <c r="G64" i="7"/>
  <c r="H64" i="7"/>
  <c r="I64" i="7"/>
  <c r="J64" i="7"/>
  <c r="K64" i="7"/>
  <c r="L64" i="7"/>
  <c r="G65" i="7"/>
  <c r="H65" i="7"/>
  <c r="I65" i="7"/>
  <c r="J65" i="7"/>
  <c r="K65" i="7"/>
  <c r="L65" i="7"/>
  <c r="G66" i="7"/>
  <c r="H66" i="7"/>
  <c r="I66" i="7"/>
  <c r="J66" i="7"/>
  <c r="K66" i="7"/>
  <c r="L66" i="7"/>
  <c r="G67" i="7"/>
  <c r="H67" i="7"/>
  <c r="I67" i="7"/>
  <c r="J67" i="7"/>
  <c r="K67" i="7"/>
  <c r="L67" i="7"/>
  <c r="G68" i="7"/>
  <c r="H68" i="7"/>
  <c r="I68" i="7"/>
  <c r="J68" i="7"/>
  <c r="K68" i="7"/>
  <c r="L68" i="7"/>
  <c r="G69" i="7"/>
  <c r="H69" i="7"/>
  <c r="I69" i="7"/>
  <c r="J69" i="7"/>
  <c r="K69" i="7"/>
  <c r="L69" i="7"/>
  <c r="G70" i="7"/>
  <c r="H70" i="7"/>
  <c r="I70" i="7"/>
  <c r="J70" i="7"/>
  <c r="K70" i="7"/>
  <c r="L70" i="7"/>
  <c r="G71" i="7"/>
  <c r="H71" i="7"/>
  <c r="I71" i="7"/>
  <c r="J71" i="7"/>
  <c r="K71" i="7"/>
  <c r="L71" i="7"/>
  <c r="G72" i="7"/>
  <c r="H72" i="7"/>
  <c r="I72" i="7"/>
  <c r="J72" i="7"/>
  <c r="K72" i="7"/>
  <c r="L72" i="7"/>
  <c r="G73" i="7"/>
  <c r="H73" i="7"/>
  <c r="I73" i="7"/>
  <c r="J73" i="7"/>
  <c r="K73" i="7"/>
  <c r="L73" i="7"/>
  <c r="G74" i="7"/>
  <c r="H74" i="7"/>
  <c r="I74" i="7"/>
  <c r="J74" i="7"/>
  <c r="K74" i="7"/>
  <c r="L74" i="7"/>
  <c r="G75" i="7"/>
  <c r="H75" i="7"/>
  <c r="I75" i="7"/>
  <c r="J75" i="7"/>
  <c r="K75" i="7"/>
  <c r="L75" i="7"/>
  <c r="G76" i="7"/>
  <c r="H76" i="7"/>
  <c r="I76" i="7"/>
  <c r="J76" i="7"/>
  <c r="K76" i="7"/>
  <c r="L76" i="7"/>
  <c r="G77" i="7"/>
  <c r="H77" i="7"/>
  <c r="I77" i="7"/>
  <c r="J77" i="7"/>
  <c r="K77" i="7"/>
  <c r="L77" i="7"/>
  <c r="G78" i="7"/>
  <c r="H78" i="7"/>
  <c r="I78" i="7"/>
  <c r="J78" i="7"/>
  <c r="K78" i="7"/>
  <c r="L78" i="7"/>
  <c r="G79" i="7"/>
  <c r="H79" i="7"/>
  <c r="I79" i="7"/>
  <c r="J79" i="7"/>
  <c r="K79" i="7"/>
  <c r="L79" i="7"/>
  <c r="G80" i="7"/>
  <c r="H80" i="7"/>
  <c r="I80" i="7"/>
  <c r="J80" i="7"/>
  <c r="K80" i="7"/>
  <c r="L80" i="7"/>
  <c r="G81" i="7"/>
  <c r="H81" i="7"/>
  <c r="I81" i="7"/>
  <c r="J81" i="7"/>
  <c r="K81" i="7"/>
  <c r="L81" i="7"/>
  <c r="G82" i="7"/>
  <c r="H82" i="7"/>
  <c r="I82" i="7"/>
  <c r="J82" i="7"/>
  <c r="K82" i="7"/>
  <c r="L82" i="7"/>
  <c r="G83" i="7"/>
  <c r="H83" i="7"/>
  <c r="I83" i="7"/>
  <c r="J83" i="7"/>
  <c r="K83" i="7"/>
  <c r="L83" i="7"/>
  <c r="G84" i="7"/>
  <c r="H84" i="7"/>
  <c r="I84" i="7"/>
  <c r="J84" i="7"/>
  <c r="K84" i="7"/>
  <c r="L84" i="7"/>
  <c r="G85" i="7"/>
  <c r="H85" i="7"/>
  <c r="I85" i="7"/>
  <c r="J85" i="7"/>
  <c r="K85" i="7"/>
  <c r="L85" i="7"/>
  <c r="G86" i="7"/>
  <c r="H86" i="7"/>
  <c r="I86" i="7"/>
  <c r="J86" i="7"/>
  <c r="K86" i="7"/>
  <c r="L86" i="7"/>
  <c r="G87" i="7"/>
  <c r="H87" i="7"/>
  <c r="I87" i="7"/>
  <c r="J87" i="7"/>
  <c r="K87" i="7"/>
  <c r="L87" i="7"/>
  <c r="G88" i="7"/>
  <c r="H88" i="7"/>
  <c r="I88" i="7"/>
  <c r="J88" i="7"/>
  <c r="K88" i="7"/>
  <c r="L88" i="7"/>
  <c r="G89" i="7"/>
  <c r="H89" i="7"/>
  <c r="I89" i="7"/>
  <c r="J89" i="7"/>
  <c r="K89" i="7"/>
  <c r="L89" i="7"/>
  <c r="G90" i="7"/>
  <c r="H90" i="7"/>
  <c r="I90" i="7"/>
  <c r="J90" i="7"/>
  <c r="K90" i="7"/>
  <c r="L90" i="7"/>
  <c r="G91" i="7"/>
  <c r="H91" i="7"/>
  <c r="I91" i="7"/>
  <c r="J91" i="7"/>
  <c r="K91" i="7"/>
  <c r="L91" i="7"/>
  <c r="G92" i="7"/>
  <c r="H92" i="7"/>
  <c r="I92" i="7"/>
  <c r="J92" i="7"/>
  <c r="K92" i="7"/>
  <c r="L92" i="7"/>
  <c r="G93" i="7"/>
  <c r="H93" i="7"/>
  <c r="I93" i="7"/>
  <c r="J93" i="7"/>
  <c r="K93" i="7"/>
  <c r="L93" i="7"/>
  <c r="G94" i="7"/>
  <c r="H94" i="7"/>
  <c r="I94" i="7"/>
  <c r="J94" i="7"/>
  <c r="K94" i="7"/>
  <c r="L94" i="7"/>
  <c r="G95" i="7"/>
  <c r="H95" i="7"/>
  <c r="I95" i="7"/>
  <c r="J95" i="7"/>
  <c r="K95" i="7"/>
  <c r="L95" i="7"/>
  <c r="G96" i="7"/>
  <c r="H96" i="7"/>
  <c r="I96" i="7"/>
  <c r="J96" i="7"/>
  <c r="K96" i="7"/>
  <c r="L96" i="7"/>
  <c r="G97" i="7"/>
  <c r="H97" i="7"/>
  <c r="I97" i="7"/>
  <c r="J97" i="7"/>
  <c r="K97" i="7"/>
  <c r="L97" i="7"/>
  <c r="G98" i="7"/>
  <c r="H98" i="7"/>
  <c r="I98" i="7"/>
  <c r="J98" i="7"/>
  <c r="K98" i="7"/>
  <c r="L98" i="7"/>
  <c r="G99" i="7"/>
  <c r="H99" i="7"/>
  <c r="I99" i="7"/>
  <c r="J99" i="7"/>
  <c r="K99" i="7"/>
  <c r="L99" i="7"/>
  <c r="G100" i="7"/>
  <c r="H100" i="7"/>
  <c r="I100" i="7"/>
  <c r="J100" i="7"/>
  <c r="K100" i="7"/>
  <c r="L100" i="7"/>
  <c r="G101" i="7"/>
  <c r="H101" i="7"/>
  <c r="I101" i="7"/>
  <c r="J101" i="7"/>
  <c r="K101" i="7"/>
  <c r="L101" i="7"/>
  <c r="G102" i="7"/>
  <c r="H102" i="7"/>
  <c r="I102" i="7"/>
  <c r="J102" i="7"/>
  <c r="K102" i="7"/>
  <c r="L102" i="7"/>
  <c r="G103" i="7"/>
  <c r="H103" i="7"/>
  <c r="I103" i="7"/>
  <c r="J103" i="7"/>
  <c r="K103" i="7"/>
  <c r="L103" i="7"/>
  <c r="G104" i="7"/>
  <c r="H104" i="7"/>
  <c r="I104" i="7"/>
  <c r="J104" i="7"/>
  <c r="K104" i="7"/>
  <c r="L104" i="7"/>
  <c r="G105" i="7"/>
  <c r="H105" i="7"/>
  <c r="I105" i="7"/>
  <c r="J105" i="7"/>
  <c r="K105" i="7"/>
  <c r="L105" i="7"/>
  <c r="G106" i="7"/>
  <c r="H106" i="7"/>
  <c r="I106" i="7"/>
  <c r="J106" i="7"/>
  <c r="K106" i="7"/>
  <c r="L106" i="7"/>
  <c r="G107" i="7"/>
  <c r="H107" i="7"/>
  <c r="I107" i="7"/>
  <c r="J107" i="7"/>
  <c r="K107" i="7"/>
  <c r="L107" i="7"/>
  <c r="G108" i="7"/>
  <c r="H108" i="7"/>
  <c r="I108" i="7"/>
  <c r="J108" i="7"/>
  <c r="K108" i="7"/>
  <c r="L108" i="7"/>
  <c r="G109" i="7"/>
  <c r="H109" i="7"/>
  <c r="I109" i="7"/>
  <c r="J109" i="7"/>
  <c r="K109" i="7"/>
  <c r="L109" i="7"/>
  <c r="G110" i="7"/>
  <c r="H110" i="7"/>
  <c r="I110" i="7"/>
  <c r="J110" i="7"/>
  <c r="K110" i="7"/>
  <c r="L110" i="7"/>
  <c r="G111" i="7"/>
  <c r="H111" i="7"/>
  <c r="I111" i="7"/>
  <c r="J111" i="7"/>
  <c r="K111" i="7"/>
  <c r="L111" i="7"/>
  <c r="G112" i="7"/>
  <c r="H112" i="7"/>
  <c r="I112" i="7"/>
  <c r="J112" i="7"/>
  <c r="K112" i="7"/>
  <c r="L112" i="7"/>
  <c r="G113" i="7"/>
  <c r="H113" i="7"/>
  <c r="I113" i="7"/>
  <c r="J113" i="7"/>
  <c r="K113" i="7"/>
  <c r="L113" i="7"/>
  <c r="G114" i="7"/>
  <c r="H114" i="7"/>
  <c r="I114" i="7"/>
  <c r="J114" i="7"/>
  <c r="K114" i="7"/>
  <c r="L114" i="7"/>
  <c r="G115" i="7"/>
  <c r="H115" i="7"/>
  <c r="I115" i="7"/>
  <c r="J115" i="7"/>
  <c r="K115" i="7"/>
  <c r="L115" i="7"/>
  <c r="G116" i="7"/>
  <c r="H116" i="7"/>
  <c r="I116" i="7"/>
  <c r="J116" i="7"/>
  <c r="K116" i="7"/>
  <c r="L116" i="7"/>
  <c r="G117" i="7"/>
  <c r="H117" i="7"/>
  <c r="I117" i="7"/>
  <c r="J117" i="7"/>
  <c r="K117" i="7"/>
  <c r="L117" i="7"/>
  <c r="G118" i="7"/>
  <c r="H118" i="7"/>
  <c r="I118" i="7"/>
  <c r="J118" i="7"/>
  <c r="K118" i="7"/>
  <c r="L118" i="7"/>
  <c r="G119" i="7"/>
  <c r="H119" i="7"/>
  <c r="I119" i="7"/>
  <c r="J119" i="7"/>
  <c r="K119" i="7"/>
  <c r="L119" i="7"/>
  <c r="G120" i="7"/>
  <c r="H120" i="7"/>
  <c r="I120" i="7"/>
  <c r="J120" i="7"/>
  <c r="K120" i="7"/>
  <c r="L120" i="7"/>
  <c r="G121" i="7"/>
  <c r="H121" i="7"/>
  <c r="I121" i="7"/>
  <c r="J121" i="7"/>
  <c r="K121" i="7"/>
  <c r="L121" i="7"/>
  <c r="G122" i="7"/>
  <c r="H122" i="7"/>
  <c r="I122" i="7"/>
  <c r="J122" i="7"/>
  <c r="K122" i="7"/>
  <c r="L122" i="7"/>
  <c r="G123" i="7"/>
  <c r="H123" i="7"/>
  <c r="I123" i="7"/>
  <c r="J123" i="7"/>
  <c r="K123" i="7"/>
  <c r="L123" i="7"/>
  <c r="G124" i="7"/>
  <c r="H124" i="7"/>
  <c r="I124" i="7"/>
  <c r="J124" i="7"/>
  <c r="K124" i="7"/>
  <c r="L124" i="7"/>
  <c r="G125" i="7"/>
  <c r="H125" i="7"/>
  <c r="I125" i="7"/>
  <c r="J125" i="7"/>
  <c r="K125" i="7"/>
  <c r="L125" i="7"/>
  <c r="G126" i="7"/>
  <c r="H126" i="7"/>
  <c r="I126" i="7"/>
  <c r="J126" i="7"/>
  <c r="K126" i="7"/>
  <c r="L126" i="7"/>
  <c r="G127" i="7"/>
  <c r="H127" i="7"/>
  <c r="I127" i="7"/>
  <c r="J127" i="7"/>
  <c r="K127" i="7"/>
  <c r="L127" i="7"/>
  <c r="G128" i="7"/>
  <c r="H128" i="7"/>
  <c r="I128" i="7"/>
  <c r="J128" i="7"/>
  <c r="K128" i="7"/>
  <c r="L128" i="7"/>
  <c r="G129" i="7"/>
  <c r="H129" i="7"/>
  <c r="I129" i="7"/>
  <c r="J129" i="7"/>
  <c r="K129" i="7"/>
  <c r="L129" i="7"/>
  <c r="G130" i="7"/>
  <c r="H130" i="7"/>
  <c r="I130" i="7"/>
  <c r="J130" i="7"/>
  <c r="K130" i="7"/>
  <c r="L130" i="7"/>
  <c r="G131" i="7"/>
  <c r="H131" i="7"/>
  <c r="I131" i="7"/>
  <c r="J131" i="7"/>
  <c r="K131" i="7"/>
  <c r="L131" i="7"/>
  <c r="G132" i="7"/>
  <c r="H132" i="7"/>
  <c r="I132" i="7"/>
  <c r="J132" i="7"/>
  <c r="K132" i="7"/>
  <c r="L132" i="7"/>
  <c r="G133" i="7"/>
  <c r="H133" i="7"/>
  <c r="I133" i="7"/>
  <c r="J133" i="7"/>
  <c r="K133" i="7"/>
  <c r="L133" i="7"/>
  <c r="G134" i="7"/>
  <c r="H134" i="7"/>
  <c r="I134" i="7"/>
  <c r="J134" i="7"/>
  <c r="K134" i="7"/>
  <c r="L134" i="7"/>
  <c r="G135" i="7"/>
  <c r="H135" i="7"/>
  <c r="I135" i="7"/>
  <c r="J135" i="7"/>
  <c r="K135" i="7"/>
  <c r="L135" i="7"/>
  <c r="G136" i="7"/>
  <c r="H136" i="7"/>
  <c r="I136" i="7"/>
  <c r="J136" i="7"/>
  <c r="K136" i="7"/>
  <c r="L136" i="7"/>
  <c r="G137" i="7"/>
  <c r="H137" i="7"/>
  <c r="I137" i="7"/>
  <c r="J137" i="7"/>
  <c r="K137" i="7"/>
  <c r="L137" i="7"/>
  <c r="G138" i="7"/>
  <c r="H138" i="7"/>
  <c r="I138" i="7"/>
  <c r="J138" i="7"/>
  <c r="K138" i="7"/>
  <c r="L138" i="7"/>
  <c r="G139" i="7"/>
  <c r="H139" i="7"/>
  <c r="I139" i="7"/>
  <c r="J139" i="7"/>
  <c r="K139" i="7"/>
  <c r="L139" i="7"/>
  <c r="G140" i="7"/>
  <c r="H140" i="7"/>
  <c r="I140" i="7"/>
  <c r="J140" i="7"/>
  <c r="K140" i="7"/>
  <c r="L140" i="7"/>
  <c r="G141" i="7"/>
  <c r="H141" i="7"/>
  <c r="I141" i="7"/>
  <c r="J141" i="7"/>
  <c r="K141" i="7"/>
  <c r="L141" i="7"/>
  <c r="G142" i="7"/>
  <c r="H142" i="7"/>
  <c r="I142" i="7"/>
  <c r="J142" i="7"/>
  <c r="K142" i="7"/>
  <c r="L142" i="7"/>
  <c r="G143" i="7"/>
  <c r="H143" i="7"/>
  <c r="I143" i="7"/>
  <c r="J143" i="7"/>
  <c r="K143" i="7"/>
  <c r="L143" i="7"/>
  <c r="G144" i="7"/>
  <c r="H144" i="7"/>
  <c r="I144" i="7"/>
  <c r="J144" i="7"/>
  <c r="K144" i="7"/>
  <c r="L144" i="7"/>
  <c r="G145" i="7"/>
  <c r="H145" i="7"/>
  <c r="I145" i="7"/>
  <c r="J145" i="7"/>
  <c r="K145" i="7"/>
  <c r="L145" i="7"/>
  <c r="G146" i="7"/>
  <c r="H146" i="7"/>
  <c r="I146" i="7"/>
  <c r="J146" i="7"/>
  <c r="K146" i="7"/>
  <c r="L146" i="7"/>
  <c r="G147" i="7"/>
  <c r="H147" i="7"/>
  <c r="I147" i="7"/>
  <c r="J147" i="7"/>
  <c r="K147" i="7"/>
  <c r="L147" i="7"/>
  <c r="G148" i="7"/>
  <c r="H148" i="7"/>
  <c r="I148" i="7"/>
  <c r="J148" i="7"/>
  <c r="K148" i="7"/>
  <c r="L148" i="7"/>
  <c r="G149" i="7"/>
  <c r="H149" i="7"/>
  <c r="I149" i="7"/>
  <c r="J149" i="7"/>
  <c r="K149" i="7"/>
  <c r="L149" i="7"/>
  <c r="G150" i="7"/>
  <c r="H150" i="7"/>
  <c r="I150" i="7"/>
  <c r="J150" i="7"/>
  <c r="K150" i="7"/>
  <c r="L150" i="7"/>
  <c r="G151" i="7"/>
  <c r="H151" i="7"/>
  <c r="I151" i="7"/>
  <c r="J151" i="7"/>
  <c r="K151" i="7"/>
  <c r="L151" i="7"/>
  <c r="G152" i="7"/>
  <c r="H152" i="7"/>
  <c r="I152" i="7"/>
  <c r="J152" i="7"/>
  <c r="K152" i="7"/>
  <c r="L152" i="7"/>
  <c r="G153" i="7"/>
  <c r="H153" i="7"/>
  <c r="I153" i="7"/>
  <c r="J153" i="7"/>
  <c r="K153" i="7"/>
  <c r="L153" i="7"/>
  <c r="G154" i="7"/>
  <c r="H154" i="7"/>
  <c r="I154" i="7"/>
  <c r="J154" i="7"/>
  <c r="K154" i="7"/>
  <c r="L154" i="7"/>
  <c r="G155" i="7"/>
  <c r="H155" i="7"/>
  <c r="I155" i="7"/>
  <c r="J155" i="7"/>
  <c r="K155" i="7"/>
  <c r="L155" i="7"/>
  <c r="G156" i="7"/>
  <c r="H156" i="7"/>
  <c r="I156" i="7"/>
  <c r="J156" i="7"/>
  <c r="K156" i="7"/>
  <c r="L156" i="7"/>
  <c r="G157" i="7"/>
  <c r="H157" i="7"/>
  <c r="I157" i="7"/>
  <c r="J157" i="7"/>
  <c r="K157" i="7"/>
  <c r="L157" i="7"/>
  <c r="G158" i="7"/>
  <c r="H158" i="7"/>
  <c r="I158" i="7"/>
  <c r="J158" i="7"/>
  <c r="K158" i="7"/>
  <c r="L158" i="7"/>
  <c r="G159" i="7"/>
  <c r="H159" i="7"/>
  <c r="I159" i="7"/>
  <c r="J159" i="7"/>
  <c r="K159" i="7"/>
  <c r="L159" i="7"/>
  <c r="G160" i="7"/>
  <c r="H160" i="7"/>
  <c r="I160" i="7"/>
  <c r="J160" i="7"/>
  <c r="K160" i="7"/>
  <c r="L160" i="7"/>
  <c r="G161" i="7"/>
  <c r="H161" i="7"/>
  <c r="I161" i="7"/>
  <c r="J161" i="7"/>
  <c r="K161" i="7"/>
  <c r="L161" i="7"/>
  <c r="G162" i="7"/>
  <c r="H162" i="7"/>
  <c r="I162" i="7"/>
  <c r="J162" i="7"/>
  <c r="K162" i="7"/>
  <c r="L162" i="7"/>
  <c r="G163" i="7"/>
  <c r="H163" i="7"/>
  <c r="I163" i="7"/>
  <c r="J163" i="7"/>
  <c r="K163" i="7"/>
  <c r="L163" i="7"/>
  <c r="G164" i="7"/>
  <c r="H164" i="7"/>
  <c r="I164" i="7"/>
  <c r="J164" i="7"/>
  <c r="K164" i="7"/>
  <c r="L164" i="7"/>
  <c r="G165" i="7"/>
  <c r="H165" i="7"/>
  <c r="I165" i="7"/>
  <c r="J165" i="7"/>
  <c r="K165" i="7"/>
  <c r="L165" i="7"/>
  <c r="G166" i="7"/>
  <c r="H166" i="7"/>
  <c r="I166" i="7"/>
  <c r="J166" i="7"/>
  <c r="K166" i="7"/>
  <c r="L166" i="7"/>
  <c r="G167" i="7"/>
  <c r="H167" i="7"/>
  <c r="I167" i="7"/>
  <c r="J167" i="7"/>
  <c r="K167" i="7"/>
  <c r="L167" i="7"/>
  <c r="G168" i="7"/>
  <c r="H168" i="7"/>
  <c r="I168" i="7"/>
  <c r="J168" i="7"/>
  <c r="K168" i="7"/>
  <c r="L168" i="7"/>
  <c r="G169" i="7"/>
  <c r="H169" i="7"/>
  <c r="I169" i="7"/>
  <c r="J169" i="7"/>
  <c r="K169" i="7"/>
  <c r="L169" i="7"/>
  <c r="G170" i="7"/>
  <c r="H170" i="7"/>
  <c r="I170" i="7"/>
  <c r="J170" i="7"/>
  <c r="K170" i="7"/>
  <c r="L170" i="7"/>
  <c r="G171" i="7"/>
  <c r="H171" i="7"/>
  <c r="I171" i="7"/>
  <c r="J171" i="7"/>
  <c r="K171" i="7"/>
  <c r="L171" i="7"/>
  <c r="G172" i="7"/>
  <c r="H172" i="7"/>
  <c r="I172" i="7"/>
  <c r="J172" i="7"/>
  <c r="K172" i="7"/>
  <c r="L172" i="7"/>
  <c r="G173" i="7"/>
  <c r="H173" i="7"/>
  <c r="I173" i="7"/>
  <c r="J173" i="7"/>
  <c r="K173" i="7"/>
  <c r="L173" i="7"/>
  <c r="G174" i="7"/>
  <c r="H174" i="7"/>
  <c r="I174" i="7"/>
  <c r="J174" i="7"/>
  <c r="K174" i="7"/>
  <c r="L174" i="7"/>
  <c r="G175" i="7"/>
  <c r="H175" i="7"/>
  <c r="I175" i="7"/>
  <c r="J175" i="7"/>
  <c r="K175" i="7"/>
  <c r="L175" i="7"/>
  <c r="G176" i="7"/>
  <c r="H176" i="7"/>
  <c r="I176" i="7"/>
  <c r="J176" i="7"/>
  <c r="K176" i="7"/>
  <c r="L176" i="7"/>
  <c r="G177" i="7"/>
  <c r="H177" i="7"/>
  <c r="I177" i="7"/>
  <c r="J177" i="7"/>
  <c r="K177" i="7"/>
  <c r="L177" i="7"/>
  <c r="G178" i="7"/>
  <c r="H178" i="7"/>
  <c r="I178" i="7"/>
  <c r="J178" i="7"/>
  <c r="K178" i="7"/>
  <c r="L178" i="7"/>
  <c r="G179" i="7"/>
  <c r="H179" i="7"/>
  <c r="I179" i="7"/>
  <c r="J179" i="7"/>
  <c r="K179" i="7"/>
  <c r="L179" i="7"/>
  <c r="G180" i="7"/>
  <c r="H180" i="7"/>
  <c r="I180" i="7"/>
  <c r="J180" i="7"/>
  <c r="K180" i="7"/>
  <c r="L180" i="7"/>
  <c r="G181" i="7"/>
  <c r="H181" i="7"/>
  <c r="I181" i="7"/>
  <c r="J181" i="7"/>
  <c r="K181" i="7"/>
  <c r="L181" i="7"/>
  <c r="G182" i="7"/>
  <c r="H182" i="7"/>
  <c r="I182" i="7"/>
  <c r="J182" i="7"/>
  <c r="K182" i="7"/>
  <c r="L182" i="7"/>
  <c r="G183" i="7"/>
  <c r="H183" i="7"/>
  <c r="I183" i="7"/>
  <c r="J183" i="7"/>
  <c r="K183" i="7"/>
  <c r="L183" i="7"/>
  <c r="G184" i="7"/>
  <c r="H184" i="7"/>
  <c r="I184" i="7"/>
  <c r="J184" i="7"/>
  <c r="K184" i="7"/>
  <c r="L184" i="7"/>
  <c r="G185" i="7"/>
  <c r="H185" i="7"/>
  <c r="I185" i="7"/>
  <c r="J185" i="7"/>
  <c r="K185" i="7"/>
  <c r="L185" i="7"/>
  <c r="G186" i="7"/>
  <c r="H186" i="7"/>
  <c r="I186" i="7"/>
  <c r="J186" i="7"/>
  <c r="K186" i="7"/>
  <c r="L186" i="7"/>
  <c r="G187" i="7"/>
  <c r="H187" i="7"/>
  <c r="I187" i="7"/>
  <c r="J187" i="7"/>
  <c r="K187" i="7"/>
  <c r="L187" i="7"/>
  <c r="G188" i="7"/>
  <c r="H188" i="7"/>
  <c r="I188" i="7"/>
  <c r="J188" i="7"/>
  <c r="K188" i="7"/>
  <c r="L188" i="7"/>
  <c r="G189" i="7"/>
  <c r="H189" i="7"/>
  <c r="I189" i="7"/>
  <c r="J189" i="7"/>
  <c r="K189" i="7"/>
  <c r="L189" i="7"/>
  <c r="G190" i="7"/>
  <c r="H190" i="7"/>
  <c r="I190" i="7"/>
  <c r="J190" i="7"/>
  <c r="K190" i="7"/>
  <c r="L190" i="7"/>
  <c r="G191" i="7"/>
  <c r="H191" i="7"/>
  <c r="I191" i="7"/>
  <c r="J191" i="7"/>
  <c r="K191" i="7"/>
  <c r="L191" i="7"/>
  <c r="G192" i="7"/>
  <c r="H192" i="7"/>
  <c r="I192" i="7"/>
  <c r="J192" i="7"/>
  <c r="K192" i="7"/>
  <c r="L192" i="7"/>
  <c r="G193" i="7"/>
  <c r="H193" i="7"/>
  <c r="I193" i="7"/>
  <c r="J193" i="7"/>
  <c r="K193" i="7"/>
  <c r="L193" i="7"/>
  <c r="G194" i="7"/>
  <c r="H194" i="7"/>
  <c r="I194" i="7"/>
  <c r="J194" i="7"/>
  <c r="K194" i="7"/>
  <c r="L194" i="7"/>
  <c r="G195" i="7"/>
  <c r="H195" i="7"/>
  <c r="I195" i="7"/>
  <c r="J195" i="7"/>
  <c r="K195" i="7"/>
  <c r="L195" i="7"/>
  <c r="G196" i="7"/>
  <c r="H196" i="7"/>
  <c r="I196" i="7"/>
  <c r="J196" i="7"/>
  <c r="K196" i="7"/>
  <c r="L196" i="7"/>
  <c r="G197" i="7"/>
  <c r="H197" i="7"/>
  <c r="I197" i="7"/>
  <c r="J197" i="7"/>
  <c r="K197" i="7"/>
  <c r="L197" i="7"/>
  <c r="G198" i="7"/>
  <c r="H198" i="7"/>
  <c r="I198" i="7"/>
  <c r="J198" i="7"/>
  <c r="K198" i="7"/>
  <c r="L198" i="7"/>
  <c r="G199" i="7"/>
  <c r="H199" i="7"/>
  <c r="I199" i="7"/>
  <c r="J199" i="7"/>
  <c r="K199" i="7"/>
  <c r="L199" i="7"/>
  <c r="G200" i="7"/>
  <c r="H200" i="7"/>
  <c r="I200" i="7"/>
  <c r="J200" i="7"/>
  <c r="K200" i="7"/>
  <c r="L200" i="7"/>
  <c r="G201" i="7"/>
  <c r="H201" i="7"/>
  <c r="I201" i="7"/>
  <c r="J201" i="7"/>
  <c r="K201" i="7"/>
  <c r="L201" i="7"/>
  <c r="G202" i="7"/>
  <c r="H202" i="7"/>
  <c r="I202" i="7"/>
  <c r="J202" i="7"/>
  <c r="K202" i="7"/>
  <c r="L202" i="7"/>
  <c r="G203" i="7"/>
  <c r="H203" i="7"/>
  <c r="I203" i="7"/>
  <c r="J203" i="7"/>
  <c r="K203" i="7"/>
  <c r="L203" i="7"/>
  <c r="G204" i="7"/>
  <c r="H204" i="7"/>
  <c r="I204" i="7"/>
  <c r="J204" i="7"/>
  <c r="K204" i="7"/>
  <c r="L204" i="7"/>
  <c r="G205" i="7"/>
  <c r="H205" i="7"/>
  <c r="I205" i="7"/>
  <c r="J205" i="7"/>
  <c r="K205" i="7"/>
  <c r="L205" i="7"/>
  <c r="G206" i="7"/>
  <c r="H206" i="7"/>
  <c r="I206" i="7"/>
  <c r="J206" i="7"/>
  <c r="K206" i="7"/>
  <c r="L206" i="7"/>
  <c r="G207" i="7"/>
  <c r="H207" i="7"/>
  <c r="I207" i="7"/>
  <c r="J207" i="7"/>
  <c r="K207" i="7"/>
  <c r="L207" i="7"/>
  <c r="G208" i="7"/>
  <c r="H208" i="7"/>
  <c r="I208" i="7"/>
  <c r="J208" i="7"/>
  <c r="K208" i="7"/>
  <c r="L208" i="7"/>
  <c r="G209" i="7"/>
  <c r="H209" i="7"/>
  <c r="I209" i="7"/>
  <c r="J209" i="7"/>
  <c r="K209" i="7"/>
  <c r="L209" i="7"/>
  <c r="G210" i="7"/>
  <c r="H210" i="7"/>
  <c r="I210" i="7"/>
  <c r="J210" i="7"/>
  <c r="K210" i="7"/>
  <c r="L210" i="7"/>
  <c r="G211" i="7"/>
  <c r="H211" i="7"/>
  <c r="I211" i="7"/>
  <c r="J211" i="7"/>
  <c r="K211" i="7"/>
  <c r="L211" i="7"/>
  <c r="G212" i="7"/>
  <c r="H212" i="7"/>
  <c r="I212" i="7"/>
  <c r="J212" i="7"/>
  <c r="K212" i="7"/>
  <c r="L212" i="7"/>
  <c r="G213" i="7"/>
  <c r="H213" i="7"/>
  <c r="I213" i="7"/>
  <c r="J213" i="7"/>
  <c r="K213" i="7"/>
  <c r="L213" i="7"/>
  <c r="G214" i="7"/>
  <c r="H214" i="7"/>
  <c r="I214" i="7"/>
  <c r="J214" i="7"/>
  <c r="K214" i="7"/>
  <c r="L214" i="7"/>
  <c r="G215" i="7"/>
  <c r="H215" i="7"/>
  <c r="I215" i="7"/>
  <c r="J215" i="7"/>
  <c r="K215" i="7"/>
  <c r="L215" i="7"/>
  <c r="G216" i="7"/>
  <c r="H216" i="7"/>
  <c r="I216" i="7"/>
  <c r="J216" i="7"/>
  <c r="K216" i="7"/>
  <c r="L216" i="7"/>
  <c r="G217" i="7"/>
  <c r="H217" i="7"/>
  <c r="I217" i="7"/>
  <c r="J217" i="7"/>
  <c r="K217" i="7"/>
  <c r="L217" i="7"/>
  <c r="G218" i="7"/>
  <c r="H218" i="7"/>
  <c r="I218" i="7"/>
  <c r="J218" i="7"/>
  <c r="K218" i="7"/>
  <c r="L218" i="7"/>
  <c r="G219" i="7"/>
  <c r="H219" i="7"/>
  <c r="I219" i="7"/>
  <c r="J219" i="7"/>
  <c r="K219" i="7"/>
  <c r="L219" i="7"/>
  <c r="G220" i="7"/>
  <c r="H220" i="7"/>
  <c r="I220" i="7"/>
  <c r="J220" i="7"/>
  <c r="K220" i="7"/>
  <c r="L220" i="7"/>
  <c r="G221" i="7"/>
  <c r="H221" i="7"/>
  <c r="I221" i="7"/>
  <c r="J221" i="7"/>
  <c r="K221" i="7"/>
  <c r="L221" i="7"/>
  <c r="G222" i="7"/>
  <c r="H222" i="7"/>
  <c r="I222" i="7"/>
  <c r="J222" i="7"/>
  <c r="K222" i="7"/>
  <c r="L222" i="7"/>
  <c r="G223" i="7"/>
  <c r="H223" i="7"/>
  <c r="I223" i="7"/>
  <c r="J223" i="7"/>
  <c r="K223" i="7"/>
  <c r="L223" i="7"/>
  <c r="G224" i="7"/>
  <c r="H224" i="7"/>
  <c r="I224" i="7"/>
  <c r="J224" i="7"/>
  <c r="K224" i="7"/>
  <c r="L224" i="7"/>
  <c r="G225" i="7"/>
  <c r="H225" i="7"/>
  <c r="I225" i="7"/>
  <c r="J225" i="7"/>
  <c r="K225" i="7"/>
  <c r="L225" i="7"/>
  <c r="G226" i="7"/>
  <c r="H226" i="7"/>
  <c r="I226" i="7"/>
  <c r="J226" i="7"/>
  <c r="K226" i="7"/>
  <c r="L226" i="7"/>
  <c r="G227" i="7"/>
  <c r="H227" i="7"/>
  <c r="I227" i="7"/>
  <c r="J227" i="7"/>
  <c r="K227" i="7"/>
  <c r="L227" i="7"/>
  <c r="G228" i="7"/>
  <c r="H228" i="7"/>
  <c r="I228" i="7"/>
  <c r="J228" i="7"/>
  <c r="K228" i="7"/>
  <c r="L228" i="7"/>
  <c r="G229" i="7"/>
  <c r="H229" i="7"/>
  <c r="I229" i="7"/>
  <c r="J229" i="7"/>
  <c r="K229" i="7"/>
  <c r="L229" i="7"/>
  <c r="G230" i="7"/>
  <c r="H230" i="7"/>
  <c r="I230" i="7"/>
  <c r="J230" i="7"/>
  <c r="K230" i="7"/>
  <c r="L230" i="7"/>
  <c r="G231" i="7"/>
  <c r="H231" i="7"/>
  <c r="I231" i="7"/>
  <c r="J231" i="7"/>
  <c r="K231" i="7"/>
  <c r="L231" i="7"/>
  <c r="G232" i="7"/>
  <c r="H232" i="7"/>
  <c r="I232" i="7"/>
  <c r="J232" i="7"/>
  <c r="K232" i="7"/>
  <c r="L232" i="7"/>
  <c r="G233" i="7"/>
  <c r="H233" i="7"/>
  <c r="I233" i="7"/>
  <c r="J233" i="7"/>
  <c r="K233" i="7"/>
  <c r="L233" i="7"/>
  <c r="G234" i="7"/>
  <c r="H234" i="7"/>
  <c r="I234" i="7"/>
  <c r="J234" i="7"/>
  <c r="K234" i="7"/>
  <c r="L234" i="7"/>
  <c r="G235" i="7"/>
  <c r="H235" i="7"/>
  <c r="I235" i="7"/>
  <c r="J235" i="7"/>
  <c r="K235" i="7"/>
  <c r="L235" i="7"/>
  <c r="G236" i="7"/>
  <c r="H236" i="7"/>
  <c r="I236" i="7"/>
  <c r="J236" i="7"/>
  <c r="K236" i="7"/>
  <c r="L236" i="7"/>
  <c r="G237" i="7"/>
  <c r="H237" i="7"/>
  <c r="I237" i="7"/>
  <c r="J237" i="7"/>
  <c r="K237" i="7"/>
  <c r="L237" i="7"/>
  <c r="G238" i="7"/>
  <c r="H238" i="7"/>
  <c r="I238" i="7"/>
  <c r="J238" i="7"/>
  <c r="K238" i="7"/>
  <c r="L238" i="7"/>
  <c r="G239" i="7"/>
  <c r="H239" i="7"/>
  <c r="I239" i="7"/>
  <c r="J239" i="7"/>
  <c r="K239" i="7"/>
  <c r="L239" i="7"/>
  <c r="G240" i="7"/>
  <c r="H240" i="7"/>
  <c r="I240" i="7"/>
  <c r="J240" i="7"/>
  <c r="K240" i="7"/>
  <c r="L240" i="7"/>
  <c r="G241" i="7"/>
  <c r="H241" i="7"/>
  <c r="I241" i="7"/>
  <c r="J241" i="7"/>
  <c r="K241" i="7"/>
  <c r="L241" i="7"/>
  <c r="G242" i="7"/>
  <c r="H242" i="7"/>
  <c r="I242" i="7"/>
  <c r="J242" i="7"/>
  <c r="K242" i="7"/>
  <c r="L242" i="7"/>
  <c r="G243" i="7"/>
  <c r="H243" i="7"/>
  <c r="I243" i="7"/>
  <c r="J243" i="7"/>
  <c r="K243" i="7"/>
  <c r="L243" i="7"/>
  <c r="G244" i="7"/>
  <c r="H244" i="7"/>
  <c r="I244" i="7"/>
  <c r="J244" i="7"/>
  <c r="K244" i="7"/>
  <c r="L244" i="7"/>
  <c r="G245" i="7"/>
  <c r="H245" i="7"/>
  <c r="I245" i="7"/>
  <c r="J245" i="7"/>
  <c r="K245" i="7"/>
  <c r="L245" i="7"/>
  <c r="G246" i="7"/>
  <c r="H246" i="7"/>
  <c r="I246" i="7"/>
  <c r="J246" i="7"/>
  <c r="K246" i="7"/>
  <c r="L246" i="7"/>
  <c r="G247" i="7"/>
  <c r="H247" i="7"/>
  <c r="I247" i="7"/>
  <c r="J247" i="7"/>
  <c r="K247" i="7"/>
  <c r="L247" i="7"/>
  <c r="G248" i="7"/>
  <c r="H248" i="7"/>
  <c r="I248" i="7"/>
  <c r="J248" i="7"/>
  <c r="K248" i="7"/>
  <c r="L248" i="7"/>
  <c r="G249" i="7"/>
  <c r="H249" i="7"/>
  <c r="I249" i="7"/>
  <c r="J249" i="7"/>
  <c r="K249" i="7"/>
  <c r="L249" i="7"/>
  <c r="G250" i="7"/>
  <c r="H250" i="7"/>
  <c r="I250" i="7"/>
  <c r="J250" i="7"/>
  <c r="K250" i="7"/>
  <c r="L250" i="7"/>
  <c r="G251" i="7"/>
  <c r="H251" i="7"/>
  <c r="I251" i="7"/>
  <c r="J251" i="7"/>
  <c r="K251" i="7"/>
  <c r="L251" i="7"/>
  <c r="G252" i="7"/>
  <c r="H252" i="7"/>
  <c r="I252" i="7"/>
  <c r="J252" i="7"/>
  <c r="K252" i="7"/>
  <c r="L252" i="7"/>
  <c r="G253" i="7"/>
  <c r="H253" i="7"/>
  <c r="I253" i="7"/>
  <c r="J253" i="7"/>
  <c r="K253" i="7"/>
  <c r="L253" i="7"/>
  <c r="G254" i="7"/>
  <c r="H254" i="7"/>
  <c r="I254" i="7"/>
  <c r="J254" i="7"/>
  <c r="K254" i="7"/>
  <c r="L254" i="7"/>
  <c r="G255" i="7"/>
  <c r="H255" i="7"/>
  <c r="I255" i="7"/>
  <c r="J255" i="7"/>
  <c r="K255" i="7"/>
  <c r="L255" i="7"/>
  <c r="G256" i="7"/>
  <c r="H256" i="7"/>
  <c r="I256" i="7"/>
  <c r="J256" i="7"/>
  <c r="K256" i="7"/>
  <c r="L256" i="7"/>
  <c r="G257" i="7"/>
  <c r="H257" i="7"/>
  <c r="I257" i="7"/>
  <c r="J257" i="7"/>
  <c r="K257" i="7"/>
  <c r="L257" i="7"/>
  <c r="G258" i="7"/>
  <c r="H258" i="7"/>
  <c r="I258" i="7"/>
  <c r="J258" i="7"/>
  <c r="K258" i="7"/>
  <c r="L258" i="7"/>
  <c r="G259" i="7"/>
  <c r="H259" i="7"/>
  <c r="I259" i="7"/>
  <c r="J259" i="7"/>
  <c r="K259" i="7"/>
  <c r="L259" i="7"/>
  <c r="G260" i="7"/>
  <c r="H260" i="7"/>
  <c r="I260" i="7"/>
  <c r="J260" i="7"/>
  <c r="K260" i="7"/>
  <c r="L260" i="7"/>
  <c r="G261" i="7"/>
  <c r="H261" i="7"/>
  <c r="I261" i="7"/>
  <c r="J261" i="7"/>
  <c r="K261" i="7"/>
  <c r="L261" i="7"/>
  <c r="G262" i="7"/>
  <c r="H262" i="7"/>
  <c r="I262" i="7"/>
  <c r="J262" i="7"/>
  <c r="K262" i="7"/>
  <c r="L262" i="7"/>
  <c r="G263" i="7"/>
  <c r="H263" i="7"/>
  <c r="I263" i="7"/>
  <c r="J263" i="7"/>
  <c r="K263" i="7"/>
  <c r="L263" i="7"/>
  <c r="G264" i="7"/>
  <c r="H264" i="7"/>
  <c r="I264" i="7"/>
  <c r="J264" i="7"/>
  <c r="K264" i="7"/>
  <c r="L264" i="7"/>
  <c r="G265" i="7"/>
  <c r="H265" i="7"/>
  <c r="I265" i="7"/>
  <c r="J265" i="7"/>
  <c r="K265" i="7"/>
  <c r="L265" i="7"/>
  <c r="G266" i="7"/>
  <c r="H266" i="7"/>
  <c r="I266" i="7"/>
  <c r="J266" i="7"/>
  <c r="K266" i="7"/>
  <c r="L266" i="7"/>
  <c r="G267" i="7"/>
  <c r="H267" i="7"/>
  <c r="I267" i="7"/>
  <c r="J267" i="7"/>
  <c r="K267" i="7"/>
  <c r="L267" i="7"/>
  <c r="G268" i="7"/>
  <c r="H268" i="7"/>
  <c r="I268" i="7"/>
  <c r="J268" i="7"/>
  <c r="K268" i="7"/>
  <c r="L268" i="7"/>
  <c r="G269" i="7"/>
  <c r="H269" i="7"/>
  <c r="I269" i="7"/>
  <c r="J269" i="7"/>
  <c r="K269" i="7"/>
  <c r="L269" i="7"/>
  <c r="G270" i="7"/>
  <c r="H270" i="7"/>
  <c r="I270" i="7"/>
  <c r="J270" i="7"/>
  <c r="K270" i="7"/>
  <c r="L270" i="7"/>
  <c r="G271" i="7"/>
  <c r="H271" i="7"/>
  <c r="I271" i="7"/>
  <c r="J271" i="7"/>
  <c r="K271" i="7"/>
  <c r="L271" i="7"/>
  <c r="G272" i="7"/>
  <c r="H272" i="7"/>
  <c r="I272" i="7"/>
  <c r="J272" i="7"/>
  <c r="K272" i="7"/>
  <c r="L272" i="7"/>
  <c r="G273" i="7"/>
  <c r="H273" i="7"/>
  <c r="I273" i="7"/>
  <c r="J273" i="7"/>
  <c r="K273" i="7"/>
  <c r="L273" i="7"/>
  <c r="G274" i="7"/>
  <c r="H274" i="7"/>
  <c r="I274" i="7"/>
  <c r="J274" i="7"/>
  <c r="K274" i="7"/>
  <c r="L274" i="7"/>
  <c r="G275" i="7"/>
  <c r="H275" i="7"/>
  <c r="I275" i="7"/>
  <c r="J275" i="7"/>
  <c r="K275" i="7"/>
  <c r="L275" i="7"/>
  <c r="G276" i="7"/>
  <c r="H276" i="7"/>
  <c r="I276" i="7"/>
  <c r="J276" i="7"/>
  <c r="K276" i="7"/>
  <c r="L276" i="7"/>
  <c r="G277" i="7"/>
  <c r="H277" i="7"/>
  <c r="I277" i="7"/>
  <c r="J277" i="7"/>
  <c r="K277" i="7"/>
  <c r="L277" i="7"/>
  <c r="G278" i="7"/>
  <c r="H278" i="7"/>
  <c r="I278" i="7"/>
  <c r="J278" i="7"/>
  <c r="K278" i="7"/>
  <c r="L278" i="7"/>
  <c r="G279" i="7"/>
  <c r="H279" i="7"/>
  <c r="I279" i="7"/>
  <c r="J279" i="7"/>
  <c r="K279" i="7"/>
  <c r="L279" i="7"/>
  <c r="G280" i="7"/>
  <c r="H280" i="7"/>
  <c r="I280" i="7"/>
  <c r="J280" i="7"/>
  <c r="K280" i="7"/>
  <c r="L280" i="7"/>
  <c r="G281" i="7"/>
  <c r="H281" i="7"/>
  <c r="I281" i="7"/>
  <c r="J281" i="7"/>
  <c r="K281" i="7"/>
  <c r="L281" i="7"/>
  <c r="G282" i="7"/>
  <c r="H282" i="7"/>
  <c r="I282" i="7"/>
  <c r="J282" i="7"/>
  <c r="K282" i="7"/>
  <c r="L282" i="7"/>
  <c r="G283" i="7"/>
  <c r="H283" i="7"/>
  <c r="I283" i="7"/>
  <c r="J283" i="7"/>
  <c r="K283" i="7"/>
  <c r="L283" i="7"/>
  <c r="G284" i="7"/>
  <c r="H284" i="7"/>
  <c r="I284" i="7"/>
  <c r="J284" i="7"/>
  <c r="K284" i="7"/>
  <c r="L284" i="7"/>
  <c r="G285" i="7"/>
  <c r="H285" i="7"/>
  <c r="I285" i="7"/>
  <c r="J285" i="7"/>
  <c r="K285" i="7"/>
  <c r="L285" i="7"/>
  <c r="G286" i="7"/>
  <c r="H286" i="7"/>
  <c r="I286" i="7"/>
  <c r="J286" i="7"/>
  <c r="K286" i="7"/>
  <c r="L286" i="7"/>
  <c r="G287" i="7"/>
  <c r="H287" i="7"/>
  <c r="I287" i="7"/>
  <c r="J287" i="7"/>
  <c r="K287" i="7"/>
  <c r="L287" i="7"/>
  <c r="G288" i="7"/>
  <c r="H288" i="7"/>
  <c r="I288" i="7"/>
  <c r="J288" i="7"/>
  <c r="K288" i="7"/>
  <c r="L288" i="7"/>
  <c r="G289" i="7"/>
  <c r="H289" i="7"/>
  <c r="I289" i="7"/>
  <c r="J289" i="7"/>
  <c r="K289" i="7"/>
  <c r="L289" i="7"/>
  <c r="G290" i="7"/>
  <c r="H290" i="7"/>
  <c r="I290" i="7"/>
  <c r="J290" i="7"/>
  <c r="K290" i="7"/>
  <c r="L290" i="7"/>
  <c r="G291" i="7"/>
  <c r="H291" i="7"/>
  <c r="I291" i="7"/>
  <c r="J291" i="7"/>
  <c r="K291" i="7"/>
  <c r="L291" i="7"/>
  <c r="G292" i="7"/>
  <c r="H292" i="7"/>
  <c r="I292" i="7"/>
  <c r="J292" i="7"/>
  <c r="K292" i="7"/>
  <c r="L292" i="7"/>
  <c r="G293" i="7"/>
  <c r="H293" i="7"/>
  <c r="I293" i="7"/>
  <c r="J293" i="7"/>
  <c r="K293" i="7"/>
  <c r="L293" i="7"/>
  <c r="G294" i="7"/>
  <c r="H294" i="7"/>
  <c r="I294" i="7"/>
  <c r="J294" i="7"/>
  <c r="K294" i="7"/>
  <c r="L294" i="7"/>
  <c r="G295" i="7"/>
  <c r="H295" i="7"/>
  <c r="I295" i="7"/>
  <c r="J295" i="7"/>
  <c r="K295" i="7"/>
  <c r="L295" i="7"/>
  <c r="G296" i="7"/>
  <c r="H296" i="7"/>
  <c r="I296" i="7"/>
  <c r="J296" i="7"/>
  <c r="K296" i="7"/>
  <c r="L296" i="7"/>
  <c r="G297" i="7"/>
  <c r="H297" i="7"/>
  <c r="I297" i="7"/>
  <c r="J297" i="7"/>
  <c r="K297" i="7"/>
  <c r="L297" i="7"/>
  <c r="G298" i="7"/>
  <c r="H298" i="7"/>
  <c r="I298" i="7"/>
  <c r="J298" i="7"/>
  <c r="K298" i="7"/>
  <c r="L298" i="7"/>
  <c r="G299" i="7"/>
  <c r="H299" i="7"/>
  <c r="I299" i="7"/>
  <c r="J299" i="7"/>
  <c r="K299" i="7"/>
  <c r="L299" i="7"/>
  <c r="G300" i="7"/>
  <c r="H300" i="7"/>
  <c r="I300" i="7"/>
  <c r="J300" i="7"/>
  <c r="K300" i="7"/>
  <c r="L300" i="7"/>
  <c r="G301" i="7"/>
  <c r="H301" i="7"/>
  <c r="I301" i="7"/>
  <c r="J301" i="7"/>
  <c r="K301" i="7"/>
  <c r="L301" i="7"/>
  <c r="G302" i="7"/>
  <c r="H302" i="7"/>
  <c r="I302" i="7"/>
  <c r="J302" i="7"/>
  <c r="K302" i="7"/>
  <c r="L302" i="7"/>
  <c r="G303" i="7"/>
  <c r="H303" i="7"/>
  <c r="I303" i="7"/>
  <c r="J303" i="7"/>
  <c r="K303" i="7"/>
  <c r="L303" i="7"/>
  <c r="G304" i="7"/>
  <c r="H304" i="7"/>
  <c r="I304" i="7"/>
  <c r="J304" i="7"/>
  <c r="K304" i="7"/>
  <c r="L304" i="7"/>
  <c r="G305" i="7"/>
  <c r="H305" i="7"/>
  <c r="I305" i="7"/>
  <c r="J305" i="7"/>
  <c r="K305" i="7"/>
  <c r="L305" i="7"/>
  <c r="G306" i="7"/>
  <c r="H306" i="7"/>
  <c r="I306" i="7"/>
  <c r="J306" i="7"/>
  <c r="K306" i="7"/>
  <c r="L306" i="7"/>
  <c r="G307" i="7"/>
  <c r="H307" i="7"/>
  <c r="I307" i="7"/>
  <c r="J307" i="7"/>
  <c r="K307" i="7"/>
  <c r="L307" i="7"/>
  <c r="G308" i="7"/>
  <c r="H308" i="7"/>
  <c r="I308" i="7"/>
  <c r="J308" i="7"/>
  <c r="K308" i="7"/>
  <c r="L308" i="7"/>
  <c r="G309" i="7"/>
  <c r="H309" i="7"/>
  <c r="I309" i="7"/>
  <c r="J309" i="7"/>
  <c r="K309" i="7"/>
  <c r="L309" i="7"/>
  <c r="G310" i="7"/>
  <c r="H310" i="7"/>
  <c r="I310" i="7"/>
  <c r="J310" i="7"/>
  <c r="K310" i="7"/>
  <c r="L310" i="7"/>
  <c r="G311" i="7"/>
  <c r="H311" i="7"/>
  <c r="I311" i="7"/>
  <c r="J311" i="7"/>
  <c r="K311" i="7"/>
  <c r="L311" i="7"/>
  <c r="G312" i="7"/>
  <c r="H312" i="7"/>
  <c r="I312" i="7"/>
  <c r="J312" i="7"/>
  <c r="K312" i="7"/>
  <c r="L312" i="7"/>
  <c r="G313" i="7"/>
  <c r="H313" i="7"/>
  <c r="I313" i="7"/>
  <c r="J313" i="7"/>
  <c r="K313" i="7"/>
  <c r="L313" i="7"/>
  <c r="G314" i="7"/>
  <c r="H314" i="7"/>
  <c r="I314" i="7"/>
  <c r="J314" i="7"/>
  <c r="K314" i="7"/>
  <c r="L314" i="7"/>
  <c r="G315" i="7"/>
  <c r="H315" i="7"/>
  <c r="I315" i="7"/>
  <c r="J315" i="7"/>
  <c r="K315" i="7"/>
  <c r="L315" i="7"/>
  <c r="G316" i="7"/>
  <c r="H316" i="7"/>
  <c r="I316" i="7"/>
  <c r="J316" i="7"/>
  <c r="K316" i="7"/>
  <c r="L316" i="7"/>
  <c r="G317" i="7"/>
  <c r="H317" i="7"/>
  <c r="I317" i="7"/>
  <c r="J317" i="7"/>
  <c r="K317" i="7"/>
  <c r="L317" i="7"/>
  <c r="G318" i="7"/>
  <c r="H318" i="7"/>
  <c r="I318" i="7"/>
  <c r="J318" i="7"/>
  <c r="K318" i="7"/>
  <c r="L318" i="7"/>
  <c r="G319" i="7"/>
  <c r="H319" i="7"/>
  <c r="I319" i="7"/>
  <c r="J319" i="7"/>
  <c r="K319" i="7"/>
  <c r="L319" i="7"/>
  <c r="G320" i="7"/>
  <c r="H320" i="7"/>
  <c r="I320" i="7"/>
  <c r="J320" i="7"/>
  <c r="K320" i="7"/>
  <c r="L320" i="7"/>
  <c r="G321" i="7"/>
  <c r="H321" i="7"/>
  <c r="I321" i="7"/>
  <c r="J321" i="7"/>
  <c r="K321" i="7"/>
  <c r="L321" i="7"/>
  <c r="G322" i="7"/>
  <c r="H322" i="7"/>
  <c r="I322" i="7"/>
  <c r="J322" i="7"/>
  <c r="K322" i="7"/>
  <c r="L322" i="7"/>
  <c r="G323" i="7"/>
  <c r="H323" i="7"/>
  <c r="I323" i="7"/>
  <c r="J323" i="7"/>
  <c r="K323" i="7"/>
  <c r="L323" i="7"/>
  <c r="G324" i="7"/>
  <c r="H324" i="7"/>
  <c r="I324" i="7"/>
  <c r="J324" i="7"/>
  <c r="K324" i="7"/>
  <c r="L324" i="7"/>
  <c r="G325" i="7"/>
  <c r="H325" i="7"/>
  <c r="I325" i="7"/>
  <c r="J325" i="7"/>
  <c r="K325" i="7"/>
  <c r="L325" i="7"/>
  <c r="G326" i="7"/>
  <c r="H326" i="7"/>
  <c r="I326" i="7"/>
  <c r="J326" i="7"/>
  <c r="K326" i="7"/>
  <c r="L326" i="7"/>
  <c r="G327" i="7"/>
  <c r="H327" i="7"/>
  <c r="I327" i="7"/>
  <c r="J327" i="7"/>
  <c r="K327" i="7"/>
  <c r="L327" i="7"/>
  <c r="G328" i="7"/>
  <c r="H328" i="7"/>
  <c r="I328" i="7"/>
  <c r="J328" i="7"/>
  <c r="K328" i="7"/>
  <c r="L328" i="7"/>
  <c r="G329" i="7"/>
  <c r="H329" i="7"/>
  <c r="I329" i="7"/>
  <c r="J329" i="7"/>
  <c r="K329" i="7"/>
  <c r="L329" i="7"/>
  <c r="G330" i="7"/>
  <c r="H330" i="7"/>
  <c r="I330" i="7"/>
  <c r="J330" i="7"/>
  <c r="K330" i="7"/>
  <c r="L330" i="7"/>
  <c r="G331" i="7"/>
  <c r="H331" i="7"/>
  <c r="I331" i="7"/>
  <c r="J331" i="7"/>
  <c r="K331" i="7"/>
  <c r="L331" i="7"/>
  <c r="G332" i="7"/>
  <c r="H332" i="7"/>
  <c r="I332" i="7"/>
  <c r="J332" i="7"/>
  <c r="K332" i="7"/>
  <c r="L332" i="7"/>
  <c r="G333" i="7"/>
  <c r="H333" i="7"/>
  <c r="I333" i="7"/>
  <c r="J333" i="7"/>
  <c r="K333" i="7"/>
  <c r="L333" i="7"/>
  <c r="G334" i="7"/>
  <c r="H334" i="7"/>
  <c r="I334" i="7"/>
  <c r="J334" i="7"/>
  <c r="K334" i="7"/>
  <c r="L334" i="7"/>
  <c r="G335" i="7"/>
  <c r="H335" i="7"/>
  <c r="I335" i="7"/>
  <c r="J335" i="7"/>
  <c r="K335" i="7"/>
  <c r="L335" i="7"/>
  <c r="G336" i="7"/>
  <c r="H336" i="7"/>
  <c r="I336" i="7"/>
  <c r="J336" i="7"/>
  <c r="K336" i="7"/>
  <c r="L336" i="7"/>
  <c r="G337" i="7"/>
  <c r="H337" i="7"/>
  <c r="I337" i="7"/>
  <c r="J337" i="7"/>
  <c r="K337" i="7"/>
  <c r="L337" i="7"/>
  <c r="G338" i="7"/>
  <c r="H338" i="7"/>
  <c r="I338" i="7"/>
  <c r="J338" i="7"/>
  <c r="K338" i="7"/>
  <c r="L338" i="7"/>
  <c r="G339" i="7"/>
  <c r="H339" i="7"/>
  <c r="I339" i="7"/>
  <c r="J339" i="7"/>
  <c r="K339" i="7"/>
  <c r="L339" i="7"/>
  <c r="G340" i="7"/>
  <c r="H340" i="7"/>
  <c r="I340" i="7"/>
  <c r="J340" i="7"/>
  <c r="K340" i="7"/>
  <c r="L340" i="7"/>
  <c r="G341" i="7"/>
  <c r="H341" i="7"/>
  <c r="I341" i="7"/>
  <c r="J341" i="7"/>
  <c r="K341" i="7"/>
  <c r="L341" i="7"/>
  <c r="G342" i="7"/>
  <c r="H342" i="7"/>
  <c r="I342" i="7"/>
  <c r="J342" i="7"/>
  <c r="K342" i="7"/>
  <c r="L342" i="7"/>
  <c r="G343" i="7"/>
  <c r="H343" i="7"/>
  <c r="I343" i="7"/>
  <c r="J343" i="7"/>
  <c r="K343" i="7"/>
  <c r="L343" i="7"/>
  <c r="G344" i="7"/>
  <c r="H344" i="7"/>
  <c r="I344" i="7"/>
  <c r="J344" i="7"/>
  <c r="K344" i="7"/>
  <c r="L344" i="7"/>
  <c r="G345" i="7"/>
  <c r="H345" i="7"/>
  <c r="I345" i="7"/>
  <c r="J345" i="7"/>
  <c r="K345" i="7"/>
  <c r="L345" i="7"/>
  <c r="G346" i="7"/>
  <c r="H346" i="7"/>
  <c r="I346" i="7"/>
  <c r="J346" i="7"/>
  <c r="K346" i="7"/>
  <c r="L346" i="7"/>
  <c r="G347" i="7"/>
  <c r="H347" i="7"/>
  <c r="I347" i="7"/>
  <c r="J347" i="7"/>
  <c r="K347" i="7"/>
  <c r="L347" i="7"/>
  <c r="G348" i="7"/>
  <c r="H348" i="7"/>
  <c r="I348" i="7"/>
  <c r="J348" i="7"/>
  <c r="K348" i="7"/>
  <c r="L348" i="7"/>
  <c r="G349" i="7"/>
  <c r="H349" i="7"/>
  <c r="I349" i="7"/>
  <c r="J349" i="7"/>
  <c r="K349" i="7"/>
  <c r="L349" i="7"/>
  <c r="G350" i="7"/>
  <c r="H350" i="7"/>
  <c r="I350" i="7"/>
  <c r="J350" i="7"/>
  <c r="K350" i="7"/>
  <c r="L350" i="7"/>
  <c r="G351" i="7"/>
  <c r="H351" i="7"/>
  <c r="I351" i="7"/>
  <c r="J351" i="7"/>
  <c r="K351" i="7"/>
  <c r="L351" i="7"/>
  <c r="G352" i="7"/>
  <c r="H352" i="7"/>
  <c r="I352" i="7"/>
  <c r="J352" i="7"/>
  <c r="K352" i="7"/>
  <c r="L352" i="7"/>
  <c r="G353" i="7"/>
  <c r="H353" i="7"/>
  <c r="I353" i="7"/>
  <c r="J353" i="7"/>
  <c r="K353" i="7"/>
  <c r="L353" i="7"/>
  <c r="G354" i="7"/>
  <c r="H354" i="7"/>
  <c r="I354" i="7"/>
  <c r="J354" i="7"/>
  <c r="K354" i="7"/>
  <c r="L354" i="7"/>
  <c r="G355" i="7"/>
  <c r="H355" i="7"/>
  <c r="I355" i="7"/>
  <c r="J355" i="7"/>
  <c r="K355" i="7"/>
  <c r="L355" i="7"/>
  <c r="G356" i="7"/>
  <c r="H356" i="7"/>
  <c r="I356" i="7"/>
  <c r="J356" i="7"/>
  <c r="K356" i="7"/>
  <c r="L356" i="7"/>
  <c r="G357" i="7"/>
  <c r="H357" i="7"/>
  <c r="I357" i="7"/>
  <c r="J357" i="7"/>
  <c r="K357" i="7"/>
  <c r="L357" i="7"/>
  <c r="G358" i="7"/>
  <c r="H358" i="7"/>
  <c r="I358" i="7"/>
  <c r="J358" i="7"/>
  <c r="K358" i="7"/>
  <c r="L358" i="7"/>
  <c r="G359" i="7"/>
  <c r="H359" i="7"/>
  <c r="I359" i="7"/>
  <c r="J359" i="7"/>
  <c r="K359" i="7"/>
  <c r="L359" i="7"/>
  <c r="G360" i="7"/>
  <c r="H360" i="7"/>
  <c r="I360" i="7"/>
  <c r="J360" i="7"/>
  <c r="K360" i="7"/>
  <c r="L360" i="7"/>
  <c r="G361" i="7"/>
  <c r="H361" i="7"/>
  <c r="I361" i="7"/>
  <c r="J361" i="7"/>
  <c r="K361" i="7"/>
  <c r="L361" i="7"/>
  <c r="G362" i="7"/>
  <c r="H362" i="7"/>
  <c r="I362" i="7"/>
  <c r="J362" i="7"/>
  <c r="K362" i="7"/>
  <c r="L362" i="7"/>
  <c r="G363" i="7"/>
  <c r="H363" i="7"/>
  <c r="I363" i="7"/>
  <c r="J363" i="7"/>
  <c r="K363" i="7"/>
  <c r="L363" i="7"/>
  <c r="G364" i="7"/>
  <c r="H364" i="7"/>
  <c r="I364" i="7"/>
  <c r="J364" i="7"/>
  <c r="K364" i="7"/>
  <c r="L364" i="7"/>
  <c r="G365" i="7"/>
  <c r="H365" i="7"/>
  <c r="I365" i="7"/>
  <c r="J365" i="7"/>
  <c r="K365" i="7"/>
  <c r="L365" i="7"/>
  <c r="G366" i="7"/>
  <c r="H366" i="7"/>
  <c r="I366" i="7"/>
  <c r="J366" i="7"/>
  <c r="K366" i="7"/>
  <c r="L366" i="7"/>
  <c r="G367" i="7"/>
  <c r="H367" i="7"/>
  <c r="I367" i="7"/>
  <c r="J367" i="7"/>
  <c r="K367" i="7"/>
  <c r="L367" i="7"/>
  <c r="G368" i="7"/>
  <c r="H368" i="7"/>
  <c r="I368" i="7"/>
  <c r="J368" i="7"/>
  <c r="K368" i="7"/>
  <c r="L368" i="7"/>
  <c r="G369" i="7"/>
  <c r="H369" i="7"/>
  <c r="I369" i="7"/>
  <c r="J369" i="7"/>
  <c r="K369" i="7"/>
  <c r="L369" i="7"/>
  <c r="G370" i="7"/>
  <c r="H370" i="7"/>
  <c r="I370" i="7"/>
  <c r="J370" i="7"/>
  <c r="K370" i="7"/>
  <c r="L370" i="7"/>
  <c r="G371" i="7"/>
  <c r="H371" i="7"/>
  <c r="I371" i="7"/>
  <c r="J371" i="7"/>
  <c r="K371" i="7"/>
  <c r="L371" i="7"/>
  <c r="G372" i="7"/>
  <c r="H372" i="7"/>
  <c r="I372" i="7"/>
  <c r="J372" i="7"/>
  <c r="K372" i="7"/>
  <c r="L372" i="7"/>
  <c r="G373" i="7"/>
  <c r="H373" i="7"/>
  <c r="I373" i="7"/>
  <c r="J373" i="7"/>
  <c r="K373" i="7"/>
  <c r="L373" i="7"/>
  <c r="G374" i="7"/>
  <c r="H374" i="7"/>
  <c r="I374" i="7"/>
  <c r="J374" i="7"/>
  <c r="K374" i="7"/>
  <c r="L374" i="7"/>
  <c r="G375" i="7"/>
  <c r="H375" i="7"/>
  <c r="I375" i="7"/>
  <c r="J375" i="7"/>
  <c r="K375" i="7"/>
  <c r="L375" i="7"/>
  <c r="G376" i="7"/>
  <c r="H376" i="7"/>
  <c r="I376" i="7"/>
  <c r="J376" i="7"/>
  <c r="K376" i="7"/>
  <c r="L376" i="7"/>
  <c r="G377" i="7"/>
  <c r="H377" i="7"/>
  <c r="I377" i="7"/>
  <c r="J377" i="7"/>
  <c r="K377" i="7"/>
  <c r="L377" i="7"/>
  <c r="G378" i="7"/>
  <c r="H378" i="7"/>
  <c r="I378" i="7"/>
  <c r="J378" i="7"/>
  <c r="K378" i="7"/>
  <c r="L378" i="7"/>
  <c r="G379" i="7"/>
  <c r="H379" i="7"/>
  <c r="I379" i="7"/>
  <c r="J379" i="7"/>
  <c r="K379" i="7"/>
  <c r="L379" i="7"/>
  <c r="G380" i="7"/>
  <c r="H380" i="7"/>
  <c r="I380" i="7"/>
  <c r="J380" i="7"/>
  <c r="K380" i="7"/>
  <c r="L380" i="7"/>
  <c r="G381" i="7"/>
  <c r="H381" i="7"/>
  <c r="I381" i="7"/>
  <c r="J381" i="7"/>
  <c r="K381" i="7"/>
  <c r="L381" i="7"/>
  <c r="G382" i="7"/>
  <c r="H382" i="7"/>
  <c r="I382" i="7"/>
  <c r="J382" i="7"/>
  <c r="K382" i="7"/>
  <c r="L382" i="7"/>
  <c r="G383" i="7"/>
  <c r="H383" i="7"/>
  <c r="I383" i="7"/>
  <c r="J383" i="7"/>
  <c r="K383" i="7"/>
  <c r="L383" i="7"/>
  <c r="G384" i="7"/>
  <c r="H384" i="7"/>
  <c r="I384" i="7"/>
  <c r="J384" i="7"/>
  <c r="K384" i="7"/>
  <c r="L384" i="7"/>
  <c r="G385" i="7"/>
  <c r="H385" i="7"/>
  <c r="I385" i="7"/>
  <c r="J385" i="7"/>
  <c r="K385" i="7"/>
  <c r="L385" i="7"/>
  <c r="G386" i="7"/>
  <c r="H386" i="7"/>
  <c r="I386" i="7"/>
  <c r="J386" i="7"/>
  <c r="K386" i="7"/>
  <c r="L386" i="7"/>
  <c r="G387" i="7"/>
  <c r="H387" i="7"/>
  <c r="I387" i="7"/>
  <c r="J387" i="7"/>
  <c r="K387" i="7"/>
  <c r="L387" i="7"/>
  <c r="G388" i="7"/>
  <c r="H388" i="7"/>
  <c r="I388" i="7"/>
  <c r="J388" i="7"/>
  <c r="K388" i="7"/>
  <c r="L388" i="7"/>
  <c r="G389" i="7"/>
  <c r="H389" i="7"/>
  <c r="I389" i="7"/>
  <c r="J389" i="7"/>
  <c r="K389" i="7"/>
  <c r="L389" i="7"/>
  <c r="G390" i="7"/>
  <c r="H390" i="7"/>
  <c r="I390" i="7"/>
  <c r="J390" i="7"/>
  <c r="K390" i="7"/>
  <c r="L390" i="7"/>
  <c r="G391" i="7"/>
  <c r="H391" i="7"/>
  <c r="I391" i="7"/>
  <c r="J391" i="7"/>
  <c r="K391" i="7"/>
  <c r="L391" i="7"/>
  <c r="G392" i="7"/>
  <c r="H392" i="7"/>
  <c r="I392" i="7"/>
  <c r="J392" i="7"/>
  <c r="K392" i="7"/>
  <c r="L392" i="7"/>
  <c r="G393" i="7"/>
  <c r="H393" i="7"/>
  <c r="I393" i="7"/>
  <c r="J393" i="7"/>
  <c r="K393" i="7"/>
  <c r="L393" i="7"/>
  <c r="G394" i="7"/>
  <c r="H394" i="7"/>
  <c r="I394" i="7"/>
  <c r="J394" i="7"/>
  <c r="K394" i="7"/>
  <c r="L394" i="7"/>
  <c r="G395" i="7"/>
  <c r="H395" i="7"/>
  <c r="I395" i="7"/>
  <c r="J395" i="7"/>
  <c r="K395" i="7"/>
  <c r="L395" i="7"/>
  <c r="G396" i="7"/>
  <c r="H396" i="7"/>
  <c r="I396" i="7"/>
  <c r="J396" i="7"/>
  <c r="K396" i="7"/>
  <c r="L396" i="7"/>
  <c r="G397" i="7"/>
  <c r="H397" i="7"/>
  <c r="I397" i="7"/>
  <c r="J397" i="7"/>
  <c r="K397" i="7"/>
  <c r="L397" i="7"/>
  <c r="G398" i="7"/>
  <c r="H398" i="7"/>
  <c r="I398" i="7"/>
  <c r="J398" i="7"/>
  <c r="K398" i="7"/>
  <c r="L398" i="7"/>
  <c r="G399" i="7"/>
  <c r="H399" i="7"/>
  <c r="I399" i="7"/>
  <c r="J399" i="7"/>
  <c r="K399" i="7"/>
  <c r="L399" i="7"/>
  <c r="G400" i="7"/>
  <c r="H400" i="7"/>
  <c r="I400" i="7"/>
  <c r="J400" i="7"/>
  <c r="K400" i="7"/>
  <c r="L400" i="7"/>
  <c r="G401" i="7"/>
  <c r="H401" i="7"/>
  <c r="I401" i="7"/>
  <c r="J401" i="7"/>
  <c r="K401" i="7"/>
  <c r="L401" i="7"/>
  <c r="G402" i="7"/>
  <c r="H402" i="7"/>
  <c r="I402" i="7"/>
  <c r="J402" i="7"/>
  <c r="K402" i="7"/>
  <c r="L402" i="7"/>
  <c r="G403" i="7"/>
  <c r="H403" i="7"/>
  <c r="I403" i="7"/>
  <c r="J403" i="7"/>
  <c r="K403" i="7"/>
  <c r="L403" i="7"/>
  <c r="G404" i="7"/>
  <c r="H404" i="7"/>
  <c r="I404" i="7"/>
  <c r="J404" i="7"/>
  <c r="K404" i="7"/>
  <c r="L404" i="7"/>
  <c r="G405" i="7"/>
  <c r="H405" i="7"/>
  <c r="I405" i="7"/>
  <c r="J405" i="7"/>
  <c r="K405" i="7"/>
  <c r="L405" i="7"/>
  <c r="G406" i="7"/>
  <c r="H406" i="7"/>
  <c r="I406" i="7"/>
  <c r="J406" i="7"/>
  <c r="K406" i="7"/>
  <c r="L406" i="7"/>
  <c r="G407" i="7"/>
  <c r="H407" i="7"/>
  <c r="I407" i="7"/>
  <c r="J407" i="7"/>
  <c r="K407" i="7"/>
  <c r="L407" i="7"/>
  <c r="G408" i="7"/>
  <c r="H408" i="7"/>
  <c r="I408" i="7"/>
  <c r="J408" i="7"/>
  <c r="K408" i="7"/>
  <c r="L408" i="7"/>
  <c r="G409" i="7"/>
  <c r="H409" i="7"/>
  <c r="I409" i="7"/>
  <c r="J409" i="7"/>
  <c r="K409" i="7"/>
  <c r="L409" i="7"/>
  <c r="G410" i="7"/>
  <c r="H410" i="7"/>
  <c r="I410" i="7"/>
  <c r="J410" i="7"/>
  <c r="K410" i="7"/>
  <c r="L410" i="7"/>
  <c r="G411" i="7"/>
  <c r="H411" i="7"/>
  <c r="I411" i="7"/>
  <c r="J411" i="7"/>
  <c r="K411" i="7"/>
  <c r="L411" i="7"/>
  <c r="G412" i="7"/>
  <c r="H412" i="7"/>
  <c r="I412" i="7"/>
  <c r="J412" i="7"/>
  <c r="K412" i="7"/>
  <c r="L412" i="7"/>
  <c r="G413" i="7"/>
  <c r="H413" i="7"/>
  <c r="I413" i="7"/>
  <c r="J413" i="7"/>
  <c r="K413" i="7"/>
  <c r="L413" i="7"/>
  <c r="G414" i="7"/>
  <c r="H414" i="7"/>
  <c r="I414" i="7"/>
  <c r="J414" i="7"/>
  <c r="K414" i="7"/>
  <c r="L414" i="7"/>
  <c r="G415" i="7"/>
  <c r="H415" i="7"/>
  <c r="I415" i="7"/>
  <c r="J415" i="7"/>
  <c r="K415" i="7"/>
  <c r="L415" i="7"/>
  <c r="G416" i="7"/>
  <c r="H416" i="7"/>
  <c r="I416" i="7"/>
  <c r="J416" i="7"/>
  <c r="K416" i="7"/>
  <c r="L416" i="7"/>
  <c r="G417" i="7"/>
  <c r="H417" i="7"/>
  <c r="I417" i="7"/>
  <c r="J417" i="7"/>
  <c r="K417" i="7"/>
  <c r="L417" i="7"/>
  <c r="G418" i="7"/>
  <c r="H418" i="7"/>
  <c r="I418" i="7"/>
  <c r="J418" i="7"/>
  <c r="K418" i="7"/>
  <c r="L418" i="7"/>
  <c r="G419" i="7"/>
  <c r="H419" i="7"/>
  <c r="I419" i="7"/>
  <c r="J419" i="7"/>
  <c r="K419" i="7"/>
  <c r="L419" i="7"/>
  <c r="G420" i="7"/>
  <c r="H420" i="7"/>
  <c r="I420" i="7"/>
  <c r="J420" i="7"/>
  <c r="K420" i="7"/>
  <c r="L420" i="7"/>
  <c r="G421" i="7"/>
  <c r="H421" i="7"/>
  <c r="I421" i="7"/>
  <c r="J421" i="7"/>
  <c r="K421" i="7"/>
  <c r="L421" i="7"/>
  <c r="G422" i="7"/>
  <c r="H422" i="7"/>
  <c r="I422" i="7"/>
  <c r="J422" i="7"/>
  <c r="K422" i="7"/>
  <c r="L422" i="7"/>
  <c r="G423" i="7"/>
  <c r="H423" i="7"/>
  <c r="I423" i="7"/>
  <c r="J423" i="7"/>
  <c r="K423" i="7"/>
  <c r="L423" i="7"/>
  <c r="G424" i="7"/>
  <c r="H424" i="7"/>
  <c r="I424" i="7"/>
  <c r="J424" i="7"/>
  <c r="K424" i="7"/>
  <c r="L424" i="7"/>
  <c r="G425" i="7"/>
  <c r="H425" i="7"/>
  <c r="I425" i="7"/>
  <c r="J425" i="7"/>
  <c r="K425" i="7"/>
  <c r="L425" i="7"/>
  <c r="G426" i="7"/>
  <c r="H426" i="7"/>
  <c r="I426" i="7"/>
  <c r="J426" i="7"/>
  <c r="K426" i="7"/>
  <c r="L426" i="7"/>
  <c r="G427" i="7"/>
  <c r="H427" i="7"/>
  <c r="I427" i="7"/>
  <c r="J427" i="7"/>
  <c r="K427" i="7"/>
  <c r="L427" i="7"/>
  <c r="G428" i="7"/>
  <c r="H428" i="7"/>
  <c r="I428" i="7"/>
  <c r="J428" i="7"/>
  <c r="K428" i="7"/>
  <c r="L428" i="7"/>
  <c r="G429" i="7"/>
  <c r="H429" i="7"/>
  <c r="I429" i="7"/>
  <c r="J429" i="7"/>
  <c r="K429" i="7"/>
  <c r="L429" i="7"/>
  <c r="G430" i="7"/>
  <c r="H430" i="7"/>
  <c r="I430" i="7"/>
  <c r="J430" i="7"/>
  <c r="K430" i="7"/>
  <c r="L430" i="7"/>
  <c r="G431" i="7"/>
  <c r="H431" i="7"/>
  <c r="I431" i="7"/>
  <c r="J431" i="7"/>
  <c r="K431" i="7"/>
  <c r="L431" i="7"/>
  <c r="G432" i="7"/>
  <c r="H432" i="7"/>
  <c r="I432" i="7"/>
  <c r="J432" i="7"/>
  <c r="K432" i="7"/>
  <c r="L432" i="7"/>
  <c r="G433" i="7"/>
  <c r="H433" i="7"/>
  <c r="I433" i="7"/>
  <c r="J433" i="7"/>
  <c r="K433" i="7"/>
  <c r="L433" i="7"/>
  <c r="G434" i="7"/>
  <c r="H434" i="7"/>
  <c r="I434" i="7"/>
  <c r="J434" i="7"/>
  <c r="K434" i="7"/>
  <c r="L434" i="7"/>
  <c r="G435" i="7"/>
  <c r="H435" i="7"/>
  <c r="I435" i="7"/>
  <c r="J435" i="7"/>
  <c r="K435" i="7"/>
  <c r="L435" i="7"/>
  <c r="G436" i="7"/>
  <c r="H436" i="7"/>
  <c r="I436" i="7"/>
  <c r="J436" i="7"/>
  <c r="K436" i="7"/>
  <c r="L436" i="7"/>
  <c r="G437" i="7"/>
  <c r="H437" i="7"/>
  <c r="I437" i="7"/>
  <c r="J437" i="7"/>
  <c r="K437" i="7"/>
  <c r="L437" i="7"/>
  <c r="G438" i="7"/>
  <c r="H438" i="7"/>
  <c r="I438" i="7"/>
  <c r="J438" i="7"/>
  <c r="K438" i="7"/>
  <c r="L438" i="7"/>
  <c r="G439" i="7"/>
  <c r="H439" i="7"/>
  <c r="I439" i="7"/>
  <c r="J439" i="7"/>
  <c r="K439" i="7"/>
  <c r="L439" i="7"/>
  <c r="G440" i="7"/>
  <c r="H440" i="7"/>
  <c r="I440" i="7"/>
  <c r="J440" i="7"/>
  <c r="K440" i="7"/>
  <c r="L440" i="7"/>
  <c r="G441" i="7"/>
  <c r="H441" i="7"/>
  <c r="I441" i="7"/>
  <c r="J441" i="7"/>
  <c r="K441" i="7"/>
  <c r="L441" i="7"/>
  <c r="G442" i="7"/>
  <c r="H442" i="7"/>
  <c r="I442" i="7"/>
  <c r="J442" i="7"/>
  <c r="K442" i="7"/>
  <c r="L442" i="7"/>
  <c r="G443" i="7"/>
  <c r="H443" i="7"/>
  <c r="I443" i="7"/>
  <c r="J443" i="7"/>
  <c r="K443" i="7"/>
  <c r="L443" i="7"/>
  <c r="G444" i="7"/>
  <c r="H444" i="7"/>
  <c r="I444" i="7"/>
  <c r="J444" i="7"/>
  <c r="K444" i="7"/>
  <c r="L444" i="7"/>
  <c r="G445" i="7"/>
  <c r="H445" i="7"/>
  <c r="I445" i="7"/>
  <c r="J445" i="7"/>
  <c r="K445" i="7"/>
  <c r="L445" i="7"/>
  <c r="G446" i="7"/>
  <c r="H446" i="7"/>
  <c r="I446" i="7"/>
  <c r="J446" i="7"/>
  <c r="K446" i="7"/>
  <c r="L446" i="7"/>
  <c r="G447" i="7"/>
  <c r="H447" i="7"/>
  <c r="I447" i="7"/>
  <c r="J447" i="7"/>
  <c r="K447" i="7"/>
  <c r="L447" i="7"/>
  <c r="G448" i="7"/>
  <c r="H448" i="7"/>
  <c r="I448" i="7"/>
  <c r="J448" i="7"/>
  <c r="K448" i="7"/>
  <c r="L448" i="7"/>
  <c r="G449" i="7"/>
  <c r="H449" i="7"/>
  <c r="I449" i="7"/>
  <c r="J449" i="7"/>
  <c r="K449" i="7"/>
  <c r="L449" i="7"/>
  <c r="G450" i="7"/>
  <c r="H450" i="7"/>
  <c r="I450" i="7"/>
  <c r="J450" i="7"/>
  <c r="K450" i="7"/>
  <c r="L450" i="7"/>
  <c r="G451" i="7"/>
  <c r="H451" i="7"/>
  <c r="I451" i="7"/>
  <c r="J451" i="7"/>
  <c r="K451" i="7"/>
  <c r="L451" i="7"/>
  <c r="G452" i="7"/>
  <c r="H452" i="7"/>
  <c r="I452" i="7"/>
  <c r="J452" i="7"/>
  <c r="K452" i="7"/>
  <c r="L452" i="7"/>
  <c r="G453" i="7"/>
  <c r="H453" i="7"/>
  <c r="I453" i="7"/>
  <c r="J453" i="7"/>
  <c r="K453" i="7"/>
  <c r="L453" i="7"/>
  <c r="G454" i="7"/>
  <c r="H454" i="7"/>
  <c r="I454" i="7"/>
  <c r="J454" i="7"/>
  <c r="K454" i="7"/>
  <c r="L454" i="7"/>
  <c r="G455" i="7"/>
  <c r="H455" i="7"/>
  <c r="I455" i="7"/>
  <c r="J455" i="7"/>
  <c r="K455" i="7"/>
  <c r="L455" i="7"/>
  <c r="G456" i="7"/>
  <c r="H456" i="7"/>
  <c r="I456" i="7"/>
  <c r="J456" i="7"/>
  <c r="K456" i="7"/>
  <c r="L456" i="7"/>
  <c r="G457" i="7"/>
  <c r="H457" i="7"/>
  <c r="I457" i="7"/>
  <c r="J457" i="7"/>
  <c r="K457" i="7"/>
  <c r="L457" i="7"/>
  <c r="G458" i="7"/>
  <c r="H458" i="7"/>
  <c r="I458" i="7"/>
  <c r="J458" i="7"/>
  <c r="K458" i="7"/>
  <c r="L458" i="7"/>
  <c r="G459" i="7"/>
  <c r="H459" i="7"/>
  <c r="I459" i="7"/>
  <c r="J459" i="7"/>
  <c r="K459" i="7"/>
  <c r="L459" i="7"/>
  <c r="G460" i="7"/>
  <c r="H460" i="7"/>
  <c r="I460" i="7"/>
  <c r="J460" i="7"/>
  <c r="K460" i="7"/>
  <c r="L460" i="7"/>
  <c r="G461" i="7"/>
  <c r="H461" i="7"/>
  <c r="I461" i="7"/>
  <c r="J461" i="7"/>
  <c r="K461" i="7"/>
  <c r="L461" i="7"/>
  <c r="G462" i="7"/>
  <c r="H462" i="7"/>
  <c r="I462" i="7"/>
  <c r="J462" i="7"/>
  <c r="K462" i="7"/>
  <c r="L462" i="7"/>
  <c r="G463" i="7"/>
  <c r="H463" i="7"/>
  <c r="I463" i="7"/>
  <c r="J463" i="7"/>
  <c r="K463" i="7"/>
  <c r="L463" i="7"/>
  <c r="G464" i="7"/>
  <c r="H464" i="7"/>
  <c r="I464" i="7"/>
  <c r="J464" i="7"/>
  <c r="K464" i="7"/>
  <c r="L464" i="7"/>
  <c r="G465" i="7"/>
  <c r="H465" i="7"/>
  <c r="I465" i="7"/>
  <c r="J465" i="7"/>
  <c r="K465" i="7"/>
  <c r="L465" i="7"/>
  <c r="G466" i="7"/>
  <c r="H466" i="7"/>
  <c r="I466" i="7"/>
  <c r="J466" i="7"/>
  <c r="K466" i="7"/>
  <c r="L466" i="7"/>
  <c r="G467" i="7"/>
  <c r="H467" i="7"/>
  <c r="I467" i="7"/>
  <c r="J467" i="7"/>
  <c r="K467" i="7"/>
  <c r="L467" i="7"/>
  <c r="G468" i="7"/>
  <c r="H468" i="7"/>
  <c r="I468" i="7"/>
  <c r="J468" i="7"/>
  <c r="K468" i="7"/>
  <c r="L468" i="7"/>
  <c r="G469" i="7"/>
  <c r="H469" i="7"/>
  <c r="I469" i="7"/>
  <c r="J469" i="7"/>
  <c r="K469" i="7"/>
  <c r="L469" i="7"/>
  <c r="G470" i="7"/>
  <c r="H470" i="7"/>
  <c r="I470" i="7"/>
  <c r="J470" i="7"/>
  <c r="K470" i="7"/>
  <c r="L470" i="7"/>
  <c r="G471" i="7"/>
  <c r="H471" i="7"/>
  <c r="I471" i="7"/>
  <c r="J471" i="7"/>
  <c r="K471" i="7"/>
  <c r="L471" i="7"/>
  <c r="G472" i="7"/>
  <c r="H472" i="7"/>
  <c r="I472" i="7"/>
  <c r="J472" i="7"/>
  <c r="K472" i="7"/>
  <c r="L472" i="7"/>
  <c r="G473" i="7"/>
  <c r="H473" i="7"/>
  <c r="I473" i="7"/>
  <c r="J473" i="7"/>
  <c r="K473" i="7"/>
  <c r="L473" i="7"/>
  <c r="G474" i="7"/>
  <c r="H474" i="7"/>
  <c r="I474" i="7"/>
  <c r="J474" i="7"/>
  <c r="K474" i="7"/>
  <c r="L474" i="7"/>
  <c r="G475" i="7"/>
  <c r="H475" i="7"/>
  <c r="I475" i="7"/>
  <c r="J475" i="7"/>
  <c r="K475" i="7"/>
  <c r="L475" i="7"/>
  <c r="G476" i="7"/>
  <c r="H476" i="7"/>
  <c r="I476" i="7"/>
  <c r="J476" i="7"/>
  <c r="K476" i="7"/>
  <c r="L476" i="7"/>
  <c r="G477" i="7"/>
  <c r="H477" i="7"/>
  <c r="I477" i="7"/>
  <c r="J477" i="7"/>
  <c r="K477" i="7"/>
  <c r="L477" i="7"/>
  <c r="G478" i="7"/>
  <c r="H478" i="7"/>
  <c r="I478" i="7"/>
  <c r="J478" i="7"/>
  <c r="K478" i="7"/>
  <c r="L478" i="7"/>
  <c r="G479" i="7"/>
  <c r="H479" i="7"/>
  <c r="I479" i="7"/>
  <c r="J479" i="7"/>
  <c r="K479" i="7"/>
  <c r="L479" i="7"/>
  <c r="G480" i="7"/>
  <c r="H480" i="7"/>
  <c r="I480" i="7"/>
  <c r="J480" i="7"/>
  <c r="K480" i="7"/>
  <c r="L480" i="7"/>
  <c r="G481" i="7"/>
  <c r="H481" i="7"/>
  <c r="I481" i="7"/>
  <c r="J481" i="7"/>
  <c r="K481" i="7"/>
  <c r="L481" i="7"/>
  <c r="G482" i="7"/>
  <c r="H482" i="7"/>
  <c r="I482" i="7"/>
  <c r="J482" i="7"/>
  <c r="K482" i="7"/>
  <c r="L482" i="7"/>
  <c r="G483" i="7"/>
  <c r="H483" i="7"/>
  <c r="I483" i="7"/>
  <c r="J483" i="7"/>
  <c r="K483" i="7"/>
  <c r="L483" i="7"/>
  <c r="G484" i="7"/>
  <c r="H484" i="7"/>
  <c r="I484" i="7"/>
  <c r="J484" i="7"/>
  <c r="K484" i="7"/>
  <c r="L484" i="7"/>
  <c r="G485" i="7"/>
  <c r="H485" i="7"/>
  <c r="I485" i="7"/>
  <c r="J485" i="7"/>
  <c r="K485" i="7"/>
  <c r="L485" i="7"/>
  <c r="G486" i="7"/>
  <c r="H486" i="7"/>
  <c r="I486" i="7"/>
  <c r="J486" i="7"/>
  <c r="K486" i="7"/>
  <c r="L486" i="7"/>
  <c r="G487" i="7"/>
  <c r="H487" i="7"/>
  <c r="I487" i="7"/>
  <c r="J487" i="7"/>
  <c r="K487" i="7"/>
  <c r="L487" i="7"/>
  <c r="G488" i="7"/>
  <c r="H488" i="7"/>
  <c r="I488" i="7"/>
  <c r="J488" i="7"/>
  <c r="K488" i="7"/>
  <c r="L488" i="7"/>
  <c r="G489" i="7"/>
  <c r="H489" i="7"/>
  <c r="I489" i="7"/>
  <c r="J489" i="7"/>
  <c r="K489" i="7"/>
  <c r="L489" i="7"/>
  <c r="G490" i="7"/>
  <c r="H490" i="7"/>
  <c r="I490" i="7"/>
  <c r="J490" i="7"/>
  <c r="K490" i="7"/>
  <c r="L490" i="7"/>
  <c r="G491" i="7"/>
  <c r="H491" i="7"/>
  <c r="I491" i="7"/>
  <c r="J491" i="7"/>
  <c r="K491" i="7"/>
  <c r="L491" i="7"/>
  <c r="G492" i="7"/>
  <c r="H492" i="7"/>
  <c r="I492" i="7"/>
  <c r="J492" i="7"/>
  <c r="K492" i="7"/>
  <c r="L492" i="7"/>
  <c r="G493" i="7"/>
  <c r="H493" i="7"/>
  <c r="I493" i="7"/>
  <c r="J493" i="7"/>
  <c r="K493" i="7"/>
  <c r="L493" i="7"/>
  <c r="G494" i="7"/>
  <c r="H494" i="7"/>
  <c r="I494" i="7"/>
  <c r="J494" i="7"/>
  <c r="K494" i="7"/>
  <c r="L494" i="7"/>
  <c r="G495" i="7"/>
  <c r="H495" i="7"/>
  <c r="I495" i="7"/>
  <c r="J495" i="7"/>
  <c r="K495" i="7"/>
  <c r="L495" i="7"/>
  <c r="G496" i="7"/>
  <c r="H496" i="7"/>
  <c r="I496" i="7"/>
  <c r="J496" i="7"/>
  <c r="K496" i="7"/>
  <c r="L496" i="7"/>
  <c r="G497" i="7"/>
  <c r="H497" i="7"/>
  <c r="I497" i="7"/>
  <c r="J497" i="7"/>
  <c r="K497" i="7"/>
  <c r="L497" i="7"/>
  <c r="G498" i="7"/>
  <c r="H498" i="7"/>
  <c r="I498" i="7"/>
  <c r="J498" i="7"/>
  <c r="K498" i="7"/>
  <c r="L498" i="7"/>
  <c r="G499" i="7"/>
  <c r="H499" i="7"/>
  <c r="I499" i="7"/>
  <c r="J499" i="7"/>
  <c r="K499" i="7"/>
  <c r="L499" i="7"/>
  <c r="G500" i="7"/>
  <c r="H500" i="7"/>
  <c r="I500" i="7"/>
  <c r="J500" i="7"/>
  <c r="K500" i="7"/>
  <c r="L500" i="7"/>
  <c r="G501" i="7"/>
  <c r="H501" i="7"/>
  <c r="I501" i="7"/>
  <c r="J501" i="7"/>
  <c r="K501" i="7"/>
  <c r="L501" i="7"/>
  <c r="G502" i="7"/>
  <c r="H502" i="7"/>
  <c r="I502" i="7"/>
  <c r="J502" i="7"/>
  <c r="K502" i="7"/>
  <c r="L502" i="7"/>
  <c r="G503" i="7"/>
  <c r="H503" i="7"/>
  <c r="I503" i="7"/>
  <c r="J503" i="7"/>
  <c r="K503" i="7"/>
  <c r="L503" i="7"/>
  <c r="G504" i="7"/>
  <c r="H504" i="7"/>
  <c r="I504" i="7"/>
  <c r="J504" i="7"/>
  <c r="K504" i="7"/>
  <c r="L504" i="7"/>
  <c r="G505" i="7"/>
  <c r="H505" i="7"/>
  <c r="I505" i="7"/>
  <c r="J505" i="7"/>
  <c r="K505" i="7"/>
  <c r="L505" i="7"/>
  <c r="G506" i="7"/>
  <c r="H506" i="7"/>
  <c r="I506" i="7"/>
  <c r="J506" i="7"/>
  <c r="K506" i="7"/>
  <c r="L506" i="7"/>
  <c r="G507" i="7"/>
  <c r="H507" i="7"/>
  <c r="I507" i="7"/>
  <c r="J507" i="7"/>
  <c r="K507" i="7"/>
  <c r="L507" i="7"/>
  <c r="G508" i="7"/>
  <c r="H508" i="7"/>
  <c r="I508" i="7"/>
  <c r="J508" i="7"/>
  <c r="K508" i="7"/>
  <c r="L508" i="7"/>
  <c r="G509" i="7"/>
  <c r="H509" i="7"/>
  <c r="I509" i="7"/>
  <c r="J509" i="7"/>
  <c r="K509" i="7"/>
  <c r="L509" i="7"/>
  <c r="G510" i="7"/>
  <c r="H510" i="7"/>
  <c r="I510" i="7"/>
  <c r="J510" i="7"/>
  <c r="K510" i="7"/>
  <c r="L510" i="7"/>
  <c r="G511" i="7"/>
  <c r="H511" i="7"/>
  <c r="I511" i="7"/>
  <c r="J511" i="7"/>
  <c r="K511" i="7"/>
  <c r="L511" i="7"/>
  <c r="G512" i="7"/>
  <c r="H512" i="7"/>
  <c r="I512" i="7"/>
  <c r="J512" i="7"/>
  <c r="K512" i="7"/>
  <c r="L512" i="7"/>
  <c r="G513" i="7"/>
  <c r="H513" i="7"/>
  <c r="I513" i="7"/>
  <c r="J513" i="7"/>
  <c r="K513" i="7"/>
  <c r="L513" i="7"/>
  <c r="G514" i="7"/>
  <c r="H514" i="7"/>
  <c r="I514" i="7"/>
  <c r="J514" i="7"/>
  <c r="K514" i="7"/>
  <c r="L514" i="7"/>
  <c r="G515" i="7"/>
  <c r="H515" i="7"/>
  <c r="I515" i="7"/>
  <c r="J515" i="7"/>
  <c r="K515" i="7"/>
  <c r="L515" i="7"/>
  <c r="G516" i="7"/>
  <c r="H516" i="7"/>
  <c r="I516" i="7"/>
  <c r="J516" i="7"/>
  <c r="K516" i="7"/>
  <c r="L516" i="7"/>
  <c r="G517" i="7"/>
  <c r="H517" i="7"/>
  <c r="I517" i="7"/>
  <c r="J517" i="7"/>
  <c r="K517" i="7"/>
  <c r="L517" i="7"/>
  <c r="G518" i="7"/>
  <c r="H518" i="7"/>
  <c r="I518" i="7"/>
  <c r="J518" i="7"/>
  <c r="K518" i="7"/>
  <c r="L518" i="7"/>
  <c r="G519" i="7"/>
  <c r="H519" i="7"/>
  <c r="I519" i="7"/>
  <c r="J519" i="7"/>
  <c r="K519" i="7"/>
  <c r="L519" i="7"/>
  <c r="G520" i="7"/>
  <c r="H520" i="7"/>
  <c r="I520" i="7"/>
  <c r="J520" i="7"/>
  <c r="K520" i="7"/>
  <c r="L520" i="7"/>
  <c r="G521" i="7"/>
  <c r="H521" i="7"/>
  <c r="I521" i="7"/>
  <c r="J521" i="7"/>
  <c r="K521" i="7"/>
  <c r="L521" i="7"/>
  <c r="G522" i="7"/>
  <c r="H522" i="7"/>
  <c r="I522" i="7"/>
  <c r="J522" i="7"/>
  <c r="K522" i="7"/>
  <c r="L522" i="7"/>
  <c r="G523" i="7"/>
  <c r="H523" i="7"/>
  <c r="I523" i="7"/>
  <c r="J523" i="7"/>
  <c r="K523" i="7"/>
  <c r="L523" i="7"/>
  <c r="G524" i="7"/>
  <c r="H524" i="7"/>
  <c r="I524" i="7"/>
  <c r="J524" i="7"/>
  <c r="K524" i="7"/>
  <c r="L524" i="7"/>
  <c r="G525" i="7"/>
  <c r="H525" i="7"/>
  <c r="I525" i="7"/>
  <c r="J525" i="7"/>
  <c r="K525" i="7"/>
  <c r="L525" i="7"/>
  <c r="G526" i="7"/>
  <c r="H526" i="7"/>
  <c r="I526" i="7"/>
  <c r="J526" i="7"/>
  <c r="K526" i="7"/>
  <c r="L526" i="7"/>
  <c r="G527" i="7"/>
  <c r="H527" i="7"/>
  <c r="I527" i="7"/>
  <c r="J527" i="7"/>
  <c r="K527" i="7"/>
  <c r="L527" i="7"/>
  <c r="G528" i="7"/>
  <c r="H528" i="7"/>
  <c r="I528" i="7"/>
  <c r="J528" i="7"/>
  <c r="K528" i="7"/>
  <c r="L528" i="7"/>
  <c r="G529" i="7"/>
  <c r="H529" i="7"/>
  <c r="I529" i="7"/>
  <c r="J529" i="7"/>
  <c r="K529" i="7"/>
  <c r="L529" i="7"/>
  <c r="G530" i="7"/>
  <c r="H530" i="7"/>
  <c r="I530" i="7"/>
  <c r="J530" i="7"/>
  <c r="K530" i="7"/>
  <c r="L530" i="7"/>
  <c r="G531" i="7"/>
  <c r="H531" i="7"/>
  <c r="I531" i="7"/>
  <c r="J531" i="7"/>
  <c r="K531" i="7"/>
  <c r="L531" i="7"/>
  <c r="G532" i="7"/>
  <c r="H532" i="7"/>
  <c r="I532" i="7"/>
  <c r="J532" i="7"/>
  <c r="K532" i="7"/>
  <c r="L532" i="7"/>
  <c r="G533" i="7"/>
  <c r="H533" i="7"/>
  <c r="I533" i="7"/>
  <c r="J533" i="7"/>
  <c r="K533" i="7"/>
  <c r="L533" i="7"/>
  <c r="G534" i="7"/>
  <c r="H534" i="7"/>
  <c r="I534" i="7"/>
  <c r="J534" i="7"/>
  <c r="K534" i="7"/>
  <c r="L534" i="7"/>
  <c r="G535" i="7"/>
  <c r="H535" i="7"/>
  <c r="I535" i="7"/>
  <c r="J535" i="7"/>
  <c r="K535" i="7"/>
  <c r="L535" i="7"/>
  <c r="G536" i="7"/>
  <c r="H536" i="7"/>
  <c r="I536" i="7"/>
  <c r="J536" i="7"/>
  <c r="K536" i="7"/>
  <c r="L536" i="7"/>
  <c r="G537" i="7"/>
  <c r="H537" i="7"/>
  <c r="I537" i="7"/>
  <c r="J537" i="7"/>
  <c r="K537" i="7"/>
  <c r="L537" i="7"/>
  <c r="G538" i="7"/>
  <c r="H538" i="7"/>
  <c r="I538" i="7"/>
  <c r="J538" i="7"/>
  <c r="K538" i="7"/>
  <c r="L538" i="7"/>
  <c r="G539" i="7"/>
  <c r="H539" i="7"/>
  <c r="I539" i="7"/>
  <c r="J539" i="7"/>
  <c r="K539" i="7"/>
  <c r="L539" i="7"/>
  <c r="G540" i="7"/>
  <c r="H540" i="7"/>
  <c r="I540" i="7"/>
  <c r="J540" i="7"/>
  <c r="K540" i="7"/>
  <c r="L540" i="7"/>
  <c r="G541" i="7"/>
  <c r="H541" i="7"/>
  <c r="I541" i="7"/>
  <c r="J541" i="7"/>
  <c r="K541" i="7"/>
  <c r="L541" i="7"/>
  <c r="G542" i="7"/>
  <c r="H542" i="7"/>
  <c r="I542" i="7"/>
  <c r="J542" i="7"/>
  <c r="K542" i="7"/>
  <c r="L542" i="7"/>
  <c r="G543" i="7"/>
  <c r="H543" i="7"/>
  <c r="I543" i="7"/>
  <c r="J543" i="7"/>
  <c r="K543" i="7"/>
  <c r="L543" i="7"/>
  <c r="G544" i="7"/>
  <c r="H544" i="7"/>
  <c r="I544" i="7"/>
  <c r="J544" i="7"/>
  <c r="K544" i="7"/>
  <c r="L544" i="7"/>
  <c r="G545" i="7"/>
  <c r="H545" i="7"/>
  <c r="I545" i="7"/>
  <c r="J545" i="7"/>
  <c r="K545" i="7"/>
  <c r="L545" i="7"/>
  <c r="G546" i="7"/>
  <c r="H546" i="7"/>
  <c r="I546" i="7"/>
  <c r="J546" i="7"/>
  <c r="K546" i="7"/>
  <c r="L546" i="7"/>
  <c r="G547" i="7"/>
  <c r="H547" i="7"/>
  <c r="I547" i="7"/>
  <c r="J547" i="7"/>
  <c r="K547" i="7"/>
  <c r="L547" i="7"/>
  <c r="G548" i="7"/>
  <c r="H548" i="7"/>
  <c r="I548" i="7"/>
  <c r="J548" i="7"/>
  <c r="K548" i="7"/>
  <c r="L548" i="7"/>
  <c r="G549" i="7"/>
  <c r="H549" i="7"/>
  <c r="I549" i="7"/>
  <c r="J549" i="7"/>
  <c r="K549" i="7"/>
  <c r="L549" i="7"/>
  <c r="G550" i="7"/>
  <c r="H550" i="7"/>
  <c r="I550" i="7"/>
  <c r="J550" i="7"/>
  <c r="K550" i="7"/>
  <c r="L550" i="7"/>
  <c r="G551" i="7"/>
  <c r="H551" i="7"/>
  <c r="I551" i="7"/>
  <c r="J551" i="7"/>
  <c r="K551" i="7"/>
  <c r="L551" i="7"/>
  <c r="G552" i="7"/>
  <c r="H552" i="7"/>
  <c r="I552" i="7"/>
  <c r="J552" i="7"/>
  <c r="K552" i="7"/>
  <c r="L552" i="7"/>
  <c r="G553" i="7"/>
  <c r="H553" i="7"/>
  <c r="I553" i="7"/>
  <c r="J553" i="7"/>
  <c r="K553" i="7"/>
  <c r="L553" i="7"/>
  <c r="G554" i="7"/>
  <c r="H554" i="7"/>
  <c r="I554" i="7"/>
  <c r="J554" i="7"/>
  <c r="K554" i="7"/>
  <c r="L554" i="7"/>
  <c r="G555" i="7"/>
  <c r="H555" i="7"/>
  <c r="I555" i="7"/>
  <c r="J555" i="7"/>
  <c r="K555" i="7"/>
  <c r="L555" i="7"/>
  <c r="G556" i="7"/>
  <c r="H556" i="7"/>
  <c r="I556" i="7"/>
  <c r="J556" i="7"/>
  <c r="K556" i="7"/>
  <c r="L556" i="7"/>
  <c r="G557" i="7"/>
  <c r="H557" i="7"/>
  <c r="I557" i="7"/>
  <c r="J557" i="7"/>
  <c r="K557" i="7"/>
  <c r="L557" i="7"/>
  <c r="G558" i="7"/>
  <c r="H558" i="7"/>
  <c r="I558" i="7"/>
  <c r="J558" i="7"/>
  <c r="K558" i="7"/>
  <c r="L558" i="7"/>
  <c r="G559" i="7"/>
  <c r="H559" i="7"/>
  <c r="I559" i="7"/>
  <c r="J559" i="7"/>
  <c r="K559" i="7"/>
  <c r="L559" i="7"/>
  <c r="G560" i="7"/>
  <c r="H560" i="7"/>
  <c r="I560" i="7"/>
  <c r="J560" i="7"/>
  <c r="K560" i="7"/>
  <c r="L560" i="7"/>
  <c r="G561" i="7"/>
  <c r="H561" i="7"/>
  <c r="I561" i="7"/>
  <c r="J561" i="7"/>
  <c r="K561" i="7"/>
  <c r="L561" i="7"/>
  <c r="G562" i="7"/>
  <c r="H562" i="7"/>
  <c r="I562" i="7"/>
  <c r="J562" i="7"/>
  <c r="K562" i="7"/>
  <c r="L562" i="7"/>
  <c r="G563" i="7"/>
  <c r="H563" i="7"/>
  <c r="I563" i="7"/>
  <c r="J563" i="7"/>
  <c r="K563" i="7"/>
  <c r="L563" i="7"/>
  <c r="G564" i="7"/>
  <c r="H564" i="7"/>
  <c r="I564" i="7"/>
  <c r="J564" i="7"/>
  <c r="K564" i="7"/>
  <c r="L564" i="7"/>
  <c r="G565" i="7"/>
  <c r="H565" i="7"/>
  <c r="I565" i="7"/>
  <c r="J565" i="7"/>
  <c r="K565" i="7"/>
  <c r="L565" i="7"/>
  <c r="G566" i="7"/>
  <c r="H566" i="7"/>
  <c r="I566" i="7"/>
  <c r="J566" i="7"/>
  <c r="K566" i="7"/>
  <c r="L566" i="7"/>
  <c r="G567" i="7"/>
  <c r="H567" i="7"/>
  <c r="I567" i="7"/>
  <c r="J567" i="7"/>
  <c r="K567" i="7"/>
  <c r="L567" i="7"/>
  <c r="G568" i="7"/>
  <c r="H568" i="7"/>
  <c r="I568" i="7"/>
  <c r="J568" i="7"/>
  <c r="K568" i="7"/>
  <c r="L568" i="7"/>
  <c r="G569" i="7"/>
  <c r="H569" i="7"/>
  <c r="I569" i="7"/>
  <c r="J569" i="7"/>
  <c r="K569" i="7"/>
  <c r="L569" i="7"/>
  <c r="G570" i="7"/>
  <c r="H570" i="7"/>
  <c r="I570" i="7"/>
  <c r="J570" i="7"/>
  <c r="K570" i="7"/>
  <c r="L570" i="7"/>
  <c r="G571" i="7"/>
  <c r="H571" i="7"/>
  <c r="I571" i="7"/>
  <c r="J571" i="7"/>
  <c r="K571" i="7"/>
  <c r="L571" i="7"/>
  <c r="G572" i="7"/>
  <c r="H572" i="7"/>
  <c r="I572" i="7"/>
  <c r="J572" i="7"/>
  <c r="K572" i="7"/>
  <c r="L572" i="7"/>
  <c r="G573" i="7"/>
  <c r="H573" i="7"/>
  <c r="I573" i="7"/>
  <c r="J573" i="7"/>
  <c r="K573" i="7"/>
  <c r="L573" i="7"/>
  <c r="G574" i="7"/>
  <c r="H574" i="7"/>
  <c r="I574" i="7"/>
  <c r="J574" i="7"/>
  <c r="K574" i="7"/>
  <c r="L574" i="7"/>
  <c r="G575" i="7"/>
  <c r="H575" i="7"/>
  <c r="I575" i="7"/>
  <c r="J575" i="7"/>
  <c r="K575" i="7"/>
  <c r="L575" i="7"/>
  <c r="G576" i="7"/>
  <c r="H576" i="7"/>
  <c r="I576" i="7"/>
  <c r="J576" i="7"/>
  <c r="K576" i="7"/>
  <c r="L576" i="7"/>
  <c r="G577" i="7"/>
  <c r="H577" i="7"/>
  <c r="I577" i="7"/>
  <c r="J577" i="7"/>
  <c r="K577" i="7"/>
  <c r="L577" i="7"/>
  <c r="G578" i="7"/>
  <c r="H578" i="7"/>
  <c r="I578" i="7"/>
  <c r="J578" i="7"/>
  <c r="K578" i="7"/>
  <c r="L578" i="7"/>
  <c r="G579" i="7"/>
  <c r="H579" i="7"/>
  <c r="I579" i="7"/>
  <c r="J579" i="7"/>
  <c r="K579" i="7"/>
  <c r="L579" i="7"/>
  <c r="G580" i="7"/>
  <c r="H580" i="7"/>
  <c r="I580" i="7"/>
  <c r="J580" i="7"/>
  <c r="K580" i="7"/>
  <c r="L580" i="7"/>
  <c r="G581" i="7"/>
  <c r="H581" i="7"/>
  <c r="I581" i="7"/>
  <c r="J581" i="7"/>
  <c r="K581" i="7"/>
  <c r="L581" i="7"/>
  <c r="G582" i="7"/>
  <c r="H582" i="7"/>
  <c r="I582" i="7"/>
  <c r="J582" i="7"/>
  <c r="K582" i="7"/>
  <c r="L582" i="7"/>
  <c r="G583" i="7"/>
  <c r="H583" i="7"/>
  <c r="I583" i="7"/>
  <c r="J583" i="7"/>
  <c r="K583" i="7"/>
  <c r="L583" i="7"/>
  <c r="G584" i="7"/>
  <c r="H584" i="7"/>
  <c r="I584" i="7"/>
  <c r="J584" i="7"/>
  <c r="K584" i="7"/>
  <c r="L584" i="7"/>
  <c r="G585" i="7"/>
  <c r="H585" i="7"/>
  <c r="I585" i="7"/>
  <c r="J585" i="7"/>
  <c r="K585" i="7"/>
  <c r="L585" i="7"/>
  <c r="G586" i="7"/>
  <c r="H586" i="7"/>
  <c r="I586" i="7"/>
  <c r="J586" i="7"/>
  <c r="K586" i="7"/>
  <c r="L586" i="7"/>
  <c r="G587" i="7"/>
  <c r="H587" i="7"/>
  <c r="I587" i="7"/>
  <c r="J587" i="7"/>
  <c r="K587" i="7"/>
  <c r="L587" i="7"/>
  <c r="G588" i="7"/>
  <c r="H588" i="7"/>
  <c r="I588" i="7"/>
  <c r="J588" i="7"/>
  <c r="K588" i="7"/>
  <c r="L588" i="7"/>
  <c r="G589" i="7"/>
  <c r="H589" i="7"/>
  <c r="I589" i="7"/>
  <c r="J589" i="7"/>
  <c r="K589" i="7"/>
  <c r="L589" i="7"/>
  <c r="G590" i="7"/>
  <c r="H590" i="7"/>
  <c r="I590" i="7"/>
  <c r="J590" i="7"/>
  <c r="K590" i="7"/>
  <c r="L590" i="7"/>
  <c r="G591" i="7"/>
  <c r="H591" i="7"/>
  <c r="I591" i="7"/>
  <c r="J591" i="7"/>
  <c r="K591" i="7"/>
  <c r="L591" i="7"/>
  <c r="G592" i="7"/>
  <c r="H592" i="7"/>
  <c r="I592" i="7"/>
  <c r="J592" i="7"/>
  <c r="K592" i="7"/>
  <c r="L592" i="7"/>
  <c r="G593" i="7"/>
  <c r="H593" i="7"/>
  <c r="I593" i="7"/>
  <c r="J593" i="7"/>
  <c r="K593" i="7"/>
  <c r="L593" i="7"/>
  <c r="G594" i="7"/>
  <c r="H594" i="7"/>
  <c r="I594" i="7"/>
  <c r="J594" i="7"/>
  <c r="K594" i="7"/>
  <c r="L594" i="7"/>
  <c r="G595" i="7"/>
  <c r="H595" i="7"/>
  <c r="I595" i="7"/>
  <c r="J595" i="7"/>
  <c r="K595" i="7"/>
  <c r="L595" i="7"/>
  <c r="G596" i="7"/>
  <c r="H596" i="7"/>
  <c r="I596" i="7"/>
  <c r="J596" i="7"/>
  <c r="K596" i="7"/>
  <c r="L596" i="7"/>
  <c r="G597" i="7"/>
  <c r="H597" i="7"/>
  <c r="I597" i="7"/>
  <c r="J597" i="7"/>
  <c r="K597" i="7"/>
  <c r="L597" i="7"/>
  <c r="G598" i="7"/>
  <c r="H598" i="7"/>
  <c r="I598" i="7"/>
  <c r="J598" i="7"/>
  <c r="K598" i="7"/>
  <c r="L598" i="7"/>
  <c r="G599" i="7"/>
  <c r="H599" i="7"/>
  <c r="I599" i="7"/>
  <c r="J599" i="7"/>
  <c r="K599" i="7"/>
  <c r="L599" i="7"/>
  <c r="G600" i="7"/>
  <c r="H600" i="7"/>
  <c r="I600" i="7"/>
  <c r="J600" i="7"/>
  <c r="K600" i="7"/>
  <c r="L600" i="7"/>
  <c r="G601" i="7"/>
  <c r="H601" i="7"/>
  <c r="I601" i="7"/>
  <c r="J601" i="7"/>
  <c r="K601" i="7"/>
  <c r="L601" i="7"/>
  <c r="G602" i="7"/>
  <c r="H602" i="7"/>
  <c r="I602" i="7"/>
  <c r="J602" i="7"/>
  <c r="K602" i="7"/>
  <c r="L602" i="7"/>
  <c r="G603" i="7"/>
  <c r="H603" i="7"/>
  <c r="I603" i="7"/>
  <c r="J603" i="7"/>
  <c r="K603" i="7"/>
  <c r="L603" i="7"/>
  <c r="G604" i="7"/>
  <c r="H604" i="7"/>
  <c r="I604" i="7"/>
  <c r="J604" i="7"/>
  <c r="K604" i="7"/>
  <c r="L604" i="7"/>
  <c r="G605" i="7"/>
  <c r="H605" i="7"/>
  <c r="I605" i="7"/>
  <c r="J605" i="7"/>
  <c r="K605" i="7"/>
  <c r="L605" i="7"/>
  <c r="G606" i="7"/>
  <c r="H606" i="7"/>
  <c r="I606" i="7"/>
  <c r="J606" i="7"/>
  <c r="K606" i="7"/>
  <c r="L606" i="7"/>
  <c r="G607" i="7"/>
  <c r="H607" i="7"/>
  <c r="I607" i="7"/>
  <c r="J607" i="7"/>
  <c r="K607" i="7"/>
  <c r="L607" i="7"/>
  <c r="G608" i="7"/>
  <c r="H608" i="7"/>
  <c r="I608" i="7"/>
  <c r="J608" i="7"/>
  <c r="K608" i="7"/>
  <c r="L608" i="7"/>
  <c r="G609" i="7"/>
  <c r="H609" i="7"/>
  <c r="I609" i="7"/>
  <c r="J609" i="7"/>
  <c r="K609" i="7"/>
  <c r="L609" i="7"/>
  <c r="G610" i="7"/>
  <c r="H610" i="7"/>
  <c r="I610" i="7"/>
  <c r="J610" i="7"/>
  <c r="K610" i="7"/>
  <c r="L610" i="7"/>
  <c r="G611" i="7"/>
  <c r="H611" i="7"/>
  <c r="I611" i="7"/>
  <c r="J611" i="7"/>
  <c r="K611" i="7"/>
  <c r="L611" i="7"/>
  <c r="G612" i="7"/>
  <c r="H612" i="7"/>
  <c r="I612" i="7"/>
  <c r="J612" i="7"/>
  <c r="K612" i="7"/>
  <c r="L612" i="7"/>
  <c r="G613" i="7"/>
  <c r="H613" i="7"/>
  <c r="I613" i="7"/>
  <c r="J613" i="7"/>
  <c r="K613" i="7"/>
  <c r="L613" i="7"/>
  <c r="G614" i="7"/>
  <c r="H614" i="7"/>
  <c r="I614" i="7"/>
  <c r="J614" i="7"/>
  <c r="K614" i="7"/>
  <c r="L614" i="7"/>
  <c r="G615" i="7"/>
  <c r="H615" i="7"/>
  <c r="I615" i="7"/>
  <c r="J615" i="7"/>
  <c r="K615" i="7"/>
  <c r="L615" i="7"/>
  <c r="G616" i="7"/>
  <c r="H616" i="7"/>
  <c r="I616" i="7"/>
  <c r="J616" i="7"/>
  <c r="K616" i="7"/>
  <c r="L616" i="7"/>
  <c r="G617" i="7"/>
  <c r="H617" i="7"/>
  <c r="I617" i="7"/>
  <c r="J617" i="7"/>
  <c r="K617" i="7"/>
  <c r="L617" i="7"/>
  <c r="G618" i="7"/>
  <c r="H618" i="7"/>
  <c r="I618" i="7"/>
  <c r="J618" i="7"/>
  <c r="K618" i="7"/>
  <c r="L618" i="7"/>
  <c r="G619" i="7"/>
  <c r="H619" i="7"/>
  <c r="I619" i="7"/>
  <c r="J619" i="7"/>
  <c r="K619" i="7"/>
  <c r="L619" i="7"/>
  <c r="G620" i="7"/>
  <c r="H620" i="7"/>
  <c r="I620" i="7"/>
  <c r="J620" i="7"/>
  <c r="K620" i="7"/>
  <c r="L620" i="7"/>
  <c r="G621" i="7"/>
  <c r="H621" i="7"/>
  <c r="I621" i="7"/>
  <c r="J621" i="7"/>
  <c r="K621" i="7"/>
  <c r="L621" i="7"/>
  <c r="G622" i="7"/>
  <c r="H622" i="7"/>
  <c r="I622" i="7"/>
  <c r="J622" i="7"/>
  <c r="K622" i="7"/>
  <c r="L622" i="7"/>
  <c r="G623" i="7"/>
  <c r="H623" i="7"/>
  <c r="I623" i="7"/>
  <c r="J623" i="7"/>
  <c r="K623" i="7"/>
  <c r="L623" i="7"/>
  <c r="G624" i="7"/>
  <c r="H624" i="7"/>
  <c r="I624" i="7"/>
  <c r="J624" i="7"/>
  <c r="K624" i="7"/>
  <c r="L624" i="7"/>
  <c r="G625" i="7"/>
  <c r="H625" i="7"/>
  <c r="I625" i="7"/>
  <c r="J625" i="7"/>
  <c r="K625" i="7"/>
  <c r="L625" i="7"/>
  <c r="G626" i="7"/>
  <c r="H626" i="7"/>
  <c r="I626" i="7"/>
  <c r="J626" i="7"/>
  <c r="K626" i="7"/>
  <c r="L626" i="7"/>
  <c r="G627" i="7"/>
  <c r="H627" i="7"/>
  <c r="I627" i="7"/>
  <c r="J627" i="7"/>
  <c r="K627" i="7"/>
  <c r="L627" i="7"/>
  <c r="G628" i="7"/>
  <c r="H628" i="7"/>
  <c r="I628" i="7"/>
  <c r="J628" i="7"/>
  <c r="K628" i="7"/>
  <c r="L628" i="7"/>
  <c r="G629" i="7"/>
  <c r="H629" i="7"/>
  <c r="I629" i="7"/>
  <c r="J629" i="7"/>
  <c r="K629" i="7"/>
  <c r="L629" i="7"/>
  <c r="G630" i="7"/>
  <c r="H630" i="7"/>
  <c r="I630" i="7"/>
  <c r="J630" i="7"/>
  <c r="K630" i="7"/>
  <c r="L630" i="7"/>
  <c r="G631" i="7"/>
  <c r="H631" i="7"/>
  <c r="I631" i="7"/>
  <c r="J631" i="7"/>
  <c r="K631" i="7"/>
  <c r="L631" i="7"/>
  <c r="G632" i="7"/>
  <c r="H632" i="7"/>
  <c r="I632" i="7"/>
  <c r="J632" i="7"/>
  <c r="K632" i="7"/>
  <c r="L632" i="7"/>
  <c r="G633" i="7"/>
  <c r="H633" i="7"/>
  <c r="I633" i="7"/>
  <c r="J633" i="7"/>
  <c r="K633" i="7"/>
  <c r="L633" i="7"/>
  <c r="G634" i="7"/>
  <c r="H634" i="7"/>
  <c r="I634" i="7"/>
  <c r="J634" i="7"/>
  <c r="K634" i="7"/>
  <c r="L634" i="7"/>
  <c r="G635" i="7"/>
  <c r="H635" i="7"/>
  <c r="I635" i="7"/>
  <c r="J635" i="7"/>
  <c r="K635" i="7"/>
  <c r="L635" i="7"/>
  <c r="G636" i="7"/>
  <c r="H636" i="7"/>
  <c r="I636" i="7"/>
  <c r="J636" i="7"/>
  <c r="K636" i="7"/>
  <c r="L636" i="7"/>
  <c r="G637" i="7"/>
  <c r="H637" i="7"/>
  <c r="I637" i="7"/>
  <c r="J637" i="7"/>
  <c r="K637" i="7"/>
  <c r="L637" i="7"/>
  <c r="G638" i="7"/>
  <c r="H638" i="7"/>
  <c r="I638" i="7"/>
  <c r="J638" i="7"/>
  <c r="K638" i="7"/>
  <c r="L638" i="7"/>
  <c r="G639" i="7"/>
  <c r="H639" i="7"/>
  <c r="I639" i="7"/>
  <c r="J639" i="7"/>
  <c r="K639" i="7"/>
  <c r="L639" i="7"/>
  <c r="G640" i="7"/>
  <c r="H640" i="7"/>
  <c r="I640" i="7"/>
  <c r="J640" i="7"/>
  <c r="K640" i="7"/>
  <c r="L640" i="7"/>
  <c r="G641" i="7"/>
  <c r="H641" i="7"/>
  <c r="I641" i="7"/>
  <c r="J641" i="7"/>
  <c r="K641" i="7"/>
  <c r="L641" i="7"/>
  <c r="G642" i="7"/>
  <c r="H642" i="7"/>
  <c r="I642" i="7"/>
  <c r="J642" i="7"/>
  <c r="K642" i="7"/>
  <c r="L642" i="7"/>
  <c r="G643" i="7"/>
  <c r="H643" i="7"/>
  <c r="I643" i="7"/>
  <c r="J643" i="7"/>
  <c r="K643" i="7"/>
  <c r="L643" i="7"/>
  <c r="G644" i="7"/>
  <c r="H644" i="7"/>
  <c r="I644" i="7"/>
  <c r="J644" i="7"/>
  <c r="K644" i="7"/>
  <c r="L644" i="7"/>
  <c r="G645" i="7"/>
  <c r="H645" i="7"/>
  <c r="I645" i="7"/>
  <c r="J645" i="7"/>
  <c r="K645" i="7"/>
  <c r="L645" i="7"/>
  <c r="G646" i="7"/>
  <c r="H646" i="7"/>
  <c r="I646" i="7"/>
  <c r="J646" i="7"/>
  <c r="K646" i="7"/>
  <c r="L646" i="7"/>
  <c r="G647" i="7"/>
  <c r="H647" i="7"/>
  <c r="I647" i="7"/>
  <c r="J647" i="7"/>
  <c r="K647" i="7"/>
  <c r="L647" i="7"/>
  <c r="G648" i="7"/>
  <c r="H648" i="7"/>
  <c r="I648" i="7"/>
  <c r="J648" i="7"/>
  <c r="K648" i="7"/>
  <c r="L648" i="7"/>
  <c r="G649" i="7"/>
  <c r="H649" i="7"/>
  <c r="I649" i="7"/>
  <c r="J649" i="7"/>
  <c r="K649" i="7"/>
  <c r="L649" i="7"/>
  <c r="G650" i="7"/>
  <c r="H650" i="7"/>
  <c r="I650" i="7"/>
  <c r="J650" i="7"/>
  <c r="K650" i="7"/>
  <c r="L650" i="7"/>
  <c r="G651" i="7"/>
  <c r="H651" i="7"/>
  <c r="I651" i="7"/>
  <c r="J651" i="7"/>
  <c r="K651" i="7"/>
  <c r="L651" i="7"/>
  <c r="G652" i="7"/>
  <c r="H652" i="7"/>
  <c r="I652" i="7"/>
  <c r="J652" i="7"/>
  <c r="K652" i="7"/>
  <c r="L652" i="7"/>
  <c r="G653" i="7"/>
  <c r="H653" i="7"/>
  <c r="I653" i="7"/>
  <c r="J653" i="7"/>
  <c r="K653" i="7"/>
  <c r="L653" i="7"/>
  <c r="G654" i="7"/>
  <c r="H654" i="7"/>
  <c r="I654" i="7"/>
  <c r="J654" i="7"/>
  <c r="K654" i="7"/>
  <c r="L654" i="7"/>
  <c r="G655" i="7"/>
  <c r="H655" i="7"/>
  <c r="I655" i="7"/>
  <c r="J655" i="7"/>
  <c r="K655" i="7"/>
  <c r="L655" i="7"/>
  <c r="G656" i="7"/>
  <c r="H656" i="7"/>
  <c r="I656" i="7"/>
  <c r="J656" i="7"/>
  <c r="K656" i="7"/>
  <c r="L656" i="7"/>
  <c r="G657" i="7"/>
  <c r="H657" i="7"/>
  <c r="I657" i="7"/>
  <c r="J657" i="7"/>
  <c r="K657" i="7"/>
  <c r="L657" i="7"/>
  <c r="G658" i="7"/>
  <c r="H658" i="7"/>
  <c r="I658" i="7"/>
  <c r="J658" i="7"/>
  <c r="K658" i="7"/>
  <c r="L658" i="7"/>
  <c r="G659" i="7"/>
  <c r="H659" i="7"/>
  <c r="I659" i="7"/>
  <c r="J659" i="7"/>
  <c r="K659" i="7"/>
  <c r="L659" i="7"/>
  <c r="G660" i="7"/>
  <c r="H660" i="7"/>
  <c r="I660" i="7"/>
  <c r="J660" i="7"/>
  <c r="K660" i="7"/>
  <c r="L660" i="7"/>
  <c r="G661" i="7"/>
  <c r="H661" i="7"/>
  <c r="I661" i="7"/>
  <c r="J661" i="7"/>
  <c r="K661" i="7"/>
  <c r="L661" i="7"/>
  <c r="G662" i="7"/>
  <c r="H662" i="7"/>
  <c r="I662" i="7"/>
  <c r="J662" i="7"/>
  <c r="K662" i="7"/>
  <c r="L662" i="7"/>
  <c r="G663" i="7"/>
  <c r="H663" i="7"/>
  <c r="I663" i="7"/>
  <c r="J663" i="7"/>
  <c r="K663" i="7"/>
  <c r="L663" i="7"/>
  <c r="G664" i="7"/>
  <c r="H664" i="7"/>
  <c r="I664" i="7"/>
  <c r="J664" i="7"/>
  <c r="K664" i="7"/>
  <c r="L664" i="7"/>
  <c r="G665" i="7"/>
  <c r="H665" i="7"/>
  <c r="I665" i="7"/>
  <c r="J665" i="7"/>
  <c r="K665" i="7"/>
  <c r="L665" i="7"/>
  <c r="G666" i="7"/>
  <c r="H666" i="7"/>
  <c r="I666" i="7"/>
  <c r="J666" i="7"/>
  <c r="K666" i="7"/>
  <c r="L666" i="7"/>
  <c r="G667" i="7"/>
  <c r="H667" i="7"/>
  <c r="I667" i="7"/>
  <c r="J667" i="7"/>
  <c r="K667" i="7"/>
  <c r="L667" i="7"/>
  <c r="G668" i="7"/>
  <c r="H668" i="7"/>
  <c r="I668" i="7"/>
  <c r="J668" i="7"/>
  <c r="K668" i="7"/>
  <c r="L668" i="7"/>
  <c r="G669" i="7"/>
  <c r="H669" i="7"/>
  <c r="I669" i="7"/>
  <c r="J669" i="7"/>
  <c r="K669" i="7"/>
  <c r="L669" i="7"/>
  <c r="G670" i="7"/>
  <c r="H670" i="7"/>
  <c r="I670" i="7"/>
  <c r="J670" i="7"/>
  <c r="K670" i="7"/>
  <c r="L670" i="7"/>
  <c r="G671" i="7"/>
  <c r="H671" i="7"/>
  <c r="I671" i="7"/>
  <c r="J671" i="7"/>
  <c r="K671" i="7"/>
  <c r="L671" i="7"/>
  <c r="G672" i="7"/>
  <c r="H672" i="7"/>
  <c r="I672" i="7"/>
  <c r="J672" i="7"/>
  <c r="K672" i="7"/>
  <c r="L672" i="7"/>
  <c r="G673" i="7"/>
  <c r="H673" i="7"/>
  <c r="I673" i="7"/>
  <c r="J673" i="7"/>
  <c r="K673" i="7"/>
  <c r="L673" i="7"/>
  <c r="G674" i="7"/>
  <c r="H674" i="7"/>
  <c r="I674" i="7"/>
  <c r="J674" i="7"/>
  <c r="K674" i="7"/>
  <c r="L674" i="7"/>
  <c r="G675" i="7"/>
  <c r="H675" i="7"/>
  <c r="I675" i="7"/>
  <c r="J675" i="7"/>
  <c r="K675" i="7"/>
  <c r="L675" i="7"/>
  <c r="G676" i="7"/>
  <c r="H676" i="7"/>
  <c r="I676" i="7"/>
  <c r="J676" i="7"/>
  <c r="K676" i="7"/>
  <c r="L676" i="7"/>
  <c r="G677" i="7"/>
  <c r="H677" i="7"/>
  <c r="I677" i="7"/>
  <c r="J677" i="7"/>
  <c r="K677" i="7"/>
  <c r="L677" i="7"/>
  <c r="G678" i="7"/>
  <c r="H678" i="7"/>
  <c r="I678" i="7"/>
  <c r="J678" i="7"/>
  <c r="K678" i="7"/>
  <c r="L678" i="7"/>
  <c r="G679" i="7"/>
  <c r="H679" i="7"/>
  <c r="I679" i="7"/>
  <c r="J679" i="7"/>
  <c r="K679" i="7"/>
  <c r="L679" i="7"/>
  <c r="G680" i="7"/>
  <c r="H680" i="7"/>
  <c r="I680" i="7"/>
  <c r="J680" i="7"/>
  <c r="K680" i="7"/>
  <c r="L680" i="7"/>
  <c r="G681" i="7"/>
  <c r="H681" i="7"/>
  <c r="I681" i="7"/>
  <c r="J681" i="7"/>
  <c r="K681" i="7"/>
  <c r="L681" i="7"/>
  <c r="G682" i="7"/>
  <c r="H682" i="7"/>
  <c r="I682" i="7"/>
  <c r="J682" i="7"/>
  <c r="K682" i="7"/>
  <c r="L682" i="7"/>
  <c r="G683" i="7"/>
  <c r="H683" i="7"/>
  <c r="I683" i="7"/>
  <c r="J683" i="7"/>
  <c r="K683" i="7"/>
  <c r="L683" i="7"/>
  <c r="G684" i="7"/>
  <c r="H684" i="7"/>
  <c r="I684" i="7"/>
  <c r="J684" i="7"/>
  <c r="K684" i="7"/>
  <c r="L684" i="7"/>
  <c r="G685" i="7"/>
  <c r="H685" i="7"/>
  <c r="I685" i="7"/>
  <c r="J685" i="7"/>
  <c r="K685" i="7"/>
  <c r="L685" i="7"/>
  <c r="G686" i="7"/>
  <c r="H686" i="7"/>
  <c r="I686" i="7"/>
  <c r="J686" i="7"/>
  <c r="K686" i="7"/>
  <c r="L686" i="7"/>
  <c r="G687" i="7"/>
  <c r="H687" i="7"/>
  <c r="I687" i="7"/>
  <c r="J687" i="7"/>
  <c r="K687" i="7"/>
  <c r="L687" i="7"/>
  <c r="G688" i="7"/>
  <c r="H688" i="7"/>
  <c r="I688" i="7"/>
  <c r="J688" i="7"/>
  <c r="K688" i="7"/>
  <c r="L688" i="7"/>
  <c r="G689" i="7"/>
  <c r="H689" i="7"/>
  <c r="I689" i="7"/>
  <c r="J689" i="7"/>
  <c r="K689" i="7"/>
  <c r="L689" i="7"/>
  <c r="G690" i="7"/>
  <c r="H690" i="7"/>
  <c r="I690" i="7"/>
  <c r="J690" i="7"/>
  <c r="K690" i="7"/>
  <c r="L690" i="7"/>
  <c r="G691" i="7"/>
  <c r="H691" i="7"/>
  <c r="I691" i="7"/>
  <c r="J691" i="7"/>
  <c r="K691" i="7"/>
  <c r="L691" i="7"/>
  <c r="G692" i="7"/>
  <c r="H692" i="7"/>
  <c r="I692" i="7"/>
  <c r="J692" i="7"/>
  <c r="K692" i="7"/>
  <c r="L692" i="7"/>
  <c r="G693" i="7"/>
  <c r="H693" i="7"/>
  <c r="I693" i="7"/>
  <c r="J693" i="7"/>
  <c r="K693" i="7"/>
  <c r="L693" i="7"/>
  <c r="G694" i="7"/>
  <c r="H694" i="7"/>
  <c r="I694" i="7"/>
  <c r="J694" i="7"/>
  <c r="K694" i="7"/>
  <c r="L694" i="7"/>
  <c r="G695" i="7"/>
  <c r="H695" i="7"/>
  <c r="I695" i="7"/>
  <c r="J695" i="7"/>
  <c r="K695" i="7"/>
  <c r="L695" i="7"/>
  <c r="G696" i="7"/>
  <c r="H696" i="7"/>
  <c r="I696" i="7"/>
  <c r="J696" i="7"/>
  <c r="K696" i="7"/>
  <c r="L696" i="7"/>
  <c r="G697" i="7"/>
  <c r="H697" i="7"/>
  <c r="I697" i="7"/>
  <c r="J697" i="7"/>
  <c r="K697" i="7"/>
  <c r="L697" i="7"/>
  <c r="G698" i="7"/>
  <c r="H698" i="7"/>
  <c r="I698" i="7"/>
  <c r="J698" i="7"/>
  <c r="K698" i="7"/>
  <c r="L698" i="7"/>
  <c r="G699" i="7"/>
  <c r="H699" i="7"/>
  <c r="I699" i="7"/>
  <c r="J699" i="7"/>
  <c r="K699" i="7"/>
  <c r="L699" i="7"/>
  <c r="G700" i="7"/>
  <c r="H700" i="7"/>
  <c r="I700" i="7"/>
  <c r="J700" i="7"/>
  <c r="K700" i="7"/>
  <c r="L700" i="7"/>
  <c r="G701" i="7"/>
  <c r="H701" i="7"/>
  <c r="I701" i="7"/>
  <c r="J701" i="7"/>
  <c r="K701" i="7"/>
  <c r="L701" i="7"/>
  <c r="G702" i="7"/>
  <c r="H702" i="7"/>
  <c r="I702" i="7"/>
  <c r="J702" i="7"/>
  <c r="K702" i="7"/>
  <c r="L702" i="7"/>
  <c r="G703" i="7"/>
  <c r="H703" i="7"/>
  <c r="I703" i="7"/>
  <c r="J703" i="7"/>
  <c r="K703" i="7"/>
  <c r="L703" i="7"/>
  <c r="G704" i="7"/>
  <c r="H704" i="7"/>
  <c r="I704" i="7"/>
  <c r="J704" i="7"/>
  <c r="K704" i="7"/>
  <c r="L704" i="7"/>
  <c r="G705" i="7"/>
  <c r="H705" i="7"/>
  <c r="I705" i="7"/>
  <c r="J705" i="7"/>
  <c r="K705" i="7"/>
  <c r="L705" i="7"/>
  <c r="G706" i="7"/>
  <c r="H706" i="7"/>
  <c r="I706" i="7"/>
  <c r="J706" i="7"/>
  <c r="K706" i="7"/>
  <c r="L706" i="7"/>
  <c r="G707" i="7"/>
  <c r="H707" i="7"/>
  <c r="I707" i="7"/>
  <c r="J707" i="7"/>
  <c r="K707" i="7"/>
  <c r="L707" i="7"/>
  <c r="G708" i="7"/>
  <c r="H708" i="7"/>
  <c r="I708" i="7"/>
  <c r="J708" i="7"/>
  <c r="K708" i="7"/>
  <c r="L708" i="7"/>
  <c r="G709" i="7"/>
  <c r="H709" i="7"/>
  <c r="I709" i="7"/>
  <c r="J709" i="7"/>
  <c r="K709" i="7"/>
  <c r="L709" i="7"/>
  <c r="G710" i="7"/>
  <c r="H710" i="7"/>
  <c r="I710" i="7"/>
  <c r="J710" i="7"/>
  <c r="K710" i="7"/>
  <c r="L710" i="7"/>
  <c r="G711" i="7"/>
  <c r="H711" i="7"/>
  <c r="I711" i="7"/>
  <c r="J711" i="7"/>
  <c r="K711" i="7"/>
  <c r="L711" i="7"/>
  <c r="G712" i="7"/>
  <c r="H712" i="7"/>
  <c r="I712" i="7"/>
  <c r="J712" i="7"/>
  <c r="K712" i="7"/>
  <c r="L712" i="7"/>
  <c r="G713" i="7"/>
  <c r="H713" i="7"/>
  <c r="I713" i="7"/>
  <c r="J713" i="7"/>
  <c r="K713" i="7"/>
  <c r="L713" i="7"/>
  <c r="G714" i="7"/>
  <c r="H714" i="7"/>
  <c r="I714" i="7"/>
  <c r="J714" i="7"/>
  <c r="K714" i="7"/>
  <c r="L714" i="7"/>
  <c r="G715" i="7"/>
  <c r="H715" i="7"/>
  <c r="I715" i="7"/>
  <c r="J715" i="7"/>
  <c r="K715" i="7"/>
  <c r="L715" i="7"/>
  <c r="G716" i="7"/>
  <c r="H716" i="7"/>
  <c r="I716" i="7"/>
  <c r="J716" i="7"/>
  <c r="K716" i="7"/>
  <c r="L716" i="7"/>
  <c r="G717" i="7"/>
  <c r="H717" i="7"/>
  <c r="I717" i="7"/>
  <c r="J717" i="7"/>
  <c r="K717" i="7"/>
  <c r="L717" i="7"/>
  <c r="G718" i="7"/>
  <c r="H718" i="7"/>
  <c r="I718" i="7"/>
  <c r="J718" i="7"/>
  <c r="K718" i="7"/>
  <c r="L718" i="7"/>
  <c r="G719" i="7"/>
  <c r="H719" i="7"/>
  <c r="I719" i="7"/>
  <c r="J719" i="7"/>
  <c r="K719" i="7"/>
  <c r="L719" i="7"/>
  <c r="G720" i="7"/>
  <c r="H720" i="7"/>
  <c r="I720" i="7"/>
  <c r="J720" i="7"/>
  <c r="K720" i="7"/>
  <c r="L720" i="7"/>
  <c r="G721" i="7"/>
  <c r="H721" i="7"/>
  <c r="I721" i="7"/>
  <c r="J721" i="7"/>
  <c r="K721" i="7"/>
  <c r="L721" i="7"/>
  <c r="G722" i="7"/>
  <c r="H722" i="7"/>
  <c r="I722" i="7"/>
  <c r="J722" i="7"/>
  <c r="K722" i="7"/>
  <c r="L722" i="7"/>
  <c r="G723" i="7"/>
  <c r="H723" i="7"/>
  <c r="I723" i="7"/>
  <c r="J723" i="7"/>
  <c r="K723" i="7"/>
  <c r="L723" i="7"/>
  <c r="G724" i="7"/>
  <c r="H724" i="7"/>
  <c r="I724" i="7"/>
  <c r="J724" i="7"/>
  <c r="K724" i="7"/>
  <c r="L724" i="7"/>
  <c r="G725" i="7"/>
  <c r="H725" i="7"/>
  <c r="I725" i="7"/>
  <c r="J725" i="7"/>
  <c r="K725" i="7"/>
  <c r="L725" i="7"/>
  <c r="G726" i="7"/>
  <c r="H726" i="7"/>
  <c r="I726" i="7"/>
  <c r="J726" i="7"/>
  <c r="K726" i="7"/>
  <c r="L726" i="7"/>
  <c r="G727" i="7"/>
  <c r="H727" i="7"/>
  <c r="I727" i="7"/>
  <c r="J727" i="7"/>
  <c r="K727" i="7"/>
  <c r="L727" i="7"/>
  <c r="G728" i="7"/>
  <c r="H728" i="7"/>
  <c r="I728" i="7"/>
  <c r="J728" i="7"/>
  <c r="K728" i="7"/>
  <c r="L728" i="7"/>
  <c r="G729" i="7"/>
  <c r="H729" i="7"/>
  <c r="I729" i="7"/>
  <c r="J729" i="7"/>
  <c r="K729" i="7"/>
  <c r="L729" i="7"/>
  <c r="G730" i="7"/>
  <c r="H730" i="7"/>
  <c r="I730" i="7"/>
  <c r="J730" i="7"/>
  <c r="K730" i="7"/>
  <c r="L730" i="7"/>
  <c r="G731" i="7"/>
  <c r="H731" i="7"/>
  <c r="I731" i="7"/>
  <c r="J731" i="7"/>
  <c r="K731" i="7"/>
  <c r="L731" i="7"/>
  <c r="G732" i="7"/>
  <c r="H732" i="7"/>
  <c r="I732" i="7"/>
  <c r="J732" i="7"/>
  <c r="K732" i="7"/>
  <c r="L732" i="7"/>
  <c r="G733" i="7"/>
  <c r="H733" i="7"/>
  <c r="I733" i="7"/>
  <c r="J733" i="7"/>
  <c r="K733" i="7"/>
  <c r="L733" i="7"/>
  <c r="G734" i="7"/>
  <c r="H734" i="7"/>
  <c r="I734" i="7"/>
  <c r="J734" i="7"/>
  <c r="K734" i="7"/>
  <c r="L734" i="7"/>
  <c r="G735" i="7"/>
  <c r="H735" i="7"/>
  <c r="I735" i="7"/>
  <c r="J735" i="7"/>
  <c r="K735" i="7"/>
  <c r="L735" i="7"/>
  <c r="G736" i="7"/>
  <c r="H736" i="7"/>
  <c r="I736" i="7"/>
  <c r="J736" i="7"/>
  <c r="K736" i="7"/>
  <c r="L736" i="7"/>
  <c r="G737" i="7"/>
  <c r="H737" i="7"/>
  <c r="I737" i="7"/>
  <c r="J737" i="7"/>
  <c r="K737" i="7"/>
  <c r="L737" i="7"/>
  <c r="G738" i="7"/>
  <c r="H738" i="7"/>
  <c r="I738" i="7"/>
  <c r="J738" i="7"/>
  <c r="K738" i="7"/>
  <c r="L738" i="7"/>
  <c r="G739" i="7"/>
  <c r="H739" i="7"/>
  <c r="I739" i="7"/>
  <c r="J739" i="7"/>
  <c r="K739" i="7"/>
  <c r="L739" i="7"/>
  <c r="G740" i="7"/>
  <c r="H740" i="7"/>
  <c r="I740" i="7"/>
  <c r="J740" i="7"/>
  <c r="K740" i="7"/>
  <c r="L740" i="7"/>
  <c r="G741" i="7"/>
  <c r="H741" i="7"/>
  <c r="I741" i="7"/>
  <c r="J741" i="7"/>
  <c r="K741" i="7"/>
  <c r="L741" i="7"/>
  <c r="G742" i="7"/>
  <c r="H742" i="7"/>
  <c r="I742" i="7"/>
  <c r="J742" i="7"/>
  <c r="K742" i="7"/>
  <c r="L742" i="7"/>
  <c r="G743" i="7"/>
  <c r="H743" i="7"/>
  <c r="I743" i="7"/>
  <c r="J743" i="7"/>
  <c r="K743" i="7"/>
  <c r="L743" i="7"/>
  <c r="G744" i="7"/>
  <c r="H744" i="7"/>
  <c r="I744" i="7"/>
  <c r="J744" i="7"/>
  <c r="K744" i="7"/>
  <c r="L744" i="7"/>
  <c r="G745" i="7"/>
  <c r="H745" i="7"/>
  <c r="I745" i="7"/>
  <c r="J745" i="7"/>
  <c r="K745" i="7"/>
  <c r="L745" i="7"/>
  <c r="G746" i="7"/>
  <c r="H746" i="7"/>
  <c r="I746" i="7"/>
  <c r="J746" i="7"/>
  <c r="K746" i="7"/>
  <c r="L746" i="7"/>
  <c r="G747" i="7"/>
  <c r="H747" i="7"/>
  <c r="I747" i="7"/>
  <c r="J747" i="7"/>
  <c r="K747" i="7"/>
  <c r="L747" i="7"/>
  <c r="G748" i="7"/>
  <c r="H748" i="7"/>
  <c r="I748" i="7"/>
  <c r="J748" i="7"/>
  <c r="K748" i="7"/>
  <c r="L748" i="7"/>
  <c r="G749" i="7"/>
  <c r="H749" i="7"/>
  <c r="I749" i="7"/>
  <c r="J749" i="7"/>
  <c r="K749" i="7"/>
  <c r="L749" i="7"/>
  <c r="G750" i="7"/>
  <c r="H750" i="7"/>
  <c r="I750" i="7"/>
  <c r="J750" i="7"/>
  <c r="K750" i="7"/>
  <c r="L750" i="7"/>
  <c r="G751" i="7"/>
  <c r="H751" i="7"/>
  <c r="I751" i="7"/>
  <c r="J751" i="7"/>
  <c r="K751" i="7"/>
  <c r="L751" i="7"/>
  <c r="G752" i="7"/>
  <c r="H752" i="7"/>
  <c r="I752" i="7"/>
  <c r="J752" i="7"/>
  <c r="K752" i="7"/>
  <c r="L752" i="7"/>
  <c r="G753" i="7"/>
  <c r="H753" i="7"/>
  <c r="I753" i="7"/>
  <c r="J753" i="7"/>
  <c r="K753" i="7"/>
  <c r="L753" i="7"/>
  <c r="G754" i="7"/>
  <c r="H754" i="7"/>
  <c r="I754" i="7"/>
  <c r="J754" i="7"/>
  <c r="K754" i="7"/>
  <c r="L754" i="7"/>
  <c r="G755" i="7"/>
  <c r="H755" i="7"/>
  <c r="I755" i="7"/>
  <c r="J755" i="7"/>
  <c r="K755" i="7"/>
  <c r="L755" i="7"/>
  <c r="G756" i="7"/>
  <c r="H756" i="7"/>
  <c r="I756" i="7"/>
  <c r="J756" i="7"/>
  <c r="K756" i="7"/>
  <c r="L756" i="7"/>
  <c r="G757" i="7"/>
  <c r="H757" i="7"/>
  <c r="I757" i="7"/>
  <c r="J757" i="7"/>
  <c r="K757" i="7"/>
  <c r="L757" i="7"/>
  <c r="G758" i="7"/>
  <c r="H758" i="7"/>
  <c r="I758" i="7"/>
  <c r="J758" i="7"/>
  <c r="K758" i="7"/>
  <c r="L758" i="7"/>
  <c r="G759" i="7"/>
  <c r="H759" i="7"/>
  <c r="I759" i="7"/>
  <c r="J759" i="7"/>
  <c r="K759" i="7"/>
  <c r="L759" i="7"/>
  <c r="G760" i="7"/>
  <c r="H760" i="7"/>
  <c r="I760" i="7"/>
  <c r="J760" i="7"/>
  <c r="K760" i="7"/>
  <c r="L760" i="7"/>
  <c r="G761" i="7"/>
  <c r="H761" i="7"/>
  <c r="I761" i="7"/>
  <c r="J761" i="7"/>
  <c r="K761" i="7"/>
  <c r="L761" i="7"/>
  <c r="G762" i="7"/>
  <c r="H762" i="7"/>
  <c r="I762" i="7"/>
  <c r="J762" i="7"/>
  <c r="K762" i="7"/>
  <c r="L762" i="7"/>
  <c r="G763" i="7"/>
  <c r="H763" i="7"/>
  <c r="I763" i="7"/>
  <c r="J763" i="7"/>
  <c r="K763" i="7"/>
  <c r="L763" i="7"/>
  <c r="G764" i="7"/>
  <c r="H764" i="7"/>
  <c r="I764" i="7"/>
  <c r="J764" i="7"/>
  <c r="K764" i="7"/>
  <c r="L764" i="7"/>
  <c r="G765" i="7"/>
  <c r="H765" i="7"/>
  <c r="I765" i="7"/>
  <c r="J765" i="7"/>
  <c r="K765" i="7"/>
  <c r="L765" i="7"/>
  <c r="G766" i="7"/>
  <c r="H766" i="7"/>
  <c r="I766" i="7"/>
  <c r="J766" i="7"/>
  <c r="K766" i="7"/>
  <c r="L766" i="7"/>
  <c r="G767" i="7"/>
  <c r="H767" i="7"/>
  <c r="I767" i="7"/>
  <c r="J767" i="7"/>
  <c r="K767" i="7"/>
  <c r="L767" i="7"/>
  <c r="G768" i="7"/>
  <c r="H768" i="7"/>
  <c r="I768" i="7"/>
  <c r="J768" i="7"/>
  <c r="K768" i="7"/>
  <c r="L768" i="7"/>
  <c r="G769" i="7"/>
  <c r="H769" i="7"/>
  <c r="I769" i="7"/>
  <c r="J769" i="7"/>
  <c r="K769" i="7"/>
  <c r="L769" i="7"/>
  <c r="G770" i="7"/>
  <c r="H770" i="7"/>
  <c r="I770" i="7"/>
  <c r="J770" i="7"/>
  <c r="K770" i="7"/>
  <c r="L770" i="7"/>
  <c r="G771" i="7"/>
  <c r="H771" i="7"/>
  <c r="I771" i="7"/>
  <c r="J771" i="7"/>
  <c r="K771" i="7"/>
  <c r="L771" i="7"/>
  <c r="G772" i="7"/>
  <c r="H772" i="7"/>
  <c r="I772" i="7"/>
  <c r="J772" i="7"/>
  <c r="K772" i="7"/>
  <c r="L772" i="7"/>
  <c r="G773" i="7"/>
  <c r="H773" i="7"/>
  <c r="I773" i="7"/>
  <c r="J773" i="7"/>
  <c r="K773" i="7"/>
  <c r="L773" i="7"/>
  <c r="G774" i="7"/>
  <c r="H774" i="7"/>
  <c r="I774" i="7"/>
  <c r="J774" i="7"/>
  <c r="K774" i="7"/>
  <c r="L774" i="7"/>
  <c r="G775" i="7"/>
  <c r="H775" i="7"/>
  <c r="I775" i="7"/>
  <c r="J775" i="7"/>
  <c r="K775" i="7"/>
  <c r="L775" i="7"/>
  <c r="G776" i="7"/>
  <c r="H776" i="7"/>
  <c r="I776" i="7"/>
  <c r="J776" i="7"/>
  <c r="K776" i="7"/>
  <c r="L776" i="7"/>
  <c r="G777" i="7"/>
  <c r="H777" i="7"/>
  <c r="I777" i="7"/>
  <c r="J777" i="7"/>
  <c r="K777" i="7"/>
  <c r="L777" i="7"/>
  <c r="G778" i="7"/>
  <c r="H778" i="7"/>
  <c r="I778" i="7"/>
  <c r="J778" i="7"/>
  <c r="K778" i="7"/>
  <c r="L778" i="7"/>
  <c r="G779" i="7"/>
  <c r="H779" i="7"/>
  <c r="I779" i="7"/>
  <c r="J779" i="7"/>
  <c r="K779" i="7"/>
  <c r="L779" i="7"/>
  <c r="G780" i="7"/>
  <c r="H780" i="7"/>
  <c r="I780" i="7"/>
  <c r="J780" i="7"/>
  <c r="K780" i="7"/>
  <c r="L780" i="7"/>
  <c r="G781" i="7"/>
  <c r="H781" i="7"/>
  <c r="I781" i="7"/>
  <c r="J781" i="7"/>
  <c r="K781" i="7"/>
  <c r="L781" i="7"/>
  <c r="G782" i="7"/>
  <c r="H782" i="7"/>
  <c r="I782" i="7"/>
  <c r="J782" i="7"/>
  <c r="K782" i="7"/>
  <c r="L782" i="7"/>
  <c r="G783" i="7"/>
  <c r="H783" i="7"/>
  <c r="I783" i="7"/>
  <c r="J783" i="7"/>
  <c r="K783" i="7"/>
  <c r="L783" i="7"/>
  <c r="G784" i="7"/>
  <c r="H784" i="7"/>
  <c r="I784" i="7"/>
  <c r="J784" i="7"/>
  <c r="K784" i="7"/>
  <c r="L784" i="7"/>
  <c r="G785" i="7"/>
  <c r="H785" i="7"/>
  <c r="I785" i="7"/>
  <c r="J785" i="7"/>
  <c r="K785" i="7"/>
  <c r="L785" i="7"/>
  <c r="G786" i="7"/>
  <c r="H786" i="7"/>
  <c r="I786" i="7"/>
  <c r="J786" i="7"/>
  <c r="K786" i="7"/>
  <c r="L786" i="7"/>
  <c r="G787" i="7"/>
  <c r="H787" i="7"/>
  <c r="I787" i="7"/>
  <c r="J787" i="7"/>
  <c r="K787" i="7"/>
  <c r="L787" i="7"/>
  <c r="G788" i="7"/>
  <c r="H788" i="7"/>
  <c r="I788" i="7"/>
  <c r="J788" i="7"/>
  <c r="K788" i="7"/>
  <c r="L788" i="7"/>
  <c r="G789" i="7"/>
  <c r="H789" i="7"/>
  <c r="I789" i="7"/>
  <c r="J789" i="7"/>
  <c r="K789" i="7"/>
  <c r="L789" i="7"/>
  <c r="G790" i="7"/>
  <c r="H790" i="7"/>
  <c r="I790" i="7"/>
  <c r="J790" i="7"/>
  <c r="K790" i="7"/>
  <c r="L790" i="7"/>
  <c r="G791" i="7"/>
  <c r="H791" i="7"/>
  <c r="I791" i="7"/>
  <c r="J791" i="7"/>
  <c r="K791" i="7"/>
  <c r="L791" i="7"/>
  <c r="G792" i="7"/>
  <c r="H792" i="7"/>
  <c r="I792" i="7"/>
  <c r="J792" i="7"/>
  <c r="K792" i="7"/>
  <c r="L792" i="7"/>
  <c r="G793" i="7"/>
  <c r="H793" i="7"/>
  <c r="I793" i="7"/>
  <c r="J793" i="7"/>
  <c r="K793" i="7"/>
  <c r="L793" i="7"/>
  <c r="G794" i="7"/>
  <c r="H794" i="7"/>
  <c r="I794" i="7"/>
  <c r="J794" i="7"/>
  <c r="K794" i="7"/>
  <c r="L794" i="7"/>
  <c r="G795" i="7"/>
  <c r="H795" i="7"/>
  <c r="I795" i="7"/>
  <c r="J795" i="7"/>
  <c r="K795" i="7"/>
  <c r="L795" i="7"/>
  <c r="G796" i="7"/>
  <c r="H796" i="7"/>
  <c r="I796" i="7"/>
  <c r="J796" i="7"/>
  <c r="K796" i="7"/>
  <c r="L796" i="7"/>
  <c r="G797" i="7"/>
  <c r="H797" i="7"/>
  <c r="I797" i="7"/>
  <c r="J797" i="7"/>
  <c r="K797" i="7"/>
  <c r="L797" i="7"/>
  <c r="G798" i="7"/>
  <c r="H798" i="7"/>
  <c r="I798" i="7"/>
  <c r="J798" i="7"/>
  <c r="K798" i="7"/>
  <c r="L798" i="7"/>
  <c r="G799" i="7"/>
  <c r="H799" i="7"/>
  <c r="I799" i="7"/>
  <c r="J799" i="7"/>
  <c r="K799" i="7"/>
  <c r="L799" i="7"/>
  <c r="G800" i="7"/>
  <c r="H800" i="7"/>
  <c r="I800" i="7"/>
  <c r="J800" i="7"/>
  <c r="K800" i="7"/>
  <c r="L800" i="7"/>
  <c r="G801" i="7"/>
  <c r="H801" i="7"/>
  <c r="I801" i="7"/>
  <c r="J801" i="7"/>
  <c r="K801" i="7"/>
  <c r="L801" i="7"/>
  <c r="G802" i="7"/>
  <c r="H802" i="7"/>
  <c r="I802" i="7"/>
  <c r="J802" i="7"/>
  <c r="K802" i="7"/>
  <c r="L802" i="7"/>
  <c r="G803" i="7"/>
  <c r="H803" i="7"/>
  <c r="I803" i="7"/>
  <c r="J803" i="7"/>
  <c r="K803" i="7"/>
  <c r="L803" i="7"/>
  <c r="G804" i="7"/>
  <c r="H804" i="7"/>
  <c r="I804" i="7"/>
  <c r="J804" i="7"/>
  <c r="K804" i="7"/>
  <c r="L804" i="7"/>
  <c r="G805" i="7"/>
  <c r="H805" i="7"/>
  <c r="I805" i="7"/>
  <c r="J805" i="7"/>
  <c r="K805" i="7"/>
  <c r="L805" i="7"/>
  <c r="G806" i="7"/>
  <c r="H806" i="7"/>
  <c r="I806" i="7"/>
  <c r="J806" i="7"/>
  <c r="K806" i="7"/>
  <c r="L806" i="7"/>
  <c r="G807" i="7"/>
  <c r="H807" i="7"/>
  <c r="I807" i="7"/>
  <c r="J807" i="7"/>
  <c r="K807" i="7"/>
  <c r="L807" i="7"/>
  <c r="G808" i="7"/>
  <c r="H808" i="7"/>
  <c r="I808" i="7"/>
  <c r="J808" i="7"/>
  <c r="K808" i="7"/>
  <c r="L808" i="7"/>
  <c r="G809" i="7"/>
  <c r="H809" i="7"/>
  <c r="I809" i="7"/>
  <c r="J809" i="7"/>
  <c r="K809" i="7"/>
  <c r="L809" i="7"/>
  <c r="G810" i="7"/>
  <c r="H810" i="7"/>
  <c r="I810" i="7"/>
  <c r="J810" i="7"/>
  <c r="K810" i="7"/>
  <c r="L810" i="7"/>
  <c r="G811" i="7"/>
  <c r="H811" i="7"/>
  <c r="I811" i="7"/>
  <c r="J811" i="7"/>
  <c r="K811" i="7"/>
  <c r="L811" i="7"/>
  <c r="G812" i="7"/>
  <c r="H812" i="7"/>
  <c r="I812" i="7"/>
  <c r="J812" i="7"/>
  <c r="K812" i="7"/>
  <c r="L812" i="7"/>
  <c r="G813" i="7"/>
  <c r="H813" i="7"/>
  <c r="I813" i="7"/>
  <c r="J813" i="7"/>
  <c r="K813" i="7"/>
  <c r="L813" i="7"/>
  <c r="G814" i="7"/>
  <c r="H814" i="7"/>
  <c r="I814" i="7"/>
  <c r="J814" i="7"/>
  <c r="K814" i="7"/>
  <c r="L814" i="7"/>
  <c r="G815" i="7"/>
  <c r="H815" i="7"/>
  <c r="I815" i="7"/>
  <c r="J815" i="7"/>
  <c r="K815" i="7"/>
  <c r="L815" i="7"/>
  <c r="G816" i="7"/>
  <c r="H816" i="7"/>
  <c r="I816" i="7"/>
  <c r="J816" i="7"/>
  <c r="K816" i="7"/>
  <c r="L816" i="7"/>
  <c r="G817" i="7"/>
  <c r="H817" i="7"/>
  <c r="I817" i="7"/>
  <c r="J817" i="7"/>
  <c r="K817" i="7"/>
  <c r="L817" i="7"/>
  <c r="G818" i="7"/>
  <c r="H818" i="7"/>
  <c r="I818" i="7"/>
  <c r="J818" i="7"/>
  <c r="K818" i="7"/>
  <c r="L818" i="7"/>
  <c r="G819" i="7"/>
  <c r="H819" i="7"/>
  <c r="I819" i="7"/>
  <c r="J819" i="7"/>
  <c r="K819" i="7"/>
  <c r="L819" i="7"/>
  <c r="G820" i="7"/>
  <c r="H820" i="7"/>
  <c r="I820" i="7"/>
  <c r="J820" i="7"/>
  <c r="K820" i="7"/>
  <c r="L820" i="7"/>
  <c r="G821" i="7"/>
  <c r="H821" i="7"/>
  <c r="I821" i="7"/>
  <c r="J821" i="7"/>
  <c r="K821" i="7"/>
  <c r="L821" i="7"/>
  <c r="G822" i="7"/>
  <c r="H822" i="7"/>
  <c r="I822" i="7"/>
  <c r="J822" i="7"/>
  <c r="K822" i="7"/>
  <c r="L822" i="7"/>
  <c r="G823" i="7"/>
  <c r="H823" i="7"/>
  <c r="I823" i="7"/>
  <c r="J823" i="7"/>
  <c r="K823" i="7"/>
  <c r="L823" i="7"/>
  <c r="G824" i="7"/>
  <c r="H824" i="7"/>
  <c r="I824" i="7"/>
  <c r="J824" i="7"/>
  <c r="K824" i="7"/>
  <c r="L824" i="7"/>
  <c r="G825" i="7"/>
  <c r="H825" i="7"/>
  <c r="I825" i="7"/>
  <c r="J825" i="7"/>
  <c r="K825" i="7"/>
  <c r="L825" i="7"/>
  <c r="G826" i="7"/>
  <c r="H826" i="7"/>
  <c r="I826" i="7"/>
  <c r="J826" i="7"/>
  <c r="K826" i="7"/>
  <c r="L826" i="7"/>
  <c r="G827" i="7"/>
  <c r="H827" i="7"/>
  <c r="I827" i="7"/>
  <c r="J827" i="7"/>
  <c r="K827" i="7"/>
  <c r="L827" i="7"/>
  <c r="G828" i="7"/>
  <c r="H828" i="7"/>
  <c r="I828" i="7"/>
  <c r="J828" i="7"/>
  <c r="K828" i="7"/>
  <c r="L828" i="7"/>
  <c r="G829" i="7"/>
  <c r="H829" i="7"/>
  <c r="I829" i="7"/>
  <c r="J829" i="7"/>
  <c r="K829" i="7"/>
  <c r="L829" i="7"/>
  <c r="G830" i="7"/>
  <c r="H830" i="7"/>
  <c r="I830" i="7"/>
  <c r="J830" i="7"/>
  <c r="K830" i="7"/>
  <c r="L830" i="7"/>
  <c r="G831" i="7"/>
  <c r="H831" i="7"/>
  <c r="I831" i="7"/>
  <c r="J831" i="7"/>
  <c r="K831" i="7"/>
  <c r="L831" i="7"/>
  <c r="G832" i="7"/>
  <c r="H832" i="7"/>
  <c r="I832" i="7"/>
  <c r="J832" i="7"/>
  <c r="K832" i="7"/>
  <c r="L832" i="7"/>
  <c r="G833" i="7"/>
  <c r="H833" i="7"/>
  <c r="I833" i="7"/>
  <c r="J833" i="7"/>
  <c r="K833" i="7"/>
  <c r="L833" i="7"/>
  <c r="G834" i="7"/>
  <c r="H834" i="7"/>
  <c r="I834" i="7"/>
  <c r="J834" i="7"/>
  <c r="K834" i="7"/>
  <c r="L834" i="7"/>
  <c r="G835" i="7"/>
  <c r="H835" i="7"/>
  <c r="I835" i="7"/>
  <c r="J835" i="7"/>
  <c r="K835" i="7"/>
  <c r="L835" i="7"/>
  <c r="G836" i="7"/>
  <c r="H836" i="7"/>
  <c r="I836" i="7"/>
  <c r="J836" i="7"/>
  <c r="K836" i="7"/>
  <c r="L836" i="7"/>
  <c r="G837" i="7"/>
  <c r="H837" i="7"/>
  <c r="I837" i="7"/>
  <c r="J837" i="7"/>
  <c r="K837" i="7"/>
  <c r="L837" i="7"/>
  <c r="G838" i="7"/>
  <c r="H838" i="7"/>
  <c r="I838" i="7"/>
  <c r="J838" i="7"/>
  <c r="K838" i="7"/>
  <c r="L838" i="7"/>
  <c r="G839" i="7"/>
  <c r="H839" i="7"/>
  <c r="I839" i="7"/>
  <c r="J839" i="7"/>
  <c r="K839" i="7"/>
  <c r="L839" i="7"/>
  <c r="G840" i="7"/>
  <c r="H840" i="7"/>
  <c r="I840" i="7"/>
  <c r="J840" i="7"/>
  <c r="K840" i="7"/>
  <c r="L840" i="7"/>
  <c r="G841" i="7"/>
  <c r="H841" i="7"/>
  <c r="I841" i="7"/>
  <c r="J841" i="7"/>
  <c r="K841" i="7"/>
  <c r="L841" i="7"/>
  <c r="G842" i="7"/>
  <c r="H842" i="7"/>
  <c r="I842" i="7"/>
  <c r="J842" i="7"/>
  <c r="K842" i="7"/>
  <c r="L842" i="7"/>
  <c r="G843" i="7"/>
  <c r="H843" i="7"/>
  <c r="I843" i="7"/>
  <c r="J843" i="7"/>
  <c r="K843" i="7"/>
  <c r="L843" i="7"/>
  <c r="G844" i="7"/>
  <c r="H844" i="7"/>
  <c r="I844" i="7"/>
  <c r="J844" i="7"/>
  <c r="K844" i="7"/>
  <c r="L844" i="7"/>
  <c r="G845" i="7"/>
  <c r="H845" i="7"/>
  <c r="I845" i="7"/>
  <c r="J845" i="7"/>
  <c r="K845" i="7"/>
  <c r="L845" i="7"/>
  <c r="G846" i="7"/>
  <c r="H846" i="7"/>
  <c r="I846" i="7"/>
  <c r="J846" i="7"/>
  <c r="K846" i="7"/>
  <c r="L846" i="7"/>
  <c r="G847" i="7"/>
  <c r="H847" i="7"/>
  <c r="I847" i="7"/>
  <c r="J847" i="7"/>
  <c r="K847" i="7"/>
  <c r="L847" i="7"/>
  <c r="G848" i="7"/>
  <c r="H848" i="7"/>
  <c r="I848" i="7"/>
  <c r="J848" i="7"/>
  <c r="K848" i="7"/>
  <c r="L848" i="7"/>
  <c r="G849" i="7"/>
  <c r="H849" i="7"/>
  <c r="I849" i="7"/>
  <c r="J849" i="7"/>
  <c r="K849" i="7"/>
  <c r="L849" i="7"/>
  <c r="G850" i="7"/>
  <c r="H850" i="7"/>
  <c r="I850" i="7"/>
  <c r="J850" i="7"/>
  <c r="K850" i="7"/>
  <c r="L850" i="7"/>
  <c r="G851" i="7"/>
  <c r="H851" i="7"/>
  <c r="I851" i="7"/>
  <c r="J851" i="7"/>
  <c r="K851" i="7"/>
  <c r="L851" i="7"/>
  <c r="G852" i="7"/>
  <c r="H852" i="7"/>
  <c r="I852" i="7"/>
  <c r="J852" i="7"/>
  <c r="K852" i="7"/>
  <c r="L852" i="7"/>
  <c r="G853" i="7"/>
  <c r="H853" i="7"/>
  <c r="I853" i="7"/>
  <c r="J853" i="7"/>
  <c r="K853" i="7"/>
  <c r="L853" i="7"/>
  <c r="G854" i="7"/>
  <c r="H854" i="7"/>
  <c r="I854" i="7"/>
  <c r="J854" i="7"/>
  <c r="K854" i="7"/>
  <c r="L854" i="7"/>
  <c r="G855" i="7"/>
  <c r="H855" i="7"/>
  <c r="I855" i="7"/>
  <c r="J855" i="7"/>
  <c r="K855" i="7"/>
  <c r="L855" i="7"/>
  <c r="G856" i="7"/>
  <c r="H856" i="7"/>
  <c r="I856" i="7"/>
  <c r="J856" i="7"/>
  <c r="K856" i="7"/>
  <c r="L856" i="7"/>
  <c r="G857" i="7"/>
  <c r="H857" i="7"/>
  <c r="I857" i="7"/>
  <c r="J857" i="7"/>
  <c r="K857" i="7"/>
  <c r="L857" i="7"/>
  <c r="G858" i="7"/>
  <c r="H858" i="7"/>
  <c r="I858" i="7"/>
  <c r="J858" i="7"/>
  <c r="K858" i="7"/>
  <c r="L858" i="7"/>
  <c r="G859" i="7"/>
  <c r="H859" i="7"/>
  <c r="I859" i="7"/>
  <c r="J859" i="7"/>
  <c r="K859" i="7"/>
  <c r="L859" i="7"/>
  <c r="H2" i="7"/>
  <c r="I2" i="7"/>
  <c r="J2" i="7"/>
  <c r="K2" i="7"/>
  <c r="L2" i="7"/>
  <c r="G2" i="7"/>
  <c r="K11" i="4" l="1"/>
  <c r="K4" i="4"/>
  <c r="K5" i="4"/>
  <c r="K6" i="4"/>
  <c r="K7" i="4"/>
  <c r="K8" i="4"/>
  <c r="K9" i="4"/>
  <c r="K10" i="4"/>
  <c r="K3" i="4"/>
  <c r="J11" i="4"/>
  <c r="J3" i="4" a="1"/>
  <c r="J3" i="4" s="1"/>
  <c r="E3" i="4" a="1"/>
  <c r="E3" i="4" s="1"/>
  <c r="E8" i="4" l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2" i="1"/>
  <c r="P3" i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P774" i="1"/>
  <c r="Q774" i="1"/>
  <c r="P775" i="1"/>
  <c r="Q775" i="1"/>
  <c r="P776" i="1"/>
  <c r="Q776" i="1"/>
  <c r="P777" i="1"/>
  <c r="Q777" i="1"/>
  <c r="P778" i="1"/>
  <c r="Q778" i="1"/>
  <c r="P779" i="1"/>
  <c r="Q779" i="1"/>
  <c r="P780" i="1"/>
  <c r="Q780" i="1"/>
  <c r="P781" i="1"/>
  <c r="Q781" i="1"/>
  <c r="P782" i="1"/>
  <c r="Q782" i="1"/>
  <c r="P783" i="1"/>
  <c r="Q783" i="1"/>
  <c r="P784" i="1"/>
  <c r="Q784" i="1"/>
  <c r="P785" i="1"/>
  <c r="Q785" i="1"/>
  <c r="P786" i="1"/>
  <c r="Q786" i="1"/>
  <c r="P787" i="1"/>
  <c r="Q787" i="1"/>
  <c r="P788" i="1"/>
  <c r="Q788" i="1"/>
  <c r="P789" i="1"/>
  <c r="Q789" i="1"/>
  <c r="P790" i="1"/>
  <c r="Q790" i="1"/>
  <c r="P791" i="1"/>
  <c r="Q791" i="1"/>
  <c r="P792" i="1"/>
  <c r="Q792" i="1"/>
  <c r="P793" i="1"/>
  <c r="Q793" i="1"/>
  <c r="P794" i="1"/>
  <c r="Q794" i="1"/>
  <c r="P795" i="1"/>
  <c r="Q795" i="1"/>
  <c r="P796" i="1"/>
  <c r="Q796" i="1"/>
  <c r="P797" i="1"/>
  <c r="Q797" i="1"/>
  <c r="P798" i="1"/>
  <c r="Q798" i="1"/>
  <c r="P799" i="1"/>
  <c r="Q799" i="1"/>
  <c r="P800" i="1"/>
  <c r="Q800" i="1"/>
  <c r="P801" i="1"/>
  <c r="Q801" i="1"/>
  <c r="P802" i="1"/>
  <c r="Q802" i="1"/>
  <c r="P803" i="1"/>
  <c r="Q803" i="1"/>
  <c r="P804" i="1"/>
  <c r="Q804" i="1"/>
  <c r="P805" i="1"/>
  <c r="Q805" i="1"/>
  <c r="P806" i="1"/>
  <c r="Q806" i="1"/>
  <c r="P807" i="1"/>
  <c r="Q807" i="1"/>
  <c r="P808" i="1"/>
  <c r="Q808" i="1"/>
  <c r="P809" i="1"/>
  <c r="Q809" i="1"/>
  <c r="P810" i="1"/>
  <c r="Q810" i="1"/>
  <c r="P811" i="1"/>
  <c r="Q811" i="1"/>
  <c r="P812" i="1"/>
  <c r="Q812" i="1"/>
  <c r="P813" i="1"/>
  <c r="Q813" i="1"/>
  <c r="P814" i="1"/>
  <c r="Q814" i="1"/>
  <c r="P815" i="1"/>
  <c r="Q815" i="1"/>
  <c r="P816" i="1"/>
  <c r="Q816" i="1"/>
  <c r="P817" i="1"/>
  <c r="Q817" i="1"/>
  <c r="P818" i="1"/>
  <c r="Q818" i="1"/>
  <c r="P819" i="1"/>
  <c r="Q819" i="1"/>
  <c r="P820" i="1"/>
  <c r="Q820" i="1"/>
  <c r="P821" i="1"/>
  <c r="Q821" i="1"/>
  <c r="P822" i="1"/>
  <c r="Q822" i="1"/>
  <c r="P823" i="1"/>
  <c r="Q823" i="1"/>
  <c r="P824" i="1"/>
  <c r="Q824" i="1"/>
  <c r="P825" i="1"/>
  <c r="Q825" i="1"/>
  <c r="P826" i="1"/>
  <c r="Q826" i="1"/>
  <c r="P827" i="1"/>
  <c r="Q827" i="1"/>
  <c r="P828" i="1"/>
  <c r="Q828" i="1"/>
  <c r="P829" i="1"/>
  <c r="Q829" i="1"/>
  <c r="P830" i="1"/>
  <c r="Q830" i="1"/>
  <c r="P831" i="1"/>
  <c r="Q831" i="1"/>
  <c r="P832" i="1"/>
  <c r="Q832" i="1"/>
  <c r="P833" i="1"/>
  <c r="Q833" i="1"/>
  <c r="P834" i="1"/>
  <c r="Q834" i="1"/>
  <c r="P835" i="1"/>
  <c r="Q835" i="1"/>
  <c r="P836" i="1"/>
  <c r="Q836" i="1"/>
  <c r="P837" i="1"/>
  <c r="Q837" i="1"/>
  <c r="P838" i="1"/>
  <c r="Q838" i="1"/>
  <c r="P839" i="1"/>
  <c r="Q839" i="1"/>
  <c r="P840" i="1"/>
  <c r="Q840" i="1"/>
  <c r="P841" i="1"/>
  <c r="Q841" i="1"/>
  <c r="P842" i="1"/>
  <c r="Q842" i="1"/>
  <c r="P843" i="1"/>
  <c r="Q843" i="1"/>
  <c r="P844" i="1"/>
  <c r="Q844" i="1"/>
  <c r="P845" i="1"/>
  <c r="Q845" i="1"/>
  <c r="P846" i="1"/>
  <c r="Q846" i="1"/>
  <c r="P847" i="1"/>
  <c r="Q847" i="1"/>
  <c r="P848" i="1"/>
  <c r="Q848" i="1"/>
  <c r="P849" i="1"/>
  <c r="Q849" i="1"/>
  <c r="P850" i="1"/>
  <c r="Q850" i="1"/>
  <c r="P851" i="1"/>
  <c r="Q851" i="1"/>
  <c r="P852" i="1"/>
  <c r="Q852" i="1"/>
  <c r="P853" i="1"/>
  <c r="Q853" i="1"/>
  <c r="P854" i="1"/>
  <c r="Q854" i="1"/>
  <c r="P855" i="1"/>
  <c r="Q855" i="1"/>
  <c r="P856" i="1"/>
  <c r="Q856" i="1"/>
  <c r="P857" i="1"/>
  <c r="Q857" i="1"/>
  <c r="P858" i="1"/>
  <c r="Q858" i="1"/>
  <c r="P859" i="1"/>
  <c r="Q859" i="1"/>
  <c r="P860" i="1"/>
  <c r="Q860" i="1"/>
  <c r="P861" i="1"/>
  <c r="Q861" i="1"/>
  <c r="P862" i="1"/>
  <c r="Q862" i="1"/>
  <c r="P863" i="1"/>
  <c r="Q863" i="1"/>
  <c r="P864" i="1"/>
  <c r="Q864" i="1"/>
  <c r="P865" i="1"/>
  <c r="Q865" i="1"/>
  <c r="P866" i="1"/>
  <c r="Q866" i="1"/>
  <c r="P867" i="1"/>
  <c r="Q867" i="1"/>
  <c r="P868" i="1"/>
  <c r="Q868" i="1"/>
  <c r="P869" i="1"/>
  <c r="Q869" i="1"/>
  <c r="P870" i="1"/>
  <c r="Q870" i="1"/>
  <c r="P871" i="1"/>
  <c r="Q871" i="1"/>
  <c r="P872" i="1"/>
  <c r="Q872" i="1"/>
  <c r="P873" i="1"/>
  <c r="Q873" i="1"/>
  <c r="P874" i="1"/>
  <c r="Q874" i="1"/>
  <c r="P875" i="1"/>
  <c r="Q875" i="1"/>
  <c r="P876" i="1"/>
  <c r="Q876" i="1"/>
  <c r="P877" i="1"/>
  <c r="Q877" i="1"/>
  <c r="P878" i="1"/>
  <c r="Q878" i="1"/>
  <c r="P879" i="1"/>
  <c r="Q879" i="1"/>
  <c r="P880" i="1"/>
  <c r="Q880" i="1"/>
  <c r="P881" i="1"/>
  <c r="Q881" i="1"/>
  <c r="P882" i="1"/>
  <c r="Q882" i="1"/>
  <c r="P883" i="1"/>
  <c r="Q883" i="1"/>
  <c r="P884" i="1"/>
  <c r="Q884" i="1"/>
  <c r="P885" i="1"/>
  <c r="Q885" i="1"/>
  <c r="P886" i="1"/>
  <c r="Q886" i="1"/>
  <c r="P887" i="1"/>
  <c r="Q887" i="1"/>
  <c r="P888" i="1"/>
  <c r="Q888" i="1"/>
  <c r="P889" i="1"/>
  <c r="Q889" i="1"/>
  <c r="P890" i="1"/>
  <c r="Q890" i="1"/>
  <c r="P891" i="1"/>
  <c r="Q891" i="1"/>
  <c r="P892" i="1"/>
  <c r="Q892" i="1"/>
  <c r="P893" i="1"/>
  <c r="Q893" i="1"/>
  <c r="P894" i="1"/>
  <c r="Q894" i="1"/>
  <c r="P895" i="1"/>
  <c r="Q895" i="1"/>
  <c r="P896" i="1"/>
  <c r="Q896" i="1"/>
  <c r="P897" i="1"/>
  <c r="Q897" i="1"/>
  <c r="P898" i="1"/>
  <c r="Q898" i="1"/>
  <c r="P899" i="1"/>
  <c r="Q899" i="1"/>
  <c r="P900" i="1"/>
  <c r="Q900" i="1"/>
  <c r="P901" i="1"/>
  <c r="Q901" i="1"/>
  <c r="P902" i="1"/>
  <c r="Q902" i="1"/>
  <c r="P903" i="1"/>
  <c r="Q903" i="1"/>
  <c r="P904" i="1"/>
  <c r="Q904" i="1"/>
  <c r="P905" i="1"/>
  <c r="Q905" i="1"/>
  <c r="P906" i="1"/>
  <c r="Q906" i="1"/>
  <c r="P907" i="1"/>
  <c r="Q907" i="1"/>
  <c r="P908" i="1"/>
  <c r="Q908" i="1"/>
  <c r="P909" i="1"/>
  <c r="Q909" i="1"/>
  <c r="P910" i="1"/>
  <c r="Q910" i="1"/>
  <c r="P911" i="1"/>
  <c r="Q911" i="1"/>
  <c r="P912" i="1"/>
  <c r="Q912" i="1"/>
  <c r="P913" i="1"/>
  <c r="Q913" i="1"/>
  <c r="P914" i="1"/>
  <c r="Q914" i="1"/>
  <c r="P915" i="1"/>
  <c r="Q915" i="1"/>
  <c r="P916" i="1"/>
  <c r="Q916" i="1"/>
  <c r="P917" i="1"/>
  <c r="Q917" i="1"/>
  <c r="P918" i="1"/>
  <c r="Q918" i="1"/>
  <c r="P919" i="1"/>
  <c r="Q919" i="1"/>
  <c r="P920" i="1"/>
  <c r="Q920" i="1"/>
  <c r="P921" i="1"/>
  <c r="Q921" i="1"/>
  <c r="P922" i="1"/>
  <c r="Q922" i="1"/>
  <c r="P923" i="1"/>
  <c r="Q923" i="1"/>
  <c r="P924" i="1"/>
  <c r="Q924" i="1"/>
  <c r="P925" i="1"/>
  <c r="Q925" i="1"/>
  <c r="P926" i="1"/>
  <c r="Q926" i="1"/>
  <c r="P927" i="1"/>
  <c r="Q927" i="1"/>
  <c r="P928" i="1"/>
  <c r="Q928" i="1"/>
  <c r="P929" i="1"/>
  <c r="Q929" i="1"/>
  <c r="P930" i="1"/>
  <c r="Q930" i="1"/>
  <c r="P931" i="1"/>
  <c r="Q931" i="1"/>
  <c r="P932" i="1"/>
  <c r="Q932" i="1"/>
  <c r="P933" i="1"/>
  <c r="Q933" i="1"/>
  <c r="P934" i="1"/>
  <c r="Q934" i="1"/>
  <c r="P935" i="1"/>
  <c r="Q935" i="1"/>
  <c r="P936" i="1"/>
  <c r="Q936" i="1"/>
  <c r="P937" i="1"/>
  <c r="Q937" i="1"/>
  <c r="P938" i="1"/>
  <c r="Q938" i="1"/>
  <c r="P939" i="1"/>
  <c r="Q939" i="1"/>
  <c r="P940" i="1"/>
  <c r="Q940" i="1"/>
  <c r="P941" i="1"/>
  <c r="Q941" i="1"/>
  <c r="P942" i="1"/>
  <c r="Q942" i="1"/>
  <c r="P943" i="1"/>
  <c r="Q943" i="1"/>
  <c r="P944" i="1"/>
  <c r="Q944" i="1"/>
  <c r="P945" i="1"/>
  <c r="Q945" i="1"/>
  <c r="P946" i="1"/>
  <c r="Q946" i="1"/>
  <c r="P947" i="1"/>
  <c r="Q947" i="1"/>
  <c r="P948" i="1"/>
  <c r="Q948" i="1"/>
  <c r="P949" i="1"/>
  <c r="Q949" i="1"/>
  <c r="P950" i="1"/>
  <c r="Q950" i="1"/>
  <c r="P951" i="1"/>
  <c r="Q951" i="1"/>
  <c r="P952" i="1"/>
  <c r="Q952" i="1"/>
  <c r="P953" i="1"/>
  <c r="Q953" i="1"/>
  <c r="P954" i="1"/>
  <c r="Q954" i="1"/>
  <c r="P955" i="1"/>
  <c r="Q955" i="1"/>
  <c r="P956" i="1"/>
  <c r="Q956" i="1"/>
  <c r="P957" i="1"/>
  <c r="Q957" i="1"/>
  <c r="P958" i="1"/>
  <c r="Q958" i="1"/>
  <c r="P959" i="1"/>
  <c r="Q959" i="1"/>
  <c r="P960" i="1"/>
  <c r="Q960" i="1"/>
  <c r="P961" i="1"/>
  <c r="Q961" i="1"/>
  <c r="P962" i="1"/>
  <c r="Q962" i="1"/>
  <c r="P963" i="1"/>
  <c r="Q963" i="1"/>
  <c r="P964" i="1"/>
  <c r="Q964" i="1"/>
  <c r="P965" i="1"/>
  <c r="Q965" i="1"/>
  <c r="P966" i="1"/>
  <c r="Q966" i="1"/>
  <c r="P967" i="1"/>
  <c r="Q967" i="1"/>
  <c r="P968" i="1"/>
  <c r="Q968" i="1"/>
  <c r="P969" i="1"/>
  <c r="Q969" i="1"/>
  <c r="P970" i="1"/>
  <c r="Q970" i="1"/>
  <c r="P971" i="1"/>
  <c r="Q971" i="1"/>
  <c r="P972" i="1"/>
  <c r="Q972" i="1"/>
  <c r="P973" i="1"/>
  <c r="Q973" i="1"/>
  <c r="P974" i="1"/>
  <c r="Q974" i="1"/>
  <c r="P975" i="1"/>
  <c r="Q975" i="1"/>
  <c r="P976" i="1"/>
  <c r="Q976" i="1"/>
  <c r="P977" i="1"/>
  <c r="Q977" i="1"/>
  <c r="P978" i="1"/>
  <c r="Q978" i="1"/>
  <c r="P979" i="1"/>
  <c r="Q979" i="1"/>
  <c r="P980" i="1"/>
  <c r="Q980" i="1"/>
  <c r="P981" i="1"/>
  <c r="Q981" i="1"/>
  <c r="P982" i="1"/>
  <c r="Q982" i="1"/>
  <c r="P983" i="1"/>
  <c r="Q983" i="1"/>
  <c r="P984" i="1"/>
  <c r="Q984" i="1"/>
  <c r="P985" i="1"/>
  <c r="Q985" i="1"/>
  <c r="P986" i="1"/>
  <c r="Q986" i="1"/>
  <c r="P987" i="1"/>
  <c r="Q987" i="1"/>
  <c r="P988" i="1"/>
  <c r="Q988" i="1"/>
  <c r="P989" i="1"/>
  <c r="Q989" i="1"/>
  <c r="P990" i="1"/>
  <c r="Q990" i="1"/>
  <c r="P991" i="1"/>
  <c r="Q991" i="1"/>
  <c r="P992" i="1"/>
  <c r="Q992" i="1"/>
  <c r="P993" i="1"/>
  <c r="Q993" i="1"/>
  <c r="P994" i="1"/>
  <c r="Q994" i="1"/>
  <c r="P995" i="1"/>
  <c r="Q995" i="1"/>
  <c r="P996" i="1"/>
  <c r="Q996" i="1"/>
  <c r="P997" i="1"/>
  <c r="Q997" i="1"/>
  <c r="P998" i="1"/>
  <c r="Q998" i="1"/>
  <c r="P999" i="1"/>
  <c r="Q999" i="1"/>
  <c r="P1000" i="1"/>
  <c r="Q1000" i="1"/>
  <c r="P1001" i="1"/>
  <c r="Q1001" i="1"/>
  <c r="P1002" i="1"/>
  <c r="Q1002" i="1"/>
  <c r="P1003" i="1"/>
  <c r="Q1003" i="1"/>
  <c r="P1004" i="1"/>
  <c r="Q1004" i="1"/>
  <c r="P1005" i="1"/>
  <c r="Q1005" i="1"/>
  <c r="P1006" i="1"/>
  <c r="Q1006" i="1"/>
  <c r="P1007" i="1"/>
  <c r="Q1007" i="1"/>
  <c r="P1008" i="1"/>
  <c r="Q1008" i="1"/>
  <c r="P1009" i="1"/>
  <c r="Q1009" i="1"/>
  <c r="P1010" i="1"/>
  <c r="Q1010" i="1"/>
  <c r="P1011" i="1"/>
  <c r="Q1011" i="1"/>
  <c r="P1012" i="1"/>
  <c r="Q1012" i="1"/>
  <c r="P1013" i="1"/>
  <c r="Q1013" i="1"/>
  <c r="P1014" i="1"/>
  <c r="Q1014" i="1"/>
  <c r="P1015" i="1"/>
  <c r="Q1015" i="1"/>
  <c r="P1016" i="1"/>
  <c r="Q1016" i="1"/>
  <c r="P1017" i="1"/>
  <c r="Q1017" i="1"/>
  <c r="P1018" i="1"/>
  <c r="Q1018" i="1"/>
  <c r="P1019" i="1"/>
  <c r="Q1019" i="1"/>
  <c r="P1020" i="1"/>
  <c r="Q1020" i="1"/>
  <c r="P1021" i="1"/>
  <c r="Q1021" i="1"/>
  <c r="P1022" i="1"/>
  <c r="Q1022" i="1"/>
  <c r="P1023" i="1"/>
  <c r="Q1023" i="1"/>
  <c r="P1024" i="1"/>
  <c r="Q1024" i="1"/>
  <c r="P1025" i="1"/>
  <c r="Q1025" i="1"/>
  <c r="P1026" i="1"/>
  <c r="Q1026" i="1"/>
  <c r="P1027" i="1"/>
  <c r="Q1027" i="1"/>
  <c r="P1028" i="1"/>
  <c r="Q1028" i="1"/>
  <c r="P1029" i="1"/>
  <c r="Q1029" i="1"/>
  <c r="P1030" i="1"/>
  <c r="Q1030" i="1"/>
  <c r="P1031" i="1"/>
  <c r="Q1031" i="1"/>
  <c r="P1032" i="1"/>
  <c r="Q1032" i="1"/>
  <c r="P1033" i="1"/>
  <c r="Q1033" i="1"/>
  <c r="P1034" i="1"/>
  <c r="Q1034" i="1"/>
  <c r="P1035" i="1"/>
  <c r="Q1035" i="1"/>
  <c r="P1036" i="1"/>
  <c r="Q1036" i="1"/>
  <c r="P1037" i="1"/>
  <c r="Q1037" i="1"/>
  <c r="P1038" i="1"/>
  <c r="Q1038" i="1"/>
  <c r="P1039" i="1"/>
  <c r="Q1039" i="1"/>
  <c r="P1040" i="1"/>
  <c r="Q1040" i="1"/>
  <c r="P1041" i="1"/>
  <c r="Q1041" i="1"/>
  <c r="P1042" i="1"/>
  <c r="Q1042" i="1"/>
  <c r="P1043" i="1"/>
  <c r="Q1043" i="1"/>
  <c r="P1044" i="1"/>
  <c r="Q1044" i="1"/>
  <c r="P1045" i="1"/>
  <c r="Q1045" i="1"/>
  <c r="P1046" i="1"/>
  <c r="Q1046" i="1"/>
  <c r="P1047" i="1"/>
  <c r="Q1047" i="1"/>
  <c r="P1048" i="1"/>
  <c r="Q1048" i="1"/>
  <c r="P1049" i="1"/>
  <c r="Q1049" i="1"/>
  <c r="P1050" i="1"/>
  <c r="Q1050" i="1"/>
  <c r="P1051" i="1"/>
  <c r="Q1051" i="1"/>
  <c r="P1052" i="1"/>
  <c r="Q1052" i="1"/>
  <c r="P1053" i="1"/>
  <c r="Q1053" i="1"/>
  <c r="P1054" i="1"/>
  <c r="Q1054" i="1"/>
  <c r="P1055" i="1"/>
  <c r="Q1055" i="1"/>
  <c r="P1056" i="1"/>
  <c r="Q1056" i="1"/>
  <c r="P1057" i="1"/>
  <c r="Q1057" i="1"/>
  <c r="P1058" i="1"/>
  <c r="Q1058" i="1"/>
  <c r="P1059" i="1"/>
  <c r="Q1059" i="1"/>
  <c r="P1060" i="1"/>
  <c r="Q1060" i="1"/>
  <c r="P1061" i="1"/>
  <c r="Q1061" i="1"/>
  <c r="P1062" i="1"/>
  <c r="Q1062" i="1"/>
  <c r="P1063" i="1"/>
  <c r="Q1063" i="1"/>
  <c r="P1064" i="1"/>
  <c r="Q1064" i="1"/>
  <c r="P1065" i="1"/>
  <c r="Q1065" i="1"/>
  <c r="P1066" i="1"/>
  <c r="Q1066" i="1"/>
  <c r="P1067" i="1"/>
  <c r="Q1067" i="1"/>
  <c r="P1068" i="1"/>
  <c r="Q1068" i="1"/>
  <c r="P1069" i="1"/>
  <c r="Q1069" i="1"/>
  <c r="P1070" i="1"/>
  <c r="Q1070" i="1"/>
  <c r="P1071" i="1"/>
  <c r="Q1071" i="1"/>
  <c r="P1072" i="1"/>
  <c r="Q1072" i="1"/>
  <c r="P1073" i="1"/>
  <c r="Q1073" i="1"/>
  <c r="P1074" i="1"/>
  <c r="Q1074" i="1"/>
  <c r="P1075" i="1"/>
  <c r="Q1075" i="1"/>
  <c r="P1076" i="1"/>
  <c r="Q1076" i="1"/>
  <c r="P1077" i="1"/>
  <c r="Q1077" i="1"/>
  <c r="P1078" i="1"/>
  <c r="Q1078" i="1"/>
  <c r="P1079" i="1"/>
  <c r="Q1079" i="1"/>
  <c r="P1080" i="1"/>
  <c r="Q1080" i="1"/>
  <c r="P1081" i="1"/>
  <c r="Q1081" i="1"/>
  <c r="P1082" i="1"/>
  <c r="Q1082" i="1"/>
  <c r="P1083" i="1"/>
  <c r="Q1083" i="1"/>
  <c r="P1084" i="1"/>
  <c r="Q1084" i="1"/>
  <c r="P1085" i="1"/>
  <c r="Q1085" i="1"/>
  <c r="P1086" i="1"/>
  <c r="Q1086" i="1"/>
  <c r="P1087" i="1"/>
  <c r="Q1087" i="1"/>
  <c r="P1088" i="1"/>
  <c r="Q1088" i="1"/>
  <c r="P1089" i="1"/>
  <c r="Q1089" i="1"/>
  <c r="P1090" i="1"/>
  <c r="Q1090" i="1"/>
  <c r="P1091" i="1"/>
  <c r="Q1091" i="1"/>
  <c r="P1092" i="1"/>
  <c r="Q1092" i="1"/>
  <c r="P1093" i="1"/>
  <c r="Q1093" i="1"/>
  <c r="P1094" i="1"/>
  <c r="Q1094" i="1"/>
  <c r="P1095" i="1"/>
  <c r="Q1095" i="1"/>
  <c r="P1096" i="1"/>
  <c r="Q1096" i="1"/>
  <c r="P1097" i="1"/>
  <c r="Q1097" i="1"/>
  <c r="P1098" i="1"/>
  <c r="Q1098" i="1"/>
  <c r="P1099" i="1"/>
  <c r="Q1099" i="1"/>
  <c r="P1100" i="1"/>
  <c r="Q1100" i="1"/>
  <c r="P1101" i="1"/>
  <c r="Q1101" i="1"/>
  <c r="P1102" i="1"/>
  <c r="Q1102" i="1"/>
  <c r="P1103" i="1"/>
  <c r="Q1103" i="1"/>
  <c r="P1104" i="1"/>
  <c r="Q1104" i="1"/>
  <c r="P1105" i="1"/>
  <c r="Q1105" i="1"/>
  <c r="P1106" i="1"/>
  <c r="Q1106" i="1"/>
  <c r="P1107" i="1"/>
  <c r="Q1107" i="1"/>
  <c r="P1108" i="1"/>
  <c r="Q1108" i="1"/>
  <c r="P1109" i="1"/>
  <c r="Q1109" i="1"/>
  <c r="P1110" i="1"/>
  <c r="Q1110" i="1"/>
  <c r="P1111" i="1"/>
  <c r="Q1111" i="1"/>
  <c r="P1112" i="1"/>
  <c r="Q1112" i="1"/>
  <c r="P1113" i="1"/>
  <c r="Q1113" i="1"/>
  <c r="P1114" i="1"/>
  <c r="Q1114" i="1"/>
  <c r="P1115" i="1"/>
  <c r="Q1115" i="1"/>
  <c r="P1116" i="1"/>
  <c r="Q1116" i="1"/>
  <c r="P1117" i="1"/>
  <c r="Q1117" i="1"/>
  <c r="P1118" i="1"/>
  <c r="Q1118" i="1"/>
  <c r="P1119" i="1"/>
  <c r="Q1119" i="1"/>
  <c r="P1120" i="1"/>
  <c r="Q1120" i="1"/>
  <c r="P1121" i="1"/>
  <c r="Q1121" i="1"/>
  <c r="P1122" i="1"/>
  <c r="Q1122" i="1"/>
  <c r="P1123" i="1"/>
  <c r="Q1123" i="1"/>
  <c r="P1124" i="1"/>
  <c r="Q1124" i="1"/>
  <c r="P1125" i="1"/>
  <c r="Q1125" i="1"/>
  <c r="P1126" i="1"/>
  <c r="Q1126" i="1"/>
  <c r="P1127" i="1"/>
  <c r="Q1127" i="1"/>
  <c r="P1128" i="1"/>
  <c r="Q1128" i="1"/>
  <c r="P1129" i="1"/>
  <c r="Q1129" i="1"/>
  <c r="P1130" i="1"/>
  <c r="Q1130" i="1"/>
  <c r="P1131" i="1"/>
  <c r="Q1131" i="1"/>
  <c r="P1132" i="1"/>
  <c r="Q1132" i="1"/>
  <c r="P1133" i="1"/>
  <c r="Q1133" i="1"/>
  <c r="P1134" i="1"/>
  <c r="Q1134" i="1"/>
  <c r="P1135" i="1"/>
  <c r="Q1135" i="1"/>
  <c r="P1136" i="1"/>
  <c r="Q1136" i="1"/>
  <c r="P1137" i="1"/>
  <c r="Q1137" i="1"/>
  <c r="P1138" i="1"/>
  <c r="Q1138" i="1"/>
  <c r="P1139" i="1"/>
  <c r="Q1139" i="1"/>
  <c r="P1140" i="1"/>
  <c r="Q1140" i="1"/>
  <c r="P1141" i="1"/>
  <c r="Q1141" i="1"/>
  <c r="P1142" i="1"/>
  <c r="Q1142" i="1"/>
  <c r="P1143" i="1"/>
  <c r="Q1143" i="1"/>
  <c r="P1144" i="1"/>
  <c r="Q1144" i="1"/>
  <c r="P1145" i="1"/>
  <c r="Q1145" i="1"/>
  <c r="P1146" i="1"/>
  <c r="Q1146" i="1"/>
  <c r="P1147" i="1"/>
  <c r="Q1147" i="1"/>
  <c r="P1148" i="1"/>
  <c r="Q1148" i="1"/>
  <c r="P1149" i="1"/>
  <c r="Q1149" i="1"/>
  <c r="P1150" i="1"/>
  <c r="Q1150" i="1"/>
  <c r="P1151" i="1"/>
  <c r="Q1151" i="1"/>
  <c r="P1152" i="1"/>
  <c r="Q1152" i="1"/>
  <c r="P1153" i="1"/>
  <c r="Q1153" i="1"/>
  <c r="P1154" i="1"/>
  <c r="Q1154" i="1"/>
  <c r="P1155" i="1"/>
  <c r="Q1155" i="1"/>
  <c r="P1156" i="1"/>
  <c r="Q1156" i="1"/>
  <c r="P1157" i="1"/>
  <c r="Q1157" i="1"/>
  <c r="P1158" i="1"/>
  <c r="Q1158" i="1"/>
  <c r="P1159" i="1"/>
  <c r="Q1159" i="1"/>
  <c r="P1160" i="1"/>
  <c r="Q1160" i="1"/>
  <c r="P1161" i="1"/>
  <c r="Q1161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P1172" i="1"/>
  <c r="Q1172" i="1"/>
  <c r="P1173" i="1"/>
  <c r="Q1173" i="1"/>
  <c r="P1174" i="1"/>
  <c r="Q1174" i="1"/>
  <c r="P1175" i="1"/>
  <c r="Q1175" i="1"/>
  <c r="P1176" i="1"/>
  <c r="Q1176" i="1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87" i="1"/>
  <c r="Q1187" i="1"/>
  <c r="P1188" i="1"/>
  <c r="Q1188" i="1"/>
  <c r="P1189" i="1"/>
  <c r="Q1189" i="1"/>
  <c r="P1190" i="1"/>
  <c r="Q1190" i="1"/>
  <c r="P1191" i="1"/>
  <c r="Q1191" i="1"/>
  <c r="P1192" i="1"/>
  <c r="Q1192" i="1"/>
  <c r="P1193" i="1"/>
  <c r="Q1193" i="1"/>
  <c r="P1194" i="1"/>
  <c r="Q1194" i="1"/>
  <c r="P1195" i="1"/>
  <c r="Q1195" i="1"/>
  <c r="P1196" i="1"/>
  <c r="Q1196" i="1"/>
  <c r="P1197" i="1"/>
  <c r="Q1197" i="1"/>
  <c r="P1198" i="1"/>
  <c r="Q1198" i="1"/>
  <c r="P1199" i="1"/>
  <c r="Q1199" i="1"/>
  <c r="P1200" i="1"/>
  <c r="Q1200" i="1"/>
  <c r="P1201" i="1"/>
  <c r="Q1201" i="1"/>
  <c r="P1202" i="1"/>
  <c r="Q1202" i="1"/>
  <c r="P1203" i="1"/>
  <c r="Q1203" i="1"/>
  <c r="P1204" i="1"/>
  <c r="Q1204" i="1"/>
  <c r="Q2" i="1"/>
  <c r="P2" i="1"/>
  <c r="F4" i="4" l="1"/>
  <c r="F5" i="4"/>
  <c r="F6" i="4"/>
  <c r="F7" i="4"/>
  <c r="F3" i="4"/>
  <c r="F8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<sst xmlns="http://schemas.openxmlformats.org/spreadsheetml/2006/main" count="5115" uniqueCount="2487">
  <si>
    <t>course_id</t>
  </si>
  <si>
    <t>course_title</t>
  </si>
  <si>
    <t>url</t>
  </si>
  <si>
    <t>price</t>
  </si>
  <si>
    <t>num_subscribers</t>
  </si>
  <si>
    <t>num_reviews</t>
  </si>
  <si>
    <t>num_lectures</t>
  </si>
  <si>
    <t>rating</t>
  </si>
  <si>
    <t>content_duration</t>
  </si>
  <si>
    <t>freepaid</t>
  </si>
  <si>
    <t>year</t>
  </si>
  <si>
    <t>Learn HTML5 Programming From Scratch</t>
  </si>
  <si>
    <t>https://www.udemy.com/learn-html5-programming-from-scratch/</t>
  </si>
  <si>
    <t>Beginner Level</t>
  </si>
  <si>
    <t>Free</t>
  </si>
  <si>
    <t>Coding for Entrepreneurs Basic</t>
  </si>
  <si>
    <t>https://www.udemy.com/coding-for-entrepreneurs-basic/</t>
  </si>
  <si>
    <t>Expert Level</t>
  </si>
  <si>
    <t>The Web Developer Bootcamp</t>
  </si>
  <si>
    <t>https://www.udemy.com/the-web-developer-bootcamp/</t>
  </si>
  <si>
    <t>Paid</t>
  </si>
  <si>
    <t>Build Your First Website in 1 Week with HTML5 and CSS3</t>
  </si>
  <si>
    <t>https://www.udemy.com/build-your-first-website-in-1-week/</t>
  </si>
  <si>
    <t>All Levels</t>
  </si>
  <si>
    <t>The Complete Web Developer Course 2.0</t>
  </si>
  <si>
    <t>https://www.udemy.com/the-complete-web-developer-course-2/</t>
  </si>
  <si>
    <t>Web Design for Web Developers: Build Beautiful Websites!</t>
  </si>
  <si>
    <t>https://www.udemy.com/web-design-secrets/</t>
  </si>
  <si>
    <t>Learn Javascript &amp; JQuery From Scratch</t>
  </si>
  <si>
    <t>https://www.udemy.com/learn-javascript-jquery-from-scratch/</t>
  </si>
  <si>
    <t>Practical PHP: Master the Basics and Code Dynamic Websites</t>
  </si>
  <si>
    <t>https://www.udemy.com/code-dynamic-websites/</t>
  </si>
  <si>
    <t>Intermediate Level</t>
  </si>
  <si>
    <t>JavaScript: Understanding the Weird Parts</t>
  </si>
  <si>
    <t>https://www.udemy.com/understand-javascript/</t>
  </si>
  <si>
    <t>Angular 4 (formerly Angular 2) - The Complete Guide</t>
  </si>
  <si>
    <t>https://www.udemy.com/the-complete-guide-to-angular-2/</t>
  </si>
  <si>
    <t>Beginner Photoshop to HTML5 and CSS3</t>
  </si>
  <si>
    <t>https://www.udemy.com/psd-html5-css3/</t>
  </si>
  <si>
    <t>Web Development By Doing: HTML / CSS From Scratch</t>
  </si>
  <si>
    <t>https://www.udemy.com/web-development-learn-by-doing-html5-css3-from-scratch-introductory/</t>
  </si>
  <si>
    <t>HTML and CSS for Beginners - Build a Website &amp; Launch ONLINE</t>
  </si>
  <si>
    <t>https://www.udemy.com/html-and-css-for-beginners-crash-course-learn-fast-easy/</t>
  </si>
  <si>
    <t>Become a Web Developer from Scratch</t>
  </si>
  <si>
    <t>https://www.udemy.com/how-to-become-a-web-developer-from-scratch/</t>
  </si>
  <si>
    <t>Quickstart AngularJS</t>
  </si>
  <si>
    <t>https://www.udemy.com/quickstart-angularjs/</t>
  </si>
  <si>
    <t>Learn Responsive Web Development from Scratch</t>
  </si>
  <si>
    <t>https://www.udemy.com/learn-responsive-web-development-from-scratch/</t>
  </si>
  <si>
    <t>Learn and Understand AngularJS</t>
  </si>
  <si>
    <t>https://www.udemy.com/learn-angularjs/</t>
  </si>
  <si>
    <t>Learn and Understand NodeJS</t>
  </si>
  <si>
    <t>https://www.udemy.com/understand-nodejs/</t>
  </si>
  <si>
    <t>The Complete HTML &amp; CSS Course - From Novice To Professional</t>
  </si>
  <si>
    <t>https://www.udemy.com/htmlwebsite/</t>
  </si>
  <si>
    <t>Complete PHP Course With Bootstrap3 CMS System &amp; Admin Panel</t>
  </si>
  <si>
    <t>https://www.udemy.com/complete-php-course/</t>
  </si>
  <si>
    <t>Build Websites from Scratch with HTML &amp; CSS</t>
  </si>
  <si>
    <t>https://www.udemy.com/build-website-scratch/</t>
  </si>
  <si>
    <t>Modern React with Redux</t>
  </si>
  <si>
    <t>https://www.udemy.com/react-redux/</t>
  </si>
  <si>
    <t>Learn PHP Fundamentals From Scratch</t>
  </si>
  <si>
    <t>https://www.udemy.com/learn-php-fundamentals-from-scratch/</t>
  </si>
  <si>
    <t>Learning Dynamic Website Design - PHP MySQL and JavaScript</t>
  </si>
  <si>
    <t>https://www.udemy.com/learning-dynamic-website-design/</t>
  </si>
  <si>
    <t>Javascript Essentials</t>
  </si>
  <si>
    <t>https://www.udemy.com/javascript-essentials/</t>
  </si>
  <si>
    <t>Build Responsive Real World Websites with HTML5 and CSS3</t>
  </si>
  <si>
    <t>https://www.udemy.com/design-and-develop-a-killer-website-with-html5-and-css3/</t>
  </si>
  <si>
    <t>Learn Web Designing &amp; HTML5/CSS3 Essentials in 4-Hours</t>
  </si>
  <si>
    <t>https://www.udemy.com/build-beautiful-html5-website/</t>
  </si>
  <si>
    <t>Bootstrap 4 Quick Start: Code Modern Responsive Websites</t>
  </si>
  <si>
    <t>https://www.udemy.com/bootstrap-4/</t>
  </si>
  <si>
    <t>Angular 2 with TypeScript for Beginners: The Pragmatic Guide</t>
  </si>
  <si>
    <t>https://www.udemy.com/angular-2-tutorial-for-beginners/</t>
  </si>
  <si>
    <t>The Complete Web Developer Masterclass: Beginner To Advanced</t>
  </si>
  <si>
    <t>https://www.udemy.com/webdevelopercourse/</t>
  </si>
  <si>
    <t>Learn Object Oriented PHP By Building a Complete Website</t>
  </si>
  <si>
    <t>https://www.udemy.com/learn-object-oriented-php-by-building-a-complete-website/</t>
  </si>
  <si>
    <t>Web Programming with Python</t>
  </si>
  <si>
    <t>https://www.udemy.com/web-programming-with-python/</t>
  </si>
  <si>
    <t>Ultimate Web Designer &amp; Developer Course: Build 23 Projects!</t>
  </si>
  <si>
    <t>https://www.udemy.com/web-developer-course/</t>
  </si>
  <si>
    <t>The Complete Ruby on Rails Developer Course</t>
  </si>
  <si>
    <t>https://www.udemy.com/the-complete-ruby-on-rails-developer-course/</t>
  </si>
  <si>
    <t>Learn Angular 2 from Beginner to Advanced</t>
  </si>
  <si>
    <t>https://www.udemy.com/learn-angular-2-from-beginner-to-advanced/</t>
  </si>
  <si>
    <t>Create An HTML5 Video Player From Scratch</t>
  </si>
  <si>
    <t>https://www.udemy.com/html5-video-player/</t>
  </si>
  <si>
    <t>The Complete JavaScript Course For Web Development Beginners</t>
  </si>
  <si>
    <t>https://www.udemy.com/javascriptcourse/</t>
  </si>
  <si>
    <t>The Original Complete Web Developer Course.</t>
  </si>
  <si>
    <t>https://www.udemy.com/thecompletewebdeveloper/</t>
  </si>
  <si>
    <t>AngularJS For Beginners</t>
  </si>
  <si>
    <t>https://www.udemy.com/angularjs-for-beginners-udemy/</t>
  </si>
  <si>
    <t>Learn E-Commerce Website in PHP &amp; MySQL From Scratch!</t>
  </si>
  <si>
    <t>https://www.udemy.com/ecommerce-website-in-php-mysqli/</t>
  </si>
  <si>
    <t>Angular 2+ with Typescript - Essential Training</t>
  </si>
  <si>
    <t>https://www.udemy.com/angular-2-training/</t>
  </si>
  <si>
    <t>PHP for Beginners -Become a PHP Master - Project Included</t>
  </si>
  <si>
    <t>https://www.udemy.com/php-for-complete-beginners-includes-msql-object-oriented/</t>
  </si>
  <si>
    <t>Javascript - From Beginner to Pro-Build real world JS apps</t>
  </si>
  <si>
    <t>https://www.udemy.com/javascript-from-beginner-to-pro-best-course/</t>
  </si>
  <si>
    <t>Essentials of JavaScript Practice Coding Exercises Tips</t>
  </si>
  <si>
    <t>https://www.udemy.com/essentials-of-javascript-practice-coding-exercises-tips/</t>
  </si>
  <si>
    <t>The Complete JavaScript Course: Build a Real-World Project</t>
  </si>
  <si>
    <t>https://www.udemy.com/the-complete-javascript-course/</t>
  </si>
  <si>
    <t>Introduction to Web Development: HTML</t>
  </si>
  <si>
    <t>https://www.udemy.com/webdevelopment101_html/</t>
  </si>
  <si>
    <t>EMMET Faster HTML &amp; CSS workflow - Best Tool For Developers</t>
  </si>
  <si>
    <t>https://www.udemy.com/emmet-start-coding-html-and-css-fast-and-easy/</t>
  </si>
  <si>
    <t>Become a Certified Web Developer</t>
  </si>
  <si>
    <t>https://www.udemy.com/become-a-certified-web-developer/</t>
  </si>
  <si>
    <t>Master the Basics of HTML5 &amp; CSS3: Beginner Web Development</t>
  </si>
  <si>
    <t>https://www.udemy.com/master-the-basics-of-html5-css3-beginner-web-development/</t>
  </si>
  <si>
    <t>CSS Development (with CSS3!)</t>
  </si>
  <si>
    <t>https://www.udemy.com/css-development-with-css3/</t>
  </si>
  <si>
    <t>HTML Workshop</t>
  </si>
  <si>
    <t>https://www.udemy.com/html-workshop/</t>
  </si>
  <si>
    <t>Master the MEAN Stack - Learn By Example</t>
  </si>
  <si>
    <t>https://www.udemy.com/master-the-mean-stack/</t>
  </si>
  <si>
    <t>The Complete Bootstrap Masterclass Course - Build 4 Projects</t>
  </si>
  <si>
    <t>https://www.udemy.com/bootstrapcourse/</t>
  </si>
  <si>
    <t>The Ultimate Web Developer How To Guide</t>
  </si>
  <si>
    <t>https://www.udemy.com/learn-web-development-complete-step-by-step-guide-to-success/</t>
  </si>
  <si>
    <t>Running a Web Development Business: The Complete Guide</t>
  </si>
  <si>
    <t>https://www.udemy.com/the-complete-guide-to-running-a-web-development-business/</t>
  </si>
  <si>
    <t>Programming Foundations: HTML5 + CSS3 for Entrepreneurs 2015</t>
  </si>
  <si>
    <t>https://www.udemy.com/html-css-more/</t>
  </si>
  <si>
    <t>Learn to Use jQuery UI Widgets</t>
  </si>
  <si>
    <t>https://www.udemy.com/learn-to-use-jquery-ui-widgets/</t>
  </si>
  <si>
    <t>WordPress Development For Beginners</t>
  </si>
  <si>
    <t>https://www.udemy.com/wordpress-basic/</t>
  </si>
  <si>
    <t>Coding for Entrepreneurs: Learn Python, Django, and More.</t>
  </si>
  <si>
    <t>https://www.udemy.com/coding-for-entrepreneurs/</t>
  </si>
  <si>
    <t>1 Hour JavaScript</t>
  </si>
  <si>
    <t>https://www.udemy.com/1-hour-javascript/</t>
  </si>
  <si>
    <t>Build Responsive Website Using HTML5, CSS3, JS And Bootstrap</t>
  </si>
  <si>
    <t>https://www.udemy.com/build-responsive-website-using-html5-css3-js-and-bootstrap/</t>
  </si>
  <si>
    <t>Get Results - Core Principles of Web Development Tricks Tips</t>
  </si>
  <si>
    <t>https://www.udemy.com/web-development-foundations-base-for-your-coding-environment/</t>
  </si>
  <si>
    <t>Learn Object Oriented Programming PHP fundamentals bootcamp</t>
  </si>
  <si>
    <t>https://www.udemy.com/learn-object-oriented-programming-php-fundamentals-bootcamp/</t>
  </si>
  <si>
    <t>Advanced React and Redux</t>
  </si>
  <si>
    <t>https://www.udemy.com/react-redux-tutorial/</t>
  </si>
  <si>
    <t>Become A Web Developer And Seller - Build Websites With HTML</t>
  </si>
  <si>
    <t>https://www.udemy.com/the-ultimate-building-and-selling-websites-course/</t>
  </si>
  <si>
    <t>AngularJS Authentication: Secure Your App with Auth0</t>
  </si>
  <si>
    <t>https://www.udemy.com/angularjs-authentication-with-auth0/</t>
  </si>
  <si>
    <t>MongooseJS Essentials - Learn MongoDB for Node.js</t>
  </si>
  <si>
    <t>https://www.udemy.com/mongoosejs-essentials/</t>
  </si>
  <si>
    <t>Mastering HTML5 Programming - The Easier Way</t>
  </si>
  <si>
    <t>https://www.udemy.com/html5-programming-tutorials/</t>
  </si>
  <si>
    <t>ExpressJS Fundamentals</t>
  </si>
  <si>
    <t>https://www.udemy.com/expressjs-fundamentals/</t>
  </si>
  <si>
    <t>Spring Framework 4 And Dependency Injection For Beginners</t>
  </si>
  <si>
    <t>https://www.udemy.com/spring-framework-video-tutorial/</t>
  </si>
  <si>
    <t>Learn to Setup Websites from Scratch</t>
  </si>
  <si>
    <t>https://www.udemy.com/learn-to-setup-websites-from-scratch/</t>
  </si>
  <si>
    <t>Sass Workflow</t>
  </si>
  <si>
    <t>https://www.udemy.com/sass-workflow/</t>
  </si>
  <si>
    <t>The Complete ASP.NET MVC 5 Course</t>
  </si>
  <si>
    <t>https://www.udemy.com/the-complete-aspnet-mvc-5-course/</t>
  </si>
  <si>
    <t>HTML Complete Course - Beginner to Expert</t>
  </si>
  <si>
    <t>https://www.udemy.com/the-complete-html-developer-course/</t>
  </si>
  <si>
    <t>Joomla 3 - The Basics</t>
  </si>
  <si>
    <t>https://www.udemy.com/joomla-3-the-basics/</t>
  </si>
  <si>
    <t>Docker Technologies for DevOps and Developers</t>
  </si>
  <si>
    <t>https://www.udemy.com/docker-tutorial-for-devops-run-docker-containers/</t>
  </si>
  <si>
    <t>Learn To Build Beautiful HTML5 And CSS3 Websites In 1 Month</t>
  </si>
  <si>
    <t>https://www.udemy.com/learn-to-build-beautiful-html5-and-css3-websites-in-1-month/</t>
  </si>
  <si>
    <t>Learn AngularJS Step By Step</t>
  </si>
  <si>
    <t>https://www.udemy.com/maruti-angularjs/</t>
  </si>
  <si>
    <t>Joomla: Create a Joomla Website This Weekend With NO CODING!</t>
  </si>
  <si>
    <t>https://www.udemy.com/joomla-create-a-joomla-website-this-weekend-with-no-coding/</t>
  </si>
  <si>
    <t>1 Hour CSS</t>
  </si>
  <si>
    <t>https://www.udemy.com/1-hour-css/</t>
  </si>
  <si>
    <t>Back to School Web Development and Programming Bundle</t>
  </si>
  <si>
    <t>https://www.udemy.com/back-to-school-web-development-and-programming-bundle/</t>
  </si>
  <si>
    <t>Introduction to Web Development</t>
  </si>
  <si>
    <t>https://www.udemy.com/introduction-to-web-development/</t>
  </si>
  <si>
    <t>Bootstrap unleash the power faster &amp; easier web development</t>
  </si>
  <si>
    <t>https://www.udemy.com/bootstrap-3-responsive-design-tutorial-fundamentals/</t>
  </si>
  <si>
    <t>The Complete PHP CodeIgniter Course: Beginner To Advanced</t>
  </si>
  <si>
    <t>https://www.udemy.com/codeignitercourse/</t>
  </si>
  <si>
    <t>AngularJS JumpStart with Dan Wahlin</t>
  </si>
  <si>
    <t>https://www.udemy.com/angularjs-jumpstart/</t>
  </si>
  <si>
    <t>The Complete NodeJS Course: Build a Full Business Rating App</t>
  </si>
  <si>
    <t>https://www.udemy.com/learn-nodejs-by-building-an-employee-to-business-rating-app/</t>
  </si>
  <si>
    <t>Building Websites JavaScript and the DOM</t>
  </si>
  <si>
    <t>https://www.udemy.com/building-websites-learn-javascript-and-the-dom/</t>
  </si>
  <si>
    <t>Learn Python and Django: Payment Processing</t>
  </si>
  <si>
    <t>https://www.udemy.com/learn-django-code-accept-payments-with-stripe/</t>
  </si>
  <si>
    <t>Vue JS 2 - The Complete Guide (incl. Vue Router &amp; Vuex)</t>
  </si>
  <si>
    <t>https://www.udemy.com/vuejs-2-the-complete-guide/</t>
  </si>
  <si>
    <t>JavaScript Intro to learning JavaScript web programming</t>
  </si>
  <si>
    <t>https://www.udemy.com/javascript-intro-to-learning-javascript/</t>
  </si>
  <si>
    <t>How to Make a Single Page Website for Freelancers &amp; Agencies</t>
  </si>
  <si>
    <t>https://www.udemy.com/how-to-make-a-portfolio-website-for-freelancers-agencies/</t>
  </si>
  <si>
    <t>The Professional Ruby on Rails Developer</t>
  </si>
  <si>
    <t>https://www.udemy.com/pro-rubyonrails/</t>
  </si>
  <si>
    <t>Angular (Angular 2 or 4) &amp; NodeJS - The MEAN Stack Guide</t>
  </si>
  <si>
    <t>https://www.udemy.com/angular-2-and-nodejs-the-practical-guide/</t>
  </si>
  <si>
    <t>Learning JavaScript Programming Tutorial. A Definitive Guide</t>
  </si>
  <si>
    <t>https://www.udemy.com/programming-javascript/</t>
  </si>
  <si>
    <t>Adobe Flash for Beginners - Build Flash Website From Scratch</t>
  </si>
  <si>
    <t>https://www.udemy.com/adobe-flash-for-beginners-build-flash-website-from-scratch/</t>
  </si>
  <si>
    <t>Try AngularJS: Beginner's Guide to Front End Web Development</t>
  </si>
  <si>
    <t>https://www.udemy.com/try-angularjs/</t>
  </si>
  <si>
    <t>React JS and Redux - Mastering Web Apps</t>
  </si>
  <si>
    <t>https://www.udemy.com/react-js-and-redux-mastering-web-apps/</t>
  </si>
  <si>
    <t>Learn Web Scraping with Node.js</t>
  </si>
  <si>
    <t>https://www.udemy.com/web-scraping-nodejs/</t>
  </si>
  <si>
    <t>JavaScript Rockstar How to create Incredible Useful code</t>
  </si>
  <si>
    <t>https://www.udemy.com/javascript-projects-from-scratch-step-by-step-guide-to-learn/</t>
  </si>
  <si>
    <t>Build a Responsive Website with a Modern Flat Design</t>
  </si>
  <si>
    <t>https://www.udemy.com/build-responsive-website-designs-with-html5-and-css/</t>
  </si>
  <si>
    <t>Become Exceptional in HTML and HTML5</t>
  </si>
  <si>
    <t>https://www.udemy.com/become-exceptional-in-html-html5/</t>
  </si>
  <si>
    <t>Angular 2 Crash Course with TypeScript</t>
  </si>
  <si>
    <t>https://www.udemy.com/angular-2-crash-course/</t>
  </si>
  <si>
    <t>Django Core | A Reference Guide to Core Django Concepts</t>
  </si>
  <si>
    <t>https://www.udemy.com/django-core/</t>
  </si>
  <si>
    <t>1 Hour HTML</t>
  </si>
  <si>
    <t>https://www.udemy.com/1-hour-html/</t>
  </si>
  <si>
    <t>The Complete PHP MySQL Professional Course with 5 Projects</t>
  </si>
  <si>
    <t>https://www.udemy.com/the-complete-php-mysql-professional-course/</t>
  </si>
  <si>
    <t>Learn Ruby on Rails: Stripe Payment Processing</t>
  </si>
  <si>
    <t>https://www.udemy.com/learn-ruby-on-rails-stripe-payment-processing/</t>
  </si>
  <si>
    <t>Learn how to quickly build websites using Wordpress</t>
  </si>
  <si>
    <t>https://www.udemy.com/learn-how-to-quickly-build-websites-using-wordpress/</t>
  </si>
  <si>
    <t>Introduction to CSS Development</t>
  </si>
  <si>
    <t>https://www.udemy.com/refactoru-intro-to-css/</t>
  </si>
  <si>
    <t>Learn HTML &amp; CSS: How To Start Your Web Development Career</t>
  </si>
  <si>
    <t>https://www.udemy.com/how-i-landed-a-web-development-job-earned-5k-freelancing/</t>
  </si>
  <si>
    <t>Learn JavaScript for beginners</t>
  </si>
  <si>
    <t>https://www.udemy.com/learn-javascript-course/</t>
  </si>
  <si>
    <t>Servlets and JSPs Tutorial: Learn Web Applications With Java</t>
  </si>
  <si>
    <t>https://www.udemy.com/javawebtut/</t>
  </si>
  <si>
    <t>Learn to Build Websites using Twitter Bootstrap</t>
  </si>
  <si>
    <t>https://www.udemy.com/learn-to-build-websites-using-twitter-bootstrap/</t>
  </si>
  <si>
    <t>JavaScript Tricks how to create code projects from scratch</t>
  </si>
  <si>
    <t>https://www.udemy.com/learn-javascript-code-create-projects-from-scratch/</t>
  </si>
  <si>
    <t>ASP.Net MVC Quick Start</t>
  </si>
  <si>
    <t>https://www.udemy.com/aspnet-mvc-quick-start/</t>
  </si>
  <si>
    <t>HTML 5: How I made websites in HTML5</t>
  </si>
  <si>
    <t>https://www.udemy.com/html5-certification/</t>
  </si>
  <si>
    <t>Rapid Website Design with Bootstrap</t>
  </si>
  <si>
    <t>https://www.udemy.com/responsive-website-design/</t>
  </si>
  <si>
    <t>Learn Bootstrap Development By Building 10 Projects</t>
  </si>
  <si>
    <t>https://www.udemy.com/learn-bootstrap-development-by-building-10-projects/</t>
  </si>
  <si>
    <t>Codeigniter: How to use Codeigniter that drives knowledge</t>
  </si>
  <si>
    <t>https://www.udemy.com/codeigniter/</t>
  </si>
  <si>
    <t>Creating an MP3 Player with HTML5</t>
  </si>
  <si>
    <t>https://www.udemy.com/creating-an-mp3-player-with-html5/</t>
  </si>
  <si>
    <t>Get started Creating Websites Everything you need provided</t>
  </si>
  <si>
    <t>https://www.udemy.com/get-started-creating-websites-everything-you-need-provided/</t>
  </si>
  <si>
    <t>Benefits of Thinking Mobile First Future of Website Design</t>
  </si>
  <si>
    <t>https://www.udemy.com/thinking-mobile-websites-smart-design-tutorial/</t>
  </si>
  <si>
    <t>HTML5 canvas Bootcamp for beginners 25 easy steps</t>
  </si>
  <si>
    <t>https://www.udemy.com/html5-canvas-course-for-beginners/</t>
  </si>
  <si>
    <t>The Complete Web Developer Bootcamp - Beginner to Expert</t>
  </si>
  <si>
    <t>https://www.udemy.com/job-ready-web-developer/</t>
  </si>
  <si>
    <t>Learn Complete Web Development From Scratch</t>
  </si>
  <si>
    <t>https://www.udemy.com/learn-complete-web-development-from-scratch/</t>
  </si>
  <si>
    <t>How to Make an Online Portfolio Website from Scratch</t>
  </si>
  <si>
    <t>https://www.udemy.com/how-to-make-a-portfolio-website-photographers-designers/</t>
  </si>
  <si>
    <t>Learn Html5 &amp; CSS3 from scratch</t>
  </si>
  <si>
    <t>https://www.udemy.com/learn-html5-css3-from-scratch/</t>
  </si>
  <si>
    <t>Web Design Creating websites from scratch</t>
  </si>
  <si>
    <t>https://www.udemy.com/web-design-creating-websites-from-scratch/</t>
  </si>
  <si>
    <t>jQuery Fundamentals Powerful Bootcamp for beginners</t>
  </si>
  <si>
    <t>https://www.udemy.com/jquery-fundamentals-bootcamp-learn-how-to-use-jquery/</t>
  </si>
  <si>
    <t>Learn Complete WordPress for Building a Professional Sites</t>
  </si>
  <si>
    <t>https://www.udemy.com/learn-complete-wordpress-for-building-a-professional-sites/</t>
  </si>
  <si>
    <t>Code a 'Coming Soon' Landing Page in Bootstrap 4</t>
  </si>
  <si>
    <t>https://www.udemy.com/code-a-coming-soon-landing-page-in-bootstrap-4/</t>
  </si>
  <si>
    <t>Vue JS - Mastering Web Apps</t>
  </si>
  <si>
    <t>https://www.udemy.com/vue-web-apps/</t>
  </si>
  <si>
    <t>The Complete WordPress Website Business Course</t>
  </si>
  <si>
    <t>https://www.udemy.com/the-complete-wordpress-website-business-course/</t>
  </si>
  <si>
    <t>JavaScript Step by Step how to apply it to your web pages</t>
  </si>
  <si>
    <t>https://www.udemy.com/javascript-fundamentals-bootcamp-learn-how-to-use-javascript/</t>
  </si>
  <si>
    <t>WordPress Backup And Restore Fundamentals</t>
  </si>
  <si>
    <t>https://www.udemy.com/wordpress-backup-and-restore-fundamentals/</t>
  </si>
  <si>
    <t>Serverless Architecture on Amazon Web Services</t>
  </si>
  <si>
    <t>https://www.udemy.com/serverless-architecture-on-aws/</t>
  </si>
  <si>
    <t>Ruby on Rails a Beginners Guide</t>
  </si>
  <si>
    <t>https://www.udemy.com/ruby-on-rails-a-beginners-guide-free/</t>
  </si>
  <si>
    <t>Write quicker HTML5 and CSS 3; productivity hacks with emmet</t>
  </si>
  <si>
    <t>https://www.udemy.com/write-quicker-html5-and-css-3-productivity-hacks-with-emmet/</t>
  </si>
  <si>
    <t>ES6 Javascript: The Complete Developer's Guide</t>
  </si>
  <si>
    <t>https://www.udemy.com/javascript-es6-tutorial/</t>
  </si>
  <si>
    <t>Create Startup Landing Page with Viral Marketing Strategies</t>
  </si>
  <si>
    <t>https://www.udemy.com/create-startup-landing-page-with-viral-marketing-strategies/</t>
  </si>
  <si>
    <t>Learn SVG Animation - With HTML, CSS &amp; Javascript</t>
  </si>
  <si>
    <t>https://www.udemy.com/learn-svg-animation/</t>
  </si>
  <si>
    <t>How to Make a Video Blog Website From Scratch w/ Wordpress</t>
  </si>
  <si>
    <t>https://www.udemy.com/how-to-make-a-video-blog-website/</t>
  </si>
  <si>
    <t>Learn JavaScript for Web Development</t>
  </si>
  <si>
    <t>https://www.udemy.com/javascript-learn-javascript-essentials-and-build-project/</t>
  </si>
  <si>
    <t>Create a Website from Scratch using HTML CSS step by step</t>
  </si>
  <si>
    <t>https://www.udemy.com/create-a-website-from-scratch-using-html-css-in-1-hour/</t>
  </si>
  <si>
    <t>Programming for Entrepreneurs - JavaScript</t>
  </si>
  <si>
    <t>https://www.udemy.com/javascript-tutorial/</t>
  </si>
  <si>
    <t>Learn to use JSON</t>
  </si>
  <si>
    <t>https://www.udemy.com/learn-to-use-json/</t>
  </si>
  <si>
    <t>React JS - Build real world JS apps &amp; deploy on cloud</t>
  </si>
  <si>
    <t>https://www.udemy.com/reactjs-for-beginners-build-real-world-react-apps-deploy-on-cloud/</t>
  </si>
  <si>
    <t>PHP: Complete Registration and Login with Email Verification</t>
  </si>
  <si>
    <t>https://www.udemy.com/php-complete-registration-and-login-with-email-verification/</t>
  </si>
  <si>
    <t>Responsive Design with NEW Materialize</t>
  </si>
  <si>
    <t>https://www.udemy.com/responsive-design-with-new-google-materialize/</t>
  </si>
  <si>
    <t>Web Hosting Set Up and WordPress Installation For Beginners</t>
  </si>
  <si>
    <t>https://www.udemy.com/web-hosting-wordpress-installation-for-beginners/</t>
  </si>
  <si>
    <t>HTML Tutorial: HTML &amp; CSS for Beginners</t>
  </si>
  <si>
    <t>https://www.udemy.com/learn-html5/</t>
  </si>
  <si>
    <t>Complete AJAX Course: Learn AJAX Techniques Using Bootstrap</t>
  </si>
  <si>
    <t>https://www.udemy.com/ajaxcourse/</t>
  </si>
  <si>
    <t>Angular 4 (2+) Crash Course for Beginners</t>
  </si>
  <si>
    <t>https://www.udemy.com/angular-crash-course-for-beginners/</t>
  </si>
  <si>
    <t>Learn what's new in PHP 7</t>
  </si>
  <si>
    <t>https://www.udemy.com/php7-new-features/</t>
  </si>
  <si>
    <t>Website Secrets: Get a Gorgeous Website on the Cheap</t>
  </si>
  <si>
    <t>https://www.udemy.com/how-to-get-an-excellent-website-at-a-lower-cost/</t>
  </si>
  <si>
    <t>How to Make a Wordpress Website 2017</t>
  </si>
  <si>
    <t>https://www.udemy.com/wordpress-4-for-beginners/</t>
  </si>
  <si>
    <t>Practical Understanding of PHP and MySQL</t>
  </si>
  <si>
    <t>https://www.udemy.com/practical-understanding-of-php-and-myqsl-demo/</t>
  </si>
  <si>
    <t>Build Flat Responsive Website from Scratch - Complete Course</t>
  </si>
  <si>
    <t>https://www.udemy.com/build-flat-responsive-website-from-scratch-complete-course/</t>
  </si>
  <si>
    <t>PHP Fundamentals - Start Earning The Top Dollars You Deserve</t>
  </si>
  <si>
    <t>https://www.udemy.com/php-fundamentals/</t>
  </si>
  <si>
    <t>The Complete Sass &amp; SCSS Course: From Beginner to Advanced</t>
  </si>
  <si>
    <t>https://www.udemy.com/sasscourse/</t>
  </si>
  <si>
    <t>You can create Incredible Websites with HTML CSS learn how</t>
  </si>
  <si>
    <t>https://www.udemy.com/learn-to-create-html-css-web-templates-create-web-pages/</t>
  </si>
  <si>
    <t>Advanced HTML5 Tutorial for Web Developers</t>
  </si>
  <si>
    <t>https://www.udemy.com/advanced-html5-for-web-developers/</t>
  </si>
  <si>
    <t>Python and Django Full Stack Web Developer Bootcamp</t>
  </si>
  <si>
    <t>https://www.udemy.com/python-and-django-full-stack-web-developer-bootcamp/</t>
  </si>
  <si>
    <t>Learn how to create a WordPress theme using Pinegrow</t>
  </si>
  <si>
    <t>https://www.udemy.com/learn-how-to-create-a-wordpress-theme-using-pinegrow/</t>
  </si>
  <si>
    <t>How To Setup Web Hosting</t>
  </si>
  <si>
    <t>https://www.udemy.com/how-to-setup-web-hosting/</t>
  </si>
  <si>
    <t>PSD To a Creative Landing Page Using Twitter Bootstrap 3</t>
  </si>
  <si>
    <t>https://www.udemy.com/psd-to-responsive-html5-css3-with-bootstrap-3/</t>
  </si>
  <si>
    <t>Learn HTML 5 in 1 hour</t>
  </si>
  <si>
    <t>https://www.udemy.com/learn-html-5-in-1-hour/</t>
  </si>
  <si>
    <t>HTML CSS Easy steps to create a web template from scratch</t>
  </si>
  <si>
    <t>https://www.udemy.com/html-css-easy-steps-to-create-a-web-template-from-scratch/</t>
  </si>
  <si>
    <t>React Redux React-Router: From Beginner to Paid Professional</t>
  </si>
  <si>
    <t>https://www.udemy.com/react-redux-react-router/</t>
  </si>
  <si>
    <t>Learn HTML And CSS From Scratch</t>
  </si>
  <si>
    <t>https://www.udemy.com/html-and-css-from-scratch/</t>
  </si>
  <si>
    <t>Complete Web Development Course + Building 5 Websites!</t>
  </si>
  <si>
    <t>https://www.udemy.com/creating-5-web-development-projects-in-html5-and-css3/</t>
  </si>
  <si>
    <t>Ultimate Angular 4 (previously Angular 2) with Bootstrap 4</t>
  </si>
  <si>
    <t>https://www.udemy.com/ultimate-angular-2/</t>
  </si>
  <si>
    <t>Learn the Basics of Programming for Marketers</t>
  </si>
  <si>
    <t>https://www.udemy.com/basic-programming-for-marketers/</t>
  </si>
  <si>
    <t>JavaScript For Beginners : Learn JavaScript From Scratch</t>
  </si>
  <si>
    <t>https://www.udemy.com/javascript-course-for-beginners/</t>
  </si>
  <si>
    <t>jQuery Crash Course: Learn the Essentials of jQuery Fast</t>
  </si>
  <si>
    <t>https://www.udemy.com/learn-jquery-crash-course/</t>
  </si>
  <si>
    <t>Practical CSS Website Development: Crash Course</t>
  </si>
  <si>
    <t>https://www.udemy.com/css-website-development-crash-course/</t>
  </si>
  <si>
    <t>Make a professional website - 30 Day Guarantee. Discounted!</t>
  </si>
  <si>
    <t>https://www.udemy.com/make-your-own-business-website-beginner-and-intermediate/</t>
  </si>
  <si>
    <t>Learn to Make an Animated Image Gallery using HTML5</t>
  </si>
  <si>
    <t>https://www.udemy.com/learn-to-make-an-animated-image-gallery-using-html5/</t>
  </si>
  <si>
    <t>Improved SEO with Rich Snippets and MicroData</t>
  </si>
  <si>
    <t>https://www.udemy.com/improved-seo-with-rich-snippets-and-microdata/</t>
  </si>
  <si>
    <t>Ultimate guide to Social Media Web development integration</t>
  </si>
  <si>
    <t>https://www.udemy.com/ultimate-guide-to-social-media-web-development-integration/</t>
  </si>
  <si>
    <t>The Complete Developers Guide to MongoDB</t>
  </si>
  <si>
    <t>https://www.udemy.com/the-complete-developers-guide-to-mongodb/</t>
  </si>
  <si>
    <t>Fun and creative web engineering with Python and Web2py</t>
  </si>
  <si>
    <t>https://www.udemy.com/web-engineering-with-python-and-web2py/</t>
  </si>
  <si>
    <t>CSS and CSS3 For Absolute Beginners</t>
  </si>
  <si>
    <t>https://www.udemy.com/css-and-css3-for-absolute-beginners/</t>
  </si>
  <si>
    <t>Build Real World Websites from Scratch using HTML5 and CSS3</t>
  </si>
  <si>
    <t>https://www.udemy.com/web-development-html5-css3/</t>
  </si>
  <si>
    <t>JavaScript for Beginners Welcome to learning JavaScript</t>
  </si>
  <si>
    <t>https://www.udemy.com/javascript-for-beginners-course/</t>
  </si>
  <si>
    <t>Master WordPress Plugins: Shortcodes Ultimate - The Basics</t>
  </si>
  <si>
    <t>https://www.udemy.com/master-popular-wordpress-plugin-shortcodes-ultimate/</t>
  </si>
  <si>
    <t>JavaScript for Absolute Beginners</t>
  </si>
  <si>
    <t>https://www.udemy.com/javascript-for-absolute-beginners/</t>
  </si>
  <si>
    <t>Get to know HTML Learn HTML Basics</t>
  </si>
  <si>
    <t>https://www.udemy.com/html-online-course/</t>
  </si>
  <si>
    <t>Code a personal splash page in 1 hour</t>
  </si>
  <si>
    <t>https://www.udemy.com/intro-to-html-and-css/</t>
  </si>
  <si>
    <t>Projects in PHP and MySQL</t>
  </si>
  <si>
    <t>https://www.udemy.com/the-complete-web-development-course-learn-by-building-apps/</t>
  </si>
  <si>
    <t>HTML CSS: Essential steps to learn HTML CSS</t>
  </si>
  <si>
    <t>https://www.udemy.com/html-and-css-basics/</t>
  </si>
  <si>
    <t>The Complete HTML5 &amp; CSS3 Course Build Professional Websites</t>
  </si>
  <si>
    <t>https://www.udemy.com/html5css3/</t>
  </si>
  <si>
    <t>Core HTML How to get online quickly HTML to HTML5</t>
  </si>
  <si>
    <t>https://www.udemy.com/web-development-introduction-html-html5-course/</t>
  </si>
  <si>
    <t>HTML5 Essentials for Beginners</t>
  </si>
  <si>
    <t>https://www.udemy.com/html5-essentials-for-beginners/</t>
  </si>
  <si>
    <t>JavaScript Game Development: Create Your Own Breakout Game</t>
  </si>
  <si>
    <t>https://www.udemy.com/javascript-game-development-create-your-own-breakout-game/</t>
  </si>
  <si>
    <t>JavaScript Basics Web Development Building Blocks</t>
  </si>
  <si>
    <t>https://www.udemy.com/javascript-basics-web-development-building-blocks/</t>
  </si>
  <si>
    <t>Learn Nodejs by building 12 projects</t>
  </si>
  <si>
    <t>https://www.udemy.com/learn-nodejs-by-building-10-projects/</t>
  </si>
  <si>
    <t>Building a Search Engine in PHP &amp; MySQL</t>
  </si>
  <si>
    <t>https://www.udemy.com/creating-a-search-engine-in-php/</t>
  </si>
  <si>
    <t>PHP: Ultimate guide to PHP for everyone</t>
  </si>
  <si>
    <t>https://www.udemy.com/basic-php/</t>
  </si>
  <si>
    <t>CSS Web Development Crash Course</t>
  </si>
  <si>
    <t>https://www.udemy.com/css-course/</t>
  </si>
  <si>
    <t>HTML5 and CSS3 for beginners: Create a Website from Scratch</t>
  </si>
  <si>
    <t>https://www.udemy.com/html5-and-css3-for-beginners-create-a-website-from-scratch/</t>
  </si>
  <si>
    <t>The Ultimate Web Development Course</t>
  </si>
  <si>
    <t>https://www.udemy.com/build-an-instant-update-database-interface-with-jquery-ajax/</t>
  </si>
  <si>
    <t>Getting Started as a Web Developer</t>
  </si>
  <si>
    <t>https://www.udemy.com/refactoru-getting-started-as-a-web-developer/</t>
  </si>
  <si>
    <t>Beginning Web development Learn the basics of HTML</t>
  </si>
  <si>
    <t>https://www.udemy.com/learn-the-basics-of-html-in-less-than-a-week/</t>
  </si>
  <si>
    <t>The Complete PHP Bootcamp Course With Video Sharing Project</t>
  </si>
  <si>
    <t>https://www.udemy.com/php-bootcamp/</t>
  </si>
  <si>
    <t>Beginning Oracle WebLogic for Administrators</t>
  </si>
  <si>
    <t>https://www.udemy.com/learn-oracle-weblogic-12c-essentials/</t>
  </si>
  <si>
    <t>Dynamic JavaScript Master Class AJAX JSON Simple APIs</t>
  </si>
  <si>
    <t>https://www.udemy.com/ajax-course/</t>
  </si>
  <si>
    <t>Build A Complete CRUD Application With PHP, MYSQL &amp; JQUERY</t>
  </si>
  <si>
    <t>https://www.udemy.com/build-a-complete-crud-application-with-php-mysql-jquery/</t>
  </si>
  <si>
    <t>HTML5 for beginners</t>
  </si>
  <si>
    <t>https://www.udemy.com/html-complete-html-course-for-beginners/</t>
  </si>
  <si>
    <t>JQuery Essentials core training for Dynamic Interactive web</t>
  </si>
  <si>
    <t>https://www.udemy.com/jquery-essentials-core-training-for-dynamic-interactive-web/</t>
  </si>
  <si>
    <t>Try Django 1.10 | Create a URL Shortening Service</t>
  </si>
  <si>
    <t>https://www.udemy.com/try-django-1-10/</t>
  </si>
  <si>
    <t>Code your first Website using HTML &amp; CSS: Project Learning</t>
  </si>
  <si>
    <t>https://www.udemy.com/code-your-first-website-using-html-css-project-learning/</t>
  </si>
  <si>
    <t>Web Site for Beginners - Learn Web Building like knitting</t>
  </si>
  <si>
    <t>https://www.udemy.com/web-design-for-grandmothers-with-html/</t>
  </si>
  <si>
    <t>The Complete Wordpress Course - Build Your Own Website Today</t>
  </si>
  <si>
    <t>https://www.udemy.com/wordpresscourse/</t>
  </si>
  <si>
    <t>Successful website creation - everything you need to know</t>
  </si>
  <si>
    <t>https://www.udemy.com/total-guide-to-creating-websites-and-an-online-web-business/</t>
  </si>
  <si>
    <t>Introductory JavaScript Made Easy Training Tutorial</t>
  </si>
  <si>
    <t>https://www.udemy.com/introductory-javascript-made-easy-training-tutorial/</t>
  </si>
  <si>
    <t>Ruby on Rails: Training and Skills to Build Web Applications</t>
  </si>
  <si>
    <t>https://www.udemy.com/the-startups-guide-to-web-development-with-ruby-on-rails/</t>
  </si>
  <si>
    <t>Learn How To Build a Web Application Without Coding</t>
  </si>
  <si>
    <t>https://www.udemy.com/learn-how-to-build-a-web-application-without-coding/</t>
  </si>
  <si>
    <t>Ultimate Web Developer Course Build 10 Websites from Scratch</t>
  </si>
  <si>
    <t>https://www.udemy.com/ultimate-web-developer-course-build-10-websites-from-scratch/</t>
  </si>
  <si>
    <t>The Essential Web Developer Course - Build 12 Websites</t>
  </si>
  <si>
    <t>https://www.udemy.com/the-essential-web-developer-course/</t>
  </si>
  <si>
    <t>Learn and Earn with HTML &amp; CSS</t>
  </si>
  <si>
    <t>https://www.udemy.com/learn-and-earn-with-html-css/</t>
  </si>
  <si>
    <t>HTML CSS JavaScript: Most popular ways to code HTML CSS JS</t>
  </si>
  <si>
    <t>https://www.udemy.com/html-css-javascript/</t>
  </si>
  <si>
    <t>Understanding TypeScript</t>
  </si>
  <si>
    <t>https://www.udemy.com/understanding-typescript/</t>
  </si>
  <si>
    <t>Introduction to Laravel 4</t>
  </si>
  <si>
    <t>https://www.udemy.com/introduction-to-laravel-4/</t>
  </si>
  <si>
    <t>Projects In JavaScript &amp; JQuery</t>
  </si>
  <si>
    <t>https://www.udemy.com/projects-in-javascript-jquery/</t>
  </si>
  <si>
    <t>Web Design for Beginners: Real World Coding in HTML &amp; CSS</t>
  </si>
  <si>
    <t>https://www.udemy.com/web-design-for-beginners-real-world-coding-in-html-css/</t>
  </si>
  <si>
    <t>Start Writing JavaScript Today - Beginner JavaScript Course</t>
  </si>
  <si>
    <t>https://www.udemy.com/start-writing-javascript-today/</t>
  </si>
  <si>
    <t>How to Create a Website Without Coding - WordPress 2016</t>
  </si>
  <si>
    <t>https://www.udemy.com/how-to-create-a-website-wordpress-2016/</t>
  </si>
  <si>
    <t>How to Launch Your Own Website Builder Service</t>
  </si>
  <si>
    <t>https://www.udemy.com/how-to-launch-your-own-website-builder-service/</t>
  </si>
  <si>
    <t>Building HTML5 Canvas projects from scratch</t>
  </si>
  <si>
    <t>https://www.udemy.com/building-html5-canvas-projects-from-scratch/</t>
  </si>
  <si>
    <t>Webpack 2: The Complete Developer's Guide</t>
  </si>
  <si>
    <t>https://www.udemy.com/webpack-2-the-complete-developers-guide/</t>
  </si>
  <si>
    <t>Projects in HTML5</t>
  </si>
  <si>
    <t>https://www.udemy.com/projects-in-html5/</t>
  </si>
  <si>
    <t>How to Set Up a Self-Hosted Wordpress Website in 30 Minutes</t>
  </si>
  <si>
    <t>https://www.udemy.com/how-to-set-up-a-wordpress-website-custom-domain-in-30-mins/</t>
  </si>
  <si>
    <t>Serverless Workflow Management with AWS Step Functions</t>
  </si>
  <si>
    <t>https://www.udemy.com/aws-step-functions/</t>
  </si>
  <si>
    <t>All about NodeJS</t>
  </si>
  <si>
    <t>https://www.udemy.com/all-about-nodejs/</t>
  </si>
  <si>
    <t>Discover HTML Essential guide to HTML how to create webpages</t>
  </si>
  <si>
    <t>https://www.udemy.com/intro-to-html-beginners-guide-to-html-how-to-create-webpages/</t>
  </si>
  <si>
    <t>WordPress Plugins and Widgets</t>
  </si>
  <si>
    <t>https://www.udemy.com/wordpress-plugins-and-widgets/</t>
  </si>
  <si>
    <t>Learn Angular 4 from Scratch</t>
  </si>
  <si>
    <t>https://www.udemy.com/learn-angular-from-scratch/</t>
  </si>
  <si>
    <t>React and Flux Web Development for Beginners</t>
  </si>
  <si>
    <t>https://www.udemy.com/react-flux/</t>
  </si>
  <si>
    <t>Learn jQuery by Example Course</t>
  </si>
  <si>
    <t>https://www.udemy.com/complete-jquery-course/</t>
  </si>
  <si>
    <t>Interaction Design Specialist For Web Developers</t>
  </si>
  <si>
    <t>https://www.udemy.com/interaction-design-specialist-for-web-developers/</t>
  </si>
  <si>
    <t>HTML for Beginners</t>
  </si>
  <si>
    <t>https://www.udemy.com/hmtl5-training/</t>
  </si>
  <si>
    <t>JSON Faster Sleeker &amp; Easier Discover the benefits learn it</t>
  </si>
  <si>
    <t>https://www.udemy.com/introduction-to-json-javascript-object-notation-tutorial/</t>
  </si>
  <si>
    <t>PHP with Laravel for beginners - Become a Master in Laravel</t>
  </si>
  <si>
    <t>https://www.udemy.com/php-with-laravel-for-beginners-become-a-master-in-laravel/</t>
  </si>
  <si>
    <t>How to easily Manage your WordPress Website</t>
  </si>
  <si>
    <t>https://www.udemy.com/manage-wordpress-website/</t>
  </si>
  <si>
    <t>How to Install WordPress From Scratch</t>
  </si>
  <si>
    <t>https://www.udemy.com/install-wordpress/</t>
  </si>
  <si>
    <t>Introduction to HTML</t>
  </si>
  <si>
    <t>https://www.udemy.com/refactoru-intro-html/</t>
  </si>
  <si>
    <t>Foundations of Front-End Web Development</t>
  </si>
  <si>
    <t>https://www.udemy.com/foundations-of-front-end-development/</t>
  </si>
  <si>
    <t>PHP Graphic Techniques: CAPTCHA/ Create a verification code</t>
  </si>
  <si>
    <t>https://www.udemy.com/php-graphic-techniques-captcha-watermark-crop-thumbnail/</t>
  </si>
  <si>
    <t>The Docker for DevOps course: From development to production</t>
  </si>
  <si>
    <t>https://www.udemy.com/the-docker-for-devops-course-from-development-to-production/</t>
  </si>
  <si>
    <t>PHP Essential How to create build Amazing websites with PHP</t>
  </si>
  <si>
    <t>https://www.udemy.com/php-essential-how-to-create-build-amazing-websites-with-php/</t>
  </si>
  <si>
    <t>Sass: From Beginner to Advanced</t>
  </si>
  <si>
    <t>https://www.udemy.com/sass-from-beginner-to-advanced/</t>
  </si>
  <si>
    <t>Complete WooCommerce Plugin Tutorial For Wordpress 2017</t>
  </si>
  <si>
    <t>https://www.udemy.com/complete-woocommerce-plugin-tutorial-for-wordpress-2017/</t>
  </si>
  <si>
    <t>REST WCF Service in ASP.NET</t>
  </si>
  <si>
    <t>https://www.udemy.com/rest-wcf-service-in-aspnet/</t>
  </si>
  <si>
    <t>Build a website HTML5 CSS3 Beginner Course</t>
  </si>
  <si>
    <t>https://www.udemy.com/how-to-build-a-website-html5-css3-beginner-course/</t>
  </si>
  <si>
    <t>AJAX Development</t>
  </si>
  <si>
    <t>https://www.udemy.com/ajax-development/</t>
  </si>
  <si>
    <t>Complete Bootstrap 4 course - build 3 projects</t>
  </si>
  <si>
    <t>https://www.udemy.com/bootstrap-4-tutorials/</t>
  </si>
  <si>
    <t>How to Optimise Your WordPress Website's Speed &amp; Security to Improve SEO &amp; User Experience</t>
  </si>
  <si>
    <t>https://www.udemy.com/how-to-make-your-wordpress-site-blazing-fast/</t>
  </si>
  <si>
    <t>The Complete Ethical Hacking Course 2.0: Python &amp; Kali Linux</t>
  </si>
  <si>
    <t>https://www.udemy.com/penetration-testing-ethical-hacking-course-python-kali-linux/</t>
  </si>
  <si>
    <t>JavaScript Introduction to Object Oriented JavaScript</t>
  </si>
  <si>
    <t>https://www.udemy.com/javascript-introduction-to-object-oriented-javascript/</t>
  </si>
  <si>
    <t>JavaScript for Beginning Web Developers</t>
  </si>
  <si>
    <t>https://www.udemy.com/learn-javascript-programming/</t>
  </si>
  <si>
    <t>Learn How to Manage &amp; Customize Web Sites By Drupal CMS</t>
  </si>
  <si>
    <t>https://www.udemy.com/drupal-course/</t>
  </si>
  <si>
    <t>JavaScript in Action JavaScript Projects</t>
  </si>
  <si>
    <t>https://www.udemy.com/javascript-in-action-learn-javascript-projects/</t>
  </si>
  <si>
    <t>HTML5 APIs For JavaScript - A Course For Web Developers</t>
  </si>
  <si>
    <t>https://www.udemy.com/html5-apis-for-javascript-a-course-for-web-developers/</t>
  </si>
  <si>
    <t>Learn Building Your Own Website Without Coding</t>
  </si>
  <si>
    <t>https://www.udemy.com/learn-building-your-own-website-without-coding/</t>
  </si>
  <si>
    <t>Create A Custom Responsive WordPress Website For A Client</t>
  </si>
  <si>
    <t>https://www.udemy.com/create-custom-responsive-wordpress-website-client/</t>
  </si>
  <si>
    <t>The Complete Web Development Course - Build 15 Projects</t>
  </si>
  <si>
    <t>https://www.udemy.com/complete-web-development-course/</t>
  </si>
  <si>
    <t>Complete Python Web Course: Build 8 Python Web Apps</t>
  </si>
  <si>
    <t>https://www.udemy.com/the-complete-python-web-course-learn-by-building-8-apps/</t>
  </si>
  <si>
    <t>SAP Crystal Reports with ASP.Net (Step by step)</t>
  </si>
  <si>
    <t>https://www.udemy.com/sap-crystalreports-for-beginners/</t>
  </si>
  <si>
    <t>Create Single Page Website using Twitter Bootstrap 3</t>
  </si>
  <si>
    <t>https://www.udemy.com/create-single-page-website-using-twitter-bootstrap/</t>
  </si>
  <si>
    <t>Complete JavaScript Course for Beginners with Easy Examples</t>
  </si>
  <si>
    <t>https://www.udemy.com/javascript-for-dummies-and-newbies/</t>
  </si>
  <si>
    <t>Master ECMAScript 2015 (ES6)</t>
  </si>
  <si>
    <t>https://www.udemy.com/ecmascript2015/</t>
  </si>
  <si>
    <t>HTML Learning the Basics Intro to HTML website coding</t>
  </si>
  <si>
    <t>https://www.udemy.com/html-learning-the-basics-intro-to-html-website-coding/</t>
  </si>
  <si>
    <t>Try Django 1.9 | Build a Blog and Learn Python's #1 Library</t>
  </si>
  <si>
    <t>https://www.udemy.com/try-django/</t>
  </si>
  <si>
    <t>JavaScript DOM Dynamic Web interactive content Boot Camp</t>
  </si>
  <si>
    <t>https://www.udemy.com/javascript-dom-dynamic-web-interactive-content-boot-camp/</t>
  </si>
  <si>
    <t>Getting Started with HTML</t>
  </si>
  <si>
    <t>https://www.udemy.com/html-basics-course/</t>
  </si>
  <si>
    <t>Crash Course: Fundamentals Of HTML &amp; CSS From Scratch.</t>
  </si>
  <si>
    <t>https://www.udemy.com/beginner-crash-course-fundamentals-of-html-css-in-60-mins/</t>
  </si>
  <si>
    <t>Beginners Introduction to Web Development</t>
  </si>
  <si>
    <t>https://www.udemy.com/explore-web-development/</t>
  </si>
  <si>
    <t>A how to guide in HTML</t>
  </si>
  <si>
    <t>https://www.udemy.com/a-how-to-guide-in-html/</t>
  </si>
  <si>
    <t>HTML Introduction Course: Learn HTML in 2 hours!!!</t>
  </si>
  <si>
    <t>https://www.udemy.com/html-introduction-course-learn-html-in-2-hours/</t>
  </si>
  <si>
    <t>Create a Dynamic User Registration Form from scratch</t>
  </si>
  <si>
    <t>https://www.udemy.com/create-a-dynamic-user-registration-form-from-scratch/</t>
  </si>
  <si>
    <t>Code &amp; Grow Rich: Earn More As An Entrepreneur Or Developer</t>
  </si>
  <si>
    <t>https://www.udemy.com/code-grow-rich-earn-more-as-an-entrepreneur-or-developer/</t>
  </si>
  <si>
    <t>Node Package Manager Course: Build and Publish NPM Modules</t>
  </si>
  <si>
    <t>https://www.udemy.com/node-package-manager-course-build-and-publish-npm-modules/</t>
  </si>
  <si>
    <t>Learn How To Build A Professional Web Site By Using Joomla</t>
  </si>
  <si>
    <t>https://www.udemy.com/learn-how-to-build-a-professional-web-site-by-using-joomla/</t>
  </si>
  <si>
    <t>Complete JQuery And JQuery UI Course For Beginner</t>
  </si>
  <si>
    <t>https://www.udemy.com/complete-jquery-and-jquery-ui-course-for-beginner/</t>
  </si>
  <si>
    <t>Projects in AngularJS - Learn by building 10 Projects</t>
  </si>
  <si>
    <t>https://www.udemy.com/learn-angularjs-development/</t>
  </si>
  <si>
    <t>Create a Powerful Website with the Cool Bootstrap Framework</t>
  </si>
  <si>
    <t>https://www.udemy.com/e107-tutorial-for-beginner-build-bootstrap-website/</t>
  </si>
  <si>
    <t>Kids Coding - Beginners CSS</t>
  </si>
  <si>
    <t>https://www.udemy.com/kids-coding-beginners-css/</t>
  </si>
  <si>
    <t>JavaScript HTML CSS Project make a Quiz Tutorial</t>
  </si>
  <si>
    <t>https://www.udemy.com/javascript-html-css-project-make-a-quiz-tutorial/</t>
  </si>
  <si>
    <t>Become a Heroku Rails Ninja: Expert Level Deployment Tools</t>
  </si>
  <si>
    <t>https://www.udemy.com/become-a-heroku-rails-ninja/</t>
  </si>
  <si>
    <t>Learn How To Become a Web Developer From Scratch</t>
  </si>
  <si>
    <t>https://www.udemy.com/learn-how-to-become-a-front-end-web-developer-from-scratch/</t>
  </si>
  <si>
    <t>React JS - Mastering Redux</t>
  </si>
  <si>
    <t>https://www.udemy.com/react-js-mastering-redux/</t>
  </si>
  <si>
    <t>Beginner API development in Node, Express, ES6, &amp; MongoDB</t>
  </si>
  <si>
    <t>https://www.udemy.com/api-development/</t>
  </si>
  <si>
    <t>How To Build And Make A Wordpress Website From Scratch 2017</t>
  </si>
  <si>
    <t>https://www.udemy.com/how-to-build-and-make-a-wordpress-website-from-scratch-2017/</t>
  </si>
  <si>
    <t>How to Create a Wordpress Website from Scratch - No Coding</t>
  </si>
  <si>
    <t>https://www.udemy.com/how-to-create-a-wordpress-website-from-scratch-no-coding/</t>
  </si>
  <si>
    <t>How To Build A Website From Scratch + Blogging Blueprint</t>
  </si>
  <si>
    <t>https://www.udemy.com/how-to-build-a-website-from-scratch-blogging-blueprint/</t>
  </si>
  <si>
    <t>Learn jQuery: An In-depth Course For Beginners</t>
  </si>
  <si>
    <t>https://www.udemy.com/jquery/</t>
  </si>
  <si>
    <t>React vs Angular vs Vue.js by Example</t>
  </si>
  <si>
    <t>https://www.udemy.com/react-vs-angular-vs-vuejs-by-example/</t>
  </si>
  <si>
    <t>How To Setup a Micro-Blog in 3 Easy Steps</t>
  </si>
  <si>
    <t>https://www.udemy.com/setup-your-own-micro-blog-in-3-easy-steps/</t>
  </si>
  <si>
    <t>Getting Started with Angular 2+</t>
  </si>
  <si>
    <t>https://www.udemy.com/getting-started-with-angular-2/</t>
  </si>
  <si>
    <t>The Advanced Web Developer Course</t>
  </si>
  <si>
    <t>https://www.udemy.com/the-advanced-web-developer-course/</t>
  </si>
  <si>
    <t>How To Make A Modern Wordpress BLOG 2017! Create Your Blog!</t>
  </si>
  <si>
    <t>https://www.udemy.com/how-to-make-a-modern-wordpress-blog-2017-create-your-blog/</t>
  </si>
  <si>
    <t>Become a Professional Web Developer | Version 3.0</t>
  </si>
  <si>
    <t>https://www.udemy.com/web-development-tutorials/</t>
  </si>
  <si>
    <t>Comprehensive JavaScript Programming</t>
  </si>
  <si>
    <t>https://www.udemy.com/comprehensive-javascript-programming/</t>
  </si>
  <si>
    <t>Become a Kick-Ass Web Developer: From Newbie to Pro</t>
  </si>
  <si>
    <t>https://www.udemy.com/become-a-web-developer/</t>
  </si>
  <si>
    <t>Introduction to Voice Design with Amazon's Alexa</t>
  </si>
  <si>
    <t>https://www.udemy.com/amazonalexa/</t>
  </si>
  <si>
    <t>A-Frame WebVR Programming Tutorial Series (Virtual Reality)</t>
  </si>
  <si>
    <t>https://www.udemy.com/a-frame-webvr/</t>
  </si>
  <si>
    <t>The Complete jQuery Course: From Beginner To Advanced!</t>
  </si>
  <si>
    <t>https://www.udemy.com/jquery-tutorial/</t>
  </si>
  <si>
    <t>Kids Coding - Beginner HTML</t>
  </si>
  <si>
    <t>https://www.udemy.com/kids-coding-beginner-html/</t>
  </si>
  <si>
    <t>Advanced Javascript</t>
  </si>
  <si>
    <t>https://www.udemy.com/top-javascript-interview-questions-and-answers/</t>
  </si>
  <si>
    <t>Object Oriented Programming (OOP) in PHP - Build An OOP Site</t>
  </si>
  <si>
    <t>https://www.udemy.com/object-oriented-programming-in-php/</t>
  </si>
  <si>
    <t>Build A Weather App With Ajax Using Open Weather Map API</t>
  </si>
  <si>
    <t>https://www.udemy.com/build-a-weather-app-with-ajax-using-open-weather-map-api/</t>
  </si>
  <si>
    <t>Meteor and React for Realtime Apps</t>
  </si>
  <si>
    <t>https://www.udemy.com/meteor-react-tutorial/</t>
  </si>
  <si>
    <t>Learn To Create Different Website Layouts &amp; Media Queries</t>
  </si>
  <si>
    <t>https://www.udemy.com/websitelayouts/</t>
  </si>
  <si>
    <t>Complete PHP and MySql Course: From Beginner to Professional</t>
  </si>
  <si>
    <t>https://www.udemy.com/complete-php-mysql-course-for-beginners-start-to-finish/</t>
  </si>
  <si>
    <t>PHP OOP: Object Oriented Programming for beginners + Project</t>
  </si>
  <si>
    <t>https://www.udemy.com/oop-php-object-oriented-programing-with-project-1-course/</t>
  </si>
  <si>
    <t>WordPress in under an hour - Create/manage your own website!</t>
  </si>
  <si>
    <t>https://www.udemy.com/learn-wordpress-in-57-minutes/</t>
  </si>
  <si>
    <t>Dive Into Docker: The Docker Course for Developers</t>
  </si>
  <si>
    <t>https://www.udemy.com/dive-into-docker-the-complete-docker-course-for-developers/</t>
  </si>
  <si>
    <t>The Complete jQuery Course - From Beginner to Professional!</t>
  </si>
  <si>
    <t>https://www.udemy.com/complete-jquery-developer-course-beginner-to-pro/</t>
  </si>
  <si>
    <t>How to Make a Website Without Coding- WordPress &amp; Web Skills</t>
  </si>
  <si>
    <t>https://www.udemy.com/make-a-website-without-code-wordpress-course/</t>
  </si>
  <si>
    <t>GraphQL with React: The Complete Developers Guide</t>
  </si>
  <si>
    <t>https://www.udemy.com/graphql-with-react-course/</t>
  </si>
  <si>
    <t>Wordpress Beginner Tutorial: Build Your First Website</t>
  </si>
  <si>
    <t>https://www.udemy.com/wordpress-beginner-tutorial-build-your-first-website/</t>
  </si>
  <si>
    <t>CSS Image filters - The modern web images color manipulation</t>
  </si>
  <si>
    <t>https://www.udemy.com/super-awesome-images-with-css-image-filters/</t>
  </si>
  <si>
    <t>jQuery For Beginners : A Basic Introduction</t>
  </si>
  <si>
    <t>https://www.udemy.com/jquery-for-beginners-a-basic-introduction/</t>
  </si>
  <si>
    <t>Step-by-step HTML and CSS for Absolute Beginners</t>
  </si>
  <si>
    <t>https://www.udemy.com/step-by-step-html-and-css-for-absolute-beginners/</t>
  </si>
  <si>
    <t>Python for Beginners: Python Programming Language | Tutorial</t>
  </si>
  <si>
    <t>https://www.udemy.com/python-course/</t>
  </si>
  <si>
    <t>Full Stack JavaScript: Learn Backbone.js, Node.js &amp; MongoDB</t>
  </si>
  <si>
    <t>https://www.udemy.com/fullstack-javascript/</t>
  </si>
  <si>
    <t>Javascript from Beginner to Advanced Level</t>
  </si>
  <si>
    <t>https://www.udemy.com/javascript-from-beginner-to-advanced-level/</t>
  </si>
  <si>
    <t>Installing Wordpress 4 - Installation, Registrars &amp; Hosting</t>
  </si>
  <si>
    <t>https://www.udemy.com/installing-wordpress-domain-registrars-and-web-hosting/</t>
  </si>
  <si>
    <t>Build Enterprise Applications with Angular 2 (and Angular 4)</t>
  </si>
  <si>
    <t>https://www.udemy.com/angular2-advanced/</t>
  </si>
  <si>
    <t>Complete ASP NET MVC Web Development - Newbie to Ninja!</t>
  </si>
  <si>
    <t>https://www.udemy.com/better-web-development-pro-techniques-for-success/</t>
  </si>
  <si>
    <t>Intro To HTML &amp; CSS: Web Development For Beginners</t>
  </si>
  <si>
    <t>https://www.udemy.com/intro-to-html-and-css-basics/</t>
  </si>
  <si>
    <t>JavaScript project Learn to create a memory Game and more</t>
  </si>
  <si>
    <t>https://www.udemy.com/javascript-project-learn-to-create-a-memory-game-and-more/</t>
  </si>
  <si>
    <t>8 Beautiful Ruby on Rails Apps in 30 Days &amp; TDD - Immersive</t>
  </si>
  <si>
    <t>https://www.udemy.com/8-beautiful-ruby-on-rails-apps-in-30-days/</t>
  </si>
  <si>
    <t>https://www.udemy.com/introduction-to-web-development2/</t>
  </si>
  <si>
    <t>Accelerated ES6 JavaScript Training</t>
  </si>
  <si>
    <t>https://www.udemy.com/es6-bootcamp-next-generation-javascript/</t>
  </si>
  <si>
    <t>Git a Web Developer Job: Mastering the Modern Workflow</t>
  </si>
  <si>
    <t>https://www.udemy.com/git-a-web-developer-job-mastering-the-modern-workflow/</t>
  </si>
  <si>
    <t>Be a Bootstrap Developer from scratch</t>
  </si>
  <si>
    <t>https://www.udemy.com/be-a-bootstrap-developer-from-scratch/</t>
  </si>
  <si>
    <t>Introduction to Bootstrap 3</t>
  </si>
  <si>
    <t>https://www.udemy.com/introduction-to-bootstrap-3/</t>
  </si>
  <si>
    <t>Explore JavaScript Beginners Guide to Coding JavaScript</t>
  </si>
  <si>
    <t>https://www.udemy.com/javascript-beginners-course/</t>
  </si>
  <si>
    <t>Responsive PHP Registration Form: From Scratch</t>
  </si>
  <si>
    <t>https://www.udemy.com/responsive-php-registration-form/</t>
  </si>
  <si>
    <t>Learn HTML, A practical guide from scratch to HTML 5</t>
  </si>
  <si>
    <t>https://www.udemy.com/learn-html-a-practical-guide-from-scratch-to-html-5/</t>
  </si>
  <si>
    <t>PHP User Login Registration Script With All Features</t>
  </si>
  <si>
    <t>https://www.udemy.com/php-user-login-registration-system/</t>
  </si>
  <si>
    <t>Interactive Dynamic JavaScript for beginners DOM</t>
  </si>
  <si>
    <t>https://www.udemy.com/javascript-dom/</t>
  </si>
  <si>
    <t>PHP &amp; MySQL - Learn The Easy Way. Master PHP &amp; MySQL Quickly</t>
  </si>
  <si>
    <t>https://www.udemy.com/learning-php-and-mysql-development-the-easy-way/</t>
  </si>
  <si>
    <t>Bootstrap 3 -&gt; Profitable WordPress Theme Development!</t>
  </si>
  <si>
    <t>https://www.udemy.com/bootstrap-wordpress/</t>
  </si>
  <si>
    <t>Learn Bootstrap 4 by Example</t>
  </si>
  <si>
    <t>https://www.udemy.com/learn-bootstrap-4-by-example/</t>
  </si>
  <si>
    <t>Web Hosting Introduction: How to Publish Your Website Online</t>
  </si>
  <si>
    <t>https://www.udemy.com/web-hosting-introduction/</t>
  </si>
  <si>
    <t>JavaScript Basics for Beginners Introduction to coding</t>
  </si>
  <si>
    <t>https://www.udemy.com/learn-javascript-for-beginners-introduction-to-coding-course/</t>
  </si>
  <si>
    <t>JavaScript from Beginner to Expert</t>
  </si>
  <si>
    <t>https://www.udemy.com/javascript-from-beginner-to-expert-bring-life-to-your-site/</t>
  </si>
  <si>
    <t>1 hour jQuery</t>
  </si>
  <si>
    <t>https://www.udemy.com/1-hour-jquery/</t>
  </si>
  <si>
    <t>WP Plugin Development - Build your own plugin!</t>
  </si>
  <si>
    <t>https://www.udemy.com/wp-plugin-development-build-your-own-plugin/</t>
  </si>
  <si>
    <t>Create a Professional Website Without Programming/Coding</t>
  </si>
  <si>
    <t>https://www.udemy.com/create-professional-websites/</t>
  </si>
  <si>
    <t>Learn WCF And Web APIs From Scratch</t>
  </si>
  <si>
    <t>https://www.udemy.com/learn-wcf-and-web-apis-from-scratch/</t>
  </si>
  <si>
    <t>Angular Tutorial For Beginners</t>
  </si>
  <si>
    <t>https://www.udemy.com/angular-tutorial-for-beginners/</t>
  </si>
  <si>
    <t>Start Your Own Forum Website in 15 Minutes</t>
  </si>
  <si>
    <t>https://www.udemy.com/forum-web-development/</t>
  </si>
  <si>
    <t>Learn PHP Programming for Absolute Beginners</t>
  </si>
  <si>
    <t>https://www.udemy.com/learn-php-programming-for-absolute-beginners/</t>
  </si>
  <si>
    <t>Learn HTML in 2 hours!</t>
  </si>
  <si>
    <t>https://www.udemy.com/learn-html5-in-2-hours/</t>
  </si>
  <si>
    <t>The Complete DevOps Engineer Course 2.0 - Java &amp; Kubernetes</t>
  </si>
  <si>
    <t>https://www.udemy.com/the-complete-devops-engineer-course-20-java-kubernetes/</t>
  </si>
  <si>
    <t>Build a Real-world App with ASP.NET Core and Angular 2 (4+)</t>
  </si>
  <si>
    <t>https://www.udemy.com/aspnet-core-angular/</t>
  </si>
  <si>
    <t>Inspirational Web Development - A Beginner Approach -</t>
  </si>
  <si>
    <t>https://www.udemy.com/inspirational-web-development-level-0/</t>
  </si>
  <si>
    <t>Learn how to convert PSD to HTML and CSS responsive</t>
  </si>
  <si>
    <t>https://www.udemy.com/learn-how-to-convert-psd-to-html-and-css-responsive/</t>
  </si>
  <si>
    <t>Learn Jquery from Scratch 2-Hour Training</t>
  </si>
  <si>
    <t>https://www.udemy.com/jquery_complete/</t>
  </si>
  <si>
    <t>Learn to Create Responsive Layouts in 30 Minutes</t>
  </si>
  <si>
    <t>https://www.udemy.com/learn-to-create-responsive-layouts-in-30-minutes/</t>
  </si>
  <si>
    <t>The Complete Elixir and Phoenix Bootcamp</t>
  </si>
  <si>
    <t>https://www.udemy.com/the-complete-elixir-and-phoenix-bootcamp-and-tutorial/</t>
  </si>
  <si>
    <t>Building a Portfolio in 90 minutes ( HTML, CSS, Js )</t>
  </si>
  <si>
    <t>https://www.udemy.com/build-a-portfolio-website-in-90-minutes-html-css-js/</t>
  </si>
  <si>
    <t>Web Design How to Create a Website HTML CSS Bootstrap</t>
  </si>
  <si>
    <t>https://www.udemy.com/how-to-create-a-website-html-css-bootstrap/</t>
  </si>
  <si>
    <t>Django Tutorial: Build Your First App Fast &amp; Free!</t>
  </si>
  <si>
    <t>https://www.udemy.com/create-your-first-django-website-fast-free/</t>
  </si>
  <si>
    <t>Angular 2 &amp; TypeScript Beginner Web Development</t>
  </si>
  <si>
    <t>https://www.udemy.com/angular2/</t>
  </si>
  <si>
    <t>Wordpress Website Mastery 2017</t>
  </si>
  <si>
    <t>https://www.udemy.com/wordpress-website-mastery-2017/</t>
  </si>
  <si>
    <t>Spring Framework 4 (Java Enterprise JEE) with AngularJS</t>
  </si>
  <si>
    <t>https://www.udemy.com/java-spring-mvc-framework-with-angularjs-by-google-and-html5/</t>
  </si>
  <si>
    <t>REST APIs with Flask and Python</t>
  </si>
  <si>
    <t>https://www.udemy.com/rest-api-flask-and-python/</t>
  </si>
  <si>
    <t>Learn Angular 2 Development By Building 12 Apps</t>
  </si>
  <si>
    <t>https://www.udemy.com/learn-angular-2-development-by-building-10-apps/</t>
  </si>
  <si>
    <t>Wordpress For Beginners: Create a Professional Website</t>
  </si>
  <si>
    <t>https://www.udemy.com/learn-how-to-create-a-website-with-wordpress/</t>
  </si>
  <si>
    <t>Build a Responsive Website with HTML5, CSS3 and Bootstrap 4</t>
  </si>
  <si>
    <t>https://www.udemy.com/build-a-responsive-website-with-html5-css3-and-bootstrap-4/</t>
  </si>
  <si>
    <t>PHP for Beginners: How to Build an E-Commerce Store</t>
  </si>
  <si>
    <t>https://www.udemy.com/php-for-beginners-how-to-build-an-ecommerce-store/</t>
  </si>
  <si>
    <t>How To Create Your Very First Website With HTML and CSS</t>
  </si>
  <si>
    <t>https://www.udemy.com/how-to-create-a-website-with-html-and-css/</t>
  </si>
  <si>
    <t>Javascript for Beginners Learn by Doing Practical Exercises</t>
  </si>
  <si>
    <t>https://www.udemy.com/javascript-for-beginners-introduction-learn-fast-easy/</t>
  </si>
  <si>
    <t>Responsive Web Design: Made Easy</t>
  </si>
  <si>
    <t>https://www.udemy.com/responsive-web-design-made-easy/</t>
  </si>
  <si>
    <t>Introduction to Coding with Ruby</t>
  </si>
  <si>
    <t>https://www.udemy.com/newbie-to-ruby/</t>
  </si>
  <si>
    <t>Build a Website in 30 Minutes</t>
  </si>
  <si>
    <t>https://www.udemy.com/30-minute-website/</t>
  </si>
  <si>
    <t>Create Jekyll blog and host it on Github like a Ninja</t>
  </si>
  <si>
    <t>https://www.udemy.com/create-free-jekyll-blog-on-github-pages-like-a-ninja/</t>
  </si>
  <si>
    <t>Rock Solid Wordpress Security - Secure Web Development</t>
  </si>
  <si>
    <t>https://www.udemy.com/rock-solid-wordpress-security-secure-wordpress-easily/</t>
  </si>
  <si>
    <t>React VR - Creating Virtual Reality Apps</t>
  </si>
  <si>
    <t>https://www.udemy.com/react-vr/</t>
  </si>
  <si>
    <t>Bootstrap 4: Exploring New Features</t>
  </si>
  <si>
    <t>https://www.udemy.com/bootstrap-40exploring-new-features/</t>
  </si>
  <si>
    <t>Simple And Easy: Wordpress For Beginners</t>
  </si>
  <si>
    <t>https://www.udemy.com/simple-and-easy-wordpress-101/</t>
  </si>
  <si>
    <t>Learn HTML Basics From Scratch</t>
  </si>
  <si>
    <t>https://www.udemy.com/learn-html-from-scratch/</t>
  </si>
  <si>
    <t>Backbone Tutorial: Learn Backbonejs from Scratch</t>
  </si>
  <si>
    <t>https://www.udemy.com/backbonejs-tutorial/</t>
  </si>
  <si>
    <t>Laravel Deployment - Launch your Laravel Application Online</t>
  </si>
  <si>
    <t>https://www.udemy.com/laravel-deployment/</t>
  </si>
  <si>
    <t>HTML CSS Learn to create a website from scratch</t>
  </si>
  <si>
    <t>https://www.udemy.com/html-css-learn-to-create-a-website-from-scratch/</t>
  </si>
  <si>
    <t>Web Development w/ Googleâ€™s Go (golang) Programming Language</t>
  </si>
  <si>
    <t>https://www.udemy.com/go-programming-language/</t>
  </si>
  <si>
    <t>Create Your First Wordpress Site in Under an Hour</t>
  </si>
  <si>
    <t>https://www.udemy.com/how-to-install-wordpress-/</t>
  </si>
  <si>
    <t>HTML Web Development Crash Course</t>
  </si>
  <si>
    <t>https://www.udemy.com/html-tutorials/</t>
  </si>
  <si>
    <t>Learn and Understand React</t>
  </si>
  <si>
    <t>https://www.udemy.com/learn-and-understand-react-and-redux-i/</t>
  </si>
  <si>
    <t>Ruby on Rails for Complete Beginners</t>
  </si>
  <si>
    <t>https://www.udemy.com/ruby-on-rails-tutorial-for-complete-beginners/</t>
  </si>
  <si>
    <t>Building a Ruby on Rails Application with Neo4j</t>
  </si>
  <si>
    <t>https://www.udemy.com/building-a-ruby-on-rails-application-with-neo4j/</t>
  </si>
  <si>
    <t>The complete JavaScript developer: MEAN stack zero-to-hero</t>
  </si>
  <si>
    <t>https://www.udemy.com/the-complete-javascript-developer-mean-stack-zero-to-hero/</t>
  </si>
  <si>
    <t>Css Positioning For Absolute Beginners: A Basic Introduction</t>
  </si>
  <si>
    <t>https://www.udemy.com/learn-how-css-positioning-works-a/</t>
  </si>
  <si>
    <t>Javascript ES6! A Complete Reference Guide to Javascript ES6</t>
  </si>
  <si>
    <t>https://www.udemy.com/javascript-es6-a-complete-reference-guide-to-javascript-es6/</t>
  </si>
  <si>
    <t>Bootstrap Basics: Program Responsive Websites</t>
  </si>
  <si>
    <t>https://www.udemy.com/code-responsive-website-twitter-bootstrap/</t>
  </si>
  <si>
    <t>Customizr - Learn WordPress with the ultimate creative theme</t>
  </si>
  <si>
    <t>https://www.udemy.com/wpcustomizrcourse/</t>
  </si>
  <si>
    <t>Learn How to Create Your Own Social Network</t>
  </si>
  <si>
    <t>https://www.udemy.com/create-your-own-social-network/</t>
  </si>
  <si>
    <t>Accelerated JavaScript Training</t>
  </si>
  <si>
    <t>https://www.udemy.com/javascript-bootcamp-2016/</t>
  </si>
  <si>
    <t>Complete Login and Registration System in PHP and MYSQL</t>
  </si>
  <si>
    <t>https://www.udemy.com/login-and-registration-system-in-php-and-mysql-step-by-step/</t>
  </si>
  <si>
    <t>Complete AJAX Using Bootstrap, PHP From Basic To Advanced.</t>
  </si>
  <si>
    <t>https://www.udemy.com/complete-ajax-using-bootstrap-php-from-basic-to-advanced/</t>
  </si>
  <si>
    <t>Projects in CSS</t>
  </si>
  <si>
    <t>https://www.udemy.com/projects-in-css/</t>
  </si>
  <si>
    <t>Angular JS Essentials</t>
  </si>
  <si>
    <t>https://www.udemy.com/angular-js-crash-course/</t>
  </si>
  <si>
    <t>How to Build Your Own Website with WordPress: A Step-by-Step Guide</t>
  </si>
  <si>
    <t>https://www.udemy.com/build-your-own-website-with-wordpress-a-step-by-step-guide/</t>
  </si>
  <si>
    <t>Flask Tutorial Step by Step</t>
  </si>
  <si>
    <t>https://www.udemy.com/python-flask-tutorial-step-by-step/</t>
  </si>
  <si>
    <t>Projects in MongoDB - Learn MongoDB Building Projects</t>
  </si>
  <si>
    <t>https://www.udemy.com/projects-in-mongodb/</t>
  </si>
  <si>
    <t>Creating FaceBook Design Using Bootstrap - Handson Project</t>
  </si>
  <si>
    <t>https://www.udemy.com/facebook-design-using-bootstrap/</t>
  </si>
  <si>
    <t>JavaScript for beginners with live examples</t>
  </si>
  <si>
    <t>https://www.udemy.com/javascript-from-basic-fundamentals-to-advanced/</t>
  </si>
  <si>
    <t>Devtools 2017: The Basics of Chrome Developer Tools</t>
  </si>
  <si>
    <t>https://www.udemy.com/devtools-2017-the-basics-of-chrome-developer-tools/</t>
  </si>
  <si>
    <t>Hit the ground running with AngularJS with Dion Yang</t>
  </si>
  <si>
    <t>https://www.udemy.com/hit-the-ground-running-with-angularjs-with-dion-yang/</t>
  </si>
  <si>
    <t>Ultimate WordPress Plugin Course</t>
  </si>
  <si>
    <t>https://www.udemy.com/wordpress-plugin-course/</t>
  </si>
  <si>
    <t>Complete PHP Course with OOP Start to Finish!</t>
  </si>
  <si>
    <t>https://www.udemy.com/complete-object-oriented-programming-in-php-start-to-finish/</t>
  </si>
  <si>
    <t>Learn Bootstrap3 With Multi Purposes Single Page Layout</t>
  </si>
  <si>
    <t>https://www.udemy.com/single-page-layout-with-bootstrap/</t>
  </si>
  <si>
    <t>Laravel Blog Development Starter</t>
  </si>
  <si>
    <t>https://www.udemy.com/laravel-blog-development/</t>
  </si>
  <si>
    <t>Django + AngularJS for a Powerful Web Application</t>
  </si>
  <si>
    <t>https://www.udemy.com/django-angularjs/</t>
  </si>
  <si>
    <t>React.js Quickly: Developing Scalable Web User Interfaces</t>
  </si>
  <si>
    <t>https://www.udemy.com/react-quickly/</t>
  </si>
  <si>
    <t>Power up HTML5 with JavaScript</t>
  </si>
  <si>
    <t>https://www.udemy.com/power-up-html5-with-javascript/</t>
  </si>
  <si>
    <t>HTML and CSS for Absolute Beginners</t>
  </si>
  <si>
    <t>https://www.udemy.com/html-and-css-for-absolute-beginners-with-examples/</t>
  </si>
  <si>
    <t>JavaScript Fundamentals</t>
  </si>
  <si>
    <t>https://www.udemy.com/javascriptfundamentals/</t>
  </si>
  <si>
    <t>JQuery Create Overlay Popups from scratch using Jquery</t>
  </si>
  <si>
    <t>https://www.udemy.com/jquery-create-modal-popup-windows-from-scratch-using-jquery/</t>
  </si>
  <si>
    <t>Build CRUD Application - PHP &amp; Mysql</t>
  </si>
  <si>
    <t>https://www.udemy.com/build-crud-application-php-mysql/</t>
  </si>
  <si>
    <t>Angular 4: From Theory to Practice &amp; FREE E-Book</t>
  </si>
  <si>
    <t>https://www.udemy.com/angular-2-from-theory-to-practice/</t>
  </si>
  <si>
    <t>How To Create A WordPress Website Without Paying A Developer</t>
  </si>
  <si>
    <t>https://www.udemy.com/wordpress-website-in-under-one-hour/</t>
  </si>
  <si>
    <t>How To Create a Local Wordpress Environment</t>
  </si>
  <si>
    <t>https://www.udemy.com/how-to-create-a-local-wordpress-environment/</t>
  </si>
  <si>
    <t>Install WordPress on Computer using XAMPP</t>
  </si>
  <si>
    <t>https://www.udemy.com/wordpress-xampp/</t>
  </si>
  <si>
    <t>Effective Personal Website Building and Hosting</t>
  </si>
  <si>
    <t>https://www.udemy.com/effective-personal-website-building-and-hosting/</t>
  </si>
  <si>
    <t>Python Programming: Create an Digital Marketplace in Django</t>
  </si>
  <si>
    <t>https://www.udemy.com/coding-for-entrepreneurs-marketplace-daily-deals/</t>
  </si>
  <si>
    <t>Learn JavaScript from scratch</t>
  </si>
  <si>
    <t>https://www.udemy.com/learn-javascript-from-scratch/</t>
  </si>
  <si>
    <t>A 13 Hour SQL Server 2014 /ASP.NET/CSS/C#/jQuery Course</t>
  </si>
  <si>
    <t>https://www.udemy.com/learnsqlwithsqlserver2014/</t>
  </si>
  <si>
    <t>AJAX : Let's build a COOL project</t>
  </si>
  <si>
    <t>https://www.udemy.com/ajax-for-beginners-with-jquery-php-mysql-tutorial/</t>
  </si>
  <si>
    <t>Angular 2 Master Class with Alejandro Rangel</t>
  </si>
  <si>
    <t>https://www.udemy.com/angular-2-master-class-with-alejandro-rangel/</t>
  </si>
  <si>
    <t>How To Create A Wordpress Website 2016 | NEW Divi Theme 3.0!</t>
  </si>
  <si>
    <t>https://www.udemy.com/how-to-create-a-wordpress-website-2016-new-divi-theme-30/</t>
  </si>
  <si>
    <t>Angular Styling &amp; Animations (for Angular 2 and Angular 4)</t>
  </si>
  <si>
    <t>https://www.udemy.com/angular-styling-animations-for-angular-2-and-angular-4/</t>
  </si>
  <si>
    <t>AngularJS Custom Directives with Dan Wahlin</t>
  </si>
  <si>
    <t>https://www.udemy.com/angularjs-custom-directives/</t>
  </si>
  <si>
    <t>Create and Deploy a Web App in 3 Hours</t>
  </si>
  <si>
    <t>https://www.udemy.com/create-and-deploy-a-web-app-in-3-hours/</t>
  </si>
  <si>
    <t>HTML and CSS Crash Course for Beginners</t>
  </si>
  <si>
    <t>https://www.udemy.com/html-and-css-crash-course-for-beginners/</t>
  </si>
  <si>
    <t>Mastering CSS 3.0 Selectors</t>
  </si>
  <si>
    <t>https://www.udemy.com/css3-selectors/</t>
  </si>
  <si>
    <t>Introductory To HTML and CSS</t>
  </si>
  <si>
    <t>https://www.udemy.com/introductory-to-html-and-css/</t>
  </si>
  <si>
    <t>Web Development Masterclass - Complete Certificate Course</t>
  </si>
  <si>
    <t>https://www.udemy.com/web-development-masterclass-complete-certificate-course/</t>
  </si>
  <si>
    <t>Create a Responsive Website with Bootstrap 3</t>
  </si>
  <si>
    <t>https://www.udemy.com/create-a-responsive-website-with-bootstrap-3/</t>
  </si>
  <si>
    <t>Angular Masterclass</t>
  </si>
  <si>
    <t>https://www.udemy.com/angular-2-fundamentals-with-typescript-for-pro-developers-systemjs/</t>
  </si>
  <si>
    <t>Intro to PHP Web Application Development with Symfony</t>
  </si>
  <si>
    <t>https://www.udemy.com/symfony-development/</t>
  </si>
  <si>
    <t>Create Complete Sign up System using PHP, jQuery and Ajax</t>
  </si>
  <si>
    <t>https://www.udemy.com/create-sign-up-system-using-jquery-ajax-and-php/</t>
  </si>
  <si>
    <t>Basic HTML CSS and Web Design</t>
  </si>
  <si>
    <t>https://www.udemy.com/basic-html-css-web-design/</t>
  </si>
  <si>
    <t>JavaScript the Basics - JavaScript for Beginners</t>
  </si>
  <si>
    <t>https://www.udemy.com/javascript-the-basics-for-beginners/</t>
  </si>
  <si>
    <t>Build Professional WordPress Website</t>
  </si>
  <si>
    <t>https://www.udemy.com/wordpress-no-coding/</t>
  </si>
  <si>
    <t>Learn HTML Fast and Easy!</t>
  </si>
  <si>
    <t>https://www.udemy.com/learn-to-code-html/</t>
  </si>
  <si>
    <t>Creating Animations using HTML5 Canvas</t>
  </si>
  <si>
    <t>https://www.udemy.com/hmtl5-canvas-animations/</t>
  </si>
  <si>
    <t>Become PHP Facebook Developer: Password-Less Authentication</t>
  </si>
  <si>
    <t>https://www.udemy.com/php-facebook-developer-password-less-authentication/</t>
  </si>
  <si>
    <t>The Bubble Course - Create Complete Web Apps without Coding</t>
  </si>
  <si>
    <t>https://www.udemy.com/bubble-course/</t>
  </si>
  <si>
    <t>Mastering Basic CSS Selectors.</t>
  </si>
  <si>
    <t>https://www.udemy.com/mastering-basic-css-selectors/</t>
  </si>
  <si>
    <t>Master JavaScript Programming, 3 Projects Included !!</t>
  </si>
  <si>
    <t>https://www.udemy.com/master-javascript-programming-extended-course/</t>
  </si>
  <si>
    <t>Laravel(5.2) PHP Framework Jump Start for beginners</t>
  </si>
  <si>
    <t>https://www.udemy.com/laravel-php-framework-jump-start-for-beginners/</t>
  </si>
  <si>
    <t>Become a HTML and CSS Developer - Build a Responsive Site</t>
  </si>
  <si>
    <t>https://www.udemy.com/learn-to-code-in-html-and-css/</t>
  </si>
  <si>
    <t>Complete HTML5 and CSS3 Course +1 Start to Finish Project</t>
  </si>
  <si>
    <t>https://www.udemy.com/complete-html5-and-css3-course-1-start-to-finish-project/</t>
  </si>
  <si>
    <t>Laravel Homestead</t>
  </si>
  <si>
    <t>https://www.udemy.com/laravel-homestead/</t>
  </si>
  <si>
    <t>Wordpress for Beginners - Build a Live Website from Scratch</t>
  </si>
  <si>
    <t>https://www.udemy.com/wordpress_for_beginners/</t>
  </si>
  <si>
    <t>Build Realtime Apps | React Js, Golang &amp; RethinkDB</t>
  </si>
  <si>
    <t>https://www.udemy.com/realtime-apps-with-reactjs-golang-rethinkdb/</t>
  </si>
  <si>
    <t>CSS3 for beginners</t>
  </si>
  <si>
    <t>https://www.udemy.com/css-learn-css-from-scratch/</t>
  </si>
  <si>
    <t>WordPress local server setup and site migration online</t>
  </si>
  <si>
    <t>https://www.udemy.com/wordpress-local-install-and-two-methods-to-migrate-online/</t>
  </si>
  <si>
    <t>How to Start a WordPress Blog - Complete Beginners Guide!</t>
  </si>
  <si>
    <t>https://www.udemy.com/how-to-start-a-blog-complete-beginners-guide/</t>
  </si>
  <si>
    <t>How To Create A Real Estate Website With Wordpress 2017</t>
  </si>
  <si>
    <t>https://www.udemy.com/how-to-create-a-real-estate-website-with-wordpress-2017/</t>
  </si>
  <si>
    <t>WordPress Plugin Development for 2017 - Build 14 Plugins</t>
  </si>
  <si>
    <t>https://www.udemy.com/advanced-wordpress-development-take-control-of-the-back-end/</t>
  </si>
  <si>
    <t>Angular Material - Quickstart</t>
  </si>
  <si>
    <t>https://www.udemy.com/styling-angular-applications-with-angular-material/</t>
  </si>
  <si>
    <t>How To Make A Business Website In 1 Day With Wix FAST &amp; EASY</t>
  </si>
  <si>
    <t>https://www.udemy.com/how-i-make-a-professional-website-in-1-day-or-less-with-wix/</t>
  </si>
  <si>
    <t>Learn CSS Transition and Animation</t>
  </si>
  <si>
    <t>https://www.udemy.com/css-transition-and-animation/</t>
  </si>
  <si>
    <t>Learn XML Crash Course: Discover Essential XML Fundamentals</t>
  </si>
  <si>
    <t>https://www.udemy.com/learn-xml-crash-course/</t>
  </si>
  <si>
    <t>PHP MVC Framework CodeIgniter Tutorial for Beginners Project</t>
  </si>
  <si>
    <t>https://www.udemy.com/php-mvc-framework-codeigniter-tutorial-for-beginners-project/</t>
  </si>
  <si>
    <t>Develop Your First App in an Hour</t>
  </si>
  <si>
    <t>https://www.udemy.com/develop-your-first-app-in-an-hour/</t>
  </si>
  <si>
    <t>Javascript for Beginners</t>
  </si>
  <si>
    <t>https://www.udemy.com/beginning-javascript/</t>
  </si>
  <si>
    <t>WordPress for Beginners - Tutorial - From Novice to Know-How</t>
  </si>
  <si>
    <t>https://www.udemy.com/wordpress-for-beginners-tutorial-from-novice-to-know-how/</t>
  </si>
  <si>
    <t>Build Your Own Calculator App with Javascript, HTML5 &amp; CSS</t>
  </si>
  <si>
    <t>https://www.udemy.com/create-a-calculator-web-app-with-javascript-html-css/</t>
  </si>
  <si>
    <t>Chrome Extensions : Develop 5 chrome extensions from scratch</t>
  </si>
  <si>
    <t>https://www.udemy.com/chrome-extension-dev/</t>
  </si>
  <si>
    <t>How to create HTML Forms</t>
  </si>
  <si>
    <t>https://www.udemy.com/how-to-create-html-forms/</t>
  </si>
  <si>
    <t>VueJS V1 Introduction to VueJS JavaScript Framework</t>
  </si>
  <si>
    <t>https://www.udemy.com/vuejs-introduction-to-vuejs-javascript-framework/</t>
  </si>
  <si>
    <t>Learn JSON with JavaScript Objects and APIs in 1 hour</t>
  </si>
  <si>
    <t>https://www.udemy.com/json-course/</t>
  </si>
  <si>
    <t>Web Design HTML CSS How to Create a Website from Scratch</t>
  </si>
  <si>
    <t>https://www.udemy.com/html-css-how-to-create-a-website-from-scratch/</t>
  </si>
  <si>
    <t>The Complete Guide to JavaScript Development</t>
  </si>
  <si>
    <t>https://www.udemy.com/the-complete-javascript-development-course/</t>
  </si>
  <si>
    <t>Build and Deploy a LAMP server on AWS</t>
  </si>
  <si>
    <t>https://www.udemy.com/build-and-deploy-a-lamp-server-on-aws/</t>
  </si>
  <si>
    <t>JQuery Basics - Learn JQuery From Scratch</t>
  </si>
  <si>
    <t>https://www.udemy.com/jquery-basics-learn-jquery-from-scratch/</t>
  </si>
  <si>
    <t>How To Make A Wordpress Website 2017 | Divi Theme Tutorial</t>
  </si>
  <si>
    <t>https://www.udemy.com/how-to-make-a-wordpress-website-2017-divi-theme-tutorial/</t>
  </si>
  <si>
    <t>Email Marketing: Send Unlimited Emails via Own Mail Server</t>
  </si>
  <si>
    <t>https://www.udemy.com/email-marketing-send-unlimited-emails-via-own-mail-server/</t>
  </si>
  <si>
    <t>Create an eCommerce Wordpress Website 2016 - New Divi Theme!</t>
  </si>
  <si>
    <t>https://www.udemy.com/create-an-ecommerce-wordpress-website-2016-new-divi-theme/</t>
  </si>
  <si>
    <t>How To Make an eCommerce Website With Wordpress 2017</t>
  </si>
  <si>
    <t>https://www.udemy.com/how-to-make-an-ecommerce-website-with-wordpress-2017/</t>
  </si>
  <si>
    <t>A Complete Laravel basics from beginner to expert</t>
  </si>
  <si>
    <t>https://www.udemy.com/learn-laravel-from-beginner-to-expert/</t>
  </si>
  <si>
    <t>Learn Ruby Programming The Easy Way</t>
  </si>
  <si>
    <t>https://www.udemy.com/learn-ruby-programming-the-easy-way/</t>
  </si>
  <si>
    <t>The complete HTML5 course</t>
  </si>
  <si>
    <t>https://www.udemy.com/learn-html-by-building-websites/</t>
  </si>
  <si>
    <t>All in one HTML CSS and JQuery</t>
  </si>
  <si>
    <t>https://www.udemy.com/all-in-one-html-css-and-jquery/</t>
  </si>
  <si>
    <t>Professional Python Web Development Using Flask</t>
  </si>
  <si>
    <t>https://www.udemy.com/python-flask-course/</t>
  </si>
  <si>
    <t>Complete WordPress Theme Developer Course With Bootstrap</t>
  </si>
  <si>
    <t>https://www.udemy.com/the-complete-wordpress-theme-developer-course/</t>
  </si>
  <si>
    <t>Create a classified website in 2 hours - guaranteed</t>
  </si>
  <si>
    <t>https://www.udemy.com/create-a-classified-website-in-2-hours-guaranteed/</t>
  </si>
  <si>
    <t>Ajax in JavaScript and JQuery, with PHP - Creating Chat App</t>
  </si>
  <si>
    <t>https://www.udemy.com/ajax-in-javascript-and-jquery-with-php/</t>
  </si>
  <si>
    <t>Become a Certified Web Developer - Beginner to Expert</t>
  </si>
  <si>
    <t>https://www.udemy.com/jquery101/</t>
  </si>
  <si>
    <t>Building Websites Create a fully functional Web contact form</t>
  </si>
  <si>
    <t>https://www.udemy.com/how-to-create-a-fully-functional-web-contact-form/</t>
  </si>
  <si>
    <t>Quick learning jQuery web development</t>
  </si>
  <si>
    <t>https://www.udemy.com/quick-learning-jquery-web-development/</t>
  </si>
  <si>
    <t>HTML Made Simple For Beginners: Create a One Page Website</t>
  </si>
  <si>
    <t>https://www.udemy.com/html-made-simple-create-your-own-webpage-step-by-step/</t>
  </si>
  <si>
    <t>Complete Website &amp; CMS in PHP &amp; MySQL From Scratch!</t>
  </si>
  <si>
    <t>https://www.udemy.com/cms-admin-panel-in-php-mysql/</t>
  </si>
  <si>
    <t>Angular 2 Routing: Up And Running</t>
  </si>
  <si>
    <t>https://www.udemy.com/angular-2-routing-up-and-running/</t>
  </si>
  <si>
    <t>Up and Running with jQuery</t>
  </si>
  <si>
    <t>https://www.udemy.com/up-and-running-with-jquery/</t>
  </si>
  <si>
    <t>JSON Crash Course for Beginners</t>
  </si>
  <si>
    <t>https://www.udemy.com/json-crash-course-for-beginners-learn-json-in-one-hour/</t>
  </si>
  <si>
    <t>Build a Real Time web app in node.js , Angular.js, mongoDB</t>
  </si>
  <si>
    <t>https://www.udemy.com/realtime-meanstack/</t>
  </si>
  <si>
    <t>Full-Stack Web Apps with Meteor and React</t>
  </si>
  <si>
    <t>https://www.udemy.com/meteor-react/</t>
  </si>
  <si>
    <t>Bootstrap 3 Beginners: Create a Professional Landing Page</t>
  </si>
  <si>
    <t>https://www.udemy.com/bootstrap-beginners-landing-page/</t>
  </si>
  <si>
    <t>introduction to HTML Course</t>
  </si>
  <si>
    <t>https://www.udemy.com/introduction-to-html-course/</t>
  </si>
  <si>
    <t>Coding Made Easy: HTML &amp; CSS For Beginners</t>
  </si>
  <si>
    <t>https://www.udemy.com/coding-made-easy-html-css-for-beginners/</t>
  </si>
  <si>
    <t>React From The Ground Up</t>
  </si>
  <si>
    <t>https://www.udemy.com/reactjs-from-the-ground-up/</t>
  </si>
  <si>
    <t>In Depth Web Development Made Easy</t>
  </si>
  <si>
    <t>https://www.udemy.com/in-depth-web-development-from-scratch/</t>
  </si>
  <si>
    <t>ES6 / EcmaScript 6 for beginners an introduction</t>
  </si>
  <si>
    <t>https://www.udemy.com/es6-ecmascript-6-for-beginners/</t>
  </si>
  <si>
    <t>The Complete E-Commerce Web Developer Course 5.0</t>
  </si>
  <si>
    <t>https://www.udemy.com/e-commerce-web-developer-course/</t>
  </si>
  <si>
    <t>Learn JSON for beginners with JavaScript</t>
  </si>
  <si>
    <t>https://www.udemy.com/json-javascript-course/</t>
  </si>
  <si>
    <t>Professional WordPress Theme Development For 2017</t>
  </si>
  <si>
    <t>https://www.udemy.com/advanced-wordpress-theme-development-next-level-of-theming/</t>
  </si>
  <si>
    <t>Professional Ruby on Rails Developer with Rails 5</t>
  </si>
  <si>
    <t>https://www.udemy.com/pro-ruby-on-rails-rails5/</t>
  </si>
  <si>
    <t>Ethereum Developer: Build A Decentralised Blockchain App</t>
  </si>
  <si>
    <t>https://www.udemy.com/ethereum-developer/</t>
  </si>
  <si>
    <t>Angular 2 Demystified</t>
  </si>
  <si>
    <t>https://www.udemy.com/introduction-to-angular2/</t>
  </si>
  <si>
    <t>Ultimate JavaScript Strings</t>
  </si>
  <si>
    <t>https://www.udemy.com/js-strings/</t>
  </si>
  <si>
    <t>Scaling Docker on AWS</t>
  </si>
  <si>
    <t>https://www.udemy.com/scaling-docker-on-aws/</t>
  </si>
  <si>
    <t>The Full Stack Web Development</t>
  </si>
  <si>
    <t>https://www.udemy.com/the-full-stack-web-development/</t>
  </si>
  <si>
    <t>Critical Web Dev Skills &amp; Tools for the Non-Tech Hustler</t>
  </si>
  <si>
    <t>https://www.udemy.com/critical-web-dev-skills-tools-for-the-non-tech-hustler/</t>
  </si>
  <si>
    <t>WordPress For Beginners | No Coding Required</t>
  </si>
  <si>
    <t>https://www.udemy.com/wordpress-for-beginners-no-coding-required/</t>
  </si>
  <si>
    <t>Bootstrap 4 Responsive Web Design and Development</t>
  </si>
  <si>
    <t>https://www.udemy.com/bootstrap-4-responsive-web-design-and-development/</t>
  </si>
  <si>
    <t>Earn Big Profits With Web Development, Simple and Easy!</t>
  </si>
  <si>
    <t>https://www.udemy.com/earn-big-profits-by-building-simple-and-easy-websites/</t>
  </si>
  <si>
    <t>Create Website from scratch in Urdu &amp; Hindi</t>
  </si>
  <si>
    <t>https://www.udemy.com/create-website-from-scratch-in-urdu-hindi/</t>
  </si>
  <si>
    <t>Learn HTML5 At Your Own Pace. Ideal for Beginners</t>
  </si>
  <si>
    <t>https://www.udemy.com/learning-html5/</t>
  </si>
  <si>
    <t>Expert Guide : Mastering Functions in JavaScript !</t>
  </si>
  <si>
    <t>https://www.udemy.com/functions-in-javascript/</t>
  </si>
  <si>
    <t>How to Create A Website: An HTML Tutorial and CSS Tutorial</t>
  </si>
  <si>
    <t>https://www.udemy.com/html-tutorial/</t>
  </si>
  <si>
    <t>AngularJS For ASP.NET MVC Developers</t>
  </si>
  <si>
    <t>https://www.udemy.com/angularjs-for-aspnet-mvc-developers/</t>
  </si>
  <si>
    <t>Learn HTML, CSS, and Ruby on Rails: Build Your First Blog</t>
  </si>
  <si>
    <t>https://www.udemy.com/learn-html-css-and-ruby-on-rails-build-your-first-blog/</t>
  </si>
  <si>
    <t>jQuery for Beginners - Create Website Animations Easily</t>
  </si>
  <si>
    <t>https://www.udemy.com/jquery-for-beginners-fundamentals-training-tutorial-course/</t>
  </si>
  <si>
    <t>Learn the basics of the Web development: Coding Tactics</t>
  </si>
  <si>
    <t>https://www.udemy.com/learn-the-basics-of-the-web-development-in-2-hours/</t>
  </si>
  <si>
    <t>Learn Ajax and jquery with PHP</t>
  </si>
  <si>
    <t>https://www.udemy.com/learn-ajax-and-jquery-with-php/</t>
  </si>
  <si>
    <t>Essential JavaScript, jQuery and AngularJS Training</t>
  </si>
  <si>
    <t>https://www.udemy.com/essential-javascript-jquery-angularjs-training/</t>
  </si>
  <si>
    <t>Introduction to HTML5 Canvas basics of drawing</t>
  </si>
  <si>
    <t>https://www.udemy.com/introduction-to-html5-canvas-basics-of-drawing/</t>
  </si>
  <si>
    <t>AngularJS Masterclass - Deep Dive &amp; Understand AngularJS</t>
  </si>
  <si>
    <t>https://www.udemy.com/angularjs-masterclass/</t>
  </si>
  <si>
    <t>Wordpress Security</t>
  </si>
  <si>
    <t>https://www.udemy.com/easy-wordpress-security/</t>
  </si>
  <si>
    <t>Learn Ruby on Rails for Absolute Beginners</t>
  </si>
  <si>
    <t>https://www.udemy.com/learn-ruby-on-rails-for-absolute-beginners/</t>
  </si>
  <si>
    <t>First Web Application with Spring Boot</t>
  </si>
  <si>
    <t>https://www.udemy.com/spring-boot-first-web-application/</t>
  </si>
  <si>
    <t>Build Responsive Websites in an Hour using Portalfin</t>
  </si>
  <si>
    <t>https://www.udemy.com/build-website/</t>
  </si>
  <si>
    <t>Hosting your static website on Amazon AWS S3 service</t>
  </si>
  <si>
    <t>https://www.udemy.com/hosting-a-static-website-on-amazon-aws-s3-service/</t>
  </si>
  <si>
    <t>Create, Update and Manage Your Own Website Using Drupal 7</t>
  </si>
  <si>
    <t>https://www.udemy.com/getting-to-know-drupal/</t>
  </si>
  <si>
    <t>Create Your Own Successful Online School To Sell Courses</t>
  </si>
  <si>
    <t>https://www.udemy.com/create-an-online-school-website-with-joomla/</t>
  </si>
  <si>
    <t>How to Build Chat Bots: From Beginner to Intermediate</t>
  </si>
  <si>
    <t>https://www.udemy.com/how-to-build-chats-bots-from-beginner-to-expert/</t>
  </si>
  <si>
    <t>Dissecting Ruby on Rails 5 - Become a Professional Developer</t>
  </si>
  <si>
    <t>https://www.udemy.com/professional-rails-5-development-course/</t>
  </si>
  <si>
    <t>Basic Concepts of Web Development, HTTP and Java Servlets</t>
  </si>
  <si>
    <t>https://www.udemy.com/web-application-and-java-servlet-concepts/</t>
  </si>
  <si>
    <t>JavaScript Design Patterns: 20 Patterns for Expert Code</t>
  </si>
  <si>
    <t>https://www.udemy.com/javascript-design-patterns-20-patterns-for-expert-code/</t>
  </si>
  <si>
    <t>Complete Codeigniter: From Beginner to Advanced</t>
  </si>
  <si>
    <t>https://www.udemy.com/complete-codeigniter-course-from-basic-to-advanced/</t>
  </si>
  <si>
    <t>Learn MeteorJS By Building 10 Real World Projects</t>
  </si>
  <si>
    <t>https://www.udemy.com/learn-meteorjs-by-building-10-real-world-projects/</t>
  </si>
  <si>
    <t>Automate Web Development With Gulp JS</t>
  </si>
  <si>
    <t>https://www.udemy.com/learn-gulp/</t>
  </si>
  <si>
    <t>Creating User Authentication System in CodeIgniter</t>
  </si>
  <si>
    <t>https://www.udemy.com/codeigniter-user-authentication-system/</t>
  </si>
  <si>
    <t>How To Make A Wordpress Website 2017 - Divi Theme Tutorial</t>
  </si>
  <si>
    <t>https://www.udemy.com/how-to-make-a-wordpress-website-2017-divi-theme-tutorial-for-beginners/</t>
  </si>
  <si>
    <t>Web Programming Course : Asp.Net MVC</t>
  </si>
  <si>
    <t>https://www.udemy.com/mvc-course/</t>
  </si>
  <si>
    <t>Node.js: The Essentials + API Frameworks Express KOA Sails</t>
  </si>
  <si>
    <t>https://www.udemy.com/nodejs-up-and-running/</t>
  </si>
  <si>
    <t>Become a Bootstrap Expert: Build 20 Layouts!</t>
  </si>
  <si>
    <t>https://www.udemy.com/become-a-bootstrap-expert-build-20-layouts/</t>
  </si>
  <si>
    <t>Simple Javascript: Learn by Doing, Beginners Welcome!</t>
  </si>
  <si>
    <t>https://www.udemy.com/simple-javascript-learn-by-doing/</t>
  </si>
  <si>
    <t>Learn PHP Programming for Absolute Beginners - Lite</t>
  </si>
  <si>
    <t>https://www.udemy.com/learn-php-programming-for-absolute-beginners-lite/</t>
  </si>
  <si>
    <t>Building An E-Commerce Store Using Java Spring Framework</t>
  </si>
  <si>
    <t>https://www.udemy.com/building-an-e-commerce-store-using-java-spring-framework/</t>
  </si>
  <si>
    <t>Learn To Program JavaScript (in ten easy steps)</t>
  </si>
  <si>
    <t>https://www.udemy.com/learn-to-program-javascript-in-ten-easy-steps/</t>
  </si>
  <si>
    <t>BDD with Ruby on Rails using RSpec 3 and Capybara</t>
  </si>
  <si>
    <t>https://www.udemy.com/rubyonrails-bdd-rspec-capybara/</t>
  </si>
  <si>
    <t>Social Network Web Development</t>
  </si>
  <si>
    <t>https://www.udemy.com/how-to-create-a-social-network-site-from-scratch/</t>
  </si>
  <si>
    <t>HTML &amp; CSS From Scratch in 30 Days</t>
  </si>
  <si>
    <t>https://www.udemy.com/html5-css3-responsive/</t>
  </si>
  <si>
    <t>Beginner Full Stack Web Development: HTML, CSS, React &amp; Node</t>
  </si>
  <si>
    <t>https://www.udemy.com/ultimate-web/</t>
  </si>
  <si>
    <t>Build Your Own Backend REST API using Django REST Framework</t>
  </si>
  <si>
    <t>https://www.udemy.com/django-python/</t>
  </si>
  <si>
    <t>ASP.NET Web API 2 Hands-On</t>
  </si>
  <si>
    <t>https://www.udemy.com/aspnet-web-api-2-hands-on/</t>
  </si>
  <si>
    <t>JavaScript Complete for beginners with real world Apps</t>
  </si>
  <si>
    <t>https://www.udemy.com/javascript-complete-and-comprehensive/</t>
  </si>
  <si>
    <t>WordPress Plugin Development -&gt; Deep dive discovery!</t>
  </si>
  <si>
    <t>https://www.udemy.com/wordpress-plugin/</t>
  </si>
  <si>
    <t>The Complete Web Developer Course - Build 20 Websites</t>
  </si>
  <si>
    <t>https://www.udemy.com/the-complete-web-developer-course-build-20-websites/</t>
  </si>
  <si>
    <t>Optimizing Wordpress for More Speed and Revenue</t>
  </si>
  <si>
    <t>https://www.udemy.com/optimizing-wordpress-for-more-speed-and-revenue/</t>
  </si>
  <si>
    <t>Bootstrap Essential Training - Create Your Very Own Website</t>
  </si>
  <si>
    <t>https://www.udemy.com/ultimate-bootstrap-basics-course-with-2-projects/</t>
  </si>
  <si>
    <t>Master ExpressJS to Build Web Apps with NodeJS&amp;JavaScript</t>
  </si>
  <si>
    <t>https://www.udemy.com/expressjs/</t>
  </si>
  <si>
    <t>Bootstrap 4 Theme Development Masterclass</t>
  </si>
  <si>
    <t>https://www.udemy.com/bootstrap-theme-development-masterclass/</t>
  </si>
  <si>
    <t>Ultimate CSS3 Course - From Beginners To Professional</t>
  </si>
  <si>
    <t>https://www.udemy.com/ultimate-css3-course/</t>
  </si>
  <si>
    <t>PHP for Beginners</t>
  </si>
  <si>
    <t>https://www.udemy.com/learn-php-via-examples-and-mini-tasks/</t>
  </si>
  <si>
    <t>PHP Login and Registration System - Email Confirm Activation</t>
  </si>
  <si>
    <t>https://www.udemy.com/php-mysql-login-and-registration-system-with-email-confirm-activation/</t>
  </si>
  <si>
    <t>Electron for Desktop Apps: The Complete Developer's Guide</t>
  </si>
  <si>
    <t>https://www.udemy.com/electron-react-tutorial/</t>
  </si>
  <si>
    <t>Web Development Tools the Pros Use: Code Productivity Hacks</t>
  </si>
  <si>
    <t>https://www.udemy.com/web-development-tools/</t>
  </si>
  <si>
    <t>Spring Boot Tutorial For Beginners</t>
  </si>
  <si>
    <t>https://www.udemy.com/spring-boot-tutorial-for-beginners/</t>
  </si>
  <si>
    <t>ChatBots: Messenger ChatBot with API.AI and Node.JS</t>
  </si>
  <si>
    <t>https://www.udemy.com/chatbots/</t>
  </si>
  <si>
    <t>Hosting Django: Amazon Web Services (AWS) Fundamentals</t>
  </si>
  <si>
    <t>https://www.udemy.com/django-tutorial-amazon-web-services/</t>
  </si>
  <si>
    <t>Learn JavaScript From Scratch:Become Top Rated Web Developer</t>
  </si>
  <si>
    <t>https://www.udemy.com/learnjsandbecometopratedwebdeveloper/</t>
  </si>
  <si>
    <t>Advanced Node.js Development</t>
  </si>
  <si>
    <t>https://www.udemy.com/refactoru-adv-nodejs/</t>
  </si>
  <si>
    <t>Learn JavaScript Dynamic Interactive Projects for Beginners</t>
  </si>
  <si>
    <t>https://www.udemy.com/learn-javascript-dynamic-interactive-projects-for-beginners/</t>
  </si>
  <si>
    <t>Learn jQuery AJAX in 1 hour</t>
  </si>
  <si>
    <t>https://www.udemy.com/jquery-ajax-course/</t>
  </si>
  <si>
    <t>Intro to Git</t>
  </si>
  <si>
    <t>https://www.udemy.com/intro-to-git/</t>
  </si>
  <si>
    <t>Learn to Create Advance Responsive Websites With Bootstrap</t>
  </si>
  <si>
    <t>https://www.udemy.com/responsive-website-with-bootstrap/</t>
  </si>
  <si>
    <t>Ruby On Rails For Web Development</t>
  </si>
  <si>
    <t>https://www.udemy.com/ruby-on-rails-for-web-development/</t>
  </si>
  <si>
    <t>Creating a Responsive HTML Email</t>
  </si>
  <si>
    <t>https://www.udemy.com/creating-responsive-html-email/</t>
  </si>
  <si>
    <t>PHP Tutorial: Learn PHP Basic Programming for Beginners</t>
  </si>
  <si>
    <t>https://www.udemy.com/php-tutorial-beginners/</t>
  </si>
  <si>
    <t>Core: A Web App Reference Guide for Django, Python, and More</t>
  </si>
  <si>
    <t>https://www.udemy.com/coding-for-entrepreneurs-core/</t>
  </si>
  <si>
    <t>AngularJS For .Net Developers From Scratch</t>
  </si>
  <si>
    <t>https://www.udemy.com/angularjs-for-dotnet-developers-from-scratch/</t>
  </si>
  <si>
    <t>HTML &amp; CSS for beginners: Build 3 projects from scratch</t>
  </si>
  <si>
    <t>https://www.udemy.com/learn-html-css-by-building-3-real-projects/</t>
  </si>
  <si>
    <t>HTML Forms For Beginners: A Basic Introduction</t>
  </si>
  <si>
    <t>https://www.udemy.com/html-forms-for-beginners-a-basic-introduction/</t>
  </si>
  <si>
    <t>Learn Rails Programming in Less than 2 Hours</t>
  </si>
  <si>
    <t>https://www.udemy.com/learn-rails-programming-in-less-than-2-hours/</t>
  </si>
  <si>
    <t>Create a Simple Photo Gallery with Dropzonejs, Slick and PHP</t>
  </si>
  <si>
    <t>https://www.udemy.com/create-a-simple-photo-gallery-with-dropzonejs-slick-and-php/</t>
  </si>
  <si>
    <t>Learning CSS3 - A Comprehensive Tutorial For Web Developers</t>
  </si>
  <si>
    <t>https://www.udemy.com/learning-css3/</t>
  </si>
  <si>
    <t>https://www.udemy.com/how-to-wordpress/</t>
  </si>
  <si>
    <t>The Complete HMTL5 Course - Go From Beginner To Advanced!</t>
  </si>
  <si>
    <t>https://www.udemy.com/complete-hmtl5-course/</t>
  </si>
  <si>
    <t>Build your own Beautiful Blog in WordPress + SEO</t>
  </si>
  <si>
    <t>https://www.udemy.com/learn-to-create-an-amazing-wordpress-blog-start-to-finish/</t>
  </si>
  <si>
    <t>Javascript Intermediate level 2 - Mastering Functions</t>
  </si>
  <si>
    <t>https://www.udemy.com/javascript-intermediate-mastering-functions/</t>
  </si>
  <si>
    <t>The Pro Ruby on Rails Starter</t>
  </si>
  <si>
    <t>https://www.udemy.com/pro-rubyonrails-starter/</t>
  </si>
  <si>
    <t>Laravel 4 try and enjoy php coding</t>
  </si>
  <si>
    <t>https://www.udemy.com/laravel-4-try-and-enjoy-php-coding/</t>
  </si>
  <si>
    <t>HTML Tutorials : HTML Code for Website Creating</t>
  </si>
  <si>
    <t>https://www.udemy.com/html-code-for-website/</t>
  </si>
  <si>
    <t>The Ultimate Beginner's Guide to Django</t>
  </si>
  <si>
    <t>https://www.udemy.com/the-ultimate-beginners-guide-to-django-python-web-dev-website/</t>
  </si>
  <si>
    <t>Practical Web Development: Make Websites Quickly And Easily</t>
  </si>
  <si>
    <t>https://www.udemy.com/make-beautiful-websites-in-a-few-hours/</t>
  </si>
  <si>
    <t>Twitter Bootstrap 2 for Beginners</t>
  </si>
  <si>
    <t>https://www.udemy.com/twitter-bootstrap/</t>
  </si>
  <si>
    <t>WordPress LMS: E-Learning Website Made Easy</t>
  </si>
  <si>
    <t>https://www.udemy.com/wordpress-learning-management-system-create-a-learning-site/</t>
  </si>
  <si>
    <t>WordPress Look and Feel with Themes</t>
  </si>
  <si>
    <t>https://www.udemy.com/learn-wordpress-customize-look-and-feel-with-themes/</t>
  </si>
  <si>
    <t>WordPress Domination #2: Leads &amp; Scarcity</t>
  </si>
  <si>
    <t>https://www.udemy.com/wordpress-domination-2-leads-and-scarcity/</t>
  </si>
  <si>
    <t>Learn HTML5 Canvas for beginners</t>
  </si>
  <si>
    <t>https://www.udemy.com/learn-html5-canvas-for-beginners/</t>
  </si>
  <si>
    <t>Kids Coding -Introduction to HTML, CSS and JavaScript</t>
  </si>
  <si>
    <t>https://www.udemy.com/kids-coding-introduction-to-html-css-and-javascript/</t>
  </si>
  <si>
    <t>HTML5 and CSS3 : Landing Pages for Entrepreneurs 2016</t>
  </si>
  <si>
    <t>https://www.udemy.com/landing-pages-for-entrepreneurs/</t>
  </si>
  <si>
    <t>Learn to code, Become a Web Developer and Master JavaScript!</t>
  </si>
  <si>
    <t>https://www.udemy.com/master-javascript-today/</t>
  </si>
  <si>
    <t>Bootstrap 3 Introduction : Create RESPONSIVE Websites Fast</t>
  </si>
  <si>
    <t>https://www.udemy.com/bootstrap-3-introduction-make-responsive-websites-fast/</t>
  </si>
  <si>
    <t>Wordpress for Non-Technical People</t>
  </si>
  <si>
    <t>https://www.udemy.com/wordpress-for-non-technical-people/</t>
  </si>
  <si>
    <t>Create eye-catching WordPress website from scratch</t>
  </si>
  <si>
    <t>https://www.udemy.com/create-eye-catching-wordpress-website-from-scratch/</t>
  </si>
  <si>
    <t>Install a Wordpress Theme the Correct Way &amp; Charge Others</t>
  </si>
  <si>
    <t>https://www.udemy.com/how-to-install-a-wordpress-theme-the-right-way/</t>
  </si>
  <si>
    <t>A Very Complete Introduction To Laravel</t>
  </si>
  <si>
    <t>https://www.udemy.com/laravel-4-beginners/</t>
  </si>
  <si>
    <t>PHP MySQL: Learn PHP MySQL with Project</t>
  </si>
  <si>
    <t>https://www.udemy.com/php-mysql-project-learning/</t>
  </si>
  <si>
    <t>Wordpress Tutorial</t>
  </si>
  <si>
    <t>https://www.udemy.com/responsive-design/</t>
  </si>
  <si>
    <t>Redirect Your Visitors By Country Easily -Wordpress Tutorial</t>
  </si>
  <si>
    <t>https://www.udemy.com/redirect-your-visitors-by-country-easily-wordpress-tutorial/</t>
  </si>
  <si>
    <t>Build Websites And Apps By Outsourcing</t>
  </si>
  <si>
    <t>https://www.udemy.com/outsourcing-development-work/</t>
  </si>
  <si>
    <t>Bootstrap 4.0 New Features: Build Responsive Website</t>
  </si>
  <si>
    <t>https://www.udemy.com/bootstrap4-new-features/</t>
  </si>
  <si>
    <t>Build a Photo Blog with Ruby on Rails</t>
  </si>
  <si>
    <t>https://www.udemy.com/build-a-photo-blog-with-ruby-on-rails/</t>
  </si>
  <si>
    <t>React JS, Angular &amp; Vue JS - Quickstart &amp; Comparison</t>
  </si>
  <si>
    <t>https://www.udemy.com/angular-reactjs-vuejs-quickstart-comparison/</t>
  </si>
  <si>
    <t>Learn To Create WordPress Themes By Building 10 Projects</t>
  </si>
  <si>
    <t>https://www.udemy.com/learn-to-create-wordpress-themes-by-building-10-projects/</t>
  </si>
  <si>
    <t>WordPress Security - The Ultimate Security Guide</t>
  </si>
  <si>
    <t>https://www.udemy.com/wordpress-the-ultimate-security-guide/</t>
  </si>
  <si>
    <t>The Build a SAAS App with Flask Course</t>
  </si>
  <si>
    <t>https://www.udemy.com/the-build-a-saas-app-with-flask-course/</t>
  </si>
  <si>
    <t>The Web Developers Guide: Learn HTML &amp; CSS Fundamentals</t>
  </si>
  <si>
    <t>https://www.udemy.com/become-a-professional-html-and-css-web-developer/</t>
  </si>
  <si>
    <t>Create a PHP Contact Form in Bootstrap</t>
  </si>
  <si>
    <t>https://www.udemy.com/bootstrap-php-contact-form/</t>
  </si>
  <si>
    <t>Build Incredible Chatbots</t>
  </si>
  <si>
    <t>https://www.udemy.com/build-incredible-chatbots/</t>
  </si>
  <si>
    <t>Better way towards CSS using Less and Sass</t>
  </si>
  <si>
    <t>https://www.udemy.com/better-way-towards-css-using-less-and-sass/</t>
  </si>
  <si>
    <t>WordPress for Beginners 2017 + Google AdSense Implementation</t>
  </si>
  <si>
    <t>https://www.udemy.com/wordpress-tutorial-for-beginners-and-google-adsense-implementation/</t>
  </si>
  <si>
    <t>JavaScript programming: JavaScript for beginners</t>
  </si>
  <si>
    <t>https://www.udemy.com/learn-javascript-online/</t>
  </si>
  <si>
    <t>How To Make A Web Page With No Code</t>
  </si>
  <si>
    <t>https://www.udemy.com/how-to-make-a-web-page-with-no-code/</t>
  </si>
  <si>
    <t>Complete RESPONSIVE Website Design with HTML5 &amp; CSS3</t>
  </si>
  <si>
    <t>https://www.udemy.com/website_design/</t>
  </si>
  <si>
    <t>Advanced Prezi: Make Amazing Presentations</t>
  </si>
  <si>
    <t>https://www.udemy.com/prezi-advanced/</t>
  </si>
  <si>
    <t>Create a Website Similar to Facebook from Scratch!</t>
  </si>
  <si>
    <t>https://www.udemy.com/clone-facebook/</t>
  </si>
  <si>
    <t>Canvas image Creator HTML5 JavaScript project from Scratch</t>
  </si>
  <si>
    <t>https://www.udemy.com/canvas-image-maker-html5-javascript-project-from-scratch/</t>
  </si>
  <si>
    <t>Learn OAuth 2.0 - Get started as an API Security Expert</t>
  </si>
  <si>
    <t>https://www.udemy.com/learn-oauth-2/</t>
  </si>
  <si>
    <t>Step by Step Build Your Template by Bootstrap 4 from scratch</t>
  </si>
  <si>
    <t>https://www.udemy.com/bootstrap-v4/</t>
  </si>
  <si>
    <t>Build Modern Websites Super Fast</t>
  </si>
  <si>
    <t>https://www.udemy.com/build-modern-websites-in-1-hour/</t>
  </si>
  <si>
    <t>WordPress 2016 for Beginners : Build awesome websites!</t>
  </si>
  <si>
    <t>https://www.udemy.com/build-your-own-wordpress-website-in-less-than-90-minutes/</t>
  </si>
  <si>
    <t>Build an Amazon clone: Nodejs + MongoDB + Stripe Payment</t>
  </si>
  <si>
    <t>https://www.udemy.com/build-an-amazon-clone-nodejs-stripe-elasticsearch/</t>
  </si>
  <si>
    <t>Byte-Sized-Chunks: Cascading Style Sheets (CSS) with HTML</t>
  </si>
  <si>
    <t>https://www.udemy.com/css-with-html/</t>
  </si>
  <si>
    <t>CoffeeScript: The Good Partsâ€”Write Better javaScript</t>
  </si>
  <si>
    <t>https://www.udemy.com/coffeescript/</t>
  </si>
  <si>
    <t>AWS Serverless APIs &amp; Apps - A Complete Introduction</t>
  </si>
  <si>
    <t>https://www.udemy.com/aws-serverless-a-complete-introduction/</t>
  </si>
  <si>
    <t>Modern Web Development with Laravel 5.2 (PHP Framework)</t>
  </si>
  <si>
    <t>https://www.udemy.com/modern-web-development-with-laravel/</t>
  </si>
  <si>
    <t>The WpFASTER WordPress Speed Optimization Master Course</t>
  </si>
  <si>
    <t>https://www.udemy.com/make-your-wordpress-sites-fastest-in-world/</t>
  </si>
  <si>
    <t>Sublime Text for Rapid Web Development</t>
  </si>
  <si>
    <t>https://www.udemy.com/sublime-text-for-rapid-web-development/</t>
  </si>
  <si>
    <t>Reactive JS: Are you ready for the next big paradigm shift?</t>
  </si>
  <si>
    <t>https://www.udemy.com/reactive-js-getting-ready-for-the-next-big-paradigm-shift/</t>
  </si>
  <si>
    <t>Complete Web Development with HTML, CSS and Javascript</t>
  </si>
  <si>
    <t>https://www.udemy.com/complete-web-development-with-html-css-and-javascript/</t>
  </si>
  <si>
    <t>Jekyll: make fast, secure static sites and blogs with Jekyll</t>
  </si>
  <si>
    <t>https://www.udemy.com/static-website-generator-fast-secure-sites-blogs-with-jekyll/</t>
  </si>
  <si>
    <t>JavaScript for beginners in 1 hour</t>
  </si>
  <si>
    <t>https://www.udemy.com/learn-javascript-in-1-hour-and-create-a-game-in-javascript/</t>
  </si>
  <si>
    <t>Unit Testing AngularJS: Build Bugfree Apps That Always Work!</t>
  </si>
  <si>
    <t>https://www.udemy.com/unit-testing-angularjs/</t>
  </si>
  <si>
    <t>Become a Rockstar Web Developer - Learn By Coding</t>
  </si>
  <si>
    <t>https://www.udemy.com/become-rockstar-php-developer/</t>
  </si>
  <si>
    <t>WordPress Blog : Create a WordPress Website for Beginners</t>
  </si>
  <si>
    <t>https://www.udemy.com/wordpress-website-for-beginners/</t>
  </si>
  <si>
    <t>JavaScript Tutorial: Learn JavaScript Code for Beginners</t>
  </si>
  <si>
    <t>https://www.udemy.com/javascript-tutorial-for-beginners/</t>
  </si>
  <si>
    <t>PSD to HTML5/CSS3 using Twitter Bootstrap 3!</t>
  </si>
  <si>
    <t>https://www.udemy.com/psd-to-html5css3-using-twitter-bootstrap-3/</t>
  </si>
  <si>
    <t>Javascript for beginners</t>
  </si>
  <si>
    <t>https://www.udemy.com/java-script-quick-beginner-introduction/</t>
  </si>
  <si>
    <t>Develop Competitive Plugins for WordPress and WooCommerce</t>
  </si>
  <si>
    <t>https://www.udemy.com/develop-competitive-plugins-for-wordpress-and-woocommerce/</t>
  </si>
  <si>
    <t>JSON :basics for beginners</t>
  </si>
  <si>
    <t>https://www.udemy.com/learn-json/</t>
  </si>
  <si>
    <t>The CSS and CSS3 Crash Course</t>
  </si>
  <si>
    <t>https://www.udemy.com/the-css-and-css3-crash-course/</t>
  </si>
  <si>
    <t>Twitter Integration customize Tweets with developer API</t>
  </si>
  <si>
    <t>https://www.udemy.com/twitter-integration-customize-tweets-with-developer-api/</t>
  </si>
  <si>
    <t>Practical Guide to Web Development</t>
  </si>
  <si>
    <t>https://www.udemy.com/designers-guide-to-web-development/</t>
  </si>
  <si>
    <t>Learn Wordpress 4 from Scratch : Create Awesome Websites</t>
  </si>
  <si>
    <t>https://www.udemy.com/learn-wordpress-from-scratch-and-create-websites/</t>
  </si>
  <si>
    <t>Learn Drupal 8 - With a Live Project</t>
  </si>
  <si>
    <t>https://www.udemy.com/learn-drupal-8-with-a-live-project/</t>
  </si>
  <si>
    <t>HTML 5 and CSS 3 - tricks and workarounds</t>
  </si>
  <si>
    <t>https://www.udemy.com/html5-css3-tricks-and-workarounds/</t>
  </si>
  <si>
    <t>Mastering the Google Chrome Developer Tools</t>
  </si>
  <si>
    <t>https://www.udemy.com/mastering-chrome-developer-tools/</t>
  </si>
  <si>
    <t>Build An Online Bank With Java, Angular 2, Spring and More</t>
  </si>
  <si>
    <t>https://www.udemy.com/build-an-online-bank-with-java-angular-2-spring-and-more/</t>
  </si>
  <si>
    <t>React: Learn ReactJS Fundamentals for Front-End Developers</t>
  </si>
  <si>
    <t>https://www.udemy.com/react-fundamentals-frontend-developers/</t>
  </si>
  <si>
    <t>Regular Expressions for Beginners - Universal</t>
  </si>
  <si>
    <t>https://www.udemy.com/regular-expressions-for-beginners-universal/</t>
  </si>
  <si>
    <t>Angular 2 + Rails 5 Bootcamp</t>
  </si>
  <si>
    <t>https://www.udemy.com/angular-on-rails-course/</t>
  </si>
  <si>
    <t>Angular and Firebase - Build a Web App with Typescript</t>
  </si>
  <si>
    <t>https://www.udemy.com/angular-firebase-application/</t>
  </si>
  <si>
    <t>Coding Made Easy: A Beginners Guide To JavaScript</t>
  </si>
  <si>
    <t>https://www.udemy.com/coding-made-easy-a-beginners-guide-to-javascript/</t>
  </si>
  <si>
    <t>Projects in ExpressJS - Learn ExpressJs building 10 projects</t>
  </si>
  <si>
    <t>https://www.udemy.com/projects-in-expressjs-learn-expressjs-building-10-projects/</t>
  </si>
  <si>
    <t>Learn ReactJS: Code Like A Facebook Developer</t>
  </si>
  <si>
    <t>https://www.udemy.com/learn-react-js/</t>
  </si>
  <si>
    <t>XML For Absolute Beginners: Learn to create your own tags</t>
  </si>
  <si>
    <t>https://www.udemy.com/xml-for-absolute-beginners-learn-to-create-your-own-tags/</t>
  </si>
  <si>
    <t>Drupal 8 Site Building</t>
  </si>
  <si>
    <t>https://www.udemy.com/drupal-8-site-building/</t>
  </si>
  <si>
    <t>All You Need To Know About AngularJS - Training On AngularJS</t>
  </si>
  <si>
    <t>https://www.udemy.com/angularjs/</t>
  </si>
  <si>
    <t>How to become an App Developer</t>
  </si>
  <si>
    <t>https://www.udemy.com/how-to-become-an-app-developer/</t>
  </si>
  <si>
    <t>Learn to build 20 websites and build 14 iOS9 apps with swift</t>
  </si>
  <si>
    <t>https://www.udemy.com/learn-to-build-20-websites-and-build-14-ios9-apps-with-swift/</t>
  </si>
  <si>
    <t>Master Regular Expressions from scratch - All languages</t>
  </si>
  <si>
    <t>https://www.udemy.com/master-regular-expressions-from-scratch/</t>
  </si>
  <si>
    <t>Learn PHP from scratch!!</t>
  </si>
  <si>
    <t>https://www.udemy.com/learn-php-from-scratch-by-niveditajain/</t>
  </si>
  <si>
    <t>RESTful API with Laravel</t>
  </si>
  <si>
    <t>https://www.udemy.com/laravel-5-php-framework-agile-and-practical-php-restful-api/</t>
  </si>
  <si>
    <t>Build an HTML5 and CSS3 Website in 35 Minutes</t>
  </si>
  <si>
    <t>https://www.udemy.com/build-an-html5-and-css3-website-in-35-minutes/</t>
  </si>
  <si>
    <t>Master Electron: Desktop Apps using HTML, JavaScript &amp; CSS</t>
  </si>
  <si>
    <t>https://www.udemy.com/master-electron/</t>
  </si>
  <si>
    <t>Build Sign Up and Login Forms With Bootstrap Modal</t>
  </si>
  <si>
    <t>https://www.udemy.com/build-sign-up-and-login-forms-with-bootstrap-modal/</t>
  </si>
  <si>
    <t>Wordpress Site Migration</t>
  </si>
  <si>
    <t>https://www.udemy.com/wordpress-site-migration-tutorial/</t>
  </si>
  <si>
    <t>PHP Security</t>
  </si>
  <si>
    <t>https://www.udemy.com/php-security/</t>
  </si>
  <si>
    <t>CSSCasts; CSS libraries Plugins Tips &amp; Tricks for Developers</t>
  </si>
  <si>
    <t>https://www.udemy.com/csscasts-css-libraries-plugins-tips-tricks-for-developers/</t>
  </si>
  <si>
    <t>WordPress Academy: Learn WordPress step by step</t>
  </si>
  <si>
    <t>https://www.udemy.com/wordpress-academy-course/</t>
  </si>
  <si>
    <t>Modern JavaScript: Building Real-World, Real-Time Apps</t>
  </si>
  <si>
    <t>https://www.udemy.com/real-world-real-time-modern-javascript/</t>
  </si>
  <si>
    <t>Ruby on Rails 5 - BDD, RSpec and Capybara</t>
  </si>
  <si>
    <t>https://www.udemy.com/ruby-rails-5-bdd-rspec-capybara/</t>
  </si>
  <si>
    <t>Web Hosting Fundamentals</t>
  </si>
  <si>
    <t>https://www.udemy.com/web-hosting-fundamentals/</t>
  </si>
  <si>
    <t>Amazon Alexa Development: From Beginner to Intermediate</t>
  </si>
  <si>
    <t>https://www.udemy.com/amazon-alexa-development-from-beginner-to-intermediate/</t>
  </si>
  <si>
    <t>How to Create a Social Network For a Niche-Related Community</t>
  </si>
  <si>
    <t>https://www.udemy.com/how-to-create-a-social-network/</t>
  </si>
  <si>
    <t>Learn Rails: Quickly Code, Style and Launch 4 Web Apps</t>
  </si>
  <si>
    <t>https://www.udemy.com/learn-rails/</t>
  </si>
  <si>
    <t>Learn SASS and improve your CSS</t>
  </si>
  <si>
    <t>https://www.udemy.com/write-clean-css-using-sass/</t>
  </si>
  <si>
    <t>The Complete JavaScript Bootcamp</t>
  </si>
  <si>
    <t>https://www.udemy.com/the-complete-javascript-bootcamp/</t>
  </si>
  <si>
    <t>Javascript Intermediate level 1 - Mastering the DOM</t>
  </si>
  <si>
    <t>https://www.udemy.com/javascript-intermediate-mastering-the-dom/</t>
  </si>
  <si>
    <t>create a search engine for your website!</t>
  </si>
  <si>
    <t>https://www.udemy.com/create-a-simple-php-mysql-search-engine/</t>
  </si>
  <si>
    <t>Server API Development in Swift, Kitura, &amp; Bluemix</t>
  </si>
  <si>
    <t>https://www.udemy.com/swift-kitura/</t>
  </si>
  <si>
    <t>PHP For Beginners : Learn PHP From Scratch!</t>
  </si>
  <si>
    <t>https://www.udemy.com/php-fundamentals-course/</t>
  </si>
  <si>
    <t>Learn how to use Javascript Components with PHP and Symfony</t>
  </si>
  <si>
    <t>https://www.udemy.com/learn-how-to-use-javascript-components-with-php-and-symfony/</t>
  </si>
  <si>
    <t>Mastering CSS</t>
  </si>
  <si>
    <t>https://www.udemy.com/mastering-css/</t>
  </si>
  <si>
    <t>JQuery DOM and Ajax Concept Explained for Beginners</t>
  </si>
  <si>
    <t>https://www.udemy.com/jquery-dom-and-ajax-concept-explained-for-beginners/</t>
  </si>
  <si>
    <t>Amazon s3 Mastery - THE How-To' Guides For Amazon S3</t>
  </si>
  <si>
    <t>https://www.udemy.com/amazon-s3-mastery/</t>
  </si>
  <si>
    <t>Angular 4 Development Decoded</t>
  </si>
  <si>
    <t>https://www.udemy.com/marutiangular4/</t>
  </si>
  <si>
    <t>How To Build A Facebook Messenger Chat Bot From Scratch</t>
  </si>
  <si>
    <t>https://www.udemy.com/how-to-build-a-facebook-messenger-chat-bot-from-scratch/</t>
  </si>
  <si>
    <t>WordPress : An Overview</t>
  </si>
  <si>
    <t>https://www.udemy.com/what-is-wordpress/</t>
  </si>
  <si>
    <t>Getting Started with LESS - Beginner Crash Course</t>
  </si>
  <si>
    <t>https://www.udemy.com/getting-started-with-less-beginner-crash-course/</t>
  </si>
  <si>
    <t>Self Advertise Using PowerPoint Twitter and Facebook on ios</t>
  </si>
  <si>
    <t>https://www.udemy.com/the-basic-roadmap-to-power-point-advertising-for-mac/</t>
  </si>
  <si>
    <t>Introduction to Node.js Development</t>
  </si>
  <si>
    <t>https://www.udemy.com/refactoru-intro-nodejs/</t>
  </si>
  <si>
    <t>HTML and CSS BootCamp for Beginners</t>
  </si>
  <si>
    <t>https://www.udemy.com/html-and-css-bootcamp-for-beginners/</t>
  </si>
  <si>
    <t>Wordpress - Create an Outstanding Website in 2 hours</t>
  </si>
  <si>
    <t>https://www.udemy.com/wordpress-business-website/</t>
  </si>
  <si>
    <t>jQuery for Absolute Beginners - Lite</t>
  </si>
  <si>
    <t>https://www.udemy.com/jquery-for-absolute-beginners-lite/</t>
  </si>
  <si>
    <t>Learning 200 jQuery Functions with 800 Examples</t>
  </si>
  <si>
    <t>https://www.udemy.com/jquery-foundation/</t>
  </si>
  <si>
    <t>Introduction To Data Analytics Using Microsoft Power BI</t>
  </si>
  <si>
    <t>https://www.udemy.com/data-analytics-powerbi/</t>
  </si>
  <si>
    <t>Projects in Django and Python</t>
  </si>
  <si>
    <t>https://www.udemy.com/projects-in-django-and-python/</t>
  </si>
  <si>
    <t>Google Blogger : How to Create a Blog</t>
  </si>
  <si>
    <t>https://www.udemy.com/google-blogger-how-to-create-a-blog/</t>
  </si>
  <si>
    <t>JavaScript with BackboneJS and Bootstrap CSS - Advanced</t>
  </si>
  <si>
    <t>https://www.udemy.com/advanced-javascript-with-backbonejs-and-bootstrap-css/</t>
  </si>
  <si>
    <t>Develop a Professional OnePage WordPress site With No Coding</t>
  </si>
  <si>
    <t>https://www.udemy.com/develop-a-professional-onepage-wordpress-site-with-no-coding/</t>
  </si>
  <si>
    <t>Build a complete Fiverr clone with Node + Algolia + Paypal</t>
  </si>
  <si>
    <t>https://www.udemy.com/web-developer-build-fiverr-twitter-and-mvp-with-nodejs/</t>
  </si>
  <si>
    <t>Angular 2 From The Ground Up</t>
  </si>
  <si>
    <t>https://www.udemy.com/angular-2-from-the-ground-up/</t>
  </si>
  <si>
    <t>Learn Ruby on Rails By Building Projects</t>
  </si>
  <si>
    <t>https://www.udemy.com/learn-ruby-on-rails-building-projects/</t>
  </si>
  <si>
    <t>Javascript Intermediate level 3 - JSON</t>
  </si>
  <si>
    <t>https://www.udemy.com/javascript-intermediate-json-course/</t>
  </si>
  <si>
    <t>Learn SASS: from beginner to expert</t>
  </si>
  <si>
    <t>https://www.udemy.com/learn-sass-from-beginner-to-expert/</t>
  </si>
  <si>
    <t>HTML5 and CSS for Beginner To Expert</t>
  </si>
  <si>
    <t>https://www.udemy.com/html5-and-css-for-beginner-to-expert/</t>
  </si>
  <si>
    <t>Angular 2 Jump Start With Typescript</t>
  </si>
  <si>
    <t>https://www.udemy.com/angular-2-jump-start-with-typescript/</t>
  </si>
  <si>
    <t>Learn By Example: The Foundations of HTML, CSS &amp; Javascript</t>
  </si>
  <si>
    <t>https://www.udemy.com/learn-by-example-html-css-javascript/</t>
  </si>
  <si>
    <t>Learn PHP Object Oriented Features with Simple Examples</t>
  </si>
  <si>
    <t>https://www.udemy.com/learn-php-object-oriented-features-with-simple-examples/</t>
  </si>
  <si>
    <t>ReactJS and Flux: Learn By Building 10 Projects</t>
  </si>
  <si>
    <t>https://www.udemy.com/reactjs-and-flux-learn-by-building-10-projects/</t>
  </si>
  <si>
    <t>Ultimate AngularJS: Build a Real-World App from Scratch</t>
  </si>
  <si>
    <t>https://www.udemy.com/ultimate-angularjs-course/</t>
  </si>
  <si>
    <t>Build WordPress Plugin to extend Beaver Builder</t>
  </si>
  <si>
    <t>https://www.udemy.com/build-wordpress-plugin-to-extend-beaver-builder/</t>
  </si>
  <si>
    <t>The Ultimate Vue JS 2 Developers Course</t>
  </si>
  <si>
    <t>https://www.udemy.com/vuejs-2-essentials/</t>
  </si>
  <si>
    <t>JSON For Beginners: A Very Basic Introduction</t>
  </si>
  <si>
    <t>https://www.udemy.com/json-for-beginners-a-very-basic-introduction/</t>
  </si>
  <si>
    <t>Write PHP Like a Pro: Build a PHP MVC Framework From Scratch</t>
  </si>
  <si>
    <t>https://www.udemy.com/php-mvc-from-scratch/</t>
  </si>
  <si>
    <t>Learn By Example: jQuery</t>
  </si>
  <si>
    <t>https://www.udemy.com/learn-by-example-jquery/</t>
  </si>
  <si>
    <t>WordPress for Beginners - Build Your First Website in 2017</t>
  </si>
  <si>
    <t>https://www.udemy.com/from-novice-to-ninja-the-complete-wordpress-training-course/</t>
  </si>
  <si>
    <t>WordPress Development Crash Course: From Zero To Hero</t>
  </si>
  <si>
    <t>https://www.udemy.com/wordpress-development-crash-course/</t>
  </si>
  <si>
    <t>The Complete hapiJS Course - Go From Beginner To Advanced!</t>
  </si>
  <si>
    <t>https://www.udemy.com/hapijs-course/</t>
  </si>
  <si>
    <t>Become a Full Stack Developer with Spring, AWS and Stripe</t>
  </si>
  <si>
    <t>https://www.udemy.com/become-a-full-stack-developer-with-spring-aws-and-stripe/</t>
  </si>
  <si>
    <t>Web Application Development - Learn by Building 3 Web Apps</t>
  </si>
  <si>
    <t>https://www.udemy.com/build-3-web-applications-in-90-minutes/</t>
  </si>
  <si>
    <t>Build A Web App With Spring Framework and Angular 2</t>
  </si>
  <si>
    <t>https://www.udemy.com/build-a-web-app-with-spring-boot-and-angular-2/</t>
  </si>
  <si>
    <t>HTML5 CSS3 JQUERY Single Page Website Project from Scratch</t>
  </si>
  <si>
    <t>https://www.udemy.com/html5-css3-jquery-single-page-website-project-from-scratch/</t>
  </si>
  <si>
    <t>How to set up a Web Server From Scratch to One Fully Managed</t>
  </si>
  <si>
    <t>https://www.udemy.com/how-to-setup-a-web-server/</t>
  </si>
  <si>
    <t>Create a Responsive Business Website with WordPress</t>
  </si>
  <si>
    <t>https://www.udemy.com/creating-a-business-website-with-a-responsive-design/</t>
  </si>
  <si>
    <t>Using Modern JavaScript Today</t>
  </si>
  <si>
    <t>https://www.udemy.com/using-modern-javascript/</t>
  </si>
  <si>
    <t>Wordpress for beginners :Build Websites Fast without Coding</t>
  </si>
  <si>
    <t>https://www.udemy.com/wordpress-create-websites-fast-wo-coding-and-make-money/</t>
  </si>
  <si>
    <t>Learn HTML - The programming language to build a webpage!</t>
  </si>
  <si>
    <t>https://www.udemy.com/takethefirststep/</t>
  </si>
  <si>
    <t>WordPress Plugins Treasure Chest</t>
  </si>
  <si>
    <t>https://www.udemy.com/best-wordpress-plugins-treasure-chest/</t>
  </si>
  <si>
    <t>PHP Date and Time Course by Edwin Diaz</t>
  </si>
  <si>
    <t>https://www.udemy.com/crash-course-learn-to-create-date-and-time-in-php-easily/</t>
  </si>
  <si>
    <t>Mastering Micro Services Using Java Spring Boot</t>
  </si>
  <si>
    <t>https://www.udemy.com/mastering-micro-services-using-java-sprint-boot/</t>
  </si>
  <si>
    <t>Getting Started with NodeJS for Beginners</t>
  </si>
  <si>
    <t>https://www.udemy.com/getting-started-with-nodejs-for-beginners/</t>
  </si>
  <si>
    <t>DesktopServer : Install WordPress Locally - Work Anywhere!</t>
  </si>
  <si>
    <t>https://www.udemy.com/desktopserver/</t>
  </si>
  <si>
    <t>Learn PHP CodeIgniter Framework with AJAX and Bootstrap</t>
  </si>
  <si>
    <t>https://www.udemy.com/learn-php-codeigniter-framework-with-ajax-and-bootstrap/</t>
  </si>
  <si>
    <t>One-stop Ruby on Rails: Build Web Applications from Scratch</t>
  </si>
  <si>
    <t>https://www.udemy.com/build-etsy-yelp-craigslist-and-a-web-scraper-from-scratch/</t>
  </si>
  <si>
    <t>Understand PHP Arrays and HTTP Request in a Better Way</t>
  </si>
  <si>
    <t>https://www.udemy.com/understand-php-arrays-and-http-request-in-a-better-way/</t>
  </si>
  <si>
    <t>PHP - Send and Receive Mobile Text Messages (SMS)</t>
  </si>
  <si>
    <t>https://www.udemy.com/php-send-and-receive-mobile-text-messages-sms/</t>
  </si>
  <si>
    <t>Spring Core DevOps on AWS</t>
  </si>
  <si>
    <t>https://www.udemy.com/spring-core-devops-on-aws/</t>
  </si>
  <si>
    <t>Create a business website with WordPress</t>
  </si>
  <si>
    <t>https://www.udemy.com/create-a-business-website-with-wordpress/</t>
  </si>
  <si>
    <t>JavaScript manipulation of the DOM Document Object Model</t>
  </si>
  <si>
    <t>https://www.udemy.com/javascript-manipulation-of-the-dom-document-object-model/</t>
  </si>
  <si>
    <t>Getting Started with WordPress 2016</t>
  </si>
  <si>
    <t>https://www.udemy.com/getting-started-with-wordpress-cms/</t>
  </si>
  <si>
    <t>The Complete WordPress Development &amp; Customization Course</t>
  </si>
  <si>
    <t>https://www.udemy.com/the-complete-wordpress-development-customization-course/</t>
  </si>
  <si>
    <t>PHP Development with the Laravel Framework</t>
  </si>
  <si>
    <t>https://www.udemy.com/php-development-with-laravel-4/</t>
  </si>
  <si>
    <t>HTML and CSS for Beginning Web Developers</t>
  </si>
  <si>
    <t>https://www.udemy.com/html-and-css-for-beginning-web-developers/</t>
  </si>
  <si>
    <t>Learn Bootstrap And Make Responsive Websites</t>
  </si>
  <si>
    <t>https://www.udemy.com/learn-bootstrap-and-make-responsive-websites/</t>
  </si>
  <si>
    <t>Start Web Development with GIS Map in JavaScript</t>
  </si>
  <si>
    <t>https://www.udemy.com/start-web-development-with-gis-map-in-javascript/</t>
  </si>
  <si>
    <t>Learn React : The World's Most Lucrative JavaScript Library</t>
  </si>
  <si>
    <t>https://www.udemy.com/learn-react-the-worlds-most-lucrative-javascript-library/</t>
  </si>
  <si>
    <t>WordPress Plugin Tutorial</t>
  </si>
  <si>
    <t>https://www.udemy.com/wordpress-plugin-tutorial/</t>
  </si>
  <si>
    <t>Introduction to Java Programming for Online Learners</t>
  </si>
  <si>
    <t>https://www.udemy.com/learning-to-program-in-java-a-supplement-for-online-academic-learners/</t>
  </si>
  <si>
    <t>Your Own Site in 45 Min: The Complete Wordpress Course</t>
  </si>
  <si>
    <t>https://www.udemy.com/wordpress-sites/</t>
  </si>
  <si>
    <t>PHP :basics for beginners</t>
  </si>
  <si>
    <t>https://www.udemy.com/php-basics-for-beginners-new/</t>
  </si>
  <si>
    <t>Learn React JS from scratch</t>
  </si>
  <si>
    <t>https://www.udemy.com/learn-react-js-from-scratch/</t>
  </si>
  <si>
    <t>HTML and CSS: A Guide to Web Design</t>
  </si>
  <si>
    <t>https://www.udemy.com/html-and-css-a-guide-to-web-design/</t>
  </si>
  <si>
    <t>JavaScript, jQuery and Ajax</t>
  </si>
  <si>
    <t>https://www.udemy.com/ajax-calls-the-simplest-way/</t>
  </si>
  <si>
    <t>Essential HTML, CSS &amp; HTML5 Training</t>
  </si>
  <si>
    <t>https://www.udemy.com/essential-html-css-html5-training/</t>
  </si>
  <si>
    <t>HTML &amp; CSS - Learn to build sleek websites</t>
  </si>
  <si>
    <t>https://www.udemy.com/html-css-learn-to-build-sleek-websites/</t>
  </si>
  <si>
    <t>The Complete HTML5 and CSS3 Course - with 8 Websites Design</t>
  </si>
  <si>
    <t>https://www.udemy.com/build-responsive-websites-with-html5-and-css3-from-scratch/</t>
  </si>
  <si>
    <t>Create full featured Landing Page in Ruby on Rails in 3 hour</t>
  </si>
  <si>
    <t>https://www.udemy.com/rails-1-landing-page/</t>
  </si>
  <si>
    <t>Learn PHP from Scratch</t>
  </si>
  <si>
    <t>https://www.udemy.com/learn-php-from-scratch-in-1-3-hr/</t>
  </si>
  <si>
    <t>The Complete HTML5 and CSS3 Course</t>
  </si>
  <si>
    <t>https://www.udemy.com/the-complete-html5-and-css3-course/</t>
  </si>
  <si>
    <t>Web Security: Common Vulnerabilities And Their Mitigation</t>
  </si>
  <si>
    <t>https://www.udemy.com/web-security-common-vulnerabilities-and-their-mitigation/</t>
  </si>
  <si>
    <t>HTML and CSS Foundations</t>
  </si>
  <si>
    <t>https://www.udemy.com/html-and-css-foundations/</t>
  </si>
  <si>
    <t>How to Register a Domain, Set Up Hosting, and Edit Web Pages</t>
  </si>
  <si>
    <t>https://www.udemy.com/register-domain-setup-hosting-create-web-page/</t>
  </si>
  <si>
    <t>Mastering Modern Web Development Using React</t>
  </si>
  <si>
    <t>https://www.udemy.com/mastering-modern-web-development-using-react/</t>
  </si>
  <si>
    <t>GRUNT js: Automate web development tasks and save your time</t>
  </si>
  <si>
    <t>https://www.udemy.com/gruntjs-automate-web-development-tasks-and-save-your-time/</t>
  </si>
  <si>
    <t>Core Concepts in HTML 5</t>
  </si>
  <si>
    <t>https://www.udemy.com/core-concepts-in-html-5/</t>
  </si>
  <si>
    <t>HTML5 Geolocation in Depth:Build 7 HTML5 Geolocation Apps</t>
  </si>
  <si>
    <t>https://www.udemy.com/html5-geolocation-in-depth-build-location-aware-applications/</t>
  </si>
  <si>
    <t>Ultimate JavaScript Objects</t>
  </si>
  <si>
    <t>https://www.udemy.com/js-objects/</t>
  </si>
  <si>
    <t>Projects with JSON and APIs</t>
  </si>
  <si>
    <t>https://www.udemy.com/projects-with-json-and-apis/</t>
  </si>
  <si>
    <t>jQuery UI In Depth</t>
  </si>
  <si>
    <t>https://www.udemy.com/jquery-ui-in-depth/</t>
  </si>
  <si>
    <t>Introduction to Elm</t>
  </si>
  <si>
    <t>https://www.udemy.com/introduction-to-elm/</t>
  </si>
  <si>
    <t>Ruby on Rails 4---A Test-Driven Approach</t>
  </si>
  <si>
    <t>https://www.udemy.com/ruby-on-rails-4-a-test-driven-approach/</t>
  </si>
  <si>
    <t>Responsive Html5 Theme Development</t>
  </si>
  <si>
    <t>https://www.udemy.com/responsive-html5-theme-development/</t>
  </si>
  <si>
    <t>Learn By Example: Angular JS</t>
  </si>
  <si>
    <t>https://www.udemy.com/learn-by-example-angular-js/</t>
  </si>
  <si>
    <t>PSD to Responsive HTML5: Beginner to Advanced</t>
  </si>
  <si>
    <t>https://www.udemy.com/psd-to-html5-beginner-to-advanced/</t>
  </si>
  <si>
    <t>Learn by Example : ReactJS</t>
  </si>
  <si>
    <t>https://www.udemy.com/learn-by-example-reactjs/</t>
  </si>
  <si>
    <t>Bootstrap Tutorial - Essentials From Basic to Advanced</t>
  </si>
  <si>
    <t>https://www.udemy.com/bootstrap-tutorial-essentials-from-basic-to-advanced/</t>
  </si>
  <si>
    <t>Drupal for Beginners</t>
  </si>
  <si>
    <t>https://www.udemy.com/getting-started-with-drupal-for-total-beginners/</t>
  </si>
  <si>
    <t>Create a social network using PHP Mysqli HTML Css and JQuery</t>
  </si>
  <si>
    <t>https://www.udemy.com/create-a-social-network-using-php-mysqli-html-css-and-jquery/</t>
  </si>
  <si>
    <t>Learn Essential Javascript Fundamentals - Lite</t>
  </si>
  <si>
    <t>https://www.udemy.com/learn-essential-javascript-fundamentals-lite/</t>
  </si>
  <si>
    <t>Build Modern Responsive Website With HTML5, CSS3 &amp; Bootstrap</t>
  </si>
  <si>
    <t>https://www.udemy.com/build-modern-responsive-website-with-html5-css3-bootstrap/</t>
  </si>
  <si>
    <t>Professional Rails Code Along</t>
  </si>
  <si>
    <t>https://www.udemy.com/professional-ruby-on-rails-coding-course/</t>
  </si>
  <si>
    <t>Learn animation using CSS3, Javascript and HTML5</t>
  </si>
  <si>
    <t>https://www.udemy.com/animating-css-javascript/</t>
  </si>
  <si>
    <t>Create an Engaging Website with Twitter Bootstrap 2.x</t>
  </si>
  <si>
    <t>https://www.udemy.com/create-an-engaging-website-with-twitter-bootstrap/</t>
  </si>
  <si>
    <t>The Fastest Way to Create a Website Using Godaddy</t>
  </si>
  <si>
    <t>https://www.udemy.com/create-your-own-website/</t>
  </si>
  <si>
    <t>PHP: Complete Login and Registration System with PHP &amp; MYSQL</t>
  </si>
  <si>
    <t>https://www.udemy.com/user-authentication-code-a-simple-login-system-with-php/</t>
  </si>
  <si>
    <t>Install Wordpress</t>
  </si>
  <si>
    <t>https://www.udemy.com/learn-how-to-install-wordpress/</t>
  </si>
  <si>
    <t>Easily Learn Web Development With Drop &amp; Drag: OptimizePress</t>
  </si>
  <si>
    <t>https://www.udemy.com/optimizepress/</t>
  </si>
  <si>
    <t>Learn By Example: PHP For Dynamic Websites</t>
  </si>
  <si>
    <t>https://www.udemy.com/learn-by-example-php-for-dynamic-websites/</t>
  </si>
  <si>
    <t>Fix Google's New 'Not Secure' Warning with Let's Encrypt!</t>
  </si>
  <si>
    <t>https://www.udemy.com/fix-googles-new-not-secure-warning-with-lets-encrypt/</t>
  </si>
  <si>
    <t>Build Apps with ReactJS: The Complete Course</t>
  </si>
  <si>
    <t>https://www.udemy.com/build-apps-with-reactjs-the-complete-course/</t>
  </si>
  <si>
    <t>Learn ASP NET MVC 5 step by step</t>
  </si>
  <si>
    <t>https://www.udemy.com/maruti-mvc5/</t>
  </si>
  <si>
    <t>Learn Node.js by building Udemy: Stripe + MailChimp + Wistia</t>
  </si>
  <si>
    <t>https://www.udemy.com/use-javascript-to-build-udemy-stripe-mailchimp-wistia/</t>
  </si>
  <si>
    <t>jQuery for Beginners</t>
  </si>
  <si>
    <t>https://www.udemy.com/jquery-for-beginners_sre/</t>
  </si>
  <si>
    <t>The Extreme Web Development Course - For Beginners</t>
  </si>
  <si>
    <t>https://www.udemy.com/the-extreme-web-development-course/</t>
  </si>
  <si>
    <t>How to Safely Copy and Move Your WordPress Website</t>
  </si>
  <si>
    <t>https://www.udemy.com/how-to-safely-copy-and-move-your-wordpress-website/</t>
  </si>
  <si>
    <t>Getting started with JavaScript</t>
  </si>
  <si>
    <t>https://www.udemy.com/javascript-code/</t>
  </si>
  <si>
    <t>HTML5 and CSS3 -Start building beautiful websites</t>
  </si>
  <si>
    <t>https://www.udemy.com/html5-and-css3-crash-course/</t>
  </si>
  <si>
    <t>JavaScript - Tricks and Workarounds</t>
  </si>
  <si>
    <t>https://www.udemy.com/javascript-tricks-and-workarounds/</t>
  </si>
  <si>
    <t>AngularJS for the Real World - Learn by creating a WebApp</t>
  </si>
  <si>
    <t>https://www.udemy.com/angularjs-for-the-real-world-learn-to-create-a-webapp/</t>
  </si>
  <si>
    <t>Website Builder Software Previews</t>
  </si>
  <si>
    <t>https://www.udemy.com/website-builder-software-reviews-weebly-vs-squarespace-vs-wix/</t>
  </si>
  <si>
    <t>Learn to Code in HTML5, CSS3, and JavaScript</t>
  </si>
  <si>
    <t>https://www.udemy.com/learn-to-code-in-html5-css3-and-javascript/</t>
  </si>
  <si>
    <t>Angular NgRx Store Masterclass - Covers Angular 4</t>
  </si>
  <si>
    <t>https://www.udemy.com/angular-ngrx-course/</t>
  </si>
  <si>
    <t>Create an E-commerce website without any coding</t>
  </si>
  <si>
    <t>https://www.udemy.com/create-an-e-commerce-website-without-any-coding/</t>
  </si>
  <si>
    <t>Web Development Essential Skills - Complete HTML and CSS</t>
  </si>
  <si>
    <t>https://www.udemy.com/complete-html5-css3-course-newbie-to-pro/</t>
  </si>
  <si>
    <t>Complete guide to install Wordpress, PHP on Cloud,AWS or VPS</t>
  </si>
  <si>
    <t>https://www.udemy.com/a-complete-guide-to-install-wordpress-php-on-cloud-server-aws-or-vps/</t>
  </si>
  <si>
    <t>jQuery in Action: Build 8 jQuery Projects</t>
  </si>
  <si>
    <t>https://www.udemy.com/jquery-web-development-made-easy/</t>
  </si>
  <si>
    <t>HTML5 Specialist: Comprehensive HTML5 Training</t>
  </si>
  <si>
    <t>https://www.udemy.com/html5-specialist/</t>
  </si>
  <si>
    <t>Complete E-Commerce Course - Java,Spring,Hibernate and MySQL</t>
  </si>
  <si>
    <t>https://www.udemy.com/complete-e-commerce-course-javaspringhibernate-and-mysql/</t>
  </si>
  <si>
    <t>Introduction to Node.js for Beginners</t>
  </si>
  <si>
    <t>https://www.udemy.com/introduction-to-nodejs-for-beginners/</t>
  </si>
  <si>
    <t>Web Development with BootStrap - 16 Instant Themes Included!</t>
  </si>
  <si>
    <t>https://www.udemy.com/bootstrap-course/</t>
  </si>
  <si>
    <t>Learn ASP.Net Web API 2 for Absolute Beginner</t>
  </si>
  <si>
    <t>https://www.udemy.com/learn-aspnet-web-api-2-for-absolute-beginner/</t>
  </si>
  <si>
    <t>Spring 4 Mastercourse: Covers Annotation &amp; XML Configuration</t>
  </si>
  <si>
    <t>https://www.udemy.com/java-spring-framework/</t>
  </si>
  <si>
    <t>JavaScript 2017: Become Top Rated Web Developer</t>
  </si>
  <si>
    <t>https://www.udemy.com/become-professional-javascript-developer/</t>
  </si>
  <si>
    <t>Google Blogger Course</t>
  </si>
  <si>
    <t>https://www.udemy.com/free-blogger-course/</t>
  </si>
  <si>
    <t>Learn Python Django - A Hands-On Course</t>
  </si>
  <si>
    <t>https://www.udemy.com/learn-python-django-a-hands-on-course/</t>
  </si>
  <si>
    <t>Boost your website speed without any coding!</t>
  </si>
  <si>
    <t>https://www.udemy.com/boost-your-website-speed-without-any-coding/</t>
  </si>
  <si>
    <t>JSON in Action: Build JSON-Based Applications</t>
  </si>
  <si>
    <t>https://www.udemy.com/json-in-action/</t>
  </si>
  <si>
    <t>Building Responsive Websites with Bootstrap 3 Framework</t>
  </si>
  <si>
    <t>https://www.udemy.com/building-responsive-websites-with-bootstrap-3-framework/</t>
  </si>
  <si>
    <t>X theme for WordPress: Responsive web design without code!</t>
  </si>
  <si>
    <t>https://www.udemy.com/x-theme-for-wordpress-responsive-websites-without-code/</t>
  </si>
  <si>
    <t>Comprehensive TypeScript</t>
  </si>
  <si>
    <t>https://www.udemy.com/typescript101/</t>
  </si>
  <si>
    <t>JavaScript and jQuery Basics: Start The Journey</t>
  </si>
  <si>
    <t>https://www.udemy.com/learn-javacript/</t>
  </si>
  <si>
    <t>Learn Plugin Development in WordPress By Building Projects</t>
  </si>
  <si>
    <t>https://www.udemy.com/learn-plugin-development-in-wordpress-by-building-projects/</t>
  </si>
  <si>
    <t>Introduction to PHP Slim Microframework</t>
  </si>
  <si>
    <t>https://www.udemy.com/introduction-to-php-slim-microframework/</t>
  </si>
  <si>
    <t>Learn Express</t>
  </si>
  <si>
    <t>https://www.udemy.com/learn-express/</t>
  </si>
  <si>
    <t>Joomla 3 : Develop a Professional Website in 3 Simple Steps!</t>
  </si>
  <si>
    <t>https://www.udemy.com/develop-a-professional-hotel-website-using-joomla-3x/</t>
  </si>
  <si>
    <t>Learn Gulp, The Streaming Build System</t>
  </si>
  <si>
    <t>https://www.udemy.com/gulp-101/</t>
  </si>
  <si>
    <t>PHP webservices</t>
  </si>
  <si>
    <t>https://www.udemy.com/php-webservices/</t>
  </si>
  <si>
    <t>Star Rating Project AJAX with JSON response from PHP MySQL</t>
  </si>
  <si>
    <t>https://www.udemy.com/star-rating-project-ajax-with-json-response-from-php-mysql/</t>
  </si>
  <si>
    <t>RxJs &amp; Reactive Programming Angular Masterclass - Angular 4</t>
  </si>
  <si>
    <t>https://www.udemy.com/rxjs-reactive-angular-course/</t>
  </si>
  <si>
    <t>Advanced Scalable Python Web Development Using Flask</t>
  </si>
  <si>
    <t>https://www.udemy.com/advanced-python-flask/</t>
  </si>
  <si>
    <t>Learn BuddyPress: Build A Social Network with WordPress</t>
  </si>
  <si>
    <t>https://www.udemy.com/learn-buddypress-build-a-social-network-with-wordpress/</t>
  </si>
  <si>
    <t>JavaScript Complete Guide to learning JavaScript</t>
  </si>
  <si>
    <t>https://www.udemy.com/javascript-complete-guide-to-learning-javascript/</t>
  </si>
  <si>
    <t>Build A Professional Wordpress Website In An Hour</t>
  </si>
  <si>
    <t>https://www.udemy.com/build-a-professional-wordpress-website-in-an-hour/</t>
  </si>
  <si>
    <t>Byte-Sized-Chunks: Closures in Javascript</t>
  </si>
  <si>
    <t>https://www.udemy.com/closures-in-javascript/</t>
  </si>
  <si>
    <t>AngularJS for Beginners, Single-Page Applications Made Easy</t>
  </si>
  <si>
    <t>https://www.udemy.com/angularjs-tutorial/</t>
  </si>
  <si>
    <t>Professional WordPress Theme Development from Scratch</t>
  </si>
  <si>
    <t>https://www.udemy.com/photoshop-psd-to-wordpress-theme-development-from-scratch/</t>
  </si>
  <si>
    <t>Crash Course - Learn to Create a PHP MVC Framework</t>
  </si>
  <si>
    <t>https://www.udemy.com/crash-course-learn-to-create-a-php-mvc-framework/</t>
  </si>
  <si>
    <t>Build Advanced Responsive Websites with Foundation 6 &amp; SASS</t>
  </si>
  <si>
    <t>https://www.udemy.com/foundation-5-sass-learn-by-building-a-complete-website/</t>
  </si>
  <si>
    <t>Learn Effective HTML in No Time!</t>
  </si>
  <si>
    <t>https://www.udemy.com/learn-effective-html-in-no-time/</t>
  </si>
  <si>
    <t>Jquery :basics for beginners</t>
  </si>
  <si>
    <t>https://www.udemy.com/jquery-basics-for-beginners/</t>
  </si>
  <si>
    <t>JavaScript from Scratch for Very Beginners</t>
  </si>
  <si>
    <t>https://www.udemy.com/javascript-basics-for-begginers/</t>
  </si>
  <si>
    <t>Code a Responsive Website Using HTML5 and CSS for Beginners</t>
  </si>
  <si>
    <t>https://www.udemy.com/how-to-code-a-responsive-website-using-html5-and-css/</t>
  </si>
  <si>
    <t>Drupal Tutorial : Drupal 8 Beginner to Expert in 8 PROJECTS</t>
  </si>
  <si>
    <t>https://www.udemy.com/drupal-tutorial/</t>
  </si>
  <si>
    <t>Learning Bootstrap 3 - Tutorial From Infinite Skills</t>
  </si>
  <si>
    <t>https://www.udemy.com/bootstrap-3/</t>
  </si>
  <si>
    <t>Ruby on Rails Tutorial: Learn 6 Ruby on Rails SEO Techniques</t>
  </si>
  <si>
    <t>https://www.udemy.com/ruby-on-rails-seo/</t>
  </si>
  <si>
    <t>Drupal Views: Introduction to Enhancing Your Drupal Website</t>
  </si>
  <si>
    <t>https://www.udemy.com/drupalviews/</t>
  </si>
  <si>
    <t>PHP with PDO - ULTIMATE Crash Course</t>
  </si>
  <si>
    <t>https://www.udemy.com/php-with-pdo-ultimate-crash-course/</t>
  </si>
  <si>
    <t>AJAX :basics for beginners</t>
  </si>
  <si>
    <t>https://www.udemy.com/ajaxbasics/</t>
  </si>
  <si>
    <t>AngularJs :basics for beginners</t>
  </si>
  <si>
    <t>https://www.udemy.com/angularjs-basics-for-beginners/</t>
  </si>
  <si>
    <t>Learn to make an HTML 5 website with a video background</t>
  </si>
  <si>
    <t>https://www.udemy.com/learn-to-make-an-html-5-website-with-a-video-background/</t>
  </si>
  <si>
    <t>Learn Rails Programming in Less than 30 Minute - Lite</t>
  </si>
  <si>
    <t>https://www.udemy.com/learn-rails-programming-in-less-than-30-minute-lite/</t>
  </si>
  <si>
    <t>Typescript Masterclass &amp; FREE E-Book</t>
  </si>
  <si>
    <t>https://www.udemy.com/complete-typescript-2-course/</t>
  </si>
  <si>
    <t>Learn to make a colorful one page website</t>
  </si>
  <si>
    <t>https://www.udemy.com/learn-to-make-a-colorful-one-page-website/</t>
  </si>
  <si>
    <t>PHP : Learn to upload files to Amazon S3 and use CloudFront</t>
  </si>
  <si>
    <t>https://www.udemy.com/php-learn-to-upload-files-to-amazon-s3-and-use-cloudfront/</t>
  </si>
  <si>
    <t>The Complete Wordpress Plugin Development Course - 8 Plugins</t>
  </si>
  <si>
    <t>https://www.udemy.com/wordpress-plugin-development/</t>
  </si>
  <si>
    <t>Pimcore Developer: Implement a Blog from a Bootstrap Theme</t>
  </si>
  <si>
    <t>https://www.udemy.com/enterprise-cms-applied-implement-a-website-with-pimcore/</t>
  </si>
  <si>
    <t>How to create a video blog with WordPress</t>
  </si>
  <si>
    <t>https://www.udemy.com/how-to-create-a-blog-with-wordpress-video-blog/</t>
  </si>
  <si>
    <t>CSS3 Gradients for Web Designers</t>
  </si>
  <si>
    <t>https://www.udemy.com/css3-gradients/</t>
  </si>
  <si>
    <t>JavaScript for beginners - A Complete Guide</t>
  </si>
  <si>
    <t>https://www.udemy.com/javascript-a-complete-guide/</t>
  </si>
  <si>
    <t>Learn Ruby Programming The Easy Way - Lite</t>
  </si>
  <si>
    <t>https://www.udemy.com/learn-ruby-programming-the-easy-way-lite/</t>
  </si>
  <si>
    <t>Bootstrap For Beginners: A Basic Introduction</t>
  </si>
  <si>
    <t>https://www.udemy.com/bootstrap-for-beginners-a-basic-introduction/</t>
  </si>
  <si>
    <t>WordPress Theme Academy with Bootstrap</t>
  </si>
  <si>
    <t>https://www.udemy.com/bootstrap-to-wordpress-build-custom-responsive-themes/</t>
  </si>
  <si>
    <t>Create Fast RESTful APIs with Lumen and Homestead by Laravel</t>
  </si>
  <si>
    <t>https://www.udemy.com/lumen-restful-api-and-homestead-for-lumen-by-laravel-and-php/</t>
  </si>
  <si>
    <t>Css For Beginners</t>
  </si>
  <si>
    <t>https://www.udemy.com/css-made-simple-for-beginners-learn-to-style-a-website-page/</t>
  </si>
  <si>
    <t>Web Development With HTML CSS BOOTSTRAP JQUERY for Beginners</t>
  </si>
  <si>
    <t>https://www.udemy.com/web-development-with-html-css-bootstrap-jquery-for-beginners/</t>
  </si>
  <si>
    <t>Learn HTML and CSS to make a Website</t>
  </si>
  <si>
    <t>https://www.udemy.com/learn-html-and-css-to-make-website/</t>
  </si>
  <si>
    <t>Big Data and Apache Hadoop for Developers - Fundamentals</t>
  </si>
  <si>
    <t>https://www.udemy.com/learn-big-data-and-apache-hadoop-for-developers-online/</t>
  </si>
  <si>
    <t>Bootstrap :basics for beginners</t>
  </si>
  <si>
    <t>https://www.udemy.com/bootstrap-basics-for-beginners/</t>
  </si>
  <si>
    <t>Laravel Account Activation Project</t>
  </si>
  <si>
    <t>https://www.udemy.com/laravel-account-activation-project/</t>
  </si>
  <si>
    <t>SASS - Beginner Crash Course</t>
  </si>
  <si>
    <t>https://www.udemy.com/sass-beginner-crash-course/</t>
  </si>
  <si>
    <t>Implementing a Data Warehouse with SQL Server 2012</t>
  </si>
  <si>
    <t>https://www.udemy.com/implementing-a-data-warehouse-with-sql-server-2012/</t>
  </si>
  <si>
    <t>Build Your Own Membership Website With Joomla</t>
  </si>
  <si>
    <t>https://www.udemy.com/build-your-own-membership-website-with-joomla/</t>
  </si>
  <si>
    <t>Parse Server: From Front End to Full Stack</t>
  </si>
  <si>
    <t>https://www.udemy.com/parse-server/</t>
  </si>
  <si>
    <t>React.js: Building Production Ready Apps, Start to Finish</t>
  </si>
  <si>
    <t>https://www.udemy.com/reactjs-building-production-ready-apps-start-to-finish/</t>
  </si>
  <si>
    <t>Login and Registration from Scratch with PHP and MySQL</t>
  </si>
  <si>
    <t>https://www.udemy.com/authentication-from-scratch-with-php-and-mysql/</t>
  </si>
  <si>
    <t>Build a Complete JQuery Plugin (Image Pop-up Dialog)</t>
  </si>
  <si>
    <t>https://www.udemy.com/build-a-complete-jquery-plugin-image-pop-up-dialog/</t>
  </si>
  <si>
    <t>WordPress Basics to Business: Share and Sell your Expertise</t>
  </si>
  <si>
    <t>https://www.udemy.com/wordpress-basics-to-business/</t>
  </si>
  <si>
    <t>PHP Zend Framework 1.11:Creating a CRUD Application</t>
  </si>
  <si>
    <t>https://www.udemy.com/zend-framework-111creating-a-crud-application/</t>
  </si>
  <si>
    <t>Full stack Universal React with Redux, Node js and MongoDB</t>
  </si>
  <si>
    <t>https://www.udemy.com/full-stack-universal-react-with-redux-express-and-mongodb/</t>
  </si>
  <si>
    <t>Complete Guide to Front-End Web Development and Design</t>
  </si>
  <si>
    <t>https://www.udemy.com/complete-guide-to-front-end-web-development-and-design/</t>
  </si>
  <si>
    <t>WordPress Tips and Tricks</t>
  </si>
  <si>
    <t>https://www.udemy.com/wordpress-tips-and-tricks/</t>
  </si>
  <si>
    <t>Web Development: Make A Website That Will Sell For Thousands</t>
  </si>
  <si>
    <t>https://www.udemy.com/web-development-by-doing-html5-css3-complete-from-scratch/</t>
  </si>
  <si>
    <t>Building a eCommerce Startup in 4 Hours [Livestream]</t>
  </si>
  <si>
    <t>https://www.udemy.com/4-hour-startup-building-an-ecommerce-startup-and-marketing-it/</t>
  </si>
  <si>
    <t>WordPress: Create an Amazing Website With Ease</t>
  </si>
  <si>
    <t>https://www.udemy.com/wordpress-basic-to-advanced-tutorials/</t>
  </si>
  <si>
    <t>Mastering Web and Mobile Debugging Using Chrome Dev Tools</t>
  </si>
  <si>
    <t>https://www.udemy.com/mastering-web-and-mobile-debugging-using-chrome-dev-tools/</t>
  </si>
  <si>
    <t>The Ultimate jQuery Course</t>
  </si>
  <si>
    <t>https://www.udemy.com/essential-jquery-training/</t>
  </si>
  <si>
    <t>How to Build a CMS with PHP</t>
  </si>
  <si>
    <t>https://www.udemy.com/make-a-cms/</t>
  </si>
  <si>
    <t>Security for your WordPress site</t>
  </si>
  <si>
    <t>https://www.udemy.com/security-for-your-wordpress-site/</t>
  </si>
  <si>
    <t>Learn by Doing: Vue JS 2.0 the Right Way</t>
  </si>
  <si>
    <t>https://www.udemy.com/learn-by-doing-vue-js-2-the-right-way/</t>
  </si>
  <si>
    <t>Wordpress Essentials: Useful Plugins</t>
  </si>
  <si>
    <t>https://www.udemy.com/wordpress-essentials-useful-plugins/</t>
  </si>
  <si>
    <t>CSS :basics for beginners</t>
  </si>
  <si>
    <t>https://www.udemy.com/learn-css-fast/</t>
  </si>
  <si>
    <t>Supreme NodeJS Course - For Beginners</t>
  </si>
  <si>
    <t>https://www.udemy.com/supreme-node-js-course/</t>
  </si>
  <si>
    <t>Build a Business or Personal Website Using Wordpress</t>
  </si>
  <si>
    <t>https://www.udemy.com/build-professional-business-personal-website-wordpress-create/</t>
  </si>
  <si>
    <t>Learn to make websites with Google's Material Design Lite</t>
  </si>
  <si>
    <t>https://www.udemy.com/learn-googles-material-design-lite/</t>
  </si>
  <si>
    <t>Mastering Magento</t>
  </si>
  <si>
    <t>https://www.udemy.com/mastering-magento/</t>
  </si>
  <si>
    <t>HTML5, CSS3 &amp; Bootstrap - How to Create a Responsive Website</t>
  </si>
  <si>
    <t>https://www.udemy.com/html5-css3-bootstrap-how-to-create-a-responsive-website/</t>
  </si>
  <si>
    <t>XML :basics for beginners</t>
  </si>
  <si>
    <t>https://www.udemy.com/xml-basics-for-beginners/</t>
  </si>
  <si>
    <t>Create a Client Network by Hosting WordPress Sites</t>
  </si>
  <si>
    <t>https://www.udemy.com/create-a-client-network-by-hosting-wordpress-sites/</t>
  </si>
  <si>
    <t>Javascript :basics for beginners</t>
  </si>
  <si>
    <t>https://www.udemy.com/learn-javascript-fast/</t>
  </si>
  <si>
    <t>Build A Great Wordpress Website For Your Business in 2 Hours</t>
  </si>
  <si>
    <t>https://www.udemy.com/build-a-great-wordpress-website-for-your-business-in-2-hours/</t>
  </si>
  <si>
    <t>Wordpress Theme Development for Beginners</t>
  </si>
  <si>
    <t>https://www.udemy.com/wordpress-theme-development-for-beginners/</t>
  </si>
  <si>
    <t>Complete Wordpress Theme Development Course</t>
  </si>
  <si>
    <t>https://www.udemy.com/complete-wordpress-theme-development-course/</t>
  </si>
  <si>
    <t>CSS Tutorial For Beginners: Style Your Wordpress Templates</t>
  </si>
  <si>
    <t>https://www.udemy.com/css-tutorial-for-beginners-style-your-wordpress-templates/</t>
  </si>
  <si>
    <t>Mastering 'Native CSS Shapes To Build Modern Web Pages"</t>
  </si>
  <si>
    <t>https://www.udemy.com/mastering-native-css-shapes/</t>
  </si>
  <si>
    <t>Learn jQuery from Scratch - Master of JavaScript library</t>
  </si>
  <si>
    <t>https://www.udemy.com/easy-jquery-for-beginner-learn-from-scratch-step-by-step/</t>
  </si>
  <si>
    <t>Bootstrap Tutorial for Beginners</t>
  </si>
  <si>
    <t>https://www.udemy.com/bootstrap-tutorial-for-beginners/</t>
  </si>
  <si>
    <t>Web Building Starter Pack. Html Css and JQuery Animations</t>
  </si>
  <si>
    <t>https://www.udemy.com/web-building-starter-pack-html-css-and-jquery-animations/</t>
  </si>
  <si>
    <t>Sell Courses On Your Own Website - No Coding Required!</t>
  </si>
  <si>
    <t>https://www.udemy.com/sell-courses-on-your-own-website-no-coding-required/</t>
  </si>
  <si>
    <t>https://www.udemy.com/web-development-course-learn-in-just-1-day-by-pooja-thakar/</t>
  </si>
  <si>
    <t>Build Powerful Websites &amp; Blogs using WordPress - No Coding</t>
  </si>
  <si>
    <t>https://www.udemy.com/powerful-websites-blogs-using-wordpress-no-coding/</t>
  </si>
  <si>
    <t>Mastering DevOps</t>
  </si>
  <si>
    <t>https://www.udemy.com/mastering-devops/</t>
  </si>
  <si>
    <t>Build Ajax Web Apps with Laravel 5.2, Bootstrap and jQuery</t>
  </si>
  <si>
    <t>https://www.udemy.com/learn-laravel-by-doing/</t>
  </si>
  <si>
    <t>Python Web Programming</t>
  </si>
  <si>
    <t>https://www.udemy.com/python-web-programming/</t>
  </si>
  <si>
    <t>Introduction to Frontend Web Development For Beginners</t>
  </si>
  <si>
    <t>https://www.udemy.com/programming-for-web-development-from-scratch/</t>
  </si>
  <si>
    <t>ReactJS Course: Learn JavaScript Library Used by Facebook&amp;IG</t>
  </si>
  <si>
    <t>https://www.udemy.com/react-js/</t>
  </si>
  <si>
    <t>The Complete Wordpress Theme Development Guide</t>
  </si>
  <si>
    <t>https://www.udemy.com/the-complete-wordpress-theme-development-guide/</t>
  </si>
  <si>
    <t>So you think you know JavaScript?</t>
  </si>
  <si>
    <t>https://www.udemy.com/so-you-think-you-know-javascript-1/</t>
  </si>
  <si>
    <t>Learn Top Ten PHP FrameWorks By Building Projects</t>
  </si>
  <si>
    <t>https://www.udemy.com/learn-top-ten-php-frameworks-by-building-projects/</t>
  </si>
  <si>
    <t>Learn Coding as RF or Telecom Engineer - Build Real Program</t>
  </si>
  <si>
    <t>https://www.udemy.com/learn-coding-as-rf-or-telecom-engineer-build-real-program/</t>
  </si>
  <si>
    <t>jQuery Essentials: Learn the Fundamental of jQuery</t>
  </si>
  <si>
    <t>https://www.udemy.com/jquery-essentials/</t>
  </si>
  <si>
    <t>Learn W3.CSS</t>
  </si>
  <si>
    <t>https://www.udemy.com/learn-w3css/</t>
  </si>
  <si>
    <t>Create a REAL Social Network like Facebook in PHP + MySQL</t>
  </si>
  <si>
    <t>https://www.udemy.com/make-a-social-media-website/</t>
  </si>
  <si>
    <t>The Ultimate WordPress Boot Camp: Build 7 Websites</t>
  </si>
  <si>
    <t>https://www.udemy.com/the-ultimate-wordpress-boot-camp-build-multiple-websites/</t>
  </si>
  <si>
    <t>Getting Started with Craft CMS</t>
  </si>
  <si>
    <t>https://www.udemy.com/craft-cms/</t>
  </si>
  <si>
    <t>HTML : HTML Awesomeness</t>
  </si>
  <si>
    <t>https://www.udemy.com/html-awesomeness/</t>
  </si>
  <si>
    <t>PSD to Bootstrap 3 for Beginners using HTML &amp; CSS</t>
  </si>
  <si>
    <t>https://www.udemy.com/psd-to-bootstrap/</t>
  </si>
  <si>
    <t>Build a file hosting/sharing site in less than 2 hours</t>
  </si>
  <si>
    <t>https://www.udemy.com/build-a-file-hosting-site-in-less-than-2-hours/</t>
  </si>
  <si>
    <t>The Sass Course! Learn Sass for Real-World Websites</t>
  </si>
  <si>
    <t>https://www.udemy.com/learn-sass/</t>
  </si>
  <si>
    <t>Web Scraping with Python, Ruby &amp; import. io</t>
  </si>
  <si>
    <t>https://www.udemy.com/web-scraping-with-python-ruby-import-io-for-fun-profit/</t>
  </si>
  <si>
    <t>Create WordPress Plugins</t>
  </si>
  <si>
    <t>https://www.udemy.com/create-wordpress-plugins/</t>
  </si>
  <si>
    <t>Scrape Websites using PhantomJS and CasperJS</t>
  </si>
  <si>
    <t>https://www.udemy.com/scrape-websites-phantomjs-casperjs/</t>
  </si>
  <si>
    <t>Java Web Services Part 2</t>
  </si>
  <si>
    <t>https://www.udemy.com/javawebservicespart2/</t>
  </si>
  <si>
    <t>JavaScript Basics For Web Developers</t>
  </si>
  <si>
    <t>https://www.udemy.com/javascript-basics-for-web-developers/</t>
  </si>
  <si>
    <t>Introduction to Modern Programming with PHP</t>
  </si>
  <si>
    <t>https://www.udemy.com/introduction-to-modern-programming-with-php/</t>
  </si>
  <si>
    <t>Complete React JS web developer with ES6 - Build 10 projects</t>
  </si>
  <si>
    <t>https://www.udemy.com/complete-react-js-course/</t>
  </si>
  <si>
    <t>Angular 2 Complete E-Commerce App Course - Java,Spring,MySQL</t>
  </si>
  <si>
    <t>https://www.udemy.com/build-angular-2-complete-e-comerce-app-java-spring-mysql/</t>
  </si>
  <si>
    <t>Bootstrap 4 Beginners: Code a Responsive Landing Page</t>
  </si>
  <si>
    <t>https://www.udemy.com/bootstrap-4-beginners-code-a-responsive-landing-page/</t>
  </si>
  <si>
    <t>Learn to Freelance with People Per hour (URDU)</t>
  </si>
  <si>
    <t>https://www.udemy.com/learn-to-freelance-with-people-per-hour-in-30-minutes/</t>
  </si>
  <si>
    <t>Projects In ReactJS - The Complete React Learning Course</t>
  </si>
  <si>
    <t>https://www.udemy.com/projects-in-reactjs-the-complete-react-learning-course/</t>
  </si>
  <si>
    <t>Learn basics of HTML in 30 Minutes</t>
  </si>
  <si>
    <t>https://www.udemy.com/learn-basics-of-html/</t>
  </si>
  <si>
    <t>XML DTD - Crash Course for Beginners</t>
  </si>
  <si>
    <t>https://www.udemy.com/xml-dtd-crash-course-for-beginners/</t>
  </si>
  <si>
    <t>Mastering Thymeleaf with Spring</t>
  </si>
  <si>
    <t>https://www.udemy.com/mastering-thymeleaf-with-spring/</t>
  </si>
  <si>
    <t>How to create awesome website and e-commerce in 1 hour</t>
  </si>
  <si>
    <t>https://www.udemy.com/how-to-create-awesome-websites-and-e-commerce-in-1-hour/</t>
  </si>
  <si>
    <t>XQUERY :basics for beginners</t>
  </si>
  <si>
    <t>https://www.udemy.com/xquery-basics-for-beginners/</t>
  </si>
  <si>
    <t>Drupal 7 for Beginners</t>
  </si>
  <si>
    <t>https://www.udemy.com/drupal-for-beginners/</t>
  </si>
  <si>
    <t>XML DOM :basics for beginners</t>
  </si>
  <si>
    <t>https://www.udemy.com/xml-dom-basics-for-beginners/</t>
  </si>
  <si>
    <t>Voiceover Audio Secrets - Your Way to Top Audio Quality</t>
  </si>
  <si>
    <t>https://www.udemy.com/professional-audio-recording-processing-for-course-creation/</t>
  </si>
  <si>
    <t>Build Modern Websites Quick With HTML,CSS and Bootstrap</t>
  </si>
  <si>
    <t>https://www.udemy.com/build-modern-websites-quick-with-htmlcss-and-bootstrap/</t>
  </si>
  <si>
    <t>Create Complete Web Applications easily with APEX 5</t>
  </si>
  <si>
    <t>https://www.udemy.com/create-web-apps-with-apex-5/</t>
  </si>
  <si>
    <t>Redux in Angular (2 and 4+)</t>
  </si>
  <si>
    <t>https://www.udemy.com/redux-in-angular/</t>
  </si>
  <si>
    <t>XML DTD :basics for beginners</t>
  </si>
  <si>
    <t>https://www.udemy.com/xml-dtd-basics-for-beginners/</t>
  </si>
  <si>
    <t>Using MODX CMS to Build Websites: A Beginner's Guide</t>
  </si>
  <si>
    <t>https://www.udemy.com/using-modx-cms-to-build-websites-a-beginners-guide/</t>
  </si>
  <si>
    <t>The Complete front end web developer Bootcamp - 14 projects</t>
  </si>
  <si>
    <t>https://www.udemy.com/complete-front-end-web-developer-bootcamp/</t>
  </si>
  <si>
    <t>A Beginner's Guide to the Meteor JavaScript Framework</t>
  </si>
  <si>
    <t>https://www.udemy.com/meteorjs/</t>
  </si>
  <si>
    <t>ASP NET CORE - ANGULAR 2 E-Commerce App</t>
  </si>
  <si>
    <t>https://www.udemy.com/build-a-full-e-commerce-app-in-aspnet-core-mvc-6/</t>
  </si>
  <si>
    <t>SharePoint 2013 Development using C# - Part I</t>
  </si>
  <si>
    <t>https://www.udemy.com/sharepoint2013development/</t>
  </si>
  <si>
    <t>Wordpress Development : Create a Custom Wordpress Website</t>
  </si>
  <si>
    <t>https://www.udemy.com/create-local-server-and-install-wordpress/</t>
  </si>
  <si>
    <t>Byte-Sized-Chunks: Dynamic Prototypes in Javascript</t>
  </si>
  <si>
    <t>https://www.udemy.com/dynamic-prototypes-in-javascript/</t>
  </si>
  <si>
    <t>XPATH :basics for beginners</t>
  </si>
  <si>
    <t>https://www.udemy.com/xpath-basics-for-beginners/</t>
  </si>
  <si>
    <t>XSLT :basics for beginners</t>
  </si>
  <si>
    <t>https://www.udemy.com/xslt-basics-for-beginners/</t>
  </si>
  <si>
    <t>Building Responsive Data Visualizations with D3 JS</t>
  </si>
  <si>
    <t>https://www.udemy.com/building-responsive-data-visualizations-with-d3js/</t>
  </si>
  <si>
    <t>Kali Linux Web App Testing</t>
  </si>
  <si>
    <t>https://www.udemy.com/kali-linux-web-app-testing/</t>
  </si>
  <si>
    <t>Projects in Node.js - Learn by Example</t>
  </si>
  <si>
    <t>https://www.udemy.com/projects-in-nodejs/</t>
  </si>
  <si>
    <t>Building a Social Network in PHP &amp; MySQL From Scratch</t>
  </si>
  <si>
    <t>https://www.udemy.com/social-network-in-php-mysql/</t>
  </si>
  <si>
    <t>Learn Symfony 3 framework by practical examples</t>
  </si>
  <si>
    <t>https://www.udemy.com/learn-symfony-3-framework-by-practical-examples/</t>
  </si>
  <si>
    <t>SAP - Learn SAPUI5 Professional Development</t>
  </si>
  <si>
    <t>https://www.udemy.com/learn-sapui5/</t>
  </si>
  <si>
    <t>Angular 4 - Concepts, Code and Collective Wisdom</t>
  </si>
  <si>
    <t>https://www.udemy.com/angular-2-concepts-code-and-collective-wisdom/</t>
  </si>
  <si>
    <t>PHP For WordPress Development</t>
  </si>
  <si>
    <t>https://www.udemy.com/php-for-wordpress-development/</t>
  </si>
  <si>
    <t>Thoughtful Web Development Course: HTML, Vue.js, PHP, MySQL</t>
  </si>
  <si>
    <t>https://www.udemy.com/web-development-html5-css3-php-oop-and-mysql-database/</t>
  </si>
  <si>
    <t>Learn to Build Web Apps using D3JS</t>
  </si>
  <si>
    <t>https://www.udemy.com/learn-to-build-web-apps-using-d3js/</t>
  </si>
  <si>
    <t>Creating Interactive HTML5 Video</t>
  </si>
  <si>
    <t>https://www.udemy.com/creating-interactive-html5-video/</t>
  </si>
  <si>
    <t>Superb jQuery Course - Become Certified jQuery Developer</t>
  </si>
  <si>
    <t>https://www.udemy.com/superb-jquery-course/</t>
  </si>
  <si>
    <t>WordPress Development - Themes, Plugins &amp; Single Page Apps</t>
  </si>
  <si>
    <t>https://www.udemy.com/wordpress-development-create-wordpress-themes-and-plugins/</t>
  </si>
  <si>
    <t>Cakephp:Creating a CRUD application</t>
  </si>
  <si>
    <t>https://www.udemy.com/cakephpcreating-a-crud-application/</t>
  </si>
  <si>
    <t>PHP Zend Framework 2:Creating a CRUD Application</t>
  </si>
  <si>
    <t>https://www.udemy.com/zend-framework-2creating-a-crud-application/</t>
  </si>
  <si>
    <t>JSON with Java APIs, jQuery and JSON REST Web Services</t>
  </si>
  <si>
    <t>https://www.udemy.com/learn-json-with-java-apis-jquery-and-rest/</t>
  </si>
  <si>
    <t>Simplified Cross Browser Web Testing Using VirtualBox</t>
  </si>
  <si>
    <t>https://www.udemy.com/cross-browser-web-testing-virtualbox/</t>
  </si>
  <si>
    <t>The Complete Web Development Tutorial Using React and Redux</t>
  </si>
  <si>
    <t>https://www.udemy.com/the-complete-web-development-tutorial-using-react-and-redux/</t>
  </si>
  <si>
    <t>Learn Azure Cloud Step by Step</t>
  </si>
  <si>
    <t>https://www.udemy.com/marutiazure/</t>
  </si>
  <si>
    <t>HTML FOR BEGINNERS</t>
  </si>
  <si>
    <t>https://www.udemy.com/html-5-for-beginners/</t>
  </si>
  <si>
    <t>Writing CSS with {LESS} - Tutorial From Infinite Skills</t>
  </si>
  <si>
    <t>https://www.udemy.com/writing-css-with-less-tutorial-from-infinite-skills/</t>
  </si>
  <si>
    <t>JavaScript : JavaScript Awesomeness</t>
  </si>
  <si>
    <t>https://www.udemy.com/javascript-javascript/</t>
  </si>
  <si>
    <t>HTML : Beginner Guide to HTML writing</t>
  </si>
  <si>
    <t>https://www.udemy.com/html-beginner-guide/</t>
  </si>
  <si>
    <t>Ultimate Css &amp; JQuery Form Designing From Beginner to Expert</t>
  </si>
  <si>
    <t>https://www.udemy.com/ultimate-css-web-form-designing-from-beginner-to-expert/</t>
  </si>
  <si>
    <t>Build Your Startup with No Coding (Design, Develop &amp; Ship)</t>
  </si>
  <si>
    <t>https://www.udemy.com/buildastartup/</t>
  </si>
  <si>
    <t>Responsive Web Design with HTML5 and CSS3 - Introduction</t>
  </si>
  <si>
    <t>https://www.udemy.com/responsive-web-design-with-html5-and-css3-introduction/</t>
  </si>
  <si>
    <t>AppML :basics for beginners</t>
  </si>
  <si>
    <t>https://www.udemy.com/appml-basics-for-beginners/</t>
  </si>
  <si>
    <t>Docker for Developers - Newest Version 1.12 with Swarm Mode</t>
  </si>
  <si>
    <t>https://www.udemy.com/docker-for-developers/</t>
  </si>
  <si>
    <t>ASP :basics for beginners</t>
  </si>
  <si>
    <t>https://www.udemy.com/asp-basics-for-beginners/</t>
  </si>
  <si>
    <t>Ajax for Beginners: A Very Basic Introduction</t>
  </si>
  <si>
    <t>https://www.udemy.com/ajax-for-beginners-a-very-basic-introduction/</t>
  </si>
  <si>
    <t>XSD :basics for beginners</t>
  </si>
  <si>
    <t>https://www.udemy.com/xsd-basics-for-beginners/</t>
  </si>
  <si>
    <t>Learn to Build Web Apps using Laravel Framework</t>
  </si>
  <si>
    <t>https://www.udemy.com/learn-to-build-web-apps-using-laravel-framework/</t>
  </si>
  <si>
    <t>How to manage your own VPS and create websites</t>
  </si>
  <si>
    <t>https://www.udemy.com/manage-vps/</t>
  </si>
  <si>
    <t>The Complete HTML and CSS Course For Beginners</t>
  </si>
  <si>
    <t>https://www.udemy.com/the-complete-html-and-css-course-for-beginners/</t>
  </si>
  <si>
    <t>Zend Framework 2: Learn the PHP framework ZF2 from scratch</t>
  </si>
  <si>
    <t>https://www.udemy.com/zend-framework-2-from-beginner-to-professional/</t>
  </si>
  <si>
    <t>Single Page Application of MVC 5 Using AngularJS</t>
  </si>
  <si>
    <t>https://www.udemy.com/maruti-spa-angularjs/</t>
  </si>
  <si>
    <t>Tumult Hype Pro Basics: HTML5 Animations Made Easier</t>
  </si>
  <si>
    <t>https://www.udemy.com/tumult-hype-pro-basics-html5-animations-made-easier/</t>
  </si>
  <si>
    <t>RESTful Services with ASP.NET Web API</t>
  </si>
  <si>
    <t>https://www.udemy.com/restful-services-with-aspnet-web-api/</t>
  </si>
  <si>
    <t>Up and Running with Phalcon</t>
  </si>
  <si>
    <t>https://www.udemy.com/up-and-running-with-phalcon-php/</t>
  </si>
  <si>
    <t>Building Web Applications with Spring MVC</t>
  </si>
  <si>
    <t>https://www.udemy.com/building-web-applications-with-spring-mvc/</t>
  </si>
  <si>
    <t>JavaScript For Absolute Beginners - Level One</t>
  </si>
  <si>
    <t>https://www.udemy.com/javascript-for-absolute-beginners-level-one/</t>
  </si>
  <si>
    <t>JavaScript - Become Higly Paid Front End Developer</t>
  </si>
  <si>
    <t>https://www.udemy.com/javascript-become-higly-paid-front-end-developer/</t>
  </si>
  <si>
    <t>Master EmberJS : Learn Ember JS From Scratch</t>
  </si>
  <si>
    <t>https://www.udemy.com/master-emberjs/</t>
  </si>
  <si>
    <t>Angular 2 - Superheroic Framework</t>
  </si>
  <si>
    <t>https://www.udemy.com/marutiangular2/</t>
  </si>
  <si>
    <t>Mastering JavaScript</t>
  </si>
  <si>
    <t>https://www.udemy.com/mastering-javascript/</t>
  </si>
  <si>
    <t>Building a Website With Jekyll</t>
  </si>
  <si>
    <t>https://www.udemy.com/building-a-website-with-jekyll/</t>
  </si>
  <si>
    <t>Professional Web Scraping with Java</t>
  </si>
  <si>
    <t>https://www.udemy.com/learn-web-scraping-with-java-in-just-1-hour/</t>
  </si>
  <si>
    <t>Laravel, the complete guide with real world projects</t>
  </si>
  <si>
    <t>https://www.udemy.com/best-laravel/</t>
  </si>
  <si>
    <t>Basic JavaScript: Build 4 Basic JavaScript Projects</t>
  </si>
  <si>
    <t>https://www.udemy.com/practical-javascript-javascript-basics/</t>
  </si>
  <si>
    <t>Querying Microsoft SQL Server 2012 - (Exam No. 70-461)</t>
  </si>
  <si>
    <t>https://www.udemy.com/querying-sql-server-2012-70-461/</t>
  </si>
  <si>
    <t>React for visual learners</t>
  </si>
  <si>
    <t>https://www.udemy.com/react-for-visual-learners/</t>
  </si>
  <si>
    <t>RESTful API with Laravel 5.4: Definitive Guide</t>
  </si>
  <si>
    <t>https://www.udemy.com/restful-api-with-laravel-php-homestead-passport-hateoas/</t>
  </si>
  <si>
    <t>Building a ASP.NET MVC 5 Membership Website</t>
  </si>
  <si>
    <t>https://www.udemy.com/building-a-mvc-5-membership-website/</t>
  </si>
  <si>
    <t>Perfect React JS Course - Understand Relevant Details</t>
  </si>
  <si>
    <t>https://www.udemy.com/perfect-react-js-course/</t>
  </si>
  <si>
    <t>Angularjs-WebApi2-EFCodeFirst Web App On 3-Tier Architecture</t>
  </si>
  <si>
    <t>https://www.udemy.com/angularjs-webapi2-efcodefirst-web-app-on-3-tier-architecture/</t>
  </si>
  <si>
    <t>JavaScript Promises: Applications in ES6 and AngularJS</t>
  </si>
  <si>
    <t>https://www.udemy.com/javascript-promises-applications-in-es6-and-angularjs/</t>
  </si>
  <si>
    <t>Supercharging Development With Atom Text Editor</t>
  </si>
  <si>
    <t>https://www.udemy.com/atom-text-editor/</t>
  </si>
  <si>
    <t>Projects in Foundation Framework - Learn By Building 10 Apps</t>
  </si>
  <si>
    <t>https://www.udemy.com/foundation-framework-course/</t>
  </si>
  <si>
    <t>Shopping Cart Website from Scratch Ecommerce</t>
  </si>
  <si>
    <t>https://www.udemy.com/shopping-cart/</t>
  </si>
  <si>
    <t>Learn Knockout JS Framework from GroundUp</t>
  </si>
  <si>
    <t>https://www.udemy.com/learn-knockout-js-framework-from-groundup/</t>
  </si>
  <si>
    <t>Learning Axure RP</t>
  </si>
  <si>
    <t>https://www.udemy.com/learning-axure-rp/</t>
  </si>
  <si>
    <t>HTML5, CSS3 And JavaScript Fundamentals 2016</t>
  </si>
  <si>
    <t>https://www.udemy.com/html5-css3-and-javascript-fundamentals-2016/</t>
  </si>
  <si>
    <t>Build Web Apps Using EmberJS: The Complete Course</t>
  </si>
  <si>
    <t>https://www.udemy.com/build-web-apps-using-emberjs-the-complete-course/</t>
  </si>
  <si>
    <t>Master ASP . NET 4 from scratch</t>
  </si>
  <si>
    <t>https://www.udemy.com/masteraspnet/</t>
  </si>
  <si>
    <t>JavaScript Tutorial</t>
  </si>
  <si>
    <t>https://www.udemy.com/lets-learn-javascript-by-coding/</t>
  </si>
  <si>
    <t>Getting Started with Magento</t>
  </si>
  <si>
    <t>https://www.udemy.com/getting-started-with-magento/</t>
  </si>
  <si>
    <t>Learn Laravel: Create Your Web App Step-By-Step</t>
  </si>
  <si>
    <t>https://www.udemy.com/laravel-5-course-learn-php-laravel/</t>
  </si>
  <si>
    <t>ASP.NET C# - Enterprise Web Systems From Novice to Expert</t>
  </si>
  <si>
    <t>https://www.udemy.com/aspnet-c-enterprise-web-systems-from-novice-to-expert/</t>
  </si>
  <si>
    <t>Vue JS 2: From Beginner to Professional</t>
  </si>
  <si>
    <t>https://www.udemy.com/vuejs-from-beginner-to-professional/</t>
  </si>
  <si>
    <t>Cross-Platform Development with ASP.NET Core 1.0 MVC</t>
  </si>
  <si>
    <t>https://www.udemy.com/crossplatformaspnetcoremvc/</t>
  </si>
  <si>
    <t>PHP CodeIgniter:CRUD concepts in MVC</t>
  </si>
  <si>
    <t>https://www.udemy.com/codeignitercrud-concepts-in-mvc/</t>
  </si>
  <si>
    <t>Master Angular 4 by Example - Build 7 Awesome Apps!</t>
  </si>
  <si>
    <t>https://www.udemy.com/learn-angular-4/</t>
  </si>
  <si>
    <t>Create Newsletter Subscription Form with PHP/AJAX in 40 Min</t>
  </si>
  <si>
    <t>https://www.udemy.com/php-ajax-form-with-validation-email-ip-tracking-in-40-minutes/</t>
  </si>
  <si>
    <t>Administering Microsoft SQL Server 2012 Databases - 70-462</t>
  </si>
  <si>
    <t>https://www.udemy.com/administering-microsoft-sql-server-2012-databases-70-462/</t>
  </si>
  <si>
    <t>Learning Docker and Kubernetes by Lab</t>
  </si>
  <si>
    <t>https://www.udemy.com/learning-docker-and-k8s-by-practice/</t>
  </si>
  <si>
    <t>Joomla for Beginners - Learn how to build a website with CMS</t>
  </si>
  <si>
    <t>https://www.udemy.com/joomla-for-beginners-build-a-website-with-joomla-cms/</t>
  </si>
  <si>
    <t>Advance Unix : File Processing: AWK | SED | GREP | CUT | VIM</t>
  </si>
  <si>
    <t>https://www.udemy.com/advance-unix-commands/</t>
  </si>
  <si>
    <t>Professional RESTful API Design using Python Flask</t>
  </si>
  <si>
    <t>https://www.udemy.com/restful-api-flask-course/</t>
  </si>
  <si>
    <t>How to create Paypal and Credit card Payment Buttons</t>
  </si>
  <si>
    <t>https://www.udemy.com/how-to-create-paypal-and-credit-card-payment-buttons/</t>
  </si>
  <si>
    <t>Learning Drupal 8</t>
  </si>
  <si>
    <t>https://www.udemy.com/learning-drupal-8/</t>
  </si>
  <si>
    <t>Lerning PHP by building website</t>
  </si>
  <si>
    <t>https://www.udemy.com/lerning-php-by-building-website/</t>
  </si>
  <si>
    <t>HTML and HTML5 For Beginners 2016</t>
  </si>
  <si>
    <t>https://www.udemy.com/html-and-html5-for-beginners-2016/</t>
  </si>
  <si>
    <t>Learn Laravel PHP Framework Building Multi User SEO Blog APP</t>
  </si>
  <si>
    <t>https://www.udemy.com/learn-laravel-php-framework-building-multi-user-seo-blog-app/</t>
  </si>
  <si>
    <t>Create a Membership Site with Wishlist Member &amp; Wordpress</t>
  </si>
  <si>
    <t>https://www.udemy.com/create-a-membership-site-with-wishlist-member/</t>
  </si>
  <si>
    <t>Building Better APIs with GraphQL</t>
  </si>
  <si>
    <t>https://www.udemy.com/building-better-apis-with-graphql/</t>
  </si>
  <si>
    <t>Learn Redis from Scratch</t>
  </si>
  <si>
    <t>https://www.udemy.com/learn-redis-from-scratch/</t>
  </si>
  <si>
    <t>Master the Art of Web Design with HTML &amp; CSS</t>
  </si>
  <si>
    <t>https://www.udemy.com/html-css-beginners/</t>
  </si>
  <si>
    <t>ASP.NET MVC 5 Project - CMS and Shopping Cart with Paypal</t>
  </si>
  <si>
    <t>https://www.udemy.com/aspnet-mvc-5-project-cms-and-shopping-cart-with-paypal/</t>
  </si>
  <si>
    <t>3D Programming with WebGL and Babylon.js for Beginners</t>
  </si>
  <si>
    <t>https://www.udemy.com/webgl-tutorial/</t>
  </si>
  <si>
    <t>Learn OAuth 2.0 - Theory and Hands On</t>
  </si>
  <si>
    <t>https://www.udemy.com/learn-oauth-20-theory-and-hands-on/</t>
  </si>
  <si>
    <t>Create Ajax Chat App with PHP &amp; Mysql</t>
  </si>
  <si>
    <t>https://www.udemy.com/create-ajax-chat-app-with-php-mysql/</t>
  </si>
  <si>
    <t>Convert HTML Websites into PHP: Learn by Doing in 40 Minutes</t>
  </si>
  <si>
    <t>https://www.udemy.com/convert-static-websites-from-html-to-php-for-web-designers/</t>
  </si>
  <si>
    <t>The All-In-One Web Development Course</t>
  </si>
  <si>
    <t>https://www.udemy.com/the-all-in-one-web-development-course/</t>
  </si>
  <si>
    <t>Django For Beginners</t>
  </si>
  <si>
    <t>https://www.udemy.com/django-for-beginners/</t>
  </si>
  <si>
    <t>Learning Object-Oriented JavaScript</t>
  </si>
  <si>
    <t>https://www.udemy.com/learning-object-oriented-javascript/</t>
  </si>
  <si>
    <t>Java Spring Security</t>
  </si>
  <si>
    <t>https://www.udemy.com/how-to-use-spring-security-to-secure-your-java-applications/</t>
  </si>
  <si>
    <t>Learn Spring Framework Practically - Hands On Recipies</t>
  </si>
  <si>
    <t>https://www.udemy.com/learn-spring-framework-practically-hands-on-recipies/</t>
  </si>
  <si>
    <t>Learn and Build using Polymer</t>
  </si>
  <si>
    <t>https://www.udemy.com/learn-and-build-using-polymer/</t>
  </si>
  <si>
    <t>PHP Laravel 5:Creating a CRUD application</t>
  </si>
  <si>
    <t>https://www.udemy.com/laravel-5creating-a-crud-application/</t>
  </si>
  <si>
    <t>Modern Web Development with SASS, Gulp, NPM &amp; Web Workflows</t>
  </si>
  <si>
    <t>https://www.udemy.com/modern-web-development-with-sass-gulp-npm-web-workflows/</t>
  </si>
  <si>
    <t>Learn Grunt with Examples: Automate Your Front End Workflow</t>
  </si>
  <si>
    <t>https://www.udemy.com/learn-grunt-automate-your-front-end-workflow/</t>
  </si>
  <si>
    <t>Mastering Meteor: Reactive Full Stack JavaScript</t>
  </si>
  <si>
    <t>https://www.udemy.com/mastering-meteor-reactive-full-stack-javascript/</t>
  </si>
  <si>
    <t>CSS Specialist: Comprehensive CSS Training</t>
  </si>
  <si>
    <t>https://www.udemy.com/css-specialist-comprehensive-css-training/</t>
  </si>
  <si>
    <t>Build a Single Page Application with jQuery &amp; AJAX</t>
  </si>
  <si>
    <t>https://www.udemy.com/jquery-ajax/</t>
  </si>
  <si>
    <t>Build an Advanced Single Page with Bootstrap &amp; WordPress</t>
  </si>
  <si>
    <t>https://www.udemy.com/single-page-design-with-bootstrap-css-html5-js-parallax/</t>
  </si>
  <si>
    <t>Wordpress Backup &amp; Restore</t>
  </si>
  <si>
    <t>https://www.udemy.com/wordpress-backup-restore/</t>
  </si>
  <si>
    <t>Become A Full Stack Web Developer in 14 Days</t>
  </si>
  <si>
    <t>https://www.udemy.com/become-a-full-stack-web-developer-in-14-days/</t>
  </si>
  <si>
    <t>Symfony 3: Build a PHP Application with Symfony</t>
  </si>
  <si>
    <t>https://www.udemy.com/learn-symfony/</t>
  </si>
  <si>
    <t>Mastering AngularJS UI Development</t>
  </si>
  <si>
    <t>https://www.udemy.com/mastering-angularjs-ui-development/</t>
  </si>
  <si>
    <t>Codeless Website Development with Adobe Muse</t>
  </si>
  <si>
    <t>https://www.udemy.com/codeless-website-development-with-adobe-muse/</t>
  </si>
  <si>
    <t>JavaScript High Performance</t>
  </si>
  <si>
    <t>https://www.udemy.com/javascript-high-performance/</t>
  </si>
  <si>
    <t>Advance Unix : File Processing: AWK | GREP | VIM</t>
  </si>
  <si>
    <t>https://www.udemy.com/advance-unix-file-processing/</t>
  </si>
  <si>
    <t>Angular 2 Fundamentals for Web Developers</t>
  </si>
  <si>
    <t>https://www.udemy.com/angular-2-fundamentals-for-web-developers/</t>
  </si>
  <si>
    <t>Learn Web Development by Creating a Social Network</t>
  </si>
  <si>
    <t>https://www.udemy.com/meteor-tutorial/</t>
  </si>
  <si>
    <t>Build A Stock Downloader With Visual Studio 2015 And C#</t>
  </si>
  <si>
    <t>https://www.udemy.com/csharpyahoostockdownloader/</t>
  </si>
  <si>
    <t>Learn To Build Apps Using Play Framework</t>
  </si>
  <si>
    <t>https://www.udemy.com/learn-to-build-apps-using-play-framework/</t>
  </si>
  <si>
    <t>Devtools 2017: Beginner to Expert w/ Chrome Developer Tools</t>
  </si>
  <si>
    <t>https://www.udemy.com/master-google-chrome-developer-tools/</t>
  </si>
  <si>
    <t>XML XSLT - Crash Course for Beginners</t>
  </si>
  <si>
    <t>https://www.udemy.com/xml-xslt-crash-course-for-beginners/</t>
  </si>
  <si>
    <t>XML XQuery - Crash Course for Beginners</t>
  </si>
  <si>
    <t>https://www.udemy.com/xml-xquery-crash-course-for-beginners/</t>
  </si>
  <si>
    <t>JavaScript For Absolute Beginners - Level Two</t>
  </si>
  <si>
    <t>https://www.udemy.com/javascript-for-absolute-beginners-level-two/</t>
  </si>
  <si>
    <t>Master Typescript : Learn Typescript from scratch</t>
  </si>
  <si>
    <t>https://www.udemy.com/master-typescript/</t>
  </si>
  <si>
    <t>jQuery UI Ultimate:Design Amazing Interfaces Using jQuery UI</t>
  </si>
  <si>
    <t>https://www.udemy.com/jquery-ui-ultimatedesign-amazing-interfaces-using-jquery-ui/</t>
  </si>
  <si>
    <t>Create a MEAN App by Example - Full Stack Course</t>
  </si>
  <si>
    <t>https://www.udemy.com/full-stack-course-mean-app/</t>
  </si>
  <si>
    <t>Mastering ASP.NET MVC 5 From Scratch Using C#</t>
  </si>
  <si>
    <t>https://www.udemy.com/masteringaspnetmvc5/</t>
  </si>
  <si>
    <t>Master WCF 4.0 From Scratch Using C#</t>
  </si>
  <si>
    <t>https://www.udemy.com/masterwcf/</t>
  </si>
  <si>
    <t>Javascript Specialist</t>
  </si>
  <si>
    <t>https://www.udemy.com/javascript-specialist/</t>
  </si>
  <si>
    <t>Sara Learns to Code. Making an App from Scratch</t>
  </si>
  <si>
    <t>https://www.udemy.com/sara-learns-to-code-making-an-app-from-scratch/</t>
  </si>
  <si>
    <t>Professional CSS Flexbox</t>
  </si>
  <si>
    <t>https://www.udemy.com/css-flexbox/</t>
  </si>
  <si>
    <t>XML DOM - Crash Course for Beginners</t>
  </si>
  <si>
    <t>https://www.udemy.com/xml-dom-crash-course-for-beginners/</t>
  </si>
  <si>
    <t>Learn Facebook Flux Architecture for Web Applications</t>
  </si>
  <si>
    <t>https://www.udemy.com/learn-facebook-flux-architecture-for-web-applications/</t>
  </si>
  <si>
    <t>JavaScript from Beginner to Advanced</t>
  </si>
  <si>
    <t>https://www.udemy.com/javascript-from-beginner-to-advanced/</t>
  </si>
  <si>
    <t>Introducing Ionic 2</t>
  </si>
  <si>
    <t>https://www.udemy.com/introducing-ionic-2/</t>
  </si>
  <si>
    <t>Build Wordpress CMS Clone with Laravel 5</t>
  </si>
  <si>
    <t>https://www.udemy.com/build-blog-cms-with-laravel-5/</t>
  </si>
  <si>
    <t>ASP.NET Core MVC, Quick and Practical</t>
  </si>
  <si>
    <t>https://www.udemy.com/aspnet-core-mvc-quick-and-practical/</t>
  </si>
  <si>
    <t>Build A YouTube Downloader With C# And GitHub</t>
  </si>
  <si>
    <t>https://www.udemy.com/youtubedownloader/</t>
  </si>
  <si>
    <t>jQuery UI in Action: Build 5 jQuery UI Projects</t>
  </si>
  <si>
    <t>https://www.udemy.com/jquery-ui-practical-build-jquery-ui-projects/</t>
  </si>
  <si>
    <t>Let's JavaScript! Code a calculator</t>
  </si>
  <si>
    <t>https://www.udemy.com/lets-javascript-beginners-coding-projects/</t>
  </si>
  <si>
    <t>Sending email with PHP: from Basic to Advanced</t>
  </si>
  <si>
    <t>https://www.udemy.com/php-email/</t>
  </si>
  <si>
    <t>Master all PHP ideas 2017 to build any project</t>
  </si>
  <si>
    <t>https://www.udemy.com/master-all-php-ideas-2017-to-build-any-project/</t>
  </si>
  <si>
    <t>Laravel : CRUD Application Using AJAX In Laravel 5.3</t>
  </si>
  <si>
    <t>https://www.udemy.com/laravel-53-crud-application-with-ajax/</t>
  </si>
  <si>
    <t>Ready for Production with Spring Boot Actuator</t>
  </si>
  <si>
    <t>https://www.udemy.com/ready-for-production-with-spring-boot-actuator/</t>
  </si>
  <si>
    <t>Ruby on Rails Foundations</t>
  </si>
  <si>
    <t>https://www.udemy.com/how-to-learn-ruby-on-rails/</t>
  </si>
  <si>
    <t>Mastering Unix : AWK Commands</t>
  </si>
  <si>
    <t>https://www.udemy.com/mastering-unix-commands/</t>
  </si>
  <si>
    <t>Mastering TypeScript</t>
  </si>
  <si>
    <t>https://www.udemy.com/mastering-typescript/</t>
  </si>
  <si>
    <t>HTML5 and CSS3: Learn Web Design with HTML + CSS + Bootstrap</t>
  </si>
  <si>
    <t>https://www.udemy.com/html-css-bootstrap-build-your-first-website-today/</t>
  </si>
  <si>
    <t>Build Websites from Scratch with Squarespace</t>
  </si>
  <si>
    <t>https://www.udemy.com/build-websites-from-scratch-with-squarespace/</t>
  </si>
  <si>
    <t>Advance JavaScript for Coders: Learn OOP in JavaScript</t>
  </si>
  <si>
    <t>https://www.udemy.com/advance-javascript-for-coders-learn-oop-in-javascript/</t>
  </si>
  <si>
    <t>The Most Comprehensive Web Development Course</t>
  </si>
  <si>
    <t>https://www.udemy.com/comprehensive-web-developer-course/</t>
  </si>
  <si>
    <t>Learn HTML in 59 Minutes - Your intro to front-end dev</t>
  </si>
  <si>
    <t>https://www.udemy.com/learn-html-in-59-minutes/</t>
  </si>
  <si>
    <t>17 Complete JavaScript projects explained step by step</t>
  </si>
  <si>
    <t>https://www.udemy.com/17-complete-javascript-projects-explained-step-by-step/</t>
  </si>
  <si>
    <t>Learn to Build Web Apps using UnderscoreJS : Code Like a Pro</t>
  </si>
  <si>
    <t>https://www.udemy.com/learn-to-build-web-apps-using-underscorejs-code-like-a-pro/</t>
  </si>
  <si>
    <t>Build a Complete Registration and Login System using PHP MVC</t>
  </si>
  <si>
    <t>https://www.udemy.com/php-mvc-login/</t>
  </si>
  <si>
    <t>Create free, fast and secure static website</t>
  </si>
  <si>
    <t>https://www.udemy.com/create-free-fast-and-secure-static-website/</t>
  </si>
  <si>
    <t>Fundamentals of Angular 2 Full Stack Design</t>
  </si>
  <si>
    <t>https://www.udemy.com/fundamentals-of-angular-2-full-stack-design/</t>
  </si>
  <si>
    <t>How To Design A WordPress Website With No Coding At All</t>
  </si>
  <si>
    <t>https://www.udemy.com/how-to-make-a-wordpress-website-course/</t>
  </si>
  <si>
    <t>WordPress Theme Customization 101 (for beginners)</t>
  </si>
  <si>
    <t>https://www.udemy.com/wordpress-theme-customization-101-for-beginners/</t>
  </si>
  <si>
    <t>Learn Authentication With ASP.NET Identity Security 2017</t>
  </si>
  <si>
    <t>https://www.udemy.com/learn-authentication-with-aspnet-identity-security-2016/</t>
  </si>
  <si>
    <t>Advanced WordPress Topics: Post Types Taxonomies &amp; Metaboxes</t>
  </si>
  <si>
    <t>https://www.udemy.com/advanced-wordpress-topics-post-types-taxonomies-metaboxes/</t>
  </si>
  <si>
    <t>Web Application Development using Redis, Express, and Socket</t>
  </si>
  <si>
    <t>https://www.udemy.com/web-application-development-using-redis-express-and-socket/</t>
  </si>
  <si>
    <t>CSS Animations: Create Amazing Effects on Your Website</t>
  </si>
  <si>
    <t>https://www.udemy.com/css-animations-create-amazing-effects-on-your-website/</t>
  </si>
  <si>
    <t>Master Riot: Learn Riot.js from Scratch</t>
  </si>
  <si>
    <t>https://www.udemy.com/master-riot/</t>
  </si>
  <si>
    <t>Custom Theme Creation for WordPress using HTML5 and CSS3</t>
  </si>
  <si>
    <t>https://www.udemy.com/custom-theme-creation-for-wordpress/</t>
  </si>
  <si>
    <t>Building Data Visualizations with D3 and Angular 2</t>
  </si>
  <si>
    <t>https://www.udemy.com/building-data-visualizations-with-d3-and-angular-2/</t>
  </si>
  <si>
    <t>WordPress Development With NodeJS, Gulp, Composer &amp; More</t>
  </si>
  <si>
    <t>https://www.udemy.com/wordpress-development-with-nodejs-gulpjs-composer-sass-more/</t>
  </si>
  <si>
    <t>Learn Bootstrap 4 The Most Popular HTML5 CSS3 &amp; JS Framework</t>
  </si>
  <si>
    <t>https://www.udemy.com/learn-bootstrap-4-the-most-popular-html5-css3-js-framework/</t>
  </si>
  <si>
    <t>Learn Laravel with Database Migration &amp; Seeding &amp; Faker</t>
  </si>
  <si>
    <t>https://www.udemy.com/laravel-53-migra-migration-seeding-faker-tinker/</t>
  </si>
  <si>
    <t>Popular JavaScript Framework:Learn The Language Of Angular 2</t>
  </si>
  <si>
    <t>https://www.udemy.com/popular-javascript-frameworklearn-the-language-of-angular-2/</t>
  </si>
  <si>
    <t>How to Build an Autocomplete System Like Google</t>
  </si>
  <si>
    <t>https://www.udemy.com/how-to-build-an-autocomplete-system-using-javascript-and-php/</t>
  </si>
  <si>
    <t>Bootstrap Bootcamp - Responsive web development- 8 projects</t>
  </si>
  <si>
    <t>https://www.udemy.com/bootstrap-bootcamp-with-projects/</t>
  </si>
  <si>
    <t>Webpack 1 &amp; 2 - The Complete Guide</t>
  </si>
  <si>
    <t>https://www.udemy.com/webpack-complete-guide/</t>
  </si>
  <si>
    <t>Build A Web App with VueJS, Spring Framework and MongoDB</t>
  </si>
  <si>
    <t>https://www.udemy.com/build-a-message-board-app-with-vue-spring-and-mongodb/</t>
  </si>
  <si>
    <t>Wordpress on AWS: The Easy way to AWS for Free Fast hosting</t>
  </si>
  <si>
    <t>https://www.udemy.com/wordpress-on-aws-the-easy-way-to-aws-for-free-fast-hosting-amazon/</t>
  </si>
  <si>
    <t>The Complete JavaScript, HTML and CSS Tutorial For Beginners</t>
  </si>
  <si>
    <t>https://www.udemy.com/the-complete-javascript-html-and-css-tutorial-for-beginners/</t>
  </si>
  <si>
    <t>Modern E-Commerce Store In php &amp; mysqli With Bootstrap</t>
  </si>
  <si>
    <t>https://www.udemy.com/modern-e-commerce-store-in-php-mysqli-with-bootstrap/</t>
  </si>
  <si>
    <t>HTTP Clients with Laravel: Use and Consume Services and APIs</t>
  </si>
  <si>
    <t>https://www.udemy.com/http-clients-with-laravel-use-and-consume-services-and-apis/</t>
  </si>
  <si>
    <t>The Complete TypeScript Programming Guide for Web Developers</t>
  </si>
  <si>
    <t>https://www.udemy.com/typescript-programming/</t>
  </si>
  <si>
    <t>Angular Advanced MasterClass &amp; FREE E-Book</t>
  </si>
  <si>
    <t>https://www.udemy.com/angular-advanced-masterclass/</t>
  </si>
  <si>
    <t>Learn Spring Security 4 Intermediate - Hands On</t>
  </si>
  <si>
    <t>https://www.udemy.com/learn-spring-security-4-intermediate-hands-on/</t>
  </si>
  <si>
    <t>Build Complex Express Sites with Redis and Socket IO</t>
  </si>
  <si>
    <t>https://www.udemy.com/build-complex-express-sites-with-redis-and-socket-io/</t>
  </si>
  <si>
    <t>Web Development With Google Maps</t>
  </si>
  <si>
    <t>https://www.udemy.com/webdevelopmentwithgooglemaps/</t>
  </si>
  <si>
    <t>Learn Spring Security 4 Basics - Hands On</t>
  </si>
  <si>
    <t>https://www.udemy.com/learn-spring-security-4-basics-hands-on/</t>
  </si>
  <si>
    <t>Rails Ecommerce App with HTML Template from Themeforest</t>
  </si>
  <si>
    <t>https://www.udemy.com/rails-ecommerce-app-with-html-template-from-themeforest/</t>
  </si>
  <si>
    <t>ASP.NET MVC 5 Project - Facebook Clone</t>
  </si>
  <si>
    <t>https://www.udemy.com/aspnet-mvc-5-project-facebook-clone/</t>
  </si>
  <si>
    <t>Creating Custom Web Maps</t>
  </si>
  <si>
    <t>https://www.udemy.com/creating-custom-web-maps/</t>
  </si>
  <si>
    <t>Learn Reactivex From Ground Up</t>
  </si>
  <si>
    <t>https://www.udemy.com/learn-reactivex-from-ground-up/</t>
  </si>
  <si>
    <t>Introduction to web programming for GIS applications</t>
  </si>
  <si>
    <t>https://www.udemy.com/introduction-to-web-programming-for-gis-applications/</t>
  </si>
  <si>
    <t>Learn Web Animation the Easy Way: An Intro to SVG and GSAP</t>
  </si>
  <si>
    <t>https://www.udemy.com/learn-web-animation-with-svg-and-gsap/</t>
  </si>
  <si>
    <t>Introduction to QGIS Python Programming</t>
  </si>
  <si>
    <t>https://www.udemy.com/introduction-to-qgis-python-programming/</t>
  </si>
  <si>
    <t>PHP Specialist (2017 Edition)</t>
  </si>
  <si>
    <t>https://www.udemy.com/php-specialist-2017/</t>
  </si>
  <si>
    <t>HTML/CSS Bootcamp</t>
  </si>
  <si>
    <t>https://www.udemy.com/html-css-code-bootcamp/</t>
  </si>
  <si>
    <t>Flexbox: The complete guide</t>
  </si>
  <si>
    <t>https://www.udemy.com/flexbox-the-complete-guide/</t>
  </si>
  <si>
    <t>How to Build WordPress Themes: A Web Designer's Guide</t>
  </si>
  <si>
    <t>https://www.udemy.com/how-to-build-wordpress-themes/</t>
  </si>
  <si>
    <t>For Free - Deploy Quickly Spring Boot on Heroku With MySQL</t>
  </si>
  <si>
    <t>https://www.udemy.com/learn-quickly-deploying-spring-boot-app-on-heroku-with-mysql/</t>
  </si>
  <si>
    <t>Django by Example</t>
  </si>
  <si>
    <t>https://www.udemy.com/django-by-example/</t>
  </si>
  <si>
    <t>Building Web Apps Using Flask and Neo4j</t>
  </si>
  <si>
    <t>https://www.udemy.com/building-web-apps-using-flask-and-neo4j/</t>
  </si>
  <si>
    <t>Build a Chatbot integrated Website using Bootstrap 4</t>
  </si>
  <si>
    <t>https://www.udemy.com/build-a-chatbot-integrated-website-using-bootstrap-4/</t>
  </si>
  <si>
    <t>Learning Path: Magento: Master and Test Magento 2 with Ease</t>
  </si>
  <si>
    <t>https://www.udemy.com/learning-path-magento-master-and-test-magento-2-with-ease/</t>
  </si>
  <si>
    <t>Object Orientation in PHP</t>
  </si>
  <si>
    <t>https://www.udemy.com/object-orientation/</t>
  </si>
  <si>
    <t>Whatâ€™s New in Bootstrap 4</t>
  </si>
  <si>
    <t>https://www.udemy.com/bootstrap4/</t>
  </si>
  <si>
    <t>The Ultimate Guide to the Best WordPress Plugins Part 1</t>
  </si>
  <si>
    <t>https://www.udemy.com/wordpress-plugins-a-guide-on-the-best-plugins-part-1/</t>
  </si>
  <si>
    <t>Projects in Laravel: Learn Laravel Building 10 Projects</t>
  </si>
  <si>
    <t>https://www.udemy.com/projects-in-laravel-learn-laravel-building-10-projects/</t>
  </si>
  <si>
    <t>Learn To Build A Google Map App Using Angular 2</t>
  </si>
  <si>
    <t>https://www.udemy.com/learn-to-build-a-google-map-app-using-angular-2/</t>
  </si>
  <si>
    <t>HTML5 And CSS3 - Build Modern Responsive Websites</t>
  </si>
  <si>
    <t>https://www.udemy.com/html5-and-css3-build-modern-responsive-websites/</t>
  </si>
  <si>
    <t>WordPress Development - Themes and Plugins Complete Guide</t>
  </si>
  <si>
    <t>https://www.udemy.com/wordpress-theme-and-plugin-development-course/</t>
  </si>
  <si>
    <t>Master Angular 2 - The No Nonsense Course</t>
  </si>
  <si>
    <t>https://www.udemy.com/angular-2-tutorial/</t>
  </si>
  <si>
    <t>Learning Path: React: Make Stunning React Websites</t>
  </si>
  <si>
    <t>https://www.udemy.com/learning-path-react-make-stunning-react-websites/</t>
  </si>
  <si>
    <t>Learning Path: Akka: Building Applications and Microservices</t>
  </si>
  <si>
    <t>https://www.udemy.com/learning-path-akka-building-applications-and-microservices/</t>
  </si>
  <si>
    <t>Adobe Experience Manager CMS Basics</t>
  </si>
  <si>
    <t>https://www.udemy.com/adobe-experience-manager-basics/</t>
  </si>
  <si>
    <t>Node:js : Building Rest Apis with Sails.js</t>
  </si>
  <si>
    <t>https://www.udemy.com/building-rest-apis-with-sailsjs-and-nodejs/</t>
  </si>
  <si>
    <t>Set up a localhost Web Server for Faster Website Development</t>
  </si>
  <si>
    <t>https://www.udemy.com/localhost-web-server/</t>
  </si>
  <si>
    <t>Learning Path: The Road to Elasticsearch</t>
  </si>
  <si>
    <t>https://www.udemy.com/learning-path-the-road-to-elasticsearch/</t>
  </si>
  <si>
    <t>Angular 4 Front To Back</t>
  </si>
  <si>
    <t>https://www.udemy.com/angular-4-front-to-back/</t>
  </si>
  <si>
    <t>Essentials of Spring 5.0 for Developers</t>
  </si>
  <si>
    <t>https://www.udemy.com/essentials-of-spring-50-for-developers/</t>
  </si>
  <si>
    <t>Display and analyze GIS data on the web with Leaflet.js</t>
  </si>
  <si>
    <t>https://www.udemy.com/display-and-analyze-gis-data-on-the-web/</t>
  </si>
  <si>
    <t>Learning Path: Web Applications with Spring and Angular</t>
  </si>
  <si>
    <t>https://www.udemy.com/learning-path-web-applications-with-spring-and-angular/</t>
  </si>
  <si>
    <t>log_num_subscriber</t>
  </si>
  <si>
    <t>log_price</t>
  </si>
  <si>
    <t>FreePaid_cat</t>
  </si>
  <si>
    <t>RecID</t>
  </si>
  <si>
    <t>Level_category</t>
  </si>
  <si>
    <t>level_category value label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</si>
  <si>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</si>
  <si>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</si>
  <si>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</si>
  <si>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</si>
  <si>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</si>
  <si>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</si>
  <si>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</si>
  <si>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</si>
  <si>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</si>
  <si>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</si>
  <si>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</si>
  <si>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</si>
  <si>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</si>
  <si>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Summary Statistics</t>
  </si>
  <si>
    <t>Other</t>
  </si>
  <si>
    <t>Frequency</t>
  </si>
  <si>
    <t>% of Total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</si>
  <si>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</si>
  <si>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</si>
  <si>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</si>
  <si>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</si>
  <si>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</si>
  <si>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</si>
  <si>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</si>
  <si>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</si>
  <si>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</si>
  <si>
    <t>F-Test Two-Sample for Variances</t>
  </si>
  <si>
    <t>t-Test: Two-Sample Assuming Unequal Variances</t>
  </si>
  <si>
    <t>F</t>
  </si>
  <si>
    <t>P(F&lt;=f) one-tail</t>
  </si>
  <si>
    <t>F Critical one-tail</t>
  </si>
  <si>
    <t>2014 Ratings</t>
  </si>
  <si>
    <t>2017 rating</t>
  </si>
  <si>
    <t>SUMMARY OUTPUT</t>
  </si>
  <si>
    <t>Regression Statistics</t>
  </si>
  <si>
    <t>Multiple R</t>
  </si>
  <si>
    <t>R Square</t>
  </si>
  <si>
    <t>Adjusted R Square</t>
  </si>
  <si>
    <t>ANOVA</t>
  </si>
  <si>
    <t>Regression</t>
  </si>
  <si>
    <t>Residual</t>
  </si>
  <si>
    <t>Total</t>
  </si>
  <si>
    <t>Intercept</t>
  </si>
  <si>
    <t>SS</t>
  </si>
  <si>
    <t>MS</t>
  </si>
  <si>
    <t>Significance F</t>
  </si>
  <si>
    <t>Coefficients</t>
  </si>
  <si>
    <t>P-value</t>
  </si>
  <si>
    <t>Lower 95%</t>
  </si>
  <si>
    <t>Upper 95%</t>
  </si>
  <si>
    <t>Lower 95.0%</t>
  </si>
  <si>
    <t>Upper 95.0%</t>
  </si>
  <si>
    <t>More</t>
  </si>
  <si>
    <t>20</t>
  </si>
  <si>
    <t>Price</t>
  </si>
  <si>
    <t>Y</t>
  </si>
  <si>
    <t>Constant Value from Question</t>
  </si>
  <si>
    <t>Question</t>
  </si>
  <si>
    <t>Word Count</t>
  </si>
  <si>
    <t>Question 1</t>
  </si>
  <si>
    <t>Question 2</t>
  </si>
  <si>
    <t>Question 3</t>
  </si>
  <si>
    <t>Question 4</t>
  </si>
  <si>
    <t>Question 6</t>
  </si>
  <si>
    <t>Question 7</t>
  </si>
  <si>
    <t>Question 8</t>
  </si>
  <si>
    <t>Question 9</t>
  </si>
  <si>
    <t>Question 10</t>
  </si>
  <si>
    <t>Question 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</si>
</sst>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4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7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0" fillId="2" borderId="0" xfId="0" applyFill="1"/>
    <xf numFmtId="10" fontId="0" fillId="0" borderId="0" xfId="0" applyNumberFormat="1"/>
    <xf numFmtId="9" fontId="0" fillId="0" borderId="0" xfId="1" applyFont="1"/>
    <xf numFmtId="10" fontId="0" fillId="0" borderId="0" xfId="1" applyNumberFormat="1" applyFont="1"/>
    <xf numFmtId="9" fontId="0" fillId="0" borderId="0" xfId="0" applyNumberFormat="1"/>
    <xf numFmtId="0" fontId="1" fillId="0" borderId="2" xfId="0" applyFont="1" applyBorder="1" applyAlignment="1">
      <alignment horizontal="centerContinuous"/>
    </xf>
    <xf numFmtId="2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right"/>
    </xf>
    <xf numFmtId="164" fontId="0" fillId="0" borderId="0" xfId="0" applyNumberFormat="1"/>
    <xf numFmtId="165" fontId="0" fillId="0" borderId="0" xfId="0" applyNumberFormat="1"/>
    <xf numFmtId="165" fontId="0" fillId="0" borderId="1" xfId="0" applyNumberFormat="1" applyBorder="1"/>
    <xf numFmtId="0" fontId="1" fillId="0" borderId="2" xfId="0" applyFont="1" applyBorder="1" applyAlignment="1">
      <alignment horizontal="center"/>
    </xf>
    <xf numFmtId="1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Demand Curve for Web Courses (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</a:rPr>
              <a:t>50 lectures, 10 content duration, taught in 2017, and taught at the beginner level)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3604330708661416E-2"/>
                  <c:y val="-0.2645993729950422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'Q11. Demand Curve'!$C$34:$C$71</c:f>
              <c:numCache>
                <c:formatCode>0</c:formatCode>
                <c:ptCount val="38"/>
                <c:pt idx="0">
                  <c:v>5402.8386243276891</c:v>
                </c:pt>
                <c:pt idx="1">
                  <c:v>5314.3321338254736</c:v>
                </c:pt>
                <c:pt idx="2">
                  <c:v>5292.2055111999198</c:v>
                </c:pt>
                <c:pt idx="3">
                  <c:v>5270.0788885743659</c:v>
                </c:pt>
                <c:pt idx="4">
                  <c:v>5247.9522659488121</c:v>
                </c:pt>
                <c:pt idx="5">
                  <c:v>5225.8256433232582</c:v>
                </c:pt>
                <c:pt idx="6">
                  <c:v>5203.6990206977043</c:v>
                </c:pt>
                <c:pt idx="7">
                  <c:v>5181.5723980721505</c:v>
                </c:pt>
                <c:pt idx="8">
                  <c:v>5159.4457754465966</c:v>
                </c:pt>
                <c:pt idx="9">
                  <c:v>5137.3191528210427</c:v>
                </c:pt>
                <c:pt idx="10">
                  <c:v>5115.1925301954852</c:v>
                </c:pt>
                <c:pt idx="11">
                  <c:v>5093.0659075699314</c:v>
                </c:pt>
                <c:pt idx="12">
                  <c:v>5070.9392849443775</c:v>
                </c:pt>
                <c:pt idx="13">
                  <c:v>5048.8126623188236</c:v>
                </c:pt>
                <c:pt idx="14">
                  <c:v>5026.6860396932698</c:v>
                </c:pt>
                <c:pt idx="15">
                  <c:v>5004.5594170677159</c:v>
                </c:pt>
                <c:pt idx="16">
                  <c:v>4982.432794442162</c:v>
                </c:pt>
                <c:pt idx="17">
                  <c:v>4960.3061718166082</c:v>
                </c:pt>
                <c:pt idx="18">
                  <c:v>4938.1795491910543</c:v>
                </c:pt>
                <c:pt idx="19">
                  <c:v>4916.0529265655005</c:v>
                </c:pt>
                <c:pt idx="20">
                  <c:v>4893.9263039399466</c:v>
                </c:pt>
                <c:pt idx="21">
                  <c:v>4871.7996813143927</c:v>
                </c:pt>
                <c:pt idx="22">
                  <c:v>4849.6730586888389</c:v>
                </c:pt>
                <c:pt idx="23">
                  <c:v>4827.546436063285</c:v>
                </c:pt>
                <c:pt idx="24">
                  <c:v>4805.4198134377311</c:v>
                </c:pt>
                <c:pt idx="25">
                  <c:v>4783.2931908121773</c:v>
                </c:pt>
                <c:pt idx="26">
                  <c:v>4761.1665681866234</c:v>
                </c:pt>
                <c:pt idx="27">
                  <c:v>4739.0399455610695</c:v>
                </c:pt>
                <c:pt idx="28">
                  <c:v>4716.9133229355157</c:v>
                </c:pt>
                <c:pt idx="29">
                  <c:v>4694.7867003099618</c:v>
                </c:pt>
                <c:pt idx="30">
                  <c:v>4672.660077684408</c:v>
                </c:pt>
                <c:pt idx="31">
                  <c:v>4650.5334550588541</c:v>
                </c:pt>
                <c:pt idx="32">
                  <c:v>4628.4068324333002</c:v>
                </c:pt>
                <c:pt idx="33">
                  <c:v>4606.2802098077427</c:v>
                </c:pt>
                <c:pt idx="34">
                  <c:v>4584.1535871821889</c:v>
                </c:pt>
                <c:pt idx="35">
                  <c:v>4562.026964556635</c:v>
                </c:pt>
                <c:pt idx="36">
                  <c:v>4539.9003419310811</c:v>
                </c:pt>
                <c:pt idx="37">
                  <c:v>4517.7737193055273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E90-45CE-9280-EAB9737D0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3913039"/>
        <c:axId val="1973910159"/>
      </c:scatterChart>
      <c:valAx>
        <c:axId val="197391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10159"/>
        <c:crosses val="autoZero"/>
        <c:crossBetween val="midCat"/>
      </c:valAx>
      <c:valAx>
        <c:axId val="1973910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9130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Histogram explaining Subscriber Distribution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explaining Subscriber Distribution</a:t>
          </a:r>
        </a:p>
      </cx:txPr>
    </cx:title>
    <cx:plotArea>
      <cx:plotAreaRegion>
        <cx:series layoutId="clusteredColumn" uniqueId="{00000001-CC19-4354-B661-91B9E3EF9F4A}">
          <cx:tx>
            <cx:txData>
              <cx:f>_xlchart.v1.2</cx:f>
              <cx:v>num_subscribers</cx:v>
            </cx:txData>
          </cx:tx>
          <cx:dataLabels>
            <cx:visibility seriesName="0" categoryName="0" value="1"/>
          </cx:dataLabels>
          <cx:dataId val="0"/>
          <cx:layoutPr>
            <cx:binning intervalClosed="r" underflow="0" overflow="auto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 explaining Price Distribution in Dollars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2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 explaining Price Distribution in Dollars</a:t>
          </a:r>
        </a:p>
      </cx:txPr>
    </cx:title>
    <cx:plotArea>
      <cx:plotAreaRegion>
        <cx:series layoutId="clusteredColumn" uniqueId="{00000001-D600-4AE6-96BC-79A623BDDCA6}">
          <cx:tx>
            <cx:txData>
              <cx:f>_xlchart.v1.0</cx:f>
              <cx:v>price</cx:v>
            </cx:txData>
          </cx:tx>
          <cx:dataLabels>
            <cx:visibility seriesName="0" categoryName="0" value="1"/>
          </cx:dataLabels>
          <cx:dataId val="0"/>
          <cx:layoutPr>
            <cx:binning intervalClosed="r">
              <cx:binSize val="2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1115291</xdr:colOff>
      <xdr:row>20</xdr:row>
      <xdr:rowOff>180107</xdr:rowOff>
    </xdr:from>
    <xdr:to>
      <xdr:col>29</xdr:col>
      <xdr:colOff>429490</xdr:colOff>
      <xdr:row>59</xdr:row>
      <xdr:rowOff>110836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921B9BBB-6D59-0621-8E11-20732DCB3B9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525211" y="3852947"/>
              <a:ext cx="7467599" cy="707828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1198420</xdr:colOff>
      <xdr:row>21</xdr:row>
      <xdr:rowOff>138543</xdr:rowOff>
    </xdr:from>
    <xdr:to>
      <xdr:col>18</xdr:col>
      <xdr:colOff>665020</xdr:colOff>
      <xdr:row>58</xdr:row>
      <xdr:rowOff>166253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0AC76B9F-E1B6-1E5C-9EF6-6AE8FC8BD8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90120" y="4001883"/>
              <a:ext cx="8084820" cy="68018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137160</xdr:colOff>
      <xdr:row>31</xdr:row>
      <xdr:rowOff>19050</xdr:rowOff>
    </xdr:from>
    <xdr:to>
      <xdr:col>12</xdr:col>
      <xdr:colOff>441960</xdr:colOff>
      <xdr:row>46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BBADEB-7217-27DC-638A-E8C831F68B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9F9C-1DEB-41E1-BC8B-1BEC99D521C2}">
  <sheetPr codeName="Sheet1" filterMode="1"/>
  <dimension ref="A1:U1204"/>
  <sheetViews>
    <sheetView topLeftCell="C1" workbookViewId="0">
      <selection activeCell="J15" sqref="J15"/>
    </sheetView>
  </sheetViews>
  <sheetFormatPr defaultRowHeight="14.4" x14ac:dyDescent="0.3"/>
  <cols>
    <col min="1" max="1" width="8" bestFit="1" customWidth="1"/>
    <col min="2" max="2" width="11.109375" bestFit="1" customWidth="1"/>
    <col min="3" max="3" width="80.77734375" bestFit="1" customWidth="1"/>
    <col min="4" max="4" width="86.33203125" bestFit="1" customWidth="1"/>
    <col min="5" max="5" width="7.21875" bestFit="1" customWidth="1"/>
    <col min="6" max="6" width="16.88671875" bestFit="1" customWidth="1"/>
    <col min="7" max="7" width="14" bestFit="1" customWidth="1"/>
    <col min="8" max="8" width="14.21875" bestFit="1" customWidth="1"/>
    <col min="9" max="9" width="15.6640625" bestFit="1" customWidth="1"/>
    <col min="10" max="10" width="24.5546875" customWidth="1"/>
    <col min="11" max="11" width="7.88671875" bestFit="1" customWidth="1"/>
    <col min="12" max="12" width="17.5546875" bestFit="1" customWidth="1"/>
    <col min="13" max="13" width="10" bestFit="1" customWidth="1"/>
    <col min="14" max="14" width="13.77734375" bestFit="1" customWidth="1"/>
    <col min="15" max="15" width="6.77734375" bestFit="1" customWidth="1"/>
    <col min="16" max="16" width="19.6640625" bestFit="1" customWidth="1"/>
    <col min="17" max="17" width="12.6640625" bestFit="1" customWidth="1"/>
    <col min="19" max="19" width="20" customWidth="1"/>
  </cols>
  <sheetData>
    <row r="1" spans="1:17" x14ac:dyDescent="0.3">
      <c r="A1" s="3" t="s">
        <v>2415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2416</v>
      </c>
      <c r="J1" s="3" t="s">
        <v>2417</v>
      </c>
      <c r="K1" s="3" t="s">
        <v>7</v>
      </c>
      <c r="L1" s="3" t="s">
        <v>8</v>
      </c>
      <c r="M1" s="3" t="s">
        <v>9</v>
      </c>
      <c r="N1" s="3" t="s">
        <v>2414</v>
      </c>
      <c r="O1" s="3" t="s">
        <v>10</v>
      </c>
      <c r="P1" s="3" t="s">
        <v>2412</v>
      </c>
      <c r="Q1" s="3" t="s">
        <v>2413</v>
      </c>
    </row>
    <row r="2" spans="1:17" x14ac:dyDescent="0.3">
      <c r="A2">
        <v>1</v>
      </c>
      <c r="B2">
        <v>41295</v>
      </c>
      <c r="C2" t="s">
        <v>11</v>
      </c>
      <c r="D2" t="s">
        <v>12</v>
      </c>
      <c r="E2">
        <v>0</v>
      </c>
      <c r="F2">
        <v>268923</v>
      </c>
      <c r="G2">
        <v>8629</v>
      </c>
      <c r="H2">
        <v>45</v>
      </c>
      <c r="I2">
        <v>1</v>
      </c>
      <c r="J2" t="s">
        <v>13</v>
      </c>
      <c r="K2">
        <v>0.82</v>
      </c>
      <c r="L2">
        <v>10.5</v>
      </c>
      <c r="M2" t="s">
        <v>14</v>
      </c>
      <c r="N2">
        <f t="shared" ref="N2:N65" si="0">IF(M2="Free",1,IF(M2="Paid",2,0))</f>
        <v>1</v>
      </c>
      <c r="O2">
        <v>2013</v>
      </c>
      <c r="P2">
        <f t="shared" ref="P2:P65" si="1">LN(F2)</f>
        <v>12.502180372254795</v>
      </c>
      <c r="Q2">
        <f t="shared" ref="Q2:Q65" si="2">LN(E2+0.01)</f>
        <v>-4.6051701859880909</v>
      </c>
    </row>
    <row r="3" spans="1:17" hidden="1" x14ac:dyDescent="0.3">
      <c r="A3">
        <v>2</v>
      </c>
      <c r="B3">
        <v>59014</v>
      </c>
      <c r="C3" t="s">
        <v>15</v>
      </c>
      <c r="D3" t="s">
        <v>16</v>
      </c>
      <c r="E3">
        <v>0</v>
      </c>
      <c r="F3">
        <v>161029</v>
      </c>
      <c r="G3">
        <v>279</v>
      </c>
      <c r="H3">
        <v>27</v>
      </c>
      <c r="I3">
        <v>3</v>
      </c>
      <c r="J3" t="s">
        <v>17</v>
      </c>
      <c r="K3">
        <v>0.69</v>
      </c>
      <c r="L3">
        <v>3.5</v>
      </c>
      <c r="M3" t="s">
        <v>14</v>
      </c>
      <c r="N3">
        <f t="shared" si="0"/>
        <v>1</v>
      </c>
      <c r="O3">
        <v>2013</v>
      </c>
      <c r="P3">
        <f t="shared" si="1"/>
        <v>11.989339751969782</v>
      </c>
      <c r="Q3">
        <f t="shared" si="2"/>
        <v>-4.6051701859880909</v>
      </c>
    </row>
    <row r="4" spans="1:17" x14ac:dyDescent="0.3">
      <c r="A4">
        <v>3</v>
      </c>
      <c r="B4">
        <v>625204</v>
      </c>
      <c r="C4" t="s">
        <v>18</v>
      </c>
      <c r="D4" t="s">
        <v>19</v>
      </c>
      <c r="E4">
        <v>200</v>
      </c>
      <c r="F4">
        <v>121584</v>
      </c>
      <c r="G4">
        <v>27445</v>
      </c>
      <c r="H4">
        <v>342</v>
      </c>
      <c r="I4">
        <v>1</v>
      </c>
      <c r="J4" t="s">
        <v>13</v>
      </c>
      <c r="K4">
        <v>0.89</v>
      </c>
      <c r="L4">
        <v>43</v>
      </c>
      <c r="M4" t="s">
        <v>20</v>
      </c>
      <c r="N4">
        <f t="shared" si="0"/>
        <v>2</v>
      </c>
      <c r="O4">
        <v>2015</v>
      </c>
      <c r="P4">
        <f t="shared" si="1"/>
        <v>11.708360660909566</v>
      </c>
      <c r="Q4">
        <f t="shared" si="2"/>
        <v>5.2983673652980787</v>
      </c>
    </row>
    <row r="5" spans="1:17" hidden="1" x14ac:dyDescent="0.3">
      <c r="A5">
        <v>4</v>
      </c>
      <c r="B5">
        <v>173548</v>
      </c>
      <c r="C5" t="s">
        <v>21</v>
      </c>
      <c r="D5" t="s">
        <v>22</v>
      </c>
      <c r="E5">
        <v>0</v>
      </c>
      <c r="F5">
        <v>120291</v>
      </c>
      <c r="G5">
        <v>5924</v>
      </c>
      <c r="H5">
        <v>30</v>
      </c>
      <c r="I5">
        <v>4</v>
      </c>
      <c r="J5" t="s">
        <v>23</v>
      </c>
      <c r="K5">
        <v>0.78</v>
      </c>
      <c r="L5">
        <v>3</v>
      </c>
      <c r="M5" t="s">
        <v>14</v>
      </c>
      <c r="N5">
        <f t="shared" si="0"/>
        <v>1</v>
      </c>
      <c r="O5">
        <v>2014</v>
      </c>
      <c r="P5">
        <f t="shared" si="1"/>
        <v>11.69766908619656</v>
      </c>
      <c r="Q5">
        <f t="shared" si="2"/>
        <v>-4.6051701859880909</v>
      </c>
    </row>
    <row r="6" spans="1:17" x14ac:dyDescent="0.3">
      <c r="A6">
        <v>5</v>
      </c>
      <c r="B6">
        <v>764164</v>
      </c>
      <c r="C6" t="s">
        <v>24</v>
      </c>
      <c r="D6" t="s">
        <v>25</v>
      </c>
      <c r="E6">
        <v>200</v>
      </c>
      <c r="F6">
        <v>114512</v>
      </c>
      <c r="G6">
        <v>22412</v>
      </c>
      <c r="H6">
        <v>304</v>
      </c>
      <c r="I6">
        <v>1</v>
      </c>
      <c r="J6" t="s">
        <v>13</v>
      </c>
      <c r="K6">
        <v>0.55000000000000004</v>
      </c>
      <c r="L6">
        <v>30.5</v>
      </c>
      <c r="M6" t="s">
        <v>20</v>
      </c>
      <c r="N6">
        <f t="shared" si="0"/>
        <v>2</v>
      </c>
      <c r="O6">
        <v>2016</v>
      </c>
      <c r="P6">
        <f t="shared" si="1"/>
        <v>11.648434899978378</v>
      </c>
      <c r="Q6">
        <f t="shared" si="2"/>
        <v>5.2983673652980787</v>
      </c>
    </row>
    <row r="7" spans="1:17" hidden="1" x14ac:dyDescent="0.3">
      <c r="A7">
        <v>6</v>
      </c>
      <c r="B7">
        <v>473160</v>
      </c>
      <c r="C7" t="s">
        <v>26</v>
      </c>
      <c r="D7" t="s">
        <v>27</v>
      </c>
      <c r="E7">
        <v>0</v>
      </c>
      <c r="F7">
        <v>98867</v>
      </c>
      <c r="G7">
        <v>6512</v>
      </c>
      <c r="H7">
        <v>20</v>
      </c>
      <c r="I7">
        <v>4</v>
      </c>
      <c r="J7" t="s">
        <v>23</v>
      </c>
      <c r="K7">
        <v>0.82</v>
      </c>
      <c r="L7">
        <v>3</v>
      </c>
      <c r="M7" t="s">
        <v>14</v>
      </c>
      <c r="N7">
        <f t="shared" si="0"/>
        <v>1</v>
      </c>
      <c r="O7">
        <v>2015</v>
      </c>
      <c r="P7">
        <f t="shared" si="1"/>
        <v>11.501530791556343</v>
      </c>
      <c r="Q7">
        <f t="shared" si="2"/>
        <v>-4.6051701859880909</v>
      </c>
    </row>
    <row r="8" spans="1:17" hidden="1" x14ac:dyDescent="0.3">
      <c r="A8">
        <v>7</v>
      </c>
      <c r="B8">
        <v>94430</v>
      </c>
      <c r="C8" t="s">
        <v>28</v>
      </c>
      <c r="D8" t="s">
        <v>29</v>
      </c>
      <c r="E8">
        <v>30</v>
      </c>
      <c r="F8">
        <v>84897</v>
      </c>
      <c r="G8">
        <v>2685</v>
      </c>
      <c r="H8">
        <v>10</v>
      </c>
      <c r="I8">
        <v>4</v>
      </c>
      <c r="J8" t="s">
        <v>23</v>
      </c>
      <c r="K8">
        <v>0.79</v>
      </c>
      <c r="L8">
        <v>2</v>
      </c>
      <c r="M8" t="s">
        <v>20</v>
      </c>
      <c r="N8">
        <f t="shared" si="0"/>
        <v>2</v>
      </c>
      <c r="O8">
        <v>2013</v>
      </c>
      <c r="P8">
        <f t="shared" si="1"/>
        <v>11.349194035986073</v>
      </c>
      <c r="Q8">
        <f t="shared" si="2"/>
        <v>3.4015306594522756</v>
      </c>
    </row>
    <row r="9" spans="1:17" hidden="1" x14ac:dyDescent="0.3">
      <c r="A9">
        <v>8</v>
      </c>
      <c r="B9">
        <v>130064</v>
      </c>
      <c r="C9" t="s">
        <v>30</v>
      </c>
      <c r="D9" t="s">
        <v>31</v>
      </c>
      <c r="E9">
        <v>0</v>
      </c>
      <c r="F9">
        <v>83737</v>
      </c>
      <c r="G9">
        <v>4598</v>
      </c>
      <c r="H9">
        <v>45</v>
      </c>
      <c r="I9">
        <v>2</v>
      </c>
      <c r="J9" t="s">
        <v>32</v>
      </c>
      <c r="K9">
        <v>0.85</v>
      </c>
      <c r="L9">
        <v>6.5</v>
      </c>
      <c r="M9" t="s">
        <v>14</v>
      </c>
      <c r="N9">
        <f t="shared" si="0"/>
        <v>1</v>
      </c>
      <c r="O9">
        <v>2014</v>
      </c>
      <c r="P9">
        <f t="shared" si="1"/>
        <v>11.335436213758243</v>
      </c>
      <c r="Q9">
        <f t="shared" si="2"/>
        <v>-4.6051701859880909</v>
      </c>
    </row>
    <row r="10" spans="1:17" hidden="1" x14ac:dyDescent="0.3">
      <c r="A10">
        <v>9</v>
      </c>
      <c r="B10">
        <v>364426</v>
      </c>
      <c r="C10" t="s">
        <v>33</v>
      </c>
      <c r="D10" t="s">
        <v>34</v>
      </c>
      <c r="E10">
        <v>175</v>
      </c>
      <c r="F10">
        <v>79612</v>
      </c>
      <c r="G10">
        <v>16976</v>
      </c>
      <c r="H10">
        <v>85</v>
      </c>
      <c r="I10">
        <v>4</v>
      </c>
      <c r="J10" t="s">
        <v>23</v>
      </c>
      <c r="K10">
        <v>0.69</v>
      </c>
      <c r="L10">
        <v>11.5</v>
      </c>
      <c r="M10" t="s">
        <v>20</v>
      </c>
      <c r="N10">
        <f t="shared" si="0"/>
        <v>2</v>
      </c>
      <c r="O10">
        <v>2015</v>
      </c>
      <c r="P10">
        <f t="shared" si="1"/>
        <v>11.28492011423911</v>
      </c>
      <c r="Q10">
        <f t="shared" si="2"/>
        <v>5.1648431151480656</v>
      </c>
    </row>
    <row r="11" spans="1:17" x14ac:dyDescent="0.3">
      <c r="A11">
        <v>10</v>
      </c>
      <c r="B11">
        <v>756150</v>
      </c>
      <c r="C11" t="s">
        <v>35</v>
      </c>
      <c r="D11" t="s">
        <v>36</v>
      </c>
      <c r="E11">
        <v>190</v>
      </c>
      <c r="F11">
        <v>73783</v>
      </c>
      <c r="G11">
        <v>19649</v>
      </c>
      <c r="H11">
        <v>329</v>
      </c>
      <c r="I11">
        <v>1</v>
      </c>
      <c r="J11" t="s">
        <v>13</v>
      </c>
      <c r="K11">
        <v>0.9</v>
      </c>
      <c r="L11">
        <v>22</v>
      </c>
      <c r="M11" t="s">
        <v>20</v>
      </c>
      <c r="N11">
        <f t="shared" si="0"/>
        <v>2</v>
      </c>
      <c r="O11">
        <v>2016</v>
      </c>
      <c r="P11">
        <f t="shared" si="1"/>
        <v>11.208883631749874</v>
      </c>
      <c r="Q11">
        <f t="shared" si="2"/>
        <v>5.2470767023544402</v>
      </c>
    </row>
    <row r="12" spans="1:17" hidden="1" x14ac:dyDescent="0.3">
      <c r="A12">
        <v>11</v>
      </c>
      <c r="B12">
        <v>21386</v>
      </c>
      <c r="C12" t="s">
        <v>37</v>
      </c>
      <c r="D12" t="s">
        <v>38</v>
      </c>
      <c r="E12">
        <v>0</v>
      </c>
      <c r="F12">
        <v>73110</v>
      </c>
      <c r="G12">
        <v>1716</v>
      </c>
      <c r="H12">
        <v>22</v>
      </c>
      <c r="I12">
        <v>4</v>
      </c>
      <c r="J12" t="s">
        <v>23</v>
      </c>
      <c r="K12">
        <v>0.94</v>
      </c>
      <c r="L12">
        <v>2</v>
      </c>
      <c r="M12" t="s">
        <v>14</v>
      </c>
      <c r="N12">
        <f t="shared" si="0"/>
        <v>1</v>
      </c>
      <c r="O12">
        <v>2012</v>
      </c>
      <c r="P12">
        <f t="shared" si="1"/>
        <v>11.199720435287361</v>
      </c>
      <c r="Q12">
        <f t="shared" si="2"/>
        <v>-4.6051701859880909</v>
      </c>
    </row>
    <row r="13" spans="1:17" hidden="1" x14ac:dyDescent="0.3">
      <c r="A13">
        <v>12</v>
      </c>
      <c r="B13">
        <v>65330</v>
      </c>
      <c r="C13" t="s">
        <v>39</v>
      </c>
      <c r="D13" t="s">
        <v>40</v>
      </c>
      <c r="E13">
        <v>0</v>
      </c>
      <c r="F13">
        <v>72932</v>
      </c>
      <c r="G13">
        <v>2575</v>
      </c>
      <c r="H13">
        <v>21</v>
      </c>
      <c r="I13">
        <v>4</v>
      </c>
      <c r="J13" t="s">
        <v>23</v>
      </c>
      <c r="K13">
        <v>0.39</v>
      </c>
      <c r="L13">
        <v>1</v>
      </c>
      <c r="M13" t="s">
        <v>14</v>
      </c>
      <c r="N13">
        <f t="shared" si="0"/>
        <v>1</v>
      </c>
      <c r="O13">
        <v>2013</v>
      </c>
      <c r="P13">
        <f t="shared" si="1"/>
        <v>11.197282779159096</v>
      </c>
      <c r="Q13">
        <f t="shared" si="2"/>
        <v>-4.6051701859880909</v>
      </c>
    </row>
    <row r="14" spans="1:17" hidden="1" x14ac:dyDescent="0.3">
      <c r="A14">
        <v>13</v>
      </c>
      <c r="B14">
        <v>405926</v>
      </c>
      <c r="C14" t="s">
        <v>41</v>
      </c>
      <c r="D14" t="s">
        <v>42</v>
      </c>
      <c r="E14">
        <v>0</v>
      </c>
      <c r="F14">
        <v>70773</v>
      </c>
      <c r="G14">
        <v>5660</v>
      </c>
      <c r="H14">
        <v>50</v>
      </c>
      <c r="I14">
        <v>4</v>
      </c>
      <c r="J14" t="s">
        <v>23</v>
      </c>
      <c r="K14">
        <v>0.56999999999999995</v>
      </c>
      <c r="L14">
        <v>6</v>
      </c>
      <c r="M14" t="s">
        <v>14</v>
      </c>
      <c r="N14">
        <f t="shared" si="0"/>
        <v>1</v>
      </c>
      <c r="O14">
        <v>2015</v>
      </c>
      <c r="P14">
        <f t="shared" si="1"/>
        <v>11.167232851014942</v>
      </c>
      <c r="Q14">
        <f t="shared" si="2"/>
        <v>-4.6051701859880909</v>
      </c>
    </row>
    <row r="15" spans="1:17" hidden="1" x14ac:dyDescent="0.3">
      <c r="A15">
        <v>14</v>
      </c>
      <c r="B15">
        <v>11174</v>
      </c>
      <c r="C15" t="s">
        <v>43</v>
      </c>
      <c r="D15" t="s">
        <v>44</v>
      </c>
      <c r="E15">
        <v>120</v>
      </c>
      <c r="F15">
        <v>69186</v>
      </c>
      <c r="G15">
        <v>2408</v>
      </c>
      <c r="H15">
        <v>197</v>
      </c>
      <c r="I15">
        <v>4</v>
      </c>
      <c r="J15" t="s">
        <v>23</v>
      </c>
      <c r="K15">
        <v>0.61</v>
      </c>
      <c r="L15">
        <v>27.5</v>
      </c>
      <c r="M15" t="s">
        <v>20</v>
      </c>
      <c r="N15">
        <f t="shared" si="0"/>
        <v>2</v>
      </c>
      <c r="O15">
        <v>2011</v>
      </c>
      <c r="P15">
        <f t="shared" si="1"/>
        <v>11.144553808999172</v>
      </c>
      <c r="Q15">
        <f t="shared" si="2"/>
        <v>4.7875750726433504</v>
      </c>
    </row>
    <row r="16" spans="1:17" x14ac:dyDescent="0.3">
      <c r="A16">
        <v>15</v>
      </c>
      <c r="B16">
        <v>314462</v>
      </c>
      <c r="C16" t="s">
        <v>45</v>
      </c>
      <c r="D16" t="s">
        <v>46</v>
      </c>
      <c r="E16">
        <v>0</v>
      </c>
      <c r="F16">
        <v>64128</v>
      </c>
      <c r="G16">
        <v>4047</v>
      </c>
      <c r="H16">
        <v>17</v>
      </c>
      <c r="I16">
        <v>1</v>
      </c>
      <c r="J16" t="s">
        <v>13</v>
      </c>
      <c r="K16">
        <v>0.96</v>
      </c>
      <c r="L16">
        <v>1.5</v>
      </c>
      <c r="M16" t="s">
        <v>14</v>
      </c>
      <c r="N16">
        <f t="shared" si="0"/>
        <v>1</v>
      </c>
      <c r="O16">
        <v>2014</v>
      </c>
      <c r="P16">
        <f t="shared" si="1"/>
        <v>11.068636365004481</v>
      </c>
      <c r="Q16">
        <f t="shared" si="2"/>
        <v>-4.6051701859880909</v>
      </c>
    </row>
    <row r="17" spans="1:17" hidden="1" x14ac:dyDescent="0.3">
      <c r="A17">
        <v>16</v>
      </c>
      <c r="B17">
        <v>128946</v>
      </c>
      <c r="C17" t="s">
        <v>47</v>
      </c>
      <c r="D17" t="s">
        <v>48</v>
      </c>
      <c r="E17">
        <v>0</v>
      </c>
      <c r="F17">
        <v>59639</v>
      </c>
      <c r="G17">
        <v>2692</v>
      </c>
      <c r="H17">
        <v>24</v>
      </c>
      <c r="I17">
        <v>4</v>
      </c>
      <c r="J17" t="s">
        <v>23</v>
      </c>
      <c r="K17">
        <v>0.55000000000000004</v>
      </c>
      <c r="L17">
        <v>4.5</v>
      </c>
      <c r="M17" t="s">
        <v>14</v>
      </c>
      <c r="N17">
        <f t="shared" si="0"/>
        <v>1</v>
      </c>
      <c r="O17">
        <v>2013</v>
      </c>
      <c r="P17">
        <f t="shared" si="1"/>
        <v>10.996065001467814</v>
      </c>
      <c r="Q17">
        <f t="shared" si="2"/>
        <v>-4.6051701859880909</v>
      </c>
    </row>
    <row r="18" spans="1:17" x14ac:dyDescent="0.3">
      <c r="A18">
        <v>17</v>
      </c>
      <c r="B18">
        <v>289230</v>
      </c>
      <c r="C18" t="s">
        <v>49</v>
      </c>
      <c r="D18" t="s">
        <v>50</v>
      </c>
      <c r="E18">
        <v>175</v>
      </c>
      <c r="F18">
        <v>59361</v>
      </c>
      <c r="G18">
        <v>11580</v>
      </c>
      <c r="H18">
        <v>55</v>
      </c>
      <c r="I18">
        <v>1</v>
      </c>
      <c r="J18" t="s">
        <v>13</v>
      </c>
      <c r="K18">
        <v>0.87</v>
      </c>
      <c r="L18">
        <v>7</v>
      </c>
      <c r="M18" t="s">
        <v>20</v>
      </c>
      <c r="N18">
        <f t="shared" si="0"/>
        <v>2</v>
      </c>
      <c r="O18">
        <v>2014</v>
      </c>
      <c r="P18">
        <f t="shared" si="1"/>
        <v>10.99139272406055</v>
      </c>
      <c r="Q18">
        <f t="shared" si="2"/>
        <v>5.1648431151480656</v>
      </c>
    </row>
    <row r="19" spans="1:17" x14ac:dyDescent="0.3">
      <c r="A19">
        <v>18</v>
      </c>
      <c r="B19">
        <v>461160</v>
      </c>
      <c r="C19" t="s">
        <v>51</v>
      </c>
      <c r="D19" t="s">
        <v>52</v>
      </c>
      <c r="E19">
        <v>195</v>
      </c>
      <c r="F19">
        <v>58208</v>
      </c>
      <c r="G19">
        <v>11123</v>
      </c>
      <c r="H19">
        <v>98</v>
      </c>
      <c r="I19">
        <v>1</v>
      </c>
      <c r="J19" t="s">
        <v>13</v>
      </c>
      <c r="K19">
        <v>0.73</v>
      </c>
      <c r="L19">
        <v>13</v>
      </c>
      <c r="M19" t="s">
        <v>20</v>
      </c>
      <c r="N19">
        <f t="shared" si="0"/>
        <v>2</v>
      </c>
      <c r="O19">
        <v>2015</v>
      </c>
      <c r="P19">
        <f t="shared" si="1"/>
        <v>10.971778081317849</v>
      </c>
      <c r="Q19">
        <f t="shared" si="2"/>
        <v>5.273050839300149</v>
      </c>
    </row>
    <row r="20" spans="1:17" hidden="1" x14ac:dyDescent="0.3">
      <c r="A20">
        <v>19</v>
      </c>
      <c r="B20">
        <v>556248</v>
      </c>
      <c r="C20" t="s">
        <v>53</v>
      </c>
      <c r="D20" t="s">
        <v>54</v>
      </c>
      <c r="E20">
        <v>195</v>
      </c>
      <c r="F20">
        <v>57422</v>
      </c>
      <c r="G20">
        <v>874</v>
      </c>
      <c r="H20">
        <v>84</v>
      </c>
      <c r="I20">
        <v>4</v>
      </c>
      <c r="J20" t="s">
        <v>23</v>
      </c>
      <c r="K20">
        <v>0.82</v>
      </c>
      <c r="L20">
        <v>7.5</v>
      </c>
      <c r="M20" t="s">
        <v>20</v>
      </c>
      <c r="N20">
        <f t="shared" si="0"/>
        <v>2</v>
      </c>
      <c r="O20">
        <v>2015</v>
      </c>
      <c r="P20">
        <f t="shared" si="1"/>
        <v>10.958182784137781</v>
      </c>
      <c r="Q20">
        <f t="shared" si="2"/>
        <v>5.273050839300149</v>
      </c>
    </row>
    <row r="21" spans="1:17" hidden="1" x14ac:dyDescent="0.3">
      <c r="A21">
        <v>20</v>
      </c>
      <c r="B21">
        <v>580466</v>
      </c>
      <c r="C21" t="s">
        <v>55</v>
      </c>
      <c r="D21" t="s">
        <v>56</v>
      </c>
      <c r="E21">
        <v>195</v>
      </c>
      <c r="F21">
        <v>55332</v>
      </c>
      <c r="G21">
        <v>1225</v>
      </c>
      <c r="H21">
        <v>144</v>
      </c>
      <c r="I21">
        <v>2</v>
      </c>
      <c r="J21" t="s">
        <v>32</v>
      </c>
      <c r="K21">
        <v>0.28000000000000003</v>
      </c>
      <c r="L21">
        <v>20</v>
      </c>
      <c r="M21" t="s">
        <v>20</v>
      </c>
      <c r="N21">
        <f t="shared" si="0"/>
        <v>2</v>
      </c>
      <c r="O21">
        <v>2015</v>
      </c>
      <c r="P21">
        <f t="shared" si="1"/>
        <v>10.921106681994706</v>
      </c>
      <c r="Q21">
        <f t="shared" si="2"/>
        <v>5.273050839300149</v>
      </c>
    </row>
    <row r="22" spans="1:17" hidden="1" x14ac:dyDescent="0.3">
      <c r="A22">
        <v>21</v>
      </c>
      <c r="B22">
        <v>80940</v>
      </c>
      <c r="C22" t="s">
        <v>57</v>
      </c>
      <c r="D22" t="s">
        <v>58</v>
      </c>
      <c r="E22">
        <v>145</v>
      </c>
      <c r="F22">
        <v>51257</v>
      </c>
      <c r="G22">
        <v>1955</v>
      </c>
      <c r="H22">
        <v>77</v>
      </c>
      <c r="I22">
        <v>4</v>
      </c>
      <c r="J22" t="s">
        <v>23</v>
      </c>
      <c r="K22">
        <v>0.76</v>
      </c>
      <c r="L22">
        <v>8</v>
      </c>
      <c r="M22" t="s">
        <v>20</v>
      </c>
      <c r="N22">
        <f t="shared" si="0"/>
        <v>2</v>
      </c>
      <c r="O22">
        <v>2013</v>
      </c>
      <c r="P22">
        <f t="shared" si="1"/>
        <v>10.844607473039577</v>
      </c>
      <c r="Q22">
        <f t="shared" si="2"/>
        <v>4.9768027055598036</v>
      </c>
    </row>
    <row r="23" spans="1:17" hidden="1" x14ac:dyDescent="0.3">
      <c r="A23">
        <v>22</v>
      </c>
      <c r="B23">
        <v>705264</v>
      </c>
      <c r="C23" t="s">
        <v>59</v>
      </c>
      <c r="D23" t="s">
        <v>60</v>
      </c>
      <c r="E23">
        <v>180</v>
      </c>
      <c r="F23">
        <v>50815</v>
      </c>
      <c r="G23">
        <v>15117</v>
      </c>
      <c r="H23">
        <v>150</v>
      </c>
      <c r="I23">
        <v>4</v>
      </c>
      <c r="J23" t="s">
        <v>23</v>
      </c>
      <c r="K23">
        <v>0.62</v>
      </c>
      <c r="L23">
        <v>26.5</v>
      </c>
      <c r="M23" t="s">
        <v>20</v>
      </c>
      <c r="N23">
        <f t="shared" si="0"/>
        <v>2</v>
      </c>
      <c r="O23">
        <v>2015</v>
      </c>
      <c r="P23">
        <f t="shared" si="1"/>
        <v>10.835946865571866</v>
      </c>
      <c r="Q23">
        <f t="shared" si="2"/>
        <v>5.1930124049026132</v>
      </c>
    </row>
    <row r="24" spans="1:17" hidden="1" x14ac:dyDescent="0.3">
      <c r="A24">
        <v>23</v>
      </c>
      <c r="B24">
        <v>94432</v>
      </c>
      <c r="C24" t="s">
        <v>61</v>
      </c>
      <c r="D24" t="s">
        <v>62</v>
      </c>
      <c r="E24">
        <v>0</v>
      </c>
      <c r="F24">
        <v>48650</v>
      </c>
      <c r="G24">
        <v>1236</v>
      </c>
      <c r="H24">
        <v>9</v>
      </c>
      <c r="I24">
        <v>4</v>
      </c>
      <c r="J24" t="s">
        <v>23</v>
      </c>
      <c r="K24">
        <v>0</v>
      </c>
      <c r="L24">
        <v>2</v>
      </c>
      <c r="M24" t="s">
        <v>14</v>
      </c>
      <c r="N24">
        <f t="shared" si="0"/>
        <v>1</v>
      </c>
      <c r="O24">
        <v>2013</v>
      </c>
      <c r="P24">
        <f t="shared" si="1"/>
        <v>10.792407087614151</v>
      </c>
      <c r="Q24">
        <f t="shared" si="2"/>
        <v>-4.6051701859880909</v>
      </c>
    </row>
    <row r="25" spans="1:17" hidden="1" x14ac:dyDescent="0.3">
      <c r="A25">
        <v>24</v>
      </c>
      <c r="B25">
        <v>19603</v>
      </c>
      <c r="C25" t="s">
        <v>63</v>
      </c>
      <c r="D25" t="s">
        <v>64</v>
      </c>
      <c r="E25">
        <v>50</v>
      </c>
      <c r="F25">
        <v>47886</v>
      </c>
      <c r="G25">
        <v>285</v>
      </c>
      <c r="H25">
        <v>125</v>
      </c>
      <c r="I25">
        <v>4</v>
      </c>
      <c r="J25" t="s">
        <v>23</v>
      </c>
      <c r="K25">
        <v>0.41</v>
      </c>
      <c r="L25">
        <v>12.5</v>
      </c>
      <c r="M25" t="s">
        <v>20</v>
      </c>
      <c r="N25">
        <f t="shared" si="0"/>
        <v>2</v>
      </c>
      <c r="O25">
        <v>2012</v>
      </c>
      <c r="P25">
        <f t="shared" si="1"/>
        <v>10.776578465104064</v>
      </c>
      <c r="Q25">
        <f t="shared" si="2"/>
        <v>3.9122229854308124</v>
      </c>
    </row>
    <row r="26" spans="1:17" hidden="1" x14ac:dyDescent="0.3">
      <c r="A26">
        <v>25</v>
      </c>
      <c r="B26">
        <v>707962</v>
      </c>
      <c r="C26" t="s">
        <v>65</v>
      </c>
      <c r="D26" t="s">
        <v>66</v>
      </c>
      <c r="E26">
        <v>0</v>
      </c>
      <c r="F26">
        <v>47062</v>
      </c>
      <c r="G26">
        <v>5590</v>
      </c>
      <c r="H26">
        <v>41</v>
      </c>
      <c r="I26">
        <v>4</v>
      </c>
      <c r="J26" t="s">
        <v>23</v>
      </c>
      <c r="K26">
        <v>0.18</v>
      </c>
      <c r="L26">
        <v>8.5</v>
      </c>
      <c r="M26" t="s">
        <v>14</v>
      </c>
      <c r="N26">
        <f t="shared" si="0"/>
        <v>1</v>
      </c>
      <c r="O26">
        <v>2016</v>
      </c>
      <c r="P26">
        <f t="shared" si="1"/>
        <v>10.759221160315827</v>
      </c>
      <c r="Q26">
        <f t="shared" si="2"/>
        <v>-4.6051701859880909</v>
      </c>
    </row>
    <row r="27" spans="1:17" hidden="1" x14ac:dyDescent="0.3">
      <c r="A27">
        <v>26</v>
      </c>
      <c r="B27">
        <v>437398</v>
      </c>
      <c r="C27" t="s">
        <v>67</v>
      </c>
      <c r="D27" t="s">
        <v>68</v>
      </c>
      <c r="E27">
        <v>195</v>
      </c>
      <c r="F27">
        <v>43977</v>
      </c>
      <c r="G27">
        <v>7106</v>
      </c>
      <c r="H27">
        <v>77</v>
      </c>
      <c r="I27">
        <v>4</v>
      </c>
      <c r="J27" t="s">
        <v>23</v>
      </c>
      <c r="K27">
        <v>0.34</v>
      </c>
      <c r="L27">
        <v>12</v>
      </c>
      <c r="M27" t="s">
        <v>20</v>
      </c>
      <c r="N27">
        <f t="shared" si="0"/>
        <v>2</v>
      </c>
      <c r="O27">
        <v>2015</v>
      </c>
      <c r="P27">
        <f t="shared" si="1"/>
        <v>10.69142204895814</v>
      </c>
      <c r="Q27">
        <f t="shared" si="2"/>
        <v>5.273050839300149</v>
      </c>
    </row>
    <row r="28" spans="1:17" x14ac:dyDescent="0.3">
      <c r="A28">
        <v>27</v>
      </c>
      <c r="B28">
        <v>28295</v>
      </c>
      <c r="C28" t="s">
        <v>69</v>
      </c>
      <c r="D28" t="s">
        <v>70</v>
      </c>
      <c r="E28">
        <v>75</v>
      </c>
      <c r="F28">
        <v>43285</v>
      </c>
      <c r="G28">
        <v>525</v>
      </c>
      <c r="H28">
        <v>24</v>
      </c>
      <c r="I28">
        <v>1</v>
      </c>
      <c r="J28" t="s">
        <v>13</v>
      </c>
      <c r="K28">
        <v>0.31</v>
      </c>
      <c r="L28">
        <v>4</v>
      </c>
      <c r="M28" t="s">
        <v>20</v>
      </c>
      <c r="N28">
        <f t="shared" si="0"/>
        <v>2</v>
      </c>
      <c r="O28">
        <v>2013</v>
      </c>
      <c r="P28">
        <f t="shared" si="1"/>
        <v>10.675561433649873</v>
      </c>
      <c r="Q28">
        <f t="shared" si="2"/>
        <v>4.3176214379815452</v>
      </c>
    </row>
    <row r="29" spans="1:17" hidden="1" x14ac:dyDescent="0.3">
      <c r="A29">
        <v>28</v>
      </c>
      <c r="B29">
        <v>708578</v>
      </c>
      <c r="C29" t="s">
        <v>71</v>
      </c>
      <c r="D29" t="s">
        <v>72</v>
      </c>
      <c r="E29">
        <v>0</v>
      </c>
      <c r="F29">
        <v>41478</v>
      </c>
      <c r="G29">
        <v>2104</v>
      </c>
      <c r="H29">
        <v>13</v>
      </c>
      <c r="I29">
        <v>4</v>
      </c>
      <c r="J29" t="s">
        <v>23</v>
      </c>
      <c r="K29">
        <v>0.52</v>
      </c>
      <c r="L29">
        <v>3</v>
      </c>
      <c r="M29" t="s">
        <v>14</v>
      </c>
      <c r="N29">
        <f t="shared" si="0"/>
        <v>1</v>
      </c>
      <c r="O29">
        <v>2015</v>
      </c>
      <c r="P29">
        <f t="shared" si="1"/>
        <v>10.632918445173321</v>
      </c>
      <c r="Q29">
        <f t="shared" si="2"/>
        <v>-4.6051701859880909</v>
      </c>
    </row>
    <row r="30" spans="1:17" hidden="1" x14ac:dyDescent="0.3">
      <c r="A30">
        <v>29</v>
      </c>
      <c r="B30">
        <v>719002</v>
      </c>
      <c r="C30" t="s">
        <v>73</v>
      </c>
      <c r="D30" t="s">
        <v>74</v>
      </c>
      <c r="E30">
        <v>150</v>
      </c>
      <c r="F30">
        <v>40070</v>
      </c>
      <c r="G30">
        <v>8341</v>
      </c>
      <c r="H30">
        <v>194</v>
      </c>
      <c r="I30">
        <v>4</v>
      </c>
      <c r="J30" t="s">
        <v>23</v>
      </c>
      <c r="K30">
        <v>0.74</v>
      </c>
      <c r="L30">
        <v>9.5</v>
      </c>
      <c r="M30" t="s">
        <v>20</v>
      </c>
      <c r="N30">
        <f t="shared" si="0"/>
        <v>2</v>
      </c>
      <c r="O30">
        <v>2016</v>
      </c>
      <c r="P30">
        <f t="shared" si="1"/>
        <v>10.59838320363019</v>
      </c>
      <c r="Q30">
        <f t="shared" si="2"/>
        <v>5.0107019585407988</v>
      </c>
    </row>
    <row r="31" spans="1:17" x14ac:dyDescent="0.3">
      <c r="A31">
        <v>30</v>
      </c>
      <c r="B31">
        <v>674608</v>
      </c>
      <c r="C31" t="s">
        <v>75</v>
      </c>
      <c r="D31" t="s">
        <v>76</v>
      </c>
      <c r="E31">
        <v>195</v>
      </c>
      <c r="F31">
        <v>37141</v>
      </c>
      <c r="G31">
        <v>1813</v>
      </c>
      <c r="H31">
        <v>316</v>
      </c>
      <c r="I31">
        <v>1</v>
      </c>
      <c r="J31" t="s">
        <v>13</v>
      </c>
      <c r="K31">
        <v>7.0000000000000007E-2</v>
      </c>
      <c r="L31">
        <v>51</v>
      </c>
      <c r="M31" t="s">
        <v>20</v>
      </c>
      <c r="N31">
        <f t="shared" si="0"/>
        <v>2</v>
      </c>
      <c r="O31">
        <v>2016</v>
      </c>
      <c r="P31">
        <f t="shared" si="1"/>
        <v>10.52247675969231</v>
      </c>
      <c r="Q31">
        <f t="shared" si="2"/>
        <v>5.273050839300149</v>
      </c>
    </row>
    <row r="32" spans="1:17" hidden="1" x14ac:dyDescent="0.3">
      <c r="A32">
        <v>31</v>
      </c>
      <c r="B32">
        <v>772618</v>
      </c>
      <c r="C32" t="s">
        <v>77</v>
      </c>
      <c r="D32" t="s">
        <v>78</v>
      </c>
      <c r="E32">
        <v>0</v>
      </c>
      <c r="F32">
        <v>36322</v>
      </c>
      <c r="G32">
        <v>2618</v>
      </c>
      <c r="H32">
        <v>32</v>
      </c>
      <c r="I32">
        <v>4</v>
      </c>
      <c r="J32" t="s">
        <v>23</v>
      </c>
      <c r="K32">
        <v>0.68</v>
      </c>
      <c r="L32">
        <v>4.5</v>
      </c>
      <c r="M32" t="s">
        <v>14</v>
      </c>
      <c r="N32">
        <f t="shared" si="0"/>
        <v>1</v>
      </c>
      <c r="O32">
        <v>2016</v>
      </c>
      <c r="P32">
        <f t="shared" si="1"/>
        <v>10.500178897278444</v>
      </c>
      <c r="Q32">
        <f t="shared" si="2"/>
        <v>-4.6051701859880909</v>
      </c>
    </row>
    <row r="33" spans="1:17" x14ac:dyDescent="0.3">
      <c r="A33">
        <v>32</v>
      </c>
      <c r="B33">
        <v>16646</v>
      </c>
      <c r="C33" t="s">
        <v>79</v>
      </c>
      <c r="D33" t="s">
        <v>80</v>
      </c>
      <c r="E33">
        <v>50</v>
      </c>
      <c r="F33">
        <v>35267</v>
      </c>
      <c r="G33">
        <v>217</v>
      </c>
      <c r="H33">
        <v>53</v>
      </c>
      <c r="I33">
        <v>1</v>
      </c>
      <c r="J33" t="s">
        <v>13</v>
      </c>
      <c r="K33">
        <v>0.78</v>
      </c>
      <c r="L33">
        <v>4</v>
      </c>
      <c r="M33" t="s">
        <v>20</v>
      </c>
      <c r="N33">
        <f t="shared" si="0"/>
        <v>2</v>
      </c>
      <c r="O33">
        <v>2012</v>
      </c>
      <c r="P33">
        <f t="shared" si="1"/>
        <v>10.470702961489399</v>
      </c>
      <c r="Q33">
        <f t="shared" si="2"/>
        <v>3.9122229854308124</v>
      </c>
    </row>
    <row r="34" spans="1:17" x14ac:dyDescent="0.3">
      <c r="A34">
        <v>33</v>
      </c>
      <c r="B34">
        <v>446134</v>
      </c>
      <c r="C34" t="s">
        <v>81</v>
      </c>
      <c r="D34" t="s">
        <v>82</v>
      </c>
      <c r="E34">
        <v>200</v>
      </c>
      <c r="F34">
        <v>33788</v>
      </c>
      <c r="G34">
        <v>4434</v>
      </c>
      <c r="H34">
        <v>246</v>
      </c>
      <c r="I34">
        <v>1</v>
      </c>
      <c r="J34" t="s">
        <v>13</v>
      </c>
      <c r="K34">
        <v>0.31</v>
      </c>
      <c r="L34">
        <v>32.5</v>
      </c>
      <c r="M34" t="s">
        <v>20</v>
      </c>
      <c r="N34">
        <f t="shared" si="0"/>
        <v>2</v>
      </c>
      <c r="O34">
        <v>2015</v>
      </c>
      <c r="P34">
        <f t="shared" si="1"/>
        <v>10.427860988847387</v>
      </c>
      <c r="Q34">
        <f t="shared" si="2"/>
        <v>5.2983673652980787</v>
      </c>
    </row>
    <row r="35" spans="1:17" hidden="1" x14ac:dyDescent="0.3">
      <c r="A35">
        <v>34</v>
      </c>
      <c r="B35">
        <v>519442</v>
      </c>
      <c r="C35" t="s">
        <v>83</v>
      </c>
      <c r="D35" t="s">
        <v>84</v>
      </c>
      <c r="E35">
        <v>195</v>
      </c>
      <c r="F35">
        <v>33677</v>
      </c>
      <c r="G35">
        <v>3809</v>
      </c>
      <c r="H35">
        <v>283</v>
      </c>
      <c r="I35">
        <v>4</v>
      </c>
      <c r="J35" t="s">
        <v>23</v>
      </c>
      <c r="K35">
        <v>0.77</v>
      </c>
      <c r="L35">
        <v>31.5</v>
      </c>
      <c r="M35" t="s">
        <v>20</v>
      </c>
      <c r="N35">
        <f t="shared" si="0"/>
        <v>2</v>
      </c>
      <c r="O35">
        <v>2015</v>
      </c>
      <c r="P35">
        <f t="shared" si="1"/>
        <v>10.424570390754766</v>
      </c>
      <c r="Q35">
        <f t="shared" si="2"/>
        <v>5.273050839300149</v>
      </c>
    </row>
    <row r="36" spans="1:17" x14ac:dyDescent="0.3">
      <c r="A36">
        <v>35</v>
      </c>
      <c r="B36">
        <v>949282</v>
      </c>
      <c r="C36" t="s">
        <v>85</v>
      </c>
      <c r="D36" t="s">
        <v>86</v>
      </c>
      <c r="E36">
        <v>195</v>
      </c>
      <c r="F36">
        <v>32696</v>
      </c>
      <c r="G36">
        <v>526</v>
      </c>
      <c r="H36">
        <v>67</v>
      </c>
      <c r="I36">
        <v>1</v>
      </c>
      <c r="J36" t="s">
        <v>13</v>
      </c>
      <c r="K36">
        <v>0.7</v>
      </c>
      <c r="L36">
        <v>10</v>
      </c>
      <c r="M36" t="s">
        <v>20</v>
      </c>
      <c r="N36">
        <f t="shared" si="0"/>
        <v>2</v>
      </c>
      <c r="O36">
        <v>2016</v>
      </c>
      <c r="P36">
        <f t="shared" si="1"/>
        <v>10.395008025244113</v>
      </c>
      <c r="Q36">
        <f t="shared" si="2"/>
        <v>5.273050839300149</v>
      </c>
    </row>
    <row r="37" spans="1:17" hidden="1" x14ac:dyDescent="0.3">
      <c r="A37">
        <v>36</v>
      </c>
      <c r="B37">
        <v>294794</v>
      </c>
      <c r="C37" t="s">
        <v>87</v>
      </c>
      <c r="D37" t="s">
        <v>88</v>
      </c>
      <c r="E37">
        <v>0</v>
      </c>
      <c r="F37">
        <v>32260</v>
      </c>
      <c r="G37">
        <v>1005</v>
      </c>
      <c r="H37">
        <v>12</v>
      </c>
      <c r="I37">
        <v>4</v>
      </c>
      <c r="J37" t="s">
        <v>23</v>
      </c>
      <c r="K37">
        <v>0.94</v>
      </c>
      <c r="L37">
        <v>1.5</v>
      </c>
      <c r="M37" t="s">
        <v>14</v>
      </c>
      <c r="N37">
        <f t="shared" si="0"/>
        <v>1</v>
      </c>
      <c r="O37">
        <v>2014</v>
      </c>
      <c r="P37">
        <f t="shared" si="1"/>
        <v>10.3815833516792</v>
      </c>
      <c r="Q37">
        <f t="shared" si="2"/>
        <v>-4.6051701859880909</v>
      </c>
    </row>
    <row r="38" spans="1:17" x14ac:dyDescent="0.3">
      <c r="A38">
        <v>37</v>
      </c>
      <c r="B38">
        <v>695656</v>
      </c>
      <c r="C38" t="s">
        <v>89</v>
      </c>
      <c r="D38" t="s">
        <v>90</v>
      </c>
      <c r="E38">
        <v>195</v>
      </c>
      <c r="F38">
        <v>31499</v>
      </c>
      <c r="G38">
        <v>450</v>
      </c>
      <c r="H38">
        <v>46</v>
      </c>
      <c r="I38">
        <v>1</v>
      </c>
      <c r="J38" t="s">
        <v>13</v>
      </c>
      <c r="K38">
        <v>0.76</v>
      </c>
      <c r="L38">
        <v>4</v>
      </c>
      <c r="M38" t="s">
        <v>20</v>
      </c>
      <c r="N38">
        <f t="shared" si="0"/>
        <v>2</v>
      </c>
      <c r="O38">
        <v>2015</v>
      </c>
      <c r="P38">
        <f t="shared" si="1"/>
        <v>10.357711078278063</v>
      </c>
      <c r="Q38">
        <f t="shared" si="2"/>
        <v>5.273050839300149</v>
      </c>
    </row>
    <row r="39" spans="1:17" x14ac:dyDescent="0.3">
      <c r="A39">
        <v>38</v>
      </c>
      <c r="B39">
        <v>19332</v>
      </c>
      <c r="C39" t="s">
        <v>91</v>
      </c>
      <c r="D39" t="s">
        <v>92</v>
      </c>
      <c r="E39">
        <v>20</v>
      </c>
      <c r="F39">
        <v>31070</v>
      </c>
      <c r="G39">
        <v>742</v>
      </c>
      <c r="H39">
        <v>195</v>
      </c>
      <c r="I39">
        <v>1</v>
      </c>
      <c r="J39" t="s">
        <v>13</v>
      </c>
      <c r="K39">
        <v>7.0000000000000007E-2</v>
      </c>
      <c r="L39">
        <v>18</v>
      </c>
      <c r="M39" t="s">
        <v>20</v>
      </c>
      <c r="N39">
        <f t="shared" si="0"/>
        <v>2</v>
      </c>
      <c r="O39">
        <v>2012</v>
      </c>
      <c r="P39">
        <f t="shared" si="1"/>
        <v>10.343998002387092</v>
      </c>
      <c r="Q39">
        <f t="shared" si="2"/>
        <v>2.996232148595642</v>
      </c>
    </row>
    <row r="40" spans="1:17" hidden="1" x14ac:dyDescent="0.3">
      <c r="A40">
        <v>39</v>
      </c>
      <c r="B40">
        <v>511934</v>
      </c>
      <c r="C40" t="s">
        <v>93</v>
      </c>
      <c r="D40" t="s">
        <v>94</v>
      </c>
      <c r="E40">
        <v>0</v>
      </c>
      <c r="F40">
        <v>30531</v>
      </c>
      <c r="G40">
        <v>1948</v>
      </c>
      <c r="H40">
        <v>53</v>
      </c>
      <c r="I40">
        <v>4</v>
      </c>
      <c r="J40" t="s">
        <v>23</v>
      </c>
      <c r="K40">
        <v>0.78</v>
      </c>
      <c r="L40">
        <v>3</v>
      </c>
      <c r="M40" t="s">
        <v>14</v>
      </c>
      <c r="N40">
        <f t="shared" si="0"/>
        <v>1</v>
      </c>
      <c r="O40">
        <v>2015</v>
      </c>
      <c r="P40">
        <f t="shared" si="1"/>
        <v>10.326497839860041</v>
      </c>
      <c r="Q40">
        <f t="shared" si="2"/>
        <v>-4.6051701859880909</v>
      </c>
    </row>
    <row r="41" spans="1:17" x14ac:dyDescent="0.3">
      <c r="A41">
        <v>40</v>
      </c>
      <c r="B41">
        <v>267560</v>
      </c>
      <c r="C41" t="s">
        <v>95</v>
      </c>
      <c r="D41" t="s">
        <v>96</v>
      </c>
      <c r="E41">
        <v>0</v>
      </c>
      <c r="F41">
        <v>29990</v>
      </c>
      <c r="G41">
        <v>1342</v>
      </c>
      <c r="H41">
        <v>87</v>
      </c>
      <c r="I41">
        <v>1</v>
      </c>
      <c r="J41" t="s">
        <v>13</v>
      </c>
      <c r="K41">
        <v>0.95</v>
      </c>
      <c r="L41">
        <v>17.5</v>
      </c>
      <c r="M41" t="s">
        <v>14</v>
      </c>
      <c r="N41">
        <f t="shared" si="0"/>
        <v>1</v>
      </c>
      <c r="O41">
        <v>2014</v>
      </c>
      <c r="P41">
        <f t="shared" si="1"/>
        <v>10.308619271743055</v>
      </c>
      <c r="Q41">
        <f t="shared" si="2"/>
        <v>-4.6051701859880909</v>
      </c>
    </row>
    <row r="42" spans="1:17" x14ac:dyDescent="0.3">
      <c r="A42">
        <v>41</v>
      </c>
      <c r="B42">
        <v>866460</v>
      </c>
      <c r="C42" t="s">
        <v>97</v>
      </c>
      <c r="D42" t="s">
        <v>98</v>
      </c>
      <c r="E42">
        <v>195</v>
      </c>
      <c r="F42">
        <v>29348</v>
      </c>
      <c r="G42">
        <v>780</v>
      </c>
      <c r="H42">
        <v>66</v>
      </c>
      <c r="I42">
        <v>1</v>
      </c>
      <c r="J42" t="s">
        <v>13</v>
      </c>
      <c r="K42">
        <v>0.31</v>
      </c>
      <c r="L42">
        <v>3</v>
      </c>
      <c r="M42" t="s">
        <v>20</v>
      </c>
      <c r="N42">
        <f t="shared" si="0"/>
        <v>2</v>
      </c>
      <c r="O42">
        <v>2016</v>
      </c>
      <c r="P42">
        <f t="shared" si="1"/>
        <v>10.286979679833886</v>
      </c>
      <c r="Q42">
        <f t="shared" si="2"/>
        <v>5.273050839300149</v>
      </c>
    </row>
    <row r="43" spans="1:17" x14ac:dyDescent="0.3">
      <c r="A43">
        <v>42</v>
      </c>
      <c r="B43">
        <v>405282</v>
      </c>
      <c r="C43" t="s">
        <v>99</v>
      </c>
      <c r="D43" t="s">
        <v>100</v>
      </c>
      <c r="E43">
        <v>200</v>
      </c>
      <c r="F43">
        <v>28880</v>
      </c>
      <c r="G43">
        <v>4316</v>
      </c>
      <c r="H43">
        <v>286</v>
      </c>
      <c r="I43">
        <v>1</v>
      </c>
      <c r="J43" t="s">
        <v>13</v>
      </c>
      <c r="K43">
        <v>0.4</v>
      </c>
      <c r="L43">
        <v>30.5</v>
      </c>
      <c r="M43" t="s">
        <v>20</v>
      </c>
      <c r="N43">
        <f t="shared" si="0"/>
        <v>2</v>
      </c>
      <c r="O43">
        <v>2015</v>
      </c>
      <c r="P43">
        <f t="shared" si="1"/>
        <v>10.270904593006762</v>
      </c>
      <c r="Q43">
        <f t="shared" si="2"/>
        <v>5.2983673652980787</v>
      </c>
    </row>
    <row r="44" spans="1:17" hidden="1" x14ac:dyDescent="0.3">
      <c r="A44">
        <v>43</v>
      </c>
      <c r="B44">
        <v>1025026</v>
      </c>
      <c r="C44" t="s">
        <v>101</v>
      </c>
      <c r="D44" t="s">
        <v>102</v>
      </c>
      <c r="E44">
        <v>195</v>
      </c>
      <c r="F44">
        <v>28694</v>
      </c>
      <c r="G44">
        <v>688</v>
      </c>
      <c r="H44">
        <v>77</v>
      </c>
      <c r="I44">
        <v>4</v>
      </c>
      <c r="J44" t="s">
        <v>23</v>
      </c>
      <c r="K44">
        <v>0.05</v>
      </c>
      <c r="L44">
        <v>11.5</v>
      </c>
      <c r="M44" t="s">
        <v>20</v>
      </c>
      <c r="N44">
        <f t="shared" si="0"/>
        <v>2</v>
      </c>
      <c r="O44">
        <v>2016</v>
      </c>
      <c r="P44">
        <f t="shared" si="1"/>
        <v>10.264443320658335</v>
      </c>
      <c r="Q44">
        <f t="shared" si="2"/>
        <v>5.273050839300149</v>
      </c>
    </row>
    <row r="45" spans="1:17" x14ac:dyDescent="0.3">
      <c r="A45">
        <v>44</v>
      </c>
      <c r="B45">
        <v>607048</v>
      </c>
      <c r="C45" t="s">
        <v>103</v>
      </c>
      <c r="D45" t="s">
        <v>104</v>
      </c>
      <c r="E45">
        <v>80</v>
      </c>
      <c r="F45">
        <v>28125</v>
      </c>
      <c r="G45">
        <v>115</v>
      </c>
      <c r="H45">
        <v>21</v>
      </c>
      <c r="I45">
        <v>1</v>
      </c>
      <c r="J45" t="s">
        <v>13</v>
      </c>
      <c r="K45">
        <v>0.38</v>
      </c>
      <c r="L45">
        <v>2</v>
      </c>
      <c r="M45" t="s">
        <v>20</v>
      </c>
      <c r="N45">
        <f t="shared" si="0"/>
        <v>2</v>
      </c>
      <c r="O45">
        <v>2015</v>
      </c>
      <c r="P45">
        <f t="shared" si="1"/>
        <v>10.244414139506722</v>
      </c>
      <c r="Q45">
        <f t="shared" si="2"/>
        <v>4.3821516268620329</v>
      </c>
    </row>
    <row r="46" spans="1:17" x14ac:dyDescent="0.3">
      <c r="A46">
        <v>45</v>
      </c>
      <c r="B46">
        <v>851712</v>
      </c>
      <c r="C46" t="s">
        <v>105</v>
      </c>
      <c r="D46" t="s">
        <v>106</v>
      </c>
      <c r="E46">
        <v>195</v>
      </c>
      <c r="F46">
        <v>27801</v>
      </c>
      <c r="G46">
        <v>4340</v>
      </c>
      <c r="H46">
        <v>113</v>
      </c>
      <c r="I46">
        <v>1</v>
      </c>
      <c r="J46" t="s">
        <v>13</v>
      </c>
      <c r="K46">
        <v>0.21</v>
      </c>
      <c r="L46">
        <v>17.5</v>
      </c>
      <c r="M46" t="s">
        <v>20</v>
      </c>
      <c r="N46">
        <f t="shared" si="0"/>
        <v>2</v>
      </c>
      <c r="O46">
        <v>2016</v>
      </c>
      <c r="P46">
        <f t="shared" si="1"/>
        <v>10.2328272702548</v>
      </c>
      <c r="Q46">
        <f t="shared" si="2"/>
        <v>5.273050839300149</v>
      </c>
    </row>
    <row r="47" spans="1:17" hidden="1" x14ac:dyDescent="0.3">
      <c r="A47">
        <v>46</v>
      </c>
      <c r="B47">
        <v>159070</v>
      </c>
      <c r="C47" t="s">
        <v>107</v>
      </c>
      <c r="D47" t="s">
        <v>108</v>
      </c>
      <c r="E47">
        <v>20</v>
      </c>
      <c r="F47">
        <v>26800</v>
      </c>
      <c r="G47">
        <v>333</v>
      </c>
      <c r="H47">
        <v>55</v>
      </c>
      <c r="I47">
        <v>4</v>
      </c>
      <c r="J47" t="s">
        <v>23</v>
      </c>
      <c r="K47">
        <v>0.32</v>
      </c>
      <c r="L47">
        <v>3</v>
      </c>
      <c r="M47" t="s">
        <v>20</v>
      </c>
      <c r="N47">
        <f t="shared" si="0"/>
        <v>2</v>
      </c>
      <c r="O47">
        <v>2014</v>
      </c>
      <c r="P47">
        <f t="shared" si="1"/>
        <v>10.196157166498947</v>
      </c>
      <c r="Q47">
        <f t="shared" si="2"/>
        <v>2.996232148595642</v>
      </c>
    </row>
    <row r="48" spans="1:17" x14ac:dyDescent="0.3">
      <c r="A48">
        <v>47</v>
      </c>
      <c r="B48">
        <v>470288</v>
      </c>
      <c r="C48" t="s">
        <v>109</v>
      </c>
      <c r="D48" t="s">
        <v>110</v>
      </c>
      <c r="E48">
        <v>0</v>
      </c>
      <c r="F48">
        <v>26697</v>
      </c>
      <c r="G48">
        <v>1097</v>
      </c>
      <c r="H48">
        <v>20</v>
      </c>
      <c r="I48">
        <v>1</v>
      </c>
      <c r="J48" t="s">
        <v>13</v>
      </c>
      <c r="K48">
        <v>0.15</v>
      </c>
      <c r="L48">
        <v>1</v>
      </c>
      <c r="M48" t="s">
        <v>14</v>
      </c>
      <c r="N48">
        <f t="shared" si="0"/>
        <v>1</v>
      </c>
      <c r="O48">
        <v>2015</v>
      </c>
      <c r="P48">
        <f t="shared" si="1"/>
        <v>10.192306478524971</v>
      </c>
      <c r="Q48">
        <f t="shared" si="2"/>
        <v>-4.6051701859880909</v>
      </c>
    </row>
    <row r="49" spans="1:17" hidden="1" x14ac:dyDescent="0.3">
      <c r="A49">
        <v>48</v>
      </c>
      <c r="B49">
        <v>11475</v>
      </c>
      <c r="C49" t="s">
        <v>111</v>
      </c>
      <c r="D49" t="s">
        <v>112</v>
      </c>
      <c r="E49">
        <v>100</v>
      </c>
      <c r="F49">
        <v>26673</v>
      </c>
      <c r="G49">
        <v>1090</v>
      </c>
      <c r="H49">
        <v>185</v>
      </c>
      <c r="I49">
        <v>4</v>
      </c>
      <c r="J49" t="s">
        <v>23</v>
      </c>
      <c r="K49">
        <v>0.22</v>
      </c>
      <c r="L49">
        <v>12</v>
      </c>
      <c r="M49" t="s">
        <v>20</v>
      </c>
      <c r="N49">
        <f t="shared" si="0"/>
        <v>2</v>
      </c>
      <c r="O49">
        <v>2011</v>
      </c>
      <c r="P49">
        <f t="shared" si="1"/>
        <v>10.191407096789248</v>
      </c>
      <c r="Q49">
        <f t="shared" si="2"/>
        <v>4.6052701809884251</v>
      </c>
    </row>
    <row r="50" spans="1:17" hidden="1" x14ac:dyDescent="0.3">
      <c r="A50">
        <v>49</v>
      </c>
      <c r="B50">
        <v>429364</v>
      </c>
      <c r="C50" t="s">
        <v>113</v>
      </c>
      <c r="D50" t="s">
        <v>114</v>
      </c>
      <c r="E50">
        <v>0</v>
      </c>
      <c r="F50">
        <v>26541</v>
      </c>
      <c r="G50">
        <v>750</v>
      </c>
      <c r="H50">
        <v>38</v>
      </c>
      <c r="I50">
        <v>4</v>
      </c>
      <c r="J50" t="s">
        <v>23</v>
      </c>
      <c r="K50">
        <v>0.15</v>
      </c>
      <c r="L50">
        <v>3</v>
      </c>
      <c r="M50" t="s">
        <v>14</v>
      </c>
      <c r="N50">
        <f t="shared" si="0"/>
        <v>1</v>
      </c>
      <c r="O50">
        <v>2015</v>
      </c>
      <c r="P50">
        <f t="shared" si="1"/>
        <v>10.186445986151496</v>
      </c>
      <c r="Q50">
        <f t="shared" si="2"/>
        <v>-4.6051701859880909</v>
      </c>
    </row>
    <row r="51" spans="1:17" hidden="1" x14ac:dyDescent="0.3">
      <c r="A51">
        <v>50</v>
      </c>
      <c r="B51">
        <v>24334</v>
      </c>
      <c r="C51" t="s">
        <v>115</v>
      </c>
      <c r="D51" t="s">
        <v>116</v>
      </c>
      <c r="E51">
        <v>20</v>
      </c>
      <c r="F51">
        <v>25864</v>
      </c>
      <c r="G51">
        <v>188</v>
      </c>
      <c r="H51">
        <v>32</v>
      </c>
      <c r="I51">
        <v>4</v>
      </c>
      <c r="J51" t="s">
        <v>23</v>
      </c>
      <c r="K51">
        <v>0.78</v>
      </c>
      <c r="L51">
        <v>5</v>
      </c>
      <c r="M51" t="s">
        <v>20</v>
      </c>
      <c r="N51">
        <f t="shared" si="0"/>
        <v>2</v>
      </c>
      <c r="O51">
        <v>2012</v>
      </c>
      <c r="P51">
        <f t="shared" si="1"/>
        <v>10.160607319405269</v>
      </c>
      <c r="Q51">
        <f t="shared" si="2"/>
        <v>2.996232148595642</v>
      </c>
    </row>
    <row r="52" spans="1:17" hidden="1" x14ac:dyDescent="0.3">
      <c r="A52">
        <v>51</v>
      </c>
      <c r="B52">
        <v>15285</v>
      </c>
      <c r="C52" t="s">
        <v>117</v>
      </c>
      <c r="D52" t="s">
        <v>118</v>
      </c>
      <c r="E52">
        <v>20</v>
      </c>
      <c r="F52">
        <v>25854</v>
      </c>
      <c r="G52">
        <v>306</v>
      </c>
      <c r="H52">
        <v>17</v>
      </c>
      <c r="I52">
        <v>4</v>
      </c>
      <c r="J52" t="s">
        <v>23</v>
      </c>
      <c r="K52">
        <v>0.28000000000000003</v>
      </c>
      <c r="L52">
        <v>2</v>
      </c>
      <c r="M52" t="s">
        <v>20</v>
      </c>
      <c r="N52">
        <f t="shared" si="0"/>
        <v>2</v>
      </c>
      <c r="O52">
        <v>2012</v>
      </c>
      <c r="P52">
        <f t="shared" si="1"/>
        <v>10.160220606843893</v>
      </c>
      <c r="Q52">
        <f t="shared" si="2"/>
        <v>2.996232148595642</v>
      </c>
    </row>
    <row r="53" spans="1:17" hidden="1" x14ac:dyDescent="0.3">
      <c r="A53">
        <v>52</v>
      </c>
      <c r="B53">
        <v>653846</v>
      </c>
      <c r="C53" t="s">
        <v>119</v>
      </c>
      <c r="D53" t="s">
        <v>120</v>
      </c>
      <c r="E53">
        <v>195</v>
      </c>
      <c r="F53">
        <v>25799</v>
      </c>
      <c r="G53">
        <v>382</v>
      </c>
      <c r="H53">
        <v>42</v>
      </c>
      <c r="I53">
        <v>2</v>
      </c>
      <c r="J53" t="s">
        <v>32</v>
      </c>
      <c r="K53">
        <v>0.21</v>
      </c>
      <c r="L53">
        <v>4.5</v>
      </c>
      <c r="M53" t="s">
        <v>20</v>
      </c>
      <c r="N53">
        <f t="shared" si="0"/>
        <v>2</v>
      </c>
      <c r="O53">
        <v>2016</v>
      </c>
      <c r="P53">
        <f t="shared" si="1"/>
        <v>10.15809101046861</v>
      </c>
      <c r="Q53">
        <f t="shared" si="2"/>
        <v>5.273050839300149</v>
      </c>
    </row>
    <row r="54" spans="1:17" hidden="1" x14ac:dyDescent="0.3">
      <c r="A54">
        <v>53</v>
      </c>
      <c r="B54">
        <v>642410</v>
      </c>
      <c r="C54" t="s">
        <v>121</v>
      </c>
      <c r="D54" t="s">
        <v>122</v>
      </c>
      <c r="E54">
        <v>195</v>
      </c>
      <c r="F54">
        <v>24978</v>
      </c>
      <c r="G54">
        <v>540</v>
      </c>
      <c r="H54">
        <v>67</v>
      </c>
      <c r="I54">
        <v>4</v>
      </c>
      <c r="J54" t="s">
        <v>23</v>
      </c>
      <c r="K54">
        <v>0.89</v>
      </c>
      <c r="L54">
        <v>7</v>
      </c>
      <c r="M54" t="s">
        <v>20</v>
      </c>
      <c r="N54">
        <f t="shared" si="0"/>
        <v>2</v>
      </c>
      <c r="O54">
        <v>2015</v>
      </c>
      <c r="P54">
        <f t="shared" si="1"/>
        <v>10.125750716423031</v>
      </c>
      <c r="Q54">
        <f t="shared" si="2"/>
        <v>5.273050839300149</v>
      </c>
    </row>
    <row r="55" spans="1:17" x14ac:dyDescent="0.3">
      <c r="A55">
        <v>54</v>
      </c>
      <c r="B55">
        <v>629142</v>
      </c>
      <c r="C55" t="s">
        <v>123</v>
      </c>
      <c r="D55" t="s">
        <v>124</v>
      </c>
      <c r="E55">
        <v>200</v>
      </c>
      <c r="F55">
        <v>24861</v>
      </c>
      <c r="G55">
        <v>423</v>
      </c>
      <c r="H55">
        <v>281</v>
      </c>
      <c r="I55">
        <v>1</v>
      </c>
      <c r="J55" t="s">
        <v>13</v>
      </c>
      <c r="K55">
        <v>0.85</v>
      </c>
      <c r="L55">
        <v>22.5</v>
      </c>
      <c r="M55" t="s">
        <v>20</v>
      </c>
      <c r="N55">
        <f t="shared" si="0"/>
        <v>2</v>
      </c>
      <c r="O55">
        <v>2015</v>
      </c>
      <c r="P55">
        <f t="shared" si="1"/>
        <v>10.121055589517152</v>
      </c>
      <c r="Q55">
        <f t="shared" si="2"/>
        <v>5.2983673652980787</v>
      </c>
    </row>
    <row r="56" spans="1:17" hidden="1" x14ac:dyDescent="0.3">
      <c r="A56">
        <v>55</v>
      </c>
      <c r="B56">
        <v>369662</v>
      </c>
      <c r="C56" t="s">
        <v>125</v>
      </c>
      <c r="D56" t="s">
        <v>126</v>
      </c>
      <c r="E56">
        <v>150</v>
      </c>
      <c r="F56">
        <v>24575</v>
      </c>
      <c r="G56">
        <v>525</v>
      </c>
      <c r="H56">
        <v>98</v>
      </c>
      <c r="I56">
        <v>4</v>
      </c>
      <c r="J56" t="s">
        <v>23</v>
      </c>
      <c r="K56">
        <v>0.12</v>
      </c>
      <c r="L56">
        <v>19.5</v>
      </c>
      <c r="M56" t="s">
        <v>20</v>
      </c>
      <c r="N56">
        <f t="shared" si="0"/>
        <v>2</v>
      </c>
      <c r="O56">
        <v>2015</v>
      </c>
      <c r="P56">
        <f t="shared" si="1"/>
        <v>10.109484945015367</v>
      </c>
      <c r="Q56">
        <f t="shared" si="2"/>
        <v>5.0107019585407988</v>
      </c>
    </row>
    <row r="57" spans="1:17" x14ac:dyDescent="0.3">
      <c r="A57">
        <v>56</v>
      </c>
      <c r="B57">
        <v>505208</v>
      </c>
      <c r="C57" t="s">
        <v>127</v>
      </c>
      <c r="D57" t="s">
        <v>128</v>
      </c>
      <c r="E57">
        <v>20</v>
      </c>
      <c r="F57">
        <v>23764</v>
      </c>
      <c r="G57">
        <v>490</v>
      </c>
      <c r="H57">
        <v>58</v>
      </c>
      <c r="I57">
        <v>1</v>
      </c>
      <c r="J57" t="s">
        <v>13</v>
      </c>
      <c r="K57">
        <v>0.14000000000000001</v>
      </c>
      <c r="L57">
        <v>5.5</v>
      </c>
      <c r="M57" t="s">
        <v>20</v>
      </c>
      <c r="N57">
        <f t="shared" si="0"/>
        <v>2</v>
      </c>
      <c r="O57">
        <v>2015</v>
      </c>
      <c r="P57">
        <f t="shared" si="1"/>
        <v>10.075927109475632</v>
      </c>
      <c r="Q57">
        <f t="shared" si="2"/>
        <v>2.996232148595642</v>
      </c>
    </row>
    <row r="58" spans="1:17" x14ac:dyDescent="0.3">
      <c r="A58">
        <v>57</v>
      </c>
      <c r="B58">
        <v>60792</v>
      </c>
      <c r="C58" t="s">
        <v>129</v>
      </c>
      <c r="D58" t="s">
        <v>130</v>
      </c>
      <c r="E58">
        <v>0</v>
      </c>
      <c r="F58">
        <v>23669</v>
      </c>
      <c r="G58">
        <v>521</v>
      </c>
      <c r="H58">
        <v>9</v>
      </c>
      <c r="I58">
        <v>1</v>
      </c>
      <c r="J58" t="s">
        <v>13</v>
      </c>
      <c r="K58">
        <v>0.96</v>
      </c>
      <c r="L58">
        <v>1</v>
      </c>
      <c r="M58" t="s">
        <v>14</v>
      </c>
      <c r="N58">
        <f t="shared" si="0"/>
        <v>1</v>
      </c>
      <c r="O58">
        <v>2013</v>
      </c>
      <c r="P58">
        <f t="shared" si="1"/>
        <v>10.07192145404481</v>
      </c>
      <c r="Q58">
        <f t="shared" si="2"/>
        <v>-4.6051701859880909</v>
      </c>
    </row>
    <row r="59" spans="1:17" hidden="1" x14ac:dyDescent="0.3">
      <c r="A59">
        <v>58</v>
      </c>
      <c r="B59">
        <v>882488</v>
      </c>
      <c r="C59" t="s">
        <v>131</v>
      </c>
      <c r="D59" t="s">
        <v>132</v>
      </c>
      <c r="E59">
        <v>95</v>
      </c>
      <c r="F59">
        <v>23572</v>
      </c>
      <c r="G59">
        <v>210</v>
      </c>
      <c r="H59">
        <v>20</v>
      </c>
      <c r="I59">
        <v>4</v>
      </c>
      <c r="J59" t="s">
        <v>23</v>
      </c>
      <c r="K59">
        <v>0.71</v>
      </c>
      <c r="L59">
        <v>2</v>
      </c>
      <c r="M59" t="s">
        <v>20</v>
      </c>
      <c r="N59">
        <f t="shared" si="0"/>
        <v>2</v>
      </c>
      <c r="O59">
        <v>2016</v>
      </c>
      <c r="P59">
        <f t="shared" si="1"/>
        <v>10.067814845957804</v>
      </c>
      <c r="Q59">
        <f t="shared" si="2"/>
        <v>4.5539821492186583</v>
      </c>
    </row>
    <row r="60" spans="1:17" hidden="1" x14ac:dyDescent="0.3">
      <c r="A60">
        <v>59</v>
      </c>
      <c r="B60">
        <v>47963</v>
      </c>
      <c r="C60" t="s">
        <v>133</v>
      </c>
      <c r="D60" t="s">
        <v>134</v>
      </c>
      <c r="E60">
        <v>195</v>
      </c>
      <c r="F60">
        <v>23412</v>
      </c>
      <c r="G60">
        <v>799</v>
      </c>
      <c r="H60">
        <v>251</v>
      </c>
      <c r="I60">
        <v>4</v>
      </c>
      <c r="J60" t="s">
        <v>23</v>
      </c>
      <c r="K60">
        <v>7.0000000000000007E-2</v>
      </c>
      <c r="L60">
        <v>45</v>
      </c>
      <c r="M60" t="s">
        <v>20</v>
      </c>
      <c r="N60">
        <f t="shared" si="0"/>
        <v>2</v>
      </c>
      <c r="O60">
        <v>2013</v>
      </c>
      <c r="P60">
        <f t="shared" si="1"/>
        <v>10.061003990411111</v>
      </c>
      <c r="Q60">
        <f t="shared" si="2"/>
        <v>5.273050839300149</v>
      </c>
    </row>
    <row r="61" spans="1:17" hidden="1" x14ac:dyDescent="0.3">
      <c r="A61">
        <v>60</v>
      </c>
      <c r="B61">
        <v>63612</v>
      </c>
      <c r="C61" t="s">
        <v>135</v>
      </c>
      <c r="D61" t="s">
        <v>136</v>
      </c>
      <c r="E61">
        <v>200</v>
      </c>
      <c r="F61">
        <v>22999</v>
      </c>
      <c r="G61">
        <v>602</v>
      </c>
      <c r="H61">
        <v>18</v>
      </c>
      <c r="I61">
        <v>4</v>
      </c>
      <c r="J61" t="s">
        <v>23</v>
      </c>
      <c r="K61">
        <v>0.24</v>
      </c>
      <c r="L61">
        <v>1</v>
      </c>
      <c r="M61" t="s">
        <v>20</v>
      </c>
      <c r="N61">
        <f t="shared" si="0"/>
        <v>2</v>
      </c>
      <c r="O61">
        <v>2013</v>
      </c>
      <c r="P61">
        <f t="shared" si="1"/>
        <v>10.043206015705211</v>
      </c>
      <c r="Q61">
        <f t="shared" si="2"/>
        <v>5.2983673652980787</v>
      </c>
    </row>
    <row r="62" spans="1:17" hidden="1" x14ac:dyDescent="0.3">
      <c r="A62">
        <v>61</v>
      </c>
      <c r="B62">
        <v>787236</v>
      </c>
      <c r="C62" t="s">
        <v>137</v>
      </c>
      <c r="D62" t="s">
        <v>138</v>
      </c>
      <c r="E62">
        <v>95</v>
      </c>
      <c r="F62">
        <v>22623</v>
      </c>
      <c r="G62">
        <v>783</v>
      </c>
      <c r="H62">
        <v>73</v>
      </c>
      <c r="I62">
        <v>4</v>
      </c>
      <c r="J62" t="s">
        <v>23</v>
      </c>
      <c r="K62">
        <v>0.81</v>
      </c>
      <c r="L62">
        <v>8</v>
      </c>
      <c r="M62" t="s">
        <v>20</v>
      </c>
      <c r="N62">
        <f t="shared" si="0"/>
        <v>2</v>
      </c>
      <c r="O62">
        <v>2016</v>
      </c>
      <c r="P62">
        <f t="shared" si="1"/>
        <v>10.026722366870757</v>
      </c>
      <c r="Q62">
        <f t="shared" si="2"/>
        <v>4.5539821492186583</v>
      </c>
    </row>
    <row r="63" spans="1:17" x14ac:dyDescent="0.3">
      <c r="A63">
        <v>62</v>
      </c>
      <c r="B63">
        <v>534376</v>
      </c>
      <c r="C63" t="s">
        <v>139</v>
      </c>
      <c r="D63" t="s">
        <v>140</v>
      </c>
      <c r="E63">
        <v>75</v>
      </c>
      <c r="F63">
        <v>22355</v>
      </c>
      <c r="G63">
        <v>54</v>
      </c>
      <c r="H63">
        <v>26</v>
      </c>
      <c r="I63">
        <v>1</v>
      </c>
      <c r="J63" t="s">
        <v>13</v>
      </c>
      <c r="K63">
        <v>0.04</v>
      </c>
      <c r="L63">
        <v>1.5</v>
      </c>
      <c r="M63" t="s">
        <v>20</v>
      </c>
      <c r="N63">
        <f t="shared" si="0"/>
        <v>2</v>
      </c>
      <c r="O63">
        <v>2015</v>
      </c>
      <c r="P63">
        <f t="shared" si="1"/>
        <v>10.014805288668081</v>
      </c>
      <c r="Q63">
        <f t="shared" si="2"/>
        <v>4.3176214379815452</v>
      </c>
    </row>
    <row r="64" spans="1:17" hidden="1" x14ac:dyDescent="0.3">
      <c r="A64">
        <v>63</v>
      </c>
      <c r="B64">
        <v>579338</v>
      </c>
      <c r="C64" t="s">
        <v>141</v>
      </c>
      <c r="D64" t="s">
        <v>142</v>
      </c>
      <c r="E64">
        <v>100</v>
      </c>
      <c r="F64">
        <v>22213</v>
      </c>
      <c r="G64">
        <v>142</v>
      </c>
      <c r="H64">
        <v>16</v>
      </c>
      <c r="I64">
        <v>4</v>
      </c>
      <c r="J64" t="s">
        <v>23</v>
      </c>
      <c r="K64">
        <v>0.78</v>
      </c>
      <c r="L64">
        <v>1</v>
      </c>
      <c r="M64" t="s">
        <v>20</v>
      </c>
      <c r="N64">
        <f t="shared" si="0"/>
        <v>2</v>
      </c>
      <c r="O64">
        <v>2015</v>
      </c>
      <c r="P64">
        <f t="shared" si="1"/>
        <v>10.008432982057622</v>
      </c>
      <c r="Q64">
        <f t="shared" si="2"/>
        <v>4.6052701809884251</v>
      </c>
    </row>
    <row r="65" spans="1:17" hidden="1" x14ac:dyDescent="0.3">
      <c r="A65">
        <v>64</v>
      </c>
      <c r="B65">
        <v>781532</v>
      </c>
      <c r="C65" t="s">
        <v>143</v>
      </c>
      <c r="D65" t="s">
        <v>144</v>
      </c>
      <c r="E65">
        <v>140</v>
      </c>
      <c r="F65">
        <v>21998</v>
      </c>
      <c r="G65">
        <v>3326</v>
      </c>
      <c r="H65">
        <v>119</v>
      </c>
      <c r="I65">
        <v>4</v>
      </c>
      <c r="J65" t="s">
        <v>23</v>
      </c>
      <c r="K65">
        <v>0.8</v>
      </c>
      <c r="L65">
        <v>12</v>
      </c>
      <c r="M65" t="s">
        <v>20</v>
      </c>
      <c r="N65">
        <f t="shared" si="0"/>
        <v>2</v>
      </c>
      <c r="O65">
        <v>2016</v>
      </c>
      <c r="P65">
        <f t="shared" si="1"/>
        <v>9.9987068191170625</v>
      </c>
      <c r="Q65">
        <f t="shared" si="2"/>
        <v>4.941713848629834</v>
      </c>
    </row>
    <row r="66" spans="1:17" hidden="1" x14ac:dyDescent="0.3">
      <c r="A66">
        <v>65</v>
      </c>
      <c r="B66">
        <v>99826</v>
      </c>
      <c r="C66" t="s">
        <v>145</v>
      </c>
      <c r="D66" t="s">
        <v>146</v>
      </c>
      <c r="E66">
        <v>200</v>
      </c>
      <c r="F66">
        <v>21730</v>
      </c>
      <c r="G66">
        <v>61</v>
      </c>
      <c r="H66">
        <v>35</v>
      </c>
      <c r="I66">
        <v>4</v>
      </c>
      <c r="J66" t="s">
        <v>23</v>
      </c>
      <c r="K66">
        <v>0.36</v>
      </c>
      <c r="L66">
        <v>2.5</v>
      </c>
      <c r="M66" t="s">
        <v>20</v>
      </c>
      <c r="N66">
        <f t="shared" ref="N66:N129" si="3">IF(M66="Free",1,IF(M66="Paid",2,0))</f>
        <v>2</v>
      </c>
      <c r="O66">
        <v>2013</v>
      </c>
      <c r="P66">
        <f t="shared" ref="P66:P129" si="4">LN(F66)</f>
        <v>9.9864490732504745</v>
      </c>
      <c r="Q66">
        <f t="shared" ref="Q66:Q129" si="5">LN(E66+0.01)</f>
        <v>5.2983673652980787</v>
      </c>
    </row>
    <row r="67" spans="1:17" x14ac:dyDescent="0.3">
      <c r="A67">
        <v>66</v>
      </c>
      <c r="B67">
        <v>808622</v>
      </c>
      <c r="C67" t="s">
        <v>147</v>
      </c>
      <c r="D67" t="s">
        <v>148</v>
      </c>
      <c r="E67">
        <v>0</v>
      </c>
      <c r="F67">
        <v>21689</v>
      </c>
      <c r="G67">
        <v>1080</v>
      </c>
      <c r="H67">
        <v>13</v>
      </c>
      <c r="I67">
        <v>1</v>
      </c>
      <c r="J67" t="s">
        <v>13</v>
      </c>
      <c r="K67">
        <v>0.86</v>
      </c>
      <c r="L67">
        <v>1</v>
      </c>
      <c r="M67" t="s">
        <v>14</v>
      </c>
      <c r="N67">
        <f t="shared" si="3"/>
        <v>1</v>
      </c>
      <c r="O67">
        <v>2016</v>
      </c>
      <c r="P67">
        <f t="shared" si="4"/>
        <v>9.9845604985626064</v>
      </c>
      <c r="Q67">
        <f t="shared" si="5"/>
        <v>-4.6051701859880909</v>
      </c>
    </row>
    <row r="68" spans="1:17" x14ac:dyDescent="0.3">
      <c r="A68">
        <v>67</v>
      </c>
      <c r="B68">
        <v>756914</v>
      </c>
      <c r="C68" t="s">
        <v>149</v>
      </c>
      <c r="D68" t="s">
        <v>150</v>
      </c>
      <c r="E68">
        <v>0</v>
      </c>
      <c r="F68">
        <v>21682</v>
      </c>
      <c r="G68">
        <v>1106</v>
      </c>
      <c r="H68">
        <v>8</v>
      </c>
      <c r="I68">
        <v>1</v>
      </c>
      <c r="J68" t="s">
        <v>13</v>
      </c>
      <c r="K68">
        <v>0.01</v>
      </c>
      <c r="L68">
        <v>0.73333333000000001</v>
      </c>
      <c r="M68" t="s">
        <v>14</v>
      </c>
      <c r="N68">
        <f t="shared" si="3"/>
        <v>1</v>
      </c>
      <c r="O68">
        <v>2016</v>
      </c>
      <c r="P68">
        <f t="shared" si="4"/>
        <v>9.9842377022212379</v>
      </c>
      <c r="Q68">
        <f t="shared" si="5"/>
        <v>-4.6051701859880909</v>
      </c>
    </row>
    <row r="69" spans="1:17" hidden="1" x14ac:dyDescent="0.3">
      <c r="A69">
        <v>68</v>
      </c>
      <c r="B69">
        <v>30243</v>
      </c>
      <c r="C69" t="s">
        <v>151</v>
      </c>
      <c r="D69" t="s">
        <v>152</v>
      </c>
      <c r="E69">
        <v>75</v>
      </c>
      <c r="F69">
        <v>21653</v>
      </c>
      <c r="G69">
        <v>138</v>
      </c>
      <c r="H69">
        <v>35</v>
      </c>
      <c r="I69">
        <v>4</v>
      </c>
      <c r="J69" t="s">
        <v>23</v>
      </c>
      <c r="K69">
        <v>0.55000000000000004</v>
      </c>
      <c r="L69">
        <v>7</v>
      </c>
      <c r="M69" t="s">
        <v>20</v>
      </c>
      <c r="N69">
        <f t="shared" si="3"/>
        <v>2</v>
      </c>
      <c r="O69">
        <v>2013</v>
      </c>
      <c r="P69">
        <f t="shared" si="4"/>
        <v>9.9828992919602904</v>
      </c>
      <c r="Q69">
        <f t="shared" si="5"/>
        <v>4.3176214379815452</v>
      </c>
    </row>
    <row r="70" spans="1:17" hidden="1" x14ac:dyDescent="0.3">
      <c r="A70">
        <v>69</v>
      </c>
      <c r="B70">
        <v>701634</v>
      </c>
      <c r="C70" t="s">
        <v>153</v>
      </c>
      <c r="D70" t="s">
        <v>154</v>
      </c>
      <c r="E70">
        <v>0</v>
      </c>
      <c r="F70">
        <v>21245</v>
      </c>
      <c r="G70">
        <v>914</v>
      </c>
      <c r="H70">
        <v>9</v>
      </c>
      <c r="I70">
        <v>4</v>
      </c>
      <c r="J70" t="s">
        <v>23</v>
      </c>
      <c r="K70">
        <v>0.19</v>
      </c>
      <c r="L70">
        <v>1</v>
      </c>
      <c r="M70" t="s">
        <v>14</v>
      </c>
      <c r="N70">
        <f t="shared" si="3"/>
        <v>1</v>
      </c>
      <c r="O70">
        <v>2016</v>
      </c>
      <c r="P70">
        <f t="shared" si="4"/>
        <v>9.9638768525489123</v>
      </c>
      <c r="Q70">
        <f t="shared" si="5"/>
        <v>-4.6051701859880909</v>
      </c>
    </row>
    <row r="71" spans="1:17" x14ac:dyDescent="0.3">
      <c r="A71">
        <v>70</v>
      </c>
      <c r="B71">
        <v>357726</v>
      </c>
      <c r="C71" t="s">
        <v>155</v>
      </c>
      <c r="D71" t="s">
        <v>156</v>
      </c>
      <c r="E71">
        <v>0</v>
      </c>
      <c r="F71">
        <v>21147</v>
      </c>
      <c r="G71">
        <v>1220</v>
      </c>
      <c r="H71">
        <v>16</v>
      </c>
      <c r="I71">
        <v>1</v>
      </c>
      <c r="J71" t="s">
        <v>13</v>
      </c>
      <c r="K71">
        <v>0.74</v>
      </c>
      <c r="L71">
        <v>1.5</v>
      </c>
      <c r="M71" t="s">
        <v>14</v>
      </c>
      <c r="N71">
        <f t="shared" si="3"/>
        <v>1</v>
      </c>
      <c r="O71">
        <v>2015</v>
      </c>
      <c r="P71">
        <f t="shared" si="4"/>
        <v>9.9592533304419852</v>
      </c>
      <c r="Q71">
        <f t="shared" si="5"/>
        <v>-4.6051701859880909</v>
      </c>
    </row>
    <row r="72" spans="1:17" hidden="1" x14ac:dyDescent="0.3">
      <c r="A72">
        <v>71</v>
      </c>
      <c r="B72">
        <v>197828</v>
      </c>
      <c r="C72" t="s">
        <v>157</v>
      </c>
      <c r="D72" t="s">
        <v>158</v>
      </c>
      <c r="E72">
        <v>0</v>
      </c>
      <c r="F72">
        <v>21087</v>
      </c>
      <c r="G72">
        <v>154</v>
      </c>
      <c r="H72">
        <v>24</v>
      </c>
      <c r="I72">
        <v>2</v>
      </c>
      <c r="J72" t="s">
        <v>32</v>
      </c>
      <c r="K72">
        <v>0.14000000000000001</v>
      </c>
      <c r="L72">
        <v>3.5</v>
      </c>
      <c r="M72" t="s">
        <v>14</v>
      </c>
      <c r="N72">
        <f t="shared" si="3"/>
        <v>1</v>
      </c>
      <c r="O72">
        <v>2014</v>
      </c>
      <c r="P72">
        <f t="shared" si="4"/>
        <v>9.9564120158440144</v>
      </c>
      <c r="Q72">
        <f t="shared" si="5"/>
        <v>-4.6051701859880909</v>
      </c>
    </row>
    <row r="73" spans="1:17" x14ac:dyDescent="0.3">
      <c r="A73">
        <v>72</v>
      </c>
      <c r="B73">
        <v>382786</v>
      </c>
      <c r="C73" t="s">
        <v>159</v>
      </c>
      <c r="D73" t="s">
        <v>160</v>
      </c>
      <c r="E73">
        <v>0</v>
      </c>
      <c r="F73">
        <v>20890</v>
      </c>
      <c r="G73">
        <v>945</v>
      </c>
      <c r="H73">
        <v>21</v>
      </c>
      <c r="I73">
        <v>1</v>
      </c>
      <c r="J73" t="s">
        <v>13</v>
      </c>
      <c r="K73">
        <v>0.22</v>
      </c>
      <c r="L73">
        <v>3</v>
      </c>
      <c r="M73" t="s">
        <v>14</v>
      </c>
      <c r="N73">
        <f t="shared" si="3"/>
        <v>1</v>
      </c>
      <c r="O73">
        <v>2015</v>
      </c>
      <c r="P73">
        <f t="shared" si="4"/>
        <v>9.9470258545506116</v>
      </c>
      <c r="Q73">
        <f t="shared" si="5"/>
        <v>-4.6051701859880909</v>
      </c>
    </row>
    <row r="74" spans="1:17" x14ac:dyDescent="0.3">
      <c r="A74">
        <v>73</v>
      </c>
      <c r="B74">
        <v>806922</v>
      </c>
      <c r="C74" t="s">
        <v>161</v>
      </c>
      <c r="D74" t="s">
        <v>162</v>
      </c>
      <c r="E74">
        <v>190</v>
      </c>
      <c r="F74">
        <v>20652</v>
      </c>
      <c r="G74">
        <v>6357</v>
      </c>
      <c r="H74">
        <v>138</v>
      </c>
      <c r="I74">
        <v>1</v>
      </c>
      <c r="J74" t="s">
        <v>13</v>
      </c>
      <c r="K74">
        <v>0.63</v>
      </c>
      <c r="L74">
        <v>7.5</v>
      </c>
      <c r="M74" t="s">
        <v>20</v>
      </c>
      <c r="N74">
        <f t="shared" si="3"/>
        <v>2</v>
      </c>
      <c r="O74">
        <v>2016</v>
      </c>
      <c r="P74">
        <f t="shared" si="4"/>
        <v>9.9355674459995402</v>
      </c>
      <c r="Q74">
        <f t="shared" si="5"/>
        <v>5.2470767023544402</v>
      </c>
    </row>
    <row r="75" spans="1:17" hidden="1" x14ac:dyDescent="0.3">
      <c r="A75">
        <v>74</v>
      </c>
      <c r="B75">
        <v>766592</v>
      </c>
      <c r="C75" t="s">
        <v>163</v>
      </c>
      <c r="D75" t="s">
        <v>164</v>
      </c>
      <c r="E75">
        <v>0</v>
      </c>
      <c r="F75">
        <v>20073</v>
      </c>
      <c r="G75">
        <v>615</v>
      </c>
      <c r="H75">
        <v>28</v>
      </c>
      <c r="I75">
        <v>2</v>
      </c>
      <c r="J75" t="s">
        <v>32</v>
      </c>
      <c r="K75">
        <v>0.03</v>
      </c>
      <c r="L75">
        <v>1.5</v>
      </c>
      <c r="M75" t="s">
        <v>14</v>
      </c>
      <c r="N75">
        <f t="shared" si="3"/>
        <v>1</v>
      </c>
      <c r="O75">
        <v>2016</v>
      </c>
      <c r="P75">
        <f t="shared" si="4"/>
        <v>9.9071309074509273</v>
      </c>
      <c r="Q75">
        <f t="shared" si="5"/>
        <v>-4.6051701859880909</v>
      </c>
    </row>
    <row r="76" spans="1:17" hidden="1" x14ac:dyDescent="0.3">
      <c r="A76">
        <v>75</v>
      </c>
      <c r="B76">
        <v>162274</v>
      </c>
      <c r="C76" t="s">
        <v>165</v>
      </c>
      <c r="D76" t="s">
        <v>166</v>
      </c>
      <c r="E76">
        <v>0</v>
      </c>
      <c r="F76">
        <v>19909</v>
      </c>
      <c r="G76">
        <v>411</v>
      </c>
      <c r="H76">
        <v>17</v>
      </c>
      <c r="I76">
        <v>4</v>
      </c>
      <c r="J76" t="s">
        <v>23</v>
      </c>
      <c r="K76">
        <v>0.46</v>
      </c>
      <c r="L76">
        <v>3</v>
      </c>
      <c r="M76" t="s">
        <v>14</v>
      </c>
      <c r="N76">
        <f t="shared" si="3"/>
        <v>1</v>
      </c>
      <c r="O76">
        <v>2014</v>
      </c>
      <c r="P76">
        <f t="shared" si="4"/>
        <v>9.898927169779796</v>
      </c>
      <c r="Q76">
        <f t="shared" si="5"/>
        <v>-4.6051701859880909</v>
      </c>
    </row>
    <row r="77" spans="1:17" hidden="1" x14ac:dyDescent="0.3">
      <c r="A77">
        <v>76</v>
      </c>
      <c r="B77">
        <v>714724</v>
      </c>
      <c r="C77" t="s">
        <v>167</v>
      </c>
      <c r="D77" t="s">
        <v>168</v>
      </c>
      <c r="E77">
        <v>30</v>
      </c>
      <c r="F77">
        <v>19210</v>
      </c>
      <c r="G77">
        <v>3137</v>
      </c>
      <c r="H77">
        <v>44</v>
      </c>
      <c r="I77">
        <v>4</v>
      </c>
      <c r="J77" t="s">
        <v>23</v>
      </c>
      <c r="K77">
        <v>0.56999999999999995</v>
      </c>
      <c r="L77">
        <v>3</v>
      </c>
      <c r="M77" t="s">
        <v>20</v>
      </c>
      <c r="N77">
        <f t="shared" si="3"/>
        <v>2</v>
      </c>
      <c r="O77">
        <v>2016</v>
      </c>
      <c r="P77">
        <f t="shared" si="4"/>
        <v>9.8631862557626029</v>
      </c>
      <c r="Q77">
        <f t="shared" si="5"/>
        <v>3.4015306594522756</v>
      </c>
    </row>
    <row r="78" spans="1:17" x14ac:dyDescent="0.3">
      <c r="A78">
        <v>77</v>
      </c>
      <c r="B78">
        <v>231176</v>
      </c>
      <c r="C78" t="s">
        <v>169</v>
      </c>
      <c r="D78" t="s">
        <v>170</v>
      </c>
      <c r="E78">
        <v>50</v>
      </c>
      <c r="F78">
        <v>18818</v>
      </c>
      <c r="G78">
        <v>407</v>
      </c>
      <c r="H78">
        <v>80</v>
      </c>
      <c r="I78">
        <v>1</v>
      </c>
      <c r="J78" t="s">
        <v>13</v>
      </c>
      <c r="K78">
        <v>0.89</v>
      </c>
      <c r="L78">
        <v>11</v>
      </c>
      <c r="M78" t="s">
        <v>20</v>
      </c>
      <c r="N78">
        <f t="shared" si="3"/>
        <v>2</v>
      </c>
      <c r="O78">
        <v>2014</v>
      </c>
      <c r="P78">
        <f t="shared" si="4"/>
        <v>9.842569137566711</v>
      </c>
      <c r="Q78">
        <f t="shared" si="5"/>
        <v>3.9122229854308124</v>
      </c>
    </row>
    <row r="79" spans="1:17" x14ac:dyDescent="0.3">
      <c r="A79">
        <v>78</v>
      </c>
      <c r="B79">
        <v>445534</v>
      </c>
      <c r="C79" t="s">
        <v>171</v>
      </c>
      <c r="D79" t="s">
        <v>172</v>
      </c>
      <c r="E79">
        <v>20</v>
      </c>
      <c r="F79">
        <v>18777</v>
      </c>
      <c r="G79">
        <v>1112</v>
      </c>
      <c r="H79">
        <v>21</v>
      </c>
      <c r="I79">
        <v>1</v>
      </c>
      <c r="J79" t="s">
        <v>13</v>
      </c>
      <c r="K79">
        <v>0.88</v>
      </c>
      <c r="L79">
        <v>1.5</v>
      </c>
      <c r="M79" t="s">
        <v>20</v>
      </c>
      <c r="N79">
        <f t="shared" si="3"/>
        <v>2</v>
      </c>
      <c r="O79">
        <v>2015</v>
      </c>
      <c r="P79">
        <f t="shared" si="4"/>
        <v>9.8403879955928115</v>
      </c>
      <c r="Q79">
        <f t="shared" si="5"/>
        <v>2.996232148595642</v>
      </c>
    </row>
    <row r="80" spans="1:17" hidden="1" x14ac:dyDescent="0.3">
      <c r="A80">
        <v>79</v>
      </c>
      <c r="B80">
        <v>297390</v>
      </c>
      <c r="C80" t="s">
        <v>173</v>
      </c>
      <c r="D80" t="s">
        <v>174</v>
      </c>
      <c r="E80">
        <v>0</v>
      </c>
      <c r="F80">
        <v>18496</v>
      </c>
      <c r="G80">
        <v>386</v>
      </c>
      <c r="H80">
        <v>30</v>
      </c>
      <c r="I80">
        <v>4</v>
      </c>
      <c r="J80" t="s">
        <v>23</v>
      </c>
      <c r="K80">
        <v>0.34</v>
      </c>
      <c r="L80">
        <v>2</v>
      </c>
      <c r="M80" t="s">
        <v>14</v>
      </c>
      <c r="N80">
        <f t="shared" si="3"/>
        <v>1</v>
      </c>
      <c r="O80">
        <v>2014</v>
      </c>
      <c r="P80">
        <f t="shared" si="4"/>
        <v>9.8253097714721047</v>
      </c>
      <c r="Q80">
        <f t="shared" si="5"/>
        <v>-4.6051701859880909</v>
      </c>
    </row>
    <row r="81" spans="1:17" hidden="1" x14ac:dyDescent="0.3">
      <c r="A81">
        <v>80</v>
      </c>
      <c r="B81">
        <v>64605</v>
      </c>
      <c r="C81" t="s">
        <v>175</v>
      </c>
      <c r="D81" t="s">
        <v>176</v>
      </c>
      <c r="E81">
        <v>100</v>
      </c>
      <c r="F81">
        <v>18324</v>
      </c>
      <c r="G81">
        <v>333</v>
      </c>
      <c r="H81">
        <v>16</v>
      </c>
      <c r="I81">
        <v>4</v>
      </c>
      <c r="J81" t="s">
        <v>23</v>
      </c>
      <c r="K81">
        <v>0.66</v>
      </c>
      <c r="L81">
        <v>1</v>
      </c>
      <c r="M81" t="s">
        <v>20</v>
      </c>
      <c r="N81">
        <f t="shared" si="3"/>
        <v>2</v>
      </c>
      <c r="O81">
        <v>2013</v>
      </c>
      <c r="P81">
        <f t="shared" si="4"/>
        <v>9.8159669550066333</v>
      </c>
      <c r="Q81">
        <f t="shared" si="5"/>
        <v>4.6052701809884251</v>
      </c>
    </row>
    <row r="82" spans="1:17" hidden="1" x14ac:dyDescent="0.3">
      <c r="A82">
        <v>81</v>
      </c>
      <c r="B82">
        <v>79154</v>
      </c>
      <c r="C82" t="s">
        <v>177</v>
      </c>
      <c r="D82" t="s">
        <v>178</v>
      </c>
      <c r="E82">
        <v>200</v>
      </c>
      <c r="F82">
        <v>18170</v>
      </c>
      <c r="G82">
        <v>117</v>
      </c>
      <c r="H82">
        <v>779</v>
      </c>
      <c r="I82">
        <v>4</v>
      </c>
      <c r="J82" t="s">
        <v>23</v>
      </c>
      <c r="K82">
        <v>0.4</v>
      </c>
      <c r="L82">
        <v>44.5</v>
      </c>
      <c r="M82" t="s">
        <v>20</v>
      </c>
      <c r="N82">
        <f t="shared" si="3"/>
        <v>2</v>
      </c>
      <c r="O82">
        <v>2013</v>
      </c>
      <c r="P82">
        <f t="shared" si="4"/>
        <v>9.8075271613902171</v>
      </c>
      <c r="Q82">
        <f t="shared" si="5"/>
        <v>5.2983673652980787</v>
      </c>
    </row>
    <row r="83" spans="1:17" hidden="1" x14ac:dyDescent="0.3">
      <c r="A83">
        <v>82</v>
      </c>
      <c r="B83">
        <v>99986</v>
      </c>
      <c r="C83" t="s">
        <v>179</v>
      </c>
      <c r="D83" t="s">
        <v>180</v>
      </c>
      <c r="E83">
        <v>20</v>
      </c>
      <c r="F83">
        <v>18143</v>
      </c>
      <c r="G83">
        <v>159</v>
      </c>
      <c r="H83">
        <v>15</v>
      </c>
      <c r="I83">
        <v>4</v>
      </c>
      <c r="J83" t="s">
        <v>23</v>
      </c>
      <c r="K83">
        <v>0.67</v>
      </c>
      <c r="L83">
        <v>2</v>
      </c>
      <c r="M83" t="s">
        <v>20</v>
      </c>
      <c r="N83">
        <f t="shared" si="3"/>
        <v>2</v>
      </c>
      <c r="O83">
        <v>2013</v>
      </c>
      <c r="P83">
        <f t="shared" si="4"/>
        <v>9.8060400903701623</v>
      </c>
      <c r="Q83">
        <f t="shared" si="5"/>
        <v>2.996232148595642</v>
      </c>
    </row>
    <row r="84" spans="1:17" hidden="1" x14ac:dyDescent="0.3">
      <c r="A84">
        <v>83</v>
      </c>
      <c r="B84">
        <v>582636</v>
      </c>
      <c r="C84" t="s">
        <v>181</v>
      </c>
      <c r="D84" t="s">
        <v>182</v>
      </c>
      <c r="E84">
        <v>150</v>
      </c>
      <c r="F84">
        <v>18101</v>
      </c>
      <c r="G84">
        <v>88</v>
      </c>
      <c r="H84">
        <v>68</v>
      </c>
      <c r="I84">
        <v>4</v>
      </c>
      <c r="J84" t="s">
        <v>23</v>
      </c>
      <c r="K84">
        <v>0.74</v>
      </c>
      <c r="L84">
        <v>5.5</v>
      </c>
      <c r="M84" t="s">
        <v>20</v>
      </c>
      <c r="N84">
        <f t="shared" si="3"/>
        <v>2</v>
      </c>
      <c r="O84">
        <v>2015</v>
      </c>
      <c r="P84">
        <f t="shared" si="4"/>
        <v>9.8037224643465528</v>
      </c>
      <c r="Q84">
        <f t="shared" si="5"/>
        <v>5.0107019585407988</v>
      </c>
    </row>
    <row r="85" spans="1:17" x14ac:dyDescent="0.3">
      <c r="A85">
        <v>84</v>
      </c>
      <c r="B85">
        <v>652438</v>
      </c>
      <c r="C85" t="s">
        <v>183</v>
      </c>
      <c r="D85" t="s">
        <v>184</v>
      </c>
      <c r="E85">
        <v>195</v>
      </c>
      <c r="F85">
        <v>17895</v>
      </c>
      <c r="G85">
        <v>212</v>
      </c>
      <c r="H85">
        <v>30</v>
      </c>
      <c r="I85">
        <v>1</v>
      </c>
      <c r="J85" t="s">
        <v>13</v>
      </c>
      <c r="K85">
        <v>0.59</v>
      </c>
      <c r="L85">
        <v>4</v>
      </c>
      <c r="M85" t="s">
        <v>20</v>
      </c>
      <c r="N85">
        <f t="shared" si="3"/>
        <v>2</v>
      </c>
      <c r="O85">
        <v>2015</v>
      </c>
      <c r="P85">
        <f t="shared" si="4"/>
        <v>9.7922766232001255</v>
      </c>
      <c r="Q85">
        <f t="shared" si="5"/>
        <v>5.273050839300149</v>
      </c>
    </row>
    <row r="86" spans="1:17" x14ac:dyDescent="0.3">
      <c r="A86">
        <v>85</v>
      </c>
      <c r="B86">
        <v>164554</v>
      </c>
      <c r="C86" t="s">
        <v>185</v>
      </c>
      <c r="D86" t="s">
        <v>186</v>
      </c>
      <c r="E86">
        <v>75</v>
      </c>
      <c r="F86">
        <v>17802</v>
      </c>
      <c r="G86">
        <v>2144</v>
      </c>
      <c r="H86">
        <v>113</v>
      </c>
      <c r="I86">
        <v>1</v>
      </c>
      <c r="J86" t="s">
        <v>13</v>
      </c>
      <c r="K86">
        <v>0.02</v>
      </c>
      <c r="L86">
        <v>10</v>
      </c>
      <c r="M86" t="s">
        <v>20</v>
      </c>
      <c r="N86">
        <f t="shared" si="3"/>
        <v>2</v>
      </c>
      <c r="O86">
        <v>2014</v>
      </c>
      <c r="P86">
        <f t="shared" si="4"/>
        <v>9.787066089518877</v>
      </c>
      <c r="Q86">
        <f t="shared" si="5"/>
        <v>4.3176214379815452</v>
      </c>
    </row>
    <row r="87" spans="1:17" x14ac:dyDescent="0.3">
      <c r="A87">
        <v>86</v>
      </c>
      <c r="B87">
        <v>1107524</v>
      </c>
      <c r="C87" t="s">
        <v>187</v>
      </c>
      <c r="D87" t="s">
        <v>188</v>
      </c>
      <c r="E87">
        <v>195</v>
      </c>
      <c r="F87">
        <v>17784</v>
      </c>
      <c r="G87">
        <v>260</v>
      </c>
      <c r="H87">
        <v>61</v>
      </c>
      <c r="I87">
        <v>1</v>
      </c>
      <c r="J87" t="s">
        <v>13</v>
      </c>
      <c r="K87">
        <v>0.48</v>
      </c>
      <c r="L87">
        <v>12.5</v>
      </c>
      <c r="M87" t="s">
        <v>20</v>
      </c>
      <c r="N87">
        <f t="shared" si="3"/>
        <v>2</v>
      </c>
      <c r="O87">
        <v>2017</v>
      </c>
      <c r="P87">
        <f t="shared" si="4"/>
        <v>9.7860544556440328</v>
      </c>
      <c r="Q87">
        <f t="shared" si="5"/>
        <v>5.273050839300149</v>
      </c>
    </row>
    <row r="88" spans="1:17" hidden="1" x14ac:dyDescent="0.3">
      <c r="A88">
        <v>87</v>
      </c>
      <c r="B88">
        <v>963412</v>
      </c>
      <c r="C88" t="s">
        <v>189</v>
      </c>
      <c r="D88" t="s">
        <v>190</v>
      </c>
      <c r="E88">
        <v>120</v>
      </c>
      <c r="F88">
        <v>17759</v>
      </c>
      <c r="G88">
        <v>64</v>
      </c>
      <c r="H88">
        <v>37</v>
      </c>
      <c r="I88">
        <v>4</v>
      </c>
      <c r="J88" t="s">
        <v>23</v>
      </c>
      <c r="K88">
        <v>0.14000000000000001</v>
      </c>
      <c r="L88">
        <v>3</v>
      </c>
      <c r="M88" t="s">
        <v>20</v>
      </c>
      <c r="N88">
        <f t="shared" si="3"/>
        <v>2</v>
      </c>
      <c r="O88">
        <v>2016</v>
      </c>
      <c r="P88">
        <f t="shared" si="4"/>
        <v>9.784647708654596</v>
      </c>
      <c r="Q88">
        <f t="shared" si="5"/>
        <v>4.7875750726433504</v>
      </c>
    </row>
    <row r="89" spans="1:17" hidden="1" x14ac:dyDescent="0.3">
      <c r="A89">
        <v>88</v>
      </c>
      <c r="B89">
        <v>391546</v>
      </c>
      <c r="C89" t="s">
        <v>191</v>
      </c>
      <c r="D89" t="s">
        <v>192</v>
      </c>
      <c r="E89">
        <v>70</v>
      </c>
      <c r="F89">
        <v>17714</v>
      </c>
      <c r="G89">
        <v>198</v>
      </c>
      <c r="H89">
        <v>23</v>
      </c>
      <c r="I89">
        <v>4</v>
      </c>
      <c r="J89" t="s">
        <v>23</v>
      </c>
      <c r="K89">
        <v>0.11</v>
      </c>
      <c r="L89">
        <v>3.5</v>
      </c>
      <c r="M89" t="s">
        <v>20</v>
      </c>
      <c r="N89">
        <f t="shared" si="3"/>
        <v>2</v>
      </c>
      <c r="O89">
        <v>2015</v>
      </c>
      <c r="P89">
        <f t="shared" si="4"/>
        <v>9.7821105663695285</v>
      </c>
      <c r="Q89">
        <f t="shared" si="5"/>
        <v>4.2486380889891064</v>
      </c>
    </row>
    <row r="90" spans="1:17" hidden="1" x14ac:dyDescent="0.3">
      <c r="A90">
        <v>89</v>
      </c>
      <c r="B90">
        <v>995016</v>
      </c>
      <c r="C90" t="s">
        <v>193</v>
      </c>
      <c r="D90" t="s">
        <v>194</v>
      </c>
      <c r="E90">
        <v>190</v>
      </c>
      <c r="F90">
        <v>17671</v>
      </c>
      <c r="G90">
        <v>4675</v>
      </c>
      <c r="H90">
        <v>329</v>
      </c>
      <c r="I90">
        <v>2</v>
      </c>
      <c r="J90" t="s">
        <v>32</v>
      </c>
      <c r="K90">
        <v>0.53</v>
      </c>
      <c r="L90">
        <v>18</v>
      </c>
      <c r="M90" t="s">
        <v>20</v>
      </c>
      <c r="N90">
        <f t="shared" si="3"/>
        <v>2</v>
      </c>
      <c r="O90">
        <v>2016</v>
      </c>
      <c r="P90">
        <f t="shared" si="4"/>
        <v>9.7796801568080554</v>
      </c>
      <c r="Q90">
        <f t="shared" si="5"/>
        <v>5.2470767023544402</v>
      </c>
    </row>
    <row r="91" spans="1:17" hidden="1" x14ac:dyDescent="0.3">
      <c r="A91">
        <v>90</v>
      </c>
      <c r="B91">
        <v>516062</v>
      </c>
      <c r="C91" t="s">
        <v>195</v>
      </c>
      <c r="D91" t="s">
        <v>196</v>
      </c>
      <c r="E91">
        <v>20</v>
      </c>
      <c r="F91">
        <v>17554</v>
      </c>
      <c r="G91">
        <v>94</v>
      </c>
      <c r="H91">
        <v>16</v>
      </c>
      <c r="I91">
        <v>4</v>
      </c>
      <c r="J91" t="s">
        <v>23</v>
      </c>
      <c r="K91">
        <v>0.11</v>
      </c>
      <c r="L91">
        <v>1.5</v>
      </c>
      <c r="M91" t="s">
        <v>20</v>
      </c>
      <c r="N91">
        <f t="shared" si="3"/>
        <v>2</v>
      </c>
      <c r="O91">
        <v>2015</v>
      </c>
      <c r="P91">
        <f t="shared" si="4"/>
        <v>9.7730371231520632</v>
      </c>
      <c r="Q91">
        <f t="shared" si="5"/>
        <v>2.996232148595642</v>
      </c>
    </row>
    <row r="92" spans="1:17" hidden="1" x14ac:dyDescent="0.3">
      <c r="A92">
        <v>91</v>
      </c>
      <c r="B92">
        <v>639654</v>
      </c>
      <c r="C92" t="s">
        <v>197</v>
      </c>
      <c r="D92" t="s">
        <v>198</v>
      </c>
      <c r="E92">
        <v>0</v>
      </c>
      <c r="F92">
        <v>17463</v>
      </c>
      <c r="G92">
        <v>283</v>
      </c>
      <c r="H92">
        <v>30</v>
      </c>
      <c r="I92">
        <v>4</v>
      </c>
      <c r="J92" t="s">
        <v>23</v>
      </c>
      <c r="K92">
        <v>0.18</v>
      </c>
      <c r="L92">
        <v>1.5</v>
      </c>
      <c r="M92" t="s">
        <v>14</v>
      </c>
      <c r="N92">
        <f t="shared" si="3"/>
        <v>1</v>
      </c>
      <c r="O92">
        <v>2015</v>
      </c>
      <c r="P92">
        <f t="shared" si="4"/>
        <v>9.7678396359398452</v>
      </c>
      <c r="Q92">
        <f t="shared" si="5"/>
        <v>-4.6051701859880909</v>
      </c>
    </row>
    <row r="93" spans="1:17" hidden="1" x14ac:dyDescent="0.3">
      <c r="A93">
        <v>92</v>
      </c>
      <c r="B93">
        <v>383204</v>
      </c>
      <c r="C93" t="s">
        <v>199</v>
      </c>
      <c r="D93" t="s">
        <v>200</v>
      </c>
      <c r="E93">
        <v>100</v>
      </c>
      <c r="F93">
        <v>17334</v>
      </c>
      <c r="G93">
        <v>676</v>
      </c>
      <c r="H93">
        <v>96</v>
      </c>
      <c r="I93">
        <v>4</v>
      </c>
      <c r="J93" t="s">
        <v>23</v>
      </c>
      <c r="K93">
        <v>0.45</v>
      </c>
      <c r="L93">
        <v>17</v>
      </c>
      <c r="M93" t="s">
        <v>20</v>
      </c>
      <c r="N93">
        <f t="shared" si="3"/>
        <v>2</v>
      </c>
      <c r="O93">
        <v>2015</v>
      </c>
      <c r="P93">
        <f t="shared" si="4"/>
        <v>9.7604251696942903</v>
      </c>
      <c r="Q93">
        <f t="shared" si="5"/>
        <v>4.6052701809884251</v>
      </c>
    </row>
    <row r="94" spans="1:17" hidden="1" x14ac:dyDescent="0.3">
      <c r="A94">
        <v>93</v>
      </c>
      <c r="B94">
        <v>833442</v>
      </c>
      <c r="C94" t="s">
        <v>201</v>
      </c>
      <c r="D94" t="s">
        <v>202</v>
      </c>
      <c r="E94">
        <v>150</v>
      </c>
      <c r="F94">
        <v>17297</v>
      </c>
      <c r="G94">
        <v>3166</v>
      </c>
      <c r="H94">
        <v>111</v>
      </c>
      <c r="I94">
        <v>3</v>
      </c>
      <c r="J94" t="s">
        <v>17</v>
      </c>
      <c r="K94">
        <v>0.15</v>
      </c>
      <c r="L94">
        <v>8.5</v>
      </c>
      <c r="M94" t="s">
        <v>20</v>
      </c>
      <c r="N94">
        <f t="shared" si="3"/>
        <v>2</v>
      </c>
      <c r="O94">
        <v>2016</v>
      </c>
      <c r="P94">
        <f t="shared" si="4"/>
        <v>9.7582883550439234</v>
      </c>
      <c r="Q94">
        <f t="shared" si="5"/>
        <v>5.0107019585407988</v>
      </c>
    </row>
    <row r="95" spans="1:17" x14ac:dyDescent="0.3">
      <c r="A95">
        <v>94</v>
      </c>
      <c r="B95">
        <v>30318</v>
      </c>
      <c r="C95" t="s">
        <v>203</v>
      </c>
      <c r="D95" t="s">
        <v>204</v>
      </c>
      <c r="E95">
        <v>50</v>
      </c>
      <c r="F95">
        <v>17113</v>
      </c>
      <c r="G95">
        <v>380</v>
      </c>
      <c r="H95">
        <v>93</v>
      </c>
      <c r="I95">
        <v>1</v>
      </c>
      <c r="J95" t="s">
        <v>13</v>
      </c>
      <c r="K95">
        <v>0.24</v>
      </c>
      <c r="L95">
        <v>9.5</v>
      </c>
      <c r="M95" t="s">
        <v>20</v>
      </c>
      <c r="N95">
        <f t="shared" si="3"/>
        <v>2</v>
      </c>
      <c r="O95">
        <v>2012</v>
      </c>
      <c r="P95">
        <f t="shared" si="4"/>
        <v>9.7475936875774511</v>
      </c>
      <c r="Q95">
        <f t="shared" si="5"/>
        <v>3.9122229854308124</v>
      </c>
    </row>
    <row r="96" spans="1:17" hidden="1" x14ac:dyDescent="0.3">
      <c r="A96">
        <v>95</v>
      </c>
      <c r="B96">
        <v>173134</v>
      </c>
      <c r="C96" t="s">
        <v>205</v>
      </c>
      <c r="D96" t="s">
        <v>206</v>
      </c>
      <c r="E96">
        <v>200</v>
      </c>
      <c r="F96">
        <v>17071</v>
      </c>
      <c r="G96">
        <v>17</v>
      </c>
      <c r="H96">
        <v>15</v>
      </c>
      <c r="I96">
        <v>2</v>
      </c>
      <c r="J96" t="s">
        <v>32</v>
      </c>
      <c r="K96">
        <v>0.76</v>
      </c>
      <c r="L96">
        <v>1.5</v>
      </c>
      <c r="M96" t="s">
        <v>20</v>
      </c>
      <c r="N96">
        <f t="shared" si="3"/>
        <v>2</v>
      </c>
      <c r="O96">
        <v>2014</v>
      </c>
      <c r="P96">
        <f t="shared" si="4"/>
        <v>9.7451363963807527</v>
      </c>
      <c r="Q96">
        <f t="shared" si="5"/>
        <v>5.2983673652980787</v>
      </c>
    </row>
    <row r="97" spans="1:17" x14ac:dyDescent="0.3">
      <c r="A97">
        <v>96</v>
      </c>
      <c r="B97">
        <v>983534</v>
      </c>
      <c r="C97" t="s">
        <v>207</v>
      </c>
      <c r="D97" t="s">
        <v>208</v>
      </c>
      <c r="E97">
        <v>50</v>
      </c>
      <c r="F97">
        <v>16926</v>
      </c>
      <c r="G97">
        <v>126</v>
      </c>
      <c r="H97">
        <v>33</v>
      </c>
      <c r="I97">
        <v>1</v>
      </c>
      <c r="J97" t="s">
        <v>13</v>
      </c>
      <c r="K97">
        <v>0.61</v>
      </c>
      <c r="L97">
        <v>4.5</v>
      </c>
      <c r="M97" t="s">
        <v>20</v>
      </c>
      <c r="N97">
        <f t="shared" si="3"/>
        <v>2</v>
      </c>
      <c r="O97">
        <v>2016</v>
      </c>
      <c r="P97">
        <f t="shared" si="4"/>
        <v>9.7366061802300514</v>
      </c>
      <c r="Q97">
        <f t="shared" si="5"/>
        <v>3.9122229854308124</v>
      </c>
    </row>
    <row r="98" spans="1:17" hidden="1" x14ac:dyDescent="0.3">
      <c r="A98">
        <v>97</v>
      </c>
      <c r="B98">
        <v>1078522</v>
      </c>
      <c r="C98" t="s">
        <v>209</v>
      </c>
      <c r="D98" t="s">
        <v>210</v>
      </c>
      <c r="E98">
        <v>60</v>
      </c>
      <c r="F98">
        <v>16829</v>
      </c>
      <c r="G98">
        <v>820</v>
      </c>
      <c r="H98">
        <v>77</v>
      </c>
      <c r="I98">
        <v>4</v>
      </c>
      <c r="J98" t="s">
        <v>23</v>
      </c>
      <c r="K98">
        <v>0.76</v>
      </c>
      <c r="L98">
        <v>5</v>
      </c>
      <c r="M98" t="s">
        <v>20</v>
      </c>
      <c r="N98">
        <f t="shared" si="3"/>
        <v>2</v>
      </c>
      <c r="O98">
        <v>2017</v>
      </c>
      <c r="P98">
        <f t="shared" si="4"/>
        <v>9.7308588677130725</v>
      </c>
      <c r="Q98">
        <f t="shared" si="5"/>
        <v>4.0945112150014218</v>
      </c>
    </row>
    <row r="99" spans="1:17" hidden="1" x14ac:dyDescent="0.3">
      <c r="A99">
        <v>98</v>
      </c>
      <c r="B99">
        <v>701636</v>
      </c>
      <c r="C99" t="s">
        <v>211</v>
      </c>
      <c r="D99" t="s">
        <v>212</v>
      </c>
      <c r="E99">
        <v>75</v>
      </c>
      <c r="F99">
        <v>16731</v>
      </c>
      <c r="G99">
        <v>137</v>
      </c>
      <c r="H99">
        <v>10</v>
      </c>
      <c r="I99">
        <v>4</v>
      </c>
      <c r="J99" t="s">
        <v>23</v>
      </c>
      <c r="K99">
        <v>0.66</v>
      </c>
      <c r="L99">
        <v>1</v>
      </c>
      <c r="M99" t="s">
        <v>20</v>
      </c>
      <c r="N99">
        <f t="shared" si="3"/>
        <v>2</v>
      </c>
      <c r="O99">
        <v>2015</v>
      </c>
      <c r="P99">
        <f t="shared" si="4"/>
        <v>9.7250185650576633</v>
      </c>
      <c r="Q99">
        <f t="shared" si="5"/>
        <v>4.3176214379815452</v>
      </c>
    </row>
    <row r="100" spans="1:17" hidden="1" x14ac:dyDescent="0.3">
      <c r="A100">
        <v>99</v>
      </c>
      <c r="B100">
        <v>648118</v>
      </c>
      <c r="C100" t="s">
        <v>213</v>
      </c>
      <c r="D100" t="s">
        <v>214</v>
      </c>
      <c r="E100">
        <v>75</v>
      </c>
      <c r="F100">
        <v>16590</v>
      </c>
      <c r="G100">
        <v>51</v>
      </c>
      <c r="H100">
        <v>27</v>
      </c>
      <c r="I100">
        <v>4</v>
      </c>
      <c r="J100" t="s">
        <v>23</v>
      </c>
      <c r="K100">
        <v>0.26</v>
      </c>
      <c r="L100">
        <v>2.5</v>
      </c>
      <c r="M100" t="s">
        <v>20</v>
      </c>
      <c r="N100">
        <f t="shared" si="3"/>
        <v>2</v>
      </c>
      <c r="O100">
        <v>2015</v>
      </c>
      <c r="P100">
        <f t="shared" si="4"/>
        <v>9.71655538318449</v>
      </c>
      <c r="Q100">
        <f t="shared" si="5"/>
        <v>4.3176214379815452</v>
      </c>
    </row>
    <row r="101" spans="1:17" hidden="1" x14ac:dyDescent="0.3">
      <c r="A101">
        <v>100</v>
      </c>
      <c r="B101">
        <v>188692</v>
      </c>
      <c r="C101" t="s">
        <v>215</v>
      </c>
      <c r="D101" t="s">
        <v>216</v>
      </c>
      <c r="E101">
        <v>0</v>
      </c>
      <c r="F101">
        <v>16527</v>
      </c>
      <c r="G101">
        <v>354</v>
      </c>
      <c r="H101">
        <v>17</v>
      </c>
      <c r="I101">
        <v>4</v>
      </c>
      <c r="J101" t="s">
        <v>23</v>
      </c>
      <c r="K101">
        <v>0.68</v>
      </c>
      <c r="L101">
        <v>2</v>
      </c>
      <c r="M101" t="s">
        <v>14</v>
      </c>
      <c r="N101">
        <f t="shared" si="3"/>
        <v>1</v>
      </c>
      <c r="O101">
        <v>2014</v>
      </c>
      <c r="P101">
        <f t="shared" si="4"/>
        <v>9.7127506861408257</v>
      </c>
      <c r="Q101">
        <f t="shared" si="5"/>
        <v>-4.6051701859880909</v>
      </c>
    </row>
    <row r="102" spans="1:17" x14ac:dyDescent="0.3">
      <c r="A102">
        <v>101</v>
      </c>
      <c r="B102">
        <v>50522</v>
      </c>
      <c r="C102" t="s">
        <v>217</v>
      </c>
      <c r="D102" t="s">
        <v>218</v>
      </c>
      <c r="E102">
        <v>20</v>
      </c>
      <c r="F102">
        <v>16486</v>
      </c>
      <c r="G102">
        <v>86</v>
      </c>
      <c r="H102">
        <v>34</v>
      </c>
      <c r="I102">
        <v>1</v>
      </c>
      <c r="J102" t="s">
        <v>13</v>
      </c>
      <c r="K102">
        <v>0.24</v>
      </c>
      <c r="L102">
        <v>6.5</v>
      </c>
      <c r="M102" t="s">
        <v>20</v>
      </c>
      <c r="N102">
        <f t="shared" si="3"/>
        <v>2</v>
      </c>
      <c r="O102">
        <v>2014</v>
      </c>
      <c r="P102">
        <f t="shared" si="4"/>
        <v>9.7102668148731723</v>
      </c>
      <c r="Q102">
        <f t="shared" si="5"/>
        <v>2.996232148595642</v>
      </c>
    </row>
    <row r="103" spans="1:17" hidden="1" x14ac:dyDescent="0.3">
      <c r="A103">
        <v>102</v>
      </c>
      <c r="B103">
        <v>874166</v>
      </c>
      <c r="C103" t="s">
        <v>219</v>
      </c>
      <c r="D103" t="s">
        <v>220</v>
      </c>
      <c r="E103">
        <v>100</v>
      </c>
      <c r="F103">
        <v>16409</v>
      </c>
      <c r="G103">
        <v>589</v>
      </c>
      <c r="H103">
        <v>74</v>
      </c>
      <c r="I103">
        <v>2</v>
      </c>
      <c r="J103" t="s">
        <v>32</v>
      </c>
      <c r="K103">
        <v>0.71</v>
      </c>
      <c r="L103">
        <v>4</v>
      </c>
      <c r="M103" t="s">
        <v>20</v>
      </c>
      <c r="N103">
        <f t="shared" si="3"/>
        <v>2</v>
      </c>
      <c r="O103">
        <v>2016</v>
      </c>
      <c r="P103">
        <f t="shared" si="4"/>
        <v>9.7055852437751504</v>
      </c>
      <c r="Q103">
        <f t="shared" si="5"/>
        <v>4.6052701809884251</v>
      </c>
    </row>
    <row r="104" spans="1:17" x14ac:dyDescent="0.3">
      <c r="A104">
        <v>103</v>
      </c>
      <c r="B104">
        <v>993754</v>
      </c>
      <c r="C104" t="s">
        <v>221</v>
      </c>
      <c r="D104" t="s">
        <v>222</v>
      </c>
      <c r="E104">
        <v>195</v>
      </c>
      <c r="F104">
        <v>16282</v>
      </c>
      <c r="G104">
        <v>303</v>
      </c>
      <c r="H104">
        <v>159</v>
      </c>
      <c r="I104">
        <v>1</v>
      </c>
      <c r="J104" t="s">
        <v>13</v>
      </c>
      <c r="K104">
        <v>0.35</v>
      </c>
      <c r="L104">
        <v>18.5</v>
      </c>
      <c r="M104" t="s">
        <v>20</v>
      </c>
      <c r="N104">
        <f t="shared" si="3"/>
        <v>2</v>
      </c>
      <c r="O104">
        <v>2016</v>
      </c>
      <c r="P104">
        <f t="shared" si="4"/>
        <v>9.6978154821339224</v>
      </c>
      <c r="Q104">
        <f t="shared" si="5"/>
        <v>5.273050839300149</v>
      </c>
    </row>
    <row r="105" spans="1:17" x14ac:dyDescent="0.3">
      <c r="A105">
        <v>104</v>
      </c>
      <c r="B105">
        <v>64422</v>
      </c>
      <c r="C105" t="s">
        <v>223</v>
      </c>
      <c r="D105" t="s">
        <v>224</v>
      </c>
      <c r="E105">
        <v>200</v>
      </c>
      <c r="F105">
        <v>16212</v>
      </c>
      <c r="G105">
        <v>514</v>
      </c>
      <c r="H105">
        <v>20</v>
      </c>
      <c r="I105">
        <v>1</v>
      </c>
      <c r="J105" t="s">
        <v>13</v>
      </c>
      <c r="K105">
        <v>0.34</v>
      </c>
      <c r="L105">
        <v>1</v>
      </c>
      <c r="M105" t="s">
        <v>20</v>
      </c>
      <c r="N105">
        <f t="shared" si="3"/>
        <v>2</v>
      </c>
      <c r="O105">
        <v>2013</v>
      </c>
      <c r="P105">
        <f t="shared" si="4"/>
        <v>9.693506987748199</v>
      </c>
      <c r="Q105">
        <f t="shared" si="5"/>
        <v>5.2983673652980787</v>
      </c>
    </row>
    <row r="106" spans="1:17" hidden="1" x14ac:dyDescent="0.3">
      <c r="A106">
        <v>105</v>
      </c>
      <c r="B106">
        <v>1171966</v>
      </c>
      <c r="C106" t="s">
        <v>225</v>
      </c>
      <c r="D106" t="s">
        <v>226</v>
      </c>
      <c r="E106">
        <v>200</v>
      </c>
      <c r="F106">
        <v>16158</v>
      </c>
      <c r="G106">
        <v>159</v>
      </c>
      <c r="H106">
        <v>125</v>
      </c>
      <c r="I106">
        <v>4</v>
      </c>
      <c r="J106" t="s">
        <v>23</v>
      </c>
      <c r="K106">
        <v>0.71</v>
      </c>
      <c r="L106">
        <v>19.5</v>
      </c>
      <c r="M106" t="s">
        <v>20</v>
      </c>
      <c r="N106">
        <f t="shared" si="3"/>
        <v>2</v>
      </c>
      <c r="O106">
        <v>2017</v>
      </c>
      <c r="P106">
        <f t="shared" si="4"/>
        <v>9.6901705620396541</v>
      </c>
      <c r="Q106">
        <f t="shared" si="5"/>
        <v>5.2983673652980787</v>
      </c>
    </row>
    <row r="107" spans="1:17" x14ac:dyDescent="0.3">
      <c r="A107">
        <v>106</v>
      </c>
      <c r="B107">
        <v>556922</v>
      </c>
      <c r="C107" t="s">
        <v>227</v>
      </c>
      <c r="D107" t="s">
        <v>228</v>
      </c>
      <c r="E107">
        <v>40</v>
      </c>
      <c r="F107">
        <v>15724</v>
      </c>
      <c r="G107">
        <v>33</v>
      </c>
      <c r="H107">
        <v>29</v>
      </c>
      <c r="I107">
        <v>1</v>
      </c>
      <c r="J107" t="s">
        <v>13</v>
      </c>
      <c r="K107">
        <v>0.44</v>
      </c>
      <c r="L107">
        <v>1.5</v>
      </c>
      <c r="M107" t="s">
        <v>20</v>
      </c>
      <c r="N107">
        <f t="shared" si="3"/>
        <v>2</v>
      </c>
      <c r="O107">
        <v>2016</v>
      </c>
      <c r="P107">
        <f t="shared" si="4"/>
        <v>9.6629434865417512</v>
      </c>
      <c r="Q107">
        <f t="shared" si="5"/>
        <v>3.6891294228691436</v>
      </c>
    </row>
    <row r="108" spans="1:17" hidden="1" x14ac:dyDescent="0.3">
      <c r="A108">
        <v>107</v>
      </c>
      <c r="B108">
        <v>364616</v>
      </c>
      <c r="C108" t="s">
        <v>229</v>
      </c>
      <c r="D108" t="s">
        <v>230</v>
      </c>
      <c r="E108">
        <v>0</v>
      </c>
      <c r="F108">
        <v>15715</v>
      </c>
      <c r="G108">
        <v>406</v>
      </c>
      <c r="H108">
        <v>28</v>
      </c>
      <c r="I108">
        <v>4</v>
      </c>
      <c r="J108" t="s">
        <v>23</v>
      </c>
      <c r="K108">
        <v>0.12</v>
      </c>
      <c r="L108">
        <v>3.5</v>
      </c>
      <c r="M108" t="s">
        <v>14</v>
      </c>
      <c r="N108">
        <f t="shared" si="3"/>
        <v>1</v>
      </c>
      <c r="O108">
        <v>2014</v>
      </c>
      <c r="P108">
        <f t="shared" si="4"/>
        <v>9.6623709492316685</v>
      </c>
      <c r="Q108">
        <f t="shared" si="5"/>
        <v>-4.6051701859880909</v>
      </c>
    </row>
    <row r="109" spans="1:17" hidden="1" x14ac:dyDescent="0.3">
      <c r="A109">
        <v>108</v>
      </c>
      <c r="B109">
        <v>212374</v>
      </c>
      <c r="C109" t="s">
        <v>231</v>
      </c>
      <c r="D109" t="s">
        <v>232</v>
      </c>
      <c r="E109">
        <v>0</v>
      </c>
      <c r="F109">
        <v>15493</v>
      </c>
      <c r="G109">
        <v>415</v>
      </c>
      <c r="H109">
        <v>25</v>
      </c>
      <c r="I109">
        <v>4</v>
      </c>
      <c r="J109" t="s">
        <v>23</v>
      </c>
      <c r="K109">
        <v>0.56000000000000005</v>
      </c>
      <c r="L109">
        <v>2</v>
      </c>
      <c r="M109" t="s">
        <v>14</v>
      </c>
      <c r="N109">
        <f t="shared" si="3"/>
        <v>1</v>
      </c>
      <c r="O109">
        <v>2014</v>
      </c>
      <c r="P109">
        <f t="shared" si="4"/>
        <v>9.6481435879962927</v>
      </c>
      <c r="Q109">
        <f t="shared" si="5"/>
        <v>-4.6051701859880909</v>
      </c>
    </row>
    <row r="110" spans="1:17" x14ac:dyDescent="0.3">
      <c r="A110">
        <v>109</v>
      </c>
      <c r="B110">
        <v>340844</v>
      </c>
      <c r="C110" t="s">
        <v>233</v>
      </c>
      <c r="D110" t="s">
        <v>234</v>
      </c>
      <c r="E110">
        <v>0</v>
      </c>
      <c r="F110">
        <v>15462</v>
      </c>
      <c r="G110">
        <v>689</v>
      </c>
      <c r="H110">
        <v>60</v>
      </c>
      <c r="I110">
        <v>1</v>
      </c>
      <c r="J110" t="s">
        <v>13</v>
      </c>
      <c r="K110">
        <v>0.88</v>
      </c>
      <c r="L110">
        <v>4.5</v>
      </c>
      <c r="M110" t="s">
        <v>14</v>
      </c>
      <c r="N110">
        <f t="shared" si="3"/>
        <v>1</v>
      </c>
      <c r="O110">
        <v>2015</v>
      </c>
      <c r="P110">
        <f t="shared" si="4"/>
        <v>9.6461406798804195</v>
      </c>
      <c r="Q110">
        <f t="shared" si="5"/>
        <v>-4.6051701859880909</v>
      </c>
    </row>
    <row r="111" spans="1:17" hidden="1" x14ac:dyDescent="0.3">
      <c r="A111">
        <v>110</v>
      </c>
      <c r="B111">
        <v>1146014</v>
      </c>
      <c r="C111" t="s">
        <v>235</v>
      </c>
      <c r="D111" t="s">
        <v>236</v>
      </c>
      <c r="E111">
        <v>200</v>
      </c>
      <c r="F111">
        <v>15276</v>
      </c>
      <c r="G111">
        <v>167</v>
      </c>
      <c r="H111">
        <v>19</v>
      </c>
      <c r="I111">
        <v>4</v>
      </c>
      <c r="J111" t="s">
        <v>23</v>
      </c>
      <c r="K111">
        <v>0.57999999999999996</v>
      </c>
      <c r="L111">
        <v>1.5</v>
      </c>
      <c r="M111" t="s">
        <v>20</v>
      </c>
      <c r="N111">
        <f t="shared" si="3"/>
        <v>2</v>
      </c>
      <c r="O111">
        <v>2017</v>
      </c>
      <c r="P111">
        <f t="shared" si="4"/>
        <v>9.6340382483454068</v>
      </c>
      <c r="Q111">
        <f t="shared" si="5"/>
        <v>5.2983673652980787</v>
      </c>
    </row>
    <row r="112" spans="1:17" hidden="1" x14ac:dyDescent="0.3">
      <c r="A112">
        <v>111</v>
      </c>
      <c r="B112">
        <v>23742</v>
      </c>
      <c r="C112" t="s">
        <v>237</v>
      </c>
      <c r="D112" t="s">
        <v>238</v>
      </c>
      <c r="E112">
        <v>35</v>
      </c>
      <c r="F112">
        <v>15187</v>
      </c>
      <c r="G112">
        <v>970</v>
      </c>
      <c r="H112">
        <v>64</v>
      </c>
      <c r="I112">
        <v>4</v>
      </c>
      <c r="J112" t="s">
        <v>23</v>
      </c>
      <c r="K112">
        <v>0.12</v>
      </c>
      <c r="L112">
        <v>10</v>
      </c>
      <c r="M112" t="s">
        <v>20</v>
      </c>
      <c r="N112">
        <f t="shared" si="3"/>
        <v>2</v>
      </c>
      <c r="O112">
        <v>2012</v>
      </c>
      <c r="P112">
        <f t="shared" si="4"/>
        <v>9.6281950777302701</v>
      </c>
      <c r="Q112">
        <f t="shared" si="5"/>
        <v>3.5556337349665741</v>
      </c>
    </row>
    <row r="113" spans="1:17" x14ac:dyDescent="0.3">
      <c r="A113">
        <v>112</v>
      </c>
      <c r="B113">
        <v>128950</v>
      </c>
      <c r="C113" t="s">
        <v>239</v>
      </c>
      <c r="D113" t="s">
        <v>240</v>
      </c>
      <c r="E113">
        <v>0</v>
      </c>
      <c r="F113">
        <v>15134</v>
      </c>
      <c r="G113">
        <v>523</v>
      </c>
      <c r="H113">
        <v>12</v>
      </c>
      <c r="I113">
        <v>1</v>
      </c>
      <c r="J113" t="s">
        <v>13</v>
      </c>
      <c r="K113">
        <v>0.8</v>
      </c>
      <c r="L113">
        <v>2.5</v>
      </c>
      <c r="M113" t="s">
        <v>14</v>
      </c>
      <c r="N113">
        <f t="shared" si="3"/>
        <v>1</v>
      </c>
      <c r="O113">
        <v>2014</v>
      </c>
      <c r="P113">
        <f t="shared" si="4"/>
        <v>9.6246991472544661</v>
      </c>
      <c r="Q113">
        <f t="shared" si="5"/>
        <v>-4.6051701859880909</v>
      </c>
    </row>
    <row r="114" spans="1:17" x14ac:dyDescent="0.3">
      <c r="A114">
        <v>113</v>
      </c>
      <c r="B114">
        <v>654680</v>
      </c>
      <c r="C114" t="s">
        <v>241</v>
      </c>
      <c r="D114" t="s">
        <v>242</v>
      </c>
      <c r="E114">
        <v>75</v>
      </c>
      <c r="F114">
        <v>15106</v>
      </c>
      <c r="G114">
        <v>31</v>
      </c>
      <c r="H114">
        <v>16</v>
      </c>
      <c r="I114">
        <v>1</v>
      </c>
      <c r="J114" t="s">
        <v>13</v>
      </c>
      <c r="K114">
        <v>0.47</v>
      </c>
      <c r="L114">
        <v>1.5</v>
      </c>
      <c r="M114" t="s">
        <v>20</v>
      </c>
      <c r="N114">
        <f t="shared" si="3"/>
        <v>2</v>
      </c>
      <c r="O114">
        <v>2015</v>
      </c>
      <c r="P114">
        <f t="shared" si="4"/>
        <v>9.6228472948733934</v>
      </c>
      <c r="Q114">
        <f t="shared" si="5"/>
        <v>4.3176214379815452</v>
      </c>
    </row>
    <row r="115" spans="1:17" hidden="1" x14ac:dyDescent="0.3">
      <c r="A115">
        <v>114</v>
      </c>
      <c r="B115">
        <v>309820</v>
      </c>
      <c r="C115" t="s">
        <v>243</v>
      </c>
      <c r="D115" t="s">
        <v>244</v>
      </c>
      <c r="E115">
        <v>0</v>
      </c>
      <c r="F115">
        <v>15092</v>
      </c>
      <c r="G115">
        <v>1234</v>
      </c>
      <c r="H115">
        <v>65</v>
      </c>
      <c r="I115">
        <v>4</v>
      </c>
      <c r="J115" t="s">
        <v>23</v>
      </c>
      <c r="K115">
        <v>0.73</v>
      </c>
      <c r="L115">
        <v>5.5</v>
      </c>
      <c r="M115" t="s">
        <v>14</v>
      </c>
      <c r="N115">
        <f t="shared" si="3"/>
        <v>1</v>
      </c>
      <c r="O115">
        <v>2016</v>
      </c>
      <c r="P115">
        <f t="shared" si="4"/>
        <v>9.6219200810842018</v>
      </c>
      <c r="Q115">
        <f t="shared" si="5"/>
        <v>-4.6051701859880909</v>
      </c>
    </row>
    <row r="116" spans="1:17" hidden="1" x14ac:dyDescent="0.3">
      <c r="A116">
        <v>115</v>
      </c>
      <c r="B116">
        <v>283014</v>
      </c>
      <c r="C116" t="s">
        <v>245</v>
      </c>
      <c r="D116" t="s">
        <v>246</v>
      </c>
      <c r="E116">
        <v>135</v>
      </c>
      <c r="F116">
        <v>15064</v>
      </c>
      <c r="G116">
        <v>237</v>
      </c>
      <c r="H116">
        <v>15</v>
      </c>
      <c r="I116">
        <v>4</v>
      </c>
      <c r="J116" t="s">
        <v>23</v>
      </c>
      <c r="K116">
        <v>0.5</v>
      </c>
      <c r="L116">
        <v>1.5</v>
      </c>
      <c r="M116" t="s">
        <v>20</v>
      </c>
      <c r="N116">
        <f t="shared" si="3"/>
        <v>2</v>
      </c>
      <c r="O116">
        <v>2014</v>
      </c>
      <c r="P116">
        <f t="shared" si="4"/>
        <v>9.6200630703369878</v>
      </c>
      <c r="Q116">
        <f t="shared" si="5"/>
        <v>4.9053488497691546</v>
      </c>
    </row>
    <row r="117" spans="1:17" hidden="1" x14ac:dyDescent="0.3">
      <c r="A117">
        <v>116</v>
      </c>
      <c r="B117">
        <v>1027342</v>
      </c>
      <c r="C117" t="s">
        <v>247</v>
      </c>
      <c r="D117" t="s">
        <v>248</v>
      </c>
      <c r="E117">
        <v>200</v>
      </c>
      <c r="F117">
        <v>14842</v>
      </c>
      <c r="G117">
        <v>131</v>
      </c>
      <c r="H117">
        <v>17</v>
      </c>
      <c r="I117">
        <v>4</v>
      </c>
      <c r="J117" t="s">
        <v>23</v>
      </c>
      <c r="K117">
        <v>0.88</v>
      </c>
      <c r="L117">
        <v>1</v>
      </c>
      <c r="M117" t="s">
        <v>20</v>
      </c>
      <c r="N117">
        <f t="shared" si="3"/>
        <v>2</v>
      </c>
      <c r="O117">
        <v>2016</v>
      </c>
      <c r="P117">
        <f t="shared" si="4"/>
        <v>9.6052162785300794</v>
      </c>
      <c r="Q117">
        <f t="shared" si="5"/>
        <v>5.2983673652980787</v>
      </c>
    </row>
    <row r="118" spans="1:17" x14ac:dyDescent="0.3">
      <c r="A118">
        <v>117</v>
      </c>
      <c r="B118">
        <v>427530</v>
      </c>
      <c r="C118" t="s">
        <v>249</v>
      </c>
      <c r="D118" t="s">
        <v>250</v>
      </c>
      <c r="E118">
        <v>60</v>
      </c>
      <c r="F118">
        <v>14813</v>
      </c>
      <c r="G118">
        <v>1358</v>
      </c>
      <c r="H118">
        <v>74</v>
      </c>
      <c r="I118">
        <v>1</v>
      </c>
      <c r="J118" t="s">
        <v>13</v>
      </c>
      <c r="K118">
        <v>0.15</v>
      </c>
      <c r="L118">
        <v>13.5</v>
      </c>
      <c r="M118" t="s">
        <v>20</v>
      </c>
      <c r="N118">
        <f t="shared" si="3"/>
        <v>2</v>
      </c>
      <c r="O118">
        <v>2015</v>
      </c>
      <c r="P118">
        <f t="shared" si="4"/>
        <v>9.6032604525820524</v>
      </c>
      <c r="Q118">
        <f t="shared" si="5"/>
        <v>4.0945112150014218</v>
      </c>
    </row>
    <row r="119" spans="1:17" hidden="1" x14ac:dyDescent="0.3">
      <c r="A119">
        <v>118</v>
      </c>
      <c r="B119">
        <v>269638</v>
      </c>
      <c r="C119" t="s">
        <v>251</v>
      </c>
      <c r="D119" t="s">
        <v>252</v>
      </c>
      <c r="E119">
        <v>150</v>
      </c>
      <c r="F119">
        <v>14606</v>
      </c>
      <c r="G119">
        <v>235</v>
      </c>
      <c r="H119">
        <v>21</v>
      </c>
      <c r="I119">
        <v>2</v>
      </c>
      <c r="J119" t="s">
        <v>32</v>
      </c>
      <c r="K119">
        <v>0.48</v>
      </c>
      <c r="L119">
        <v>3</v>
      </c>
      <c r="M119" t="s">
        <v>20</v>
      </c>
      <c r="N119">
        <f t="shared" si="3"/>
        <v>2</v>
      </c>
      <c r="O119">
        <v>2014</v>
      </c>
      <c r="P119">
        <f t="shared" si="4"/>
        <v>9.5891876821800555</v>
      </c>
      <c r="Q119">
        <f t="shared" si="5"/>
        <v>5.0107019585407988</v>
      </c>
    </row>
    <row r="120" spans="1:17" x14ac:dyDescent="0.3">
      <c r="A120">
        <v>119</v>
      </c>
      <c r="B120">
        <v>34882</v>
      </c>
      <c r="C120" t="s">
        <v>253</v>
      </c>
      <c r="D120" t="s">
        <v>254</v>
      </c>
      <c r="E120">
        <v>20</v>
      </c>
      <c r="F120">
        <v>14551</v>
      </c>
      <c r="G120">
        <v>169</v>
      </c>
      <c r="H120">
        <v>14</v>
      </c>
      <c r="I120">
        <v>1</v>
      </c>
      <c r="J120" t="s">
        <v>13</v>
      </c>
      <c r="K120">
        <v>0.15</v>
      </c>
      <c r="L120">
        <v>1.5</v>
      </c>
      <c r="M120" t="s">
        <v>20</v>
      </c>
      <c r="N120">
        <f t="shared" si="3"/>
        <v>2</v>
      </c>
      <c r="O120">
        <v>2013</v>
      </c>
      <c r="P120">
        <f t="shared" si="4"/>
        <v>9.5854149987602781</v>
      </c>
      <c r="Q120">
        <f t="shared" si="5"/>
        <v>2.996232148595642</v>
      </c>
    </row>
    <row r="121" spans="1:17" x14ac:dyDescent="0.3">
      <c r="A121">
        <v>120</v>
      </c>
      <c r="B121">
        <v>574876</v>
      </c>
      <c r="C121" t="s">
        <v>255</v>
      </c>
      <c r="D121" t="s">
        <v>256</v>
      </c>
      <c r="E121">
        <v>100</v>
      </c>
      <c r="F121">
        <v>14260</v>
      </c>
      <c r="G121">
        <v>44</v>
      </c>
      <c r="H121">
        <v>43</v>
      </c>
      <c r="I121">
        <v>1</v>
      </c>
      <c r="J121" t="s">
        <v>13</v>
      </c>
      <c r="K121">
        <v>0.25</v>
      </c>
      <c r="L121">
        <v>3</v>
      </c>
      <c r="M121" t="s">
        <v>20</v>
      </c>
      <c r="N121">
        <f t="shared" si="3"/>
        <v>2</v>
      </c>
      <c r="O121">
        <v>2015</v>
      </c>
      <c r="P121">
        <f t="shared" si="4"/>
        <v>9.5652136939682872</v>
      </c>
      <c r="Q121">
        <f t="shared" si="5"/>
        <v>4.6052701809884251</v>
      </c>
    </row>
    <row r="122" spans="1:17" hidden="1" x14ac:dyDescent="0.3">
      <c r="A122">
        <v>121</v>
      </c>
      <c r="B122">
        <v>499632</v>
      </c>
      <c r="C122" t="s">
        <v>257</v>
      </c>
      <c r="D122" t="s">
        <v>258</v>
      </c>
      <c r="E122">
        <v>75</v>
      </c>
      <c r="F122">
        <v>14254</v>
      </c>
      <c r="G122">
        <v>27</v>
      </c>
      <c r="H122">
        <v>20</v>
      </c>
      <c r="I122">
        <v>4</v>
      </c>
      <c r="J122" t="s">
        <v>23</v>
      </c>
      <c r="K122">
        <v>0.3</v>
      </c>
      <c r="L122">
        <v>1.5</v>
      </c>
      <c r="M122" t="s">
        <v>20</v>
      </c>
      <c r="N122">
        <f t="shared" si="3"/>
        <v>2</v>
      </c>
      <c r="O122">
        <v>2015</v>
      </c>
      <c r="P122">
        <f t="shared" si="4"/>
        <v>9.5647928480618152</v>
      </c>
      <c r="Q122">
        <f t="shared" si="5"/>
        <v>4.3176214379815452</v>
      </c>
    </row>
    <row r="123" spans="1:17" hidden="1" x14ac:dyDescent="0.3">
      <c r="A123">
        <v>122</v>
      </c>
      <c r="B123">
        <v>778112</v>
      </c>
      <c r="C123" t="s">
        <v>259</v>
      </c>
      <c r="D123" t="s">
        <v>260</v>
      </c>
      <c r="E123">
        <v>120</v>
      </c>
      <c r="F123">
        <v>14118</v>
      </c>
      <c r="G123">
        <v>30</v>
      </c>
      <c r="H123">
        <v>27</v>
      </c>
      <c r="I123">
        <v>4</v>
      </c>
      <c r="J123" t="s">
        <v>23</v>
      </c>
      <c r="K123">
        <v>0.64</v>
      </c>
      <c r="L123">
        <v>2</v>
      </c>
      <c r="M123" t="s">
        <v>20</v>
      </c>
      <c r="N123">
        <f t="shared" si="3"/>
        <v>2</v>
      </c>
      <c r="O123">
        <v>2016</v>
      </c>
      <c r="P123">
        <f t="shared" si="4"/>
        <v>9.5552058579554178</v>
      </c>
      <c r="Q123">
        <f t="shared" si="5"/>
        <v>4.7875750726433504</v>
      </c>
    </row>
    <row r="124" spans="1:17" hidden="1" x14ac:dyDescent="0.3">
      <c r="A124">
        <v>123</v>
      </c>
      <c r="B124">
        <v>390866</v>
      </c>
      <c r="C124" t="s">
        <v>261</v>
      </c>
      <c r="D124" t="s">
        <v>262</v>
      </c>
      <c r="E124">
        <v>190</v>
      </c>
      <c r="F124">
        <v>14103</v>
      </c>
      <c r="G124">
        <v>1548</v>
      </c>
      <c r="H124">
        <v>197</v>
      </c>
      <c r="I124">
        <v>4</v>
      </c>
      <c r="J124" t="s">
        <v>23</v>
      </c>
      <c r="K124">
        <v>0.78</v>
      </c>
      <c r="L124">
        <v>21.5</v>
      </c>
      <c r="M124" t="s">
        <v>20</v>
      </c>
      <c r="N124">
        <f t="shared" si="3"/>
        <v>2</v>
      </c>
      <c r="O124">
        <v>2015</v>
      </c>
      <c r="P124">
        <f t="shared" si="4"/>
        <v>9.55414281969224</v>
      </c>
      <c r="Q124">
        <f t="shared" si="5"/>
        <v>5.2470767023544402</v>
      </c>
    </row>
    <row r="125" spans="1:17" hidden="1" x14ac:dyDescent="0.3">
      <c r="A125">
        <v>124</v>
      </c>
      <c r="B125">
        <v>94428</v>
      </c>
      <c r="C125" t="s">
        <v>263</v>
      </c>
      <c r="D125" t="s">
        <v>264</v>
      </c>
      <c r="E125">
        <v>40</v>
      </c>
      <c r="F125">
        <v>14074</v>
      </c>
      <c r="G125">
        <v>106</v>
      </c>
      <c r="H125">
        <v>46</v>
      </c>
      <c r="I125">
        <v>4</v>
      </c>
      <c r="J125" t="s">
        <v>23</v>
      </c>
      <c r="K125">
        <v>0.66</v>
      </c>
      <c r="L125">
        <v>12</v>
      </c>
      <c r="M125" t="s">
        <v>20</v>
      </c>
      <c r="N125">
        <f t="shared" si="3"/>
        <v>2</v>
      </c>
      <c r="O125">
        <v>2013</v>
      </c>
      <c r="P125">
        <f t="shared" si="4"/>
        <v>9.5520844025264946</v>
      </c>
      <c r="Q125">
        <f t="shared" si="5"/>
        <v>3.6891294228691436</v>
      </c>
    </row>
    <row r="126" spans="1:17" hidden="1" x14ac:dyDescent="0.3">
      <c r="A126">
        <v>125</v>
      </c>
      <c r="B126">
        <v>628222</v>
      </c>
      <c r="C126" t="s">
        <v>265</v>
      </c>
      <c r="D126" t="s">
        <v>266</v>
      </c>
      <c r="E126">
        <v>0</v>
      </c>
      <c r="F126">
        <v>14026</v>
      </c>
      <c r="G126">
        <v>232</v>
      </c>
      <c r="H126">
        <v>25</v>
      </c>
      <c r="I126">
        <v>4</v>
      </c>
      <c r="J126" t="s">
        <v>23</v>
      </c>
      <c r="K126">
        <v>0.66</v>
      </c>
      <c r="L126">
        <v>1</v>
      </c>
      <c r="M126" t="s">
        <v>14</v>
      </c>
      <c r="N126">
        <f t="shared" si="3"/>
        <v>1</v>
      </c>
      <c r="O126">
        <v>2015</v>
      </c>
      <c r="P126">
        <f t="shared" si="4"/>
        <v>9.5486680290968557</v>
      </c>
      <c r="Q126">
        <f t="shared" si="5"/>
        <v>-4.6051701859880909</v>
      </c>
    </row>
    <row r="127" spans="1:17" hidden="1" x14ac:dyDescent="0.3">
      <c r="A127">
        <v>126</v>
      </c>
      <c r="B127">
        <v>269006</v>
      </c>
      <c r="C127" t="s">
        <v>267</v>
      </c>
      <c r="D127" t="s">
        <v>268</v>
      </c>
      <c r="E127">
        <v>20</v>
      </c>
      <c r="F127">
        <v>13960</v>
      </c>
      <c r="G127">
        <v>239</v>
      </c>
      <c r="H127">
        <v>19</v>
      </c>
      <c r="I127">
        <v>4</v>
      </c>
      <c r="J127" t="s">
        <v>23</v>
      </c>
      <c r="K127">
        <v>0.4</v>
      </c>
      <c r="L127">
        <v>2.5</v>
      </c>
      <c r="M127" t="s">
        <v>20</v>
      </c>
      <c r="N127">
        <f t="shared" si="3"/>
        <v>2</v>
      </c>
      <c r="O127">
        <v>2014</v>
      </c>
      <c r="P127">
        <f t="shared" si="4"/>
        <v>9.5439513763163628</v>
      </c>
      <c r="Q127">
        <f t="shared" si="5"/>
        <v>2.996232148595642</v>
      </c>
    </row>
    <row r="128" spans="1:17" hidden="1" x14ac:dyDescent="0.3">
      <c r="A128">
        <v>127</v>
      </c>
      <c r="B128">
        <v>958750</v>
      </c>
      <c r="C128" t="s">
        <v>269</v>
      </c>
      <c r="D128" t="s">
        <v>270</v>
      </c>
      <c r="E128">
        <v>75</v>
      </c>
      <c r="F128">
        <v>13920</v>
      </c>
      <c r="G128">
        <v>64</v>
      </c>
      <c r="H128">
        <v>28</v>
      </c>
      <c r="I128">
        <v>4</v>
      </c>
      <c r="J128" t="s">
        <v>23</v>
      </c>
      <c r="K128">
        <v>0.41</v>
      </c>
      <c r="L128">
        <v>2</v>
      </c>
      <c r="M128" t="s">
        <v>20</v>
      </c>
      <c r="N128">
        <f t="shared" si="3"/>
        <v>2</v>
      </c>
      <c r="O128">
        <v>2016</v>
      </c>
      <c r="P128">
        <f t="shared" si="4"/>
        <v>9.5410819338884103</v>
      </c>
      <c r="Q128">
        <f t="shared" si="5"/>
        <v>4.3176214379815452</v>
      </c>
    </row>
    <row r="129" spans="1:17" x14ac:dyDescent="0.3">
      <c r="A129">
        <v>128</v>
      </c>
      <c r="B129">
        <v>566248</v>
      </c>
      <c r="C129" t="s">
        <v>271</v>
      </c>
      <c r="D129" t="s">
        <v>272</v>
      </c>
      <c r="E129">
        <v>150</v>
      </c>
      <c r="F129">
        <v>13882</v>
      </c>
      <c r="G129">
        <v>63</v>
      </c>
      <c r="H129">
        <v>47</v>
      </c>
      <c r="I129">
        <v>1</v>
      </c>
      <c r="J129" t="s">
        <v>13</v>
      </c>
      <c r="K129">
        <v>0.74</v>
      </c>
      <c r="L129">
        <v>3</v>
      </c>
      <c r="M129" t="s">
        <v>20</v>
      </c>
      <c r="N129">
        <f t="shared" si="3"/>
        <v>2</v>
      </c>
      <c r="O129">
        <v>2015</v>
      </c>
      <c r="P129">
        <f t="shared" si="4"/>
        <v>9.5383483158995297</v>
      </c>
      <c r="Q129">
        <f t="shared" si="5"/>
        <v>5.0107019585407988</v>
      </c>
    </row>
    <row r="130" spans="1:17" hidden="1" x14ac:dyDescent="0.3">
      <c r="A130">
        <v>129</v>
      </c>
      <c r="B130">
        <v>881210</v>
      </c>
      <c r="C130" t="s">
        <v>273</v>
      </c>
      <c r="D130" t="s">
        <v>274</v>
      </c>
      <c r="E130">
        <v>80</v>
      </c>
      <c r="F130">
        <v>13708</v>
      </c>
      <c r="G130">
        <v>92</v>
      </c>
      <c r="H130">
        <v>62</v>
      </c>
      <c r="I130">
        <v>4</v>
      </c>
      <c r="J130" t="s">
        <v>23</v>
      </c>
      <c r="K130">
        <v>0.78</v>
      </c>
      <c r="L130">
        <v>9</v>
      </c>
      <c r="M130" t="s">
        <v>20</v>
      </c>
      <c r="N130">
        <f t="shared" ref="N130:N193" si="6">IF(M130="Free",1,IF(M130="Paid",2,0))</f>
        <v>2</v>
      </c>
      <c r="O130">
        <v>2016</v>
      </c>
      <c r="P130">
        <f t="shared" ref="P130:P193" si="7">LN(F130)</f>
        <v>9.5257348829944988</v>
      </c>
      <c r="Q130">
        <f t="shared" ref="Q130:Q193" si="8">LN(E130+0.01)</f>
        <v>4.3821516268620329</v>
      </c>
    </row>
    <row r="131" spans="1:17" x14ac:dyDescent="0.3">
      <c r="A131">
        <v>130</v>
      </c>
      <c r="B131">
        <v>884946</v>
      </c>
      <c r="C131" t="s">
        <v>275</v>
      </c>
      <c r="D131" t="s">
        <v>276</v>
      </c>
      <c r="E131">
        <v>0</v>
      </c>
      <c r="F131">
        <v>13535</v>
      </c>
      <c r="G131">
        <v>473</v>
      </c>
      <c r="H131">
        <v>18</v>
      </c>
      <c r="I131">
        <v>1</v>
      </c>
      <c r="J131" t="s">
        <v>13</v>
      </c>
      <c r="K131">
        <v>0.87</v>
      </c>
      <c r="L131">
        <v>1.5</v>
      </c>
      <c r="M131" t="s">
        <v>14</v>
      </c>
      <c r="N131">
        <f t="shared" si="6"/>
        <v>1</v>
      </c>
      <c r="O131">
        <v>2016</v>
      </c>
      <c r="P131">
        <f t="shared" si="7"/>
        <v>9.5130342020484022</v>
      </c>
      <c r="Q131">
        <f t="shared" si="8"/>
        <v>-4.6051701859880909</v>
      </c>
    </row>
    <row r="132" spans="1:17" hidden="1" x14ac:dyDescent="0.3">
      <c r="A132">
        <v>131</v>
      </c>
      <c r="B132">
        <v>1165096</v>
      </c>
      <c r="C132" t="s">
        <v>277</v>
      </c>
      <c r="D132" t="s">
        <v>278</v>
      </c>
      <c r="E132">
        <v>80</v>
      </c>
      <c r="F132">
        <v>13457</v>
      </c>
      <c r="G132">
        <v>215</v>
      </c>
      <c r="H132">
        <v>69</v>
      </c>
      <c r="I132">
        <v>4</v>
      </c>
      <c r="J132" t="s">
        <v>23</v>
      </c>
      <c r="K132">
        <v>0.21</v>
      </c>
      <c r="L132">
        <v>4.5</v>
      </c>
      <c r="M132" t="s">
        <v>20</v>
      </c>
      <c r="N132">
        <f t="shared" si="6"/>
        <v>2</v>
      </c>
      <c r="O132">
        <v>2017</v>
      </c>
      <c r="P132">
        <f t="shared" si="7"/>
        <v>9.5072546957415422</v>
      </c>
      <c r="Q132">
        <f t="shared" si="8"/>
        <v>4.3821516268620329</v>
      </c>
    </row>
    <row r="133" spans="1:17" x14ac:dyDescent="0.3">
      <c r="A133">
        <v>132</v>
      </c>
      <c r="B133">
        <v>520116</v>
      </c>
      <c r="C133" t="s">
        <v>279</v>
      </c>
      <c r="D133" t="s">
        <v>280</v>
      </c>
      <c r="E133">
        <v>150</v>
      </c>
      <c r="F133">
        <v>13439</v>
      </c>
      <c r="G133">
        <v>1981</v>
      </c>
      <c r="H133">
        <v>89</v>
      </c>
      <c r="I133">
        <v>1</v>
      </c>
      <c r="J133" t="s">
        <v>13</v>
      </c>
      <c r="K133">
        <v>0.11</v>
      </c>
      <c r="L133">
        <v>20.5</v>
      </c>
      <c r="M133" t="s">
        <v>20</v>
      </c>
      <c r="N133">
        <f t="shared" si="6"/>
        <v>2</v>
      </c>
      <c r="O133">
        <v>2016</v>
      </c>
      <c r="P133">
        <f t="shared" si="7"/>
        <v>9.5059162065470648</v>
      </c>
      <c r="Q133">
        <f t="shared" si="8"/>
        <v>5.0107019585407988</v>
      </c>
    </row>
    <row r="134" spans="1:17" hidden="1" x14ac:dyDescent="0.3">
      <c r="A134">
        <v>133</v>
      </c>
      <c r="B134">
        <v>563248</v>
      </c>
      <c r="C134" t="s">
        <v>281</v>
      </c>
      <c r="D134" t="s">
        <v>282</v>
      </c>
      <c r="E134">
        <v>100</v>
      </c>
      <c r="F134">
        <v>13406</v>
      </c>
      <c r="G134">
        <v>78</v>
      </c>
      <c r="H134">
        <v>44</v>
      </c>
      <c r="I134">
        <v>4</v>
      </c>
      <c r="J134" t="s">
        <v>23</v>
      </c>
      <c r="K134">
        <v>0.54</v>
      </c>
      <c r="L134">
        <v>1.5</v>
      </c>
      <c r="M134" t="s">
        <v>20</v>
      </c>
      <c r="N134">
        <f t="shared" si="6"/>
        <v>2</v>
      </c>
      <c r="O134">
        <v>2015</v>
      </c>
      <c r="P134">
        <f t="shared" si="7"/>
        <v>9.5034576469179033</v>
      </c>
      <c r="Q134">
        <f t="shared" si="8"/>
        <v>4.6052701809884251</v>
      </c>
    </row>
    <row r="135" spans="1:17" hidden="1" x14ac:dyDescent="0.3">
      <c r="A135">
        <v>134</v>
      </c>
      <c r="B135">
        <v>226534</v>
      </c>
      <c r="C135" t="s">
        <v>283</v>
      </c>
      <c r="D135" t="s">
        <v>284</v>
      </c>
      <c r="E135">
        <v>0</v>
      </c>
      <c r="F135">
        <v>13242</v>
      </c>
      <c r="G135">
        <v>131</v>
      </c>
      <c r="H135">
        <v>24</v>
      </c>
      <c r="I135">
        <v>4</v>
      </c>
      <c r="J135" t="s">
        <v>23</v>
      </c>
      <c r="K135">
        <v>0.74</v>
      </c>
      <c r="L135">
        <v>1</v>
      </c>
      <c r="M135" t="s">
        <v>14</v>
      </c>
      <c r="N135">
        <f t="shared" si="6"/>
        <v>1</v>
      </c>
      <c r="O135">
        <v>2014</v>
      </c>
      <c r="P135">
        <f t="shared" si="7"/>
        <v>9.4911488754847912</v>
      </c>
      <c r="Q135">
        <f t="shared" si="8"/>
        <v>-4.6051701859880909</v>
      </c>
    </row>
    <row r="136" spans="1:17" x14ac:dyDescent="0.3">
      <c r="A136">
        <v>135</v>
      </c>
      <c r="B136">
        <v>1023062</v>
      </c>
      <c r="C136" t="s">
        <v>285</v>
      </c>
      <c r="D136" t="s">
        <v>286</v>
      </c>
      <c r="E136">
        <v>0</v>
      </c>
      <c r="F136">
        <v>13210</v>
      </c>
      <c r="G136">
        <v>978</v>
      </c>
      <c r="H136">
        <v>8</v>
      </c>
      <c r="I136">
        <v>1</v>
      </c>
      <c r="J136" t="s">
        <v>13</v>
      </c>
      <c r="K136">
        <v>0.54</v>
      </c>
      <c r="L136">
        <v>0.55000000000000004</v>
      </c>
      <c r="M136" t="s">
        <v>14</v>
      </c>
      <c r="N136">
        <f t="shared" si="6"/>
        <v>1</v>
      </c>
      <c r="O136">
        <v>2016</v>
      </c>
      <c r="P136">
        <f t="shared" si="7"/>
        <v>9.4887293975163711</v>
      </c>
      <c r="Q136">
        <f t="shared" si="8"/>
        <v>-4.6051701859880909</v>
      </c>
    </row>
    <row r="137" spans="1:17" x14ac:dyDescent="0.3">
      <c r="A137">
        <v>136</v>
      </c>
      <c r="B137">
        <v>778084</v>
      </c>
      <c r="C137" t="s">
        <v>287</v>
      </c>
      <c r="D137" t="s">
        <v>288</v>
      </c>
      <c r="E137">
        <v>0</v>
      </c>
      <c r="F137">
        <v>13130</v>
      </c>
      <c r="G137">
        <v>346</v>
      </c>
      <c r="H137">
        <v>88</v>
      </c>
      <c r="I137">
        <v>1</v>
      </c>
      <c r="J137" t="s">
        <v>13</v>
      </c>
      <c r="K137">
        <v>0.62</v>
      </c>
      <c r="L137">
        <v>6.5</v>
      </c>
      <c r="M137" t="s">
        <v>14</v>
      </c>
      <c r="N137">
        <f t="shared" si="6"/>
        <v>1</v>
      </c>
      <c r="O137">
        <v>2016</v>
      </c>
      <c r="P137">
        <f t="shared" si="7"/>
        <v>9.4826549672968419</v>
      </c>
      <c r="Q137">
        <f t="shared" si="8"/>
        <v>-4.6051701859880909</v>
      </c>
    </row>
    <row r="138" spans="1:17" hidden="1" x14ac:dyDescent="0.3">
      <c r="A138">
        <v>137</v>
      </c>
      <c r="B138">
        <v>752706</v>
      </c>
      <c r="C138" t="s">
        <v>289</v>
      </c>
      <c r="D138" t="s">
        <v>290</v>
      </c>
      <c r="E138">
        <v>0</v>
      </c>
      <c r="F138">
        <v>13016</v>
      </c>
      <c r="G138">
        <v>286</v>
      </c>
      <c r="H138">
        <v>15</v>
      </c>
      <c r="I138">
        <v>2</v>
      </c>
      <c r="J138" t="s">
        <v>32</v>
      </c>
      <c r="K138">
        <v>0.24</v>
      </c>
      <c r="L138">
        <v>1.5</v>
      </c>
      <c r="M138" t="s">
        <v>14</v>
      </c>
      <c r="N138">
        <f t="shared" si="6"/>
        <v>1</v>
      </c>
      <c r="O138">
        <v>2016</v>
      </c>
      <c r="P138">
        <f t="shared" si="7"/>
        <v>9.473934648898874</v>
      </c>
      <c r="Q138">
        <f t="shared" si="8"/>
        <v>-4.6051701859880909</v>
      </c>
    </row>
    <row r="139" spans="1:17" hidden="1" x14ac:dyDescent="0.3">
      <c r="A139">
        <v>138</v>
      </c>
      <c r="B139">
        <v>861624</v>
      </c>
      <c r="C139" t="s">
        <v>291</v>
      </c>
      <c r="D139" t="s">
        <v>292</v>
      </c>
      <c r="E139">
        <v>80</v>
      </c>
      <c r="F139">
        <v>13010</v>
      </c>
      <c r="G139">
        <v>2709</v>
      </c>
      <c r="H139">
        <v>68</v>
      </c>
      <c r="I139">
        <v>4</v>
      </c>
      <c r="J139" t="s">
        <v>23</v>
      </c>
      <c r="K139">
        <v>0.41</v>
      </c>
      <c r="L139">
        <v>6.5</v>
      </c>
      <c r="M139" t="s">
        <v>20</v>
      </c>
      <c r="N139">
        <f t="shared" si="6"/>
        <v>2</v>
      </c>
      <c r="O139">
        <v>2016</v>
      </c>
      <c r="P139">
        <f t="shared" si="7"/>
        <v>9.4734735715065508</v>
      </c>
      <c r="Q139">
        <f t="shared" si="8"/>
        <v>4.3821516268620329</v>
      </c>
    </row>
    <row r="140" spans="1:17" x14ac:dyDescent="0.3">
      <c r="A140">
        <v>139</v>
      </c>
      <c r="B140">
        <v>382856</v>
      </c>
      <c r="C140" t="s">
        <v>293</v>
      </c>
      <c r="D140" t="s">
        <v>294</v>
      </c>
      <c r="E140">
        <v>0</v>
      </c>
      <c r="F140">
        <v>12974</v>
      </c>
      <c r="G140">
        <v>120</v>
      </c>
      <c r="H140">
        <v>13</v>
      </c>
      <c r="I140">
        <v>1</v>
      </c>
      <c r="J140" t="s">
        <v>13</v>
      </c>
      <c r="K140">
        <v>0.15</v>
      </c>
      <c r="L140">
        <v>1</v>
      </c>
      <c r="M140" t="s">
        <v>14</v>
      </c>
      <c r="N140">
        <f t="shared" si="6"/>
        <v>1</v>
      </c>
      <c r="O140">
        <v>2015</v>
      </c>
      <c r="P140">
        <f t="shared" si="7"/>
        <v>9.4707026337730014</v>
      </c>
      <c r="Q140">
        <f t="shared" si="8"/>
        <v>-4.6051701859880909</v>
      </c>
    </row>
    <row r="141" spans="1:17" hidden="1" x14ac:dyDescent="0.3">
      <c r="A141">
        <v>140</v>
      </c>
      <c r="B141">
        <v>939962</v>
      </c>
      <c r="C141" t="s">
        <v>295</v>
      </c>
      <c r="D141" t="s">
        <v>296</v>
      </c>
      <c r="E141">
        <v>65</v>
      </c>
      <c r="F141">
        <v>12953</v>
      </c>
      <c r="G141">
        <v>680</v>
      </c>
      <c r="H141">
        <v>22</v>
      </c>
      <c r="I141">
        <v>4</v>
      </c>
      <c r="J141" t="s">
        <v>23</v>
      </c>
      <c r="K141">
        <v>0.15</v>
      </c>
      <c r="L141">
        <v>1.5</v>
      </c>
      <c r="M141" t="s">
        <v>20</v>
      </c>
      <c r="N141">
        <f t="shared" si="6"/>
        <v>2</v>
      </c>
      <c r="O141">
        <v>2016</v>
      </c>
      <c r="P141">
        <f t="shared" si="7"/>
        <v>9.4690827005302562</v>
      </c>
      <c r="Q141">
        <f t="shared" si="8"/>
        <v>4.1745411042163774</v>
      </c>
    </row>
    <row r="142" spans="1:17" hidden="1" x14ac:dyDescent="0.3">
      <c r="A142">
        <v>141</v>
      </c>
      <c r="B142">
        <v>646056</v>
      </c>
      <c r="C142" t="s">
        <v>297</v>
      </c>
      <c r="D142" t="s">
        <v>298</v>
      </c>
      <c r="E142">
        <v>0</v>
      </c>
      <c r="F142">
        <v>12952</v>
      </c>
      <c r="G142">
        <v>163</v>
      </c>
      <c r="H142">
        <v>22</v>
      </c>
      <c r="I142">
        <v>4</v>
      </c>
      <c r="J142" t="s">
        <v>23</v>
      </c>
      <c r="K142">
        <v>0.24</v>
      </c>
      <c r="L142">
        <v>1</v>
      </c>
      <c r="M142" t="s">
        <v>14</v>
      </c>
      <c r="N142">
        <f t="shared" si="6"/>
        <v>1</v>
      </c>
      <c r="O142">
        <v>2015</v>
      </c>
      <c r="P142">
        <f t="shared" si="7"/>
        <v>9.4690054953574716</v>
      </c>
      <c r="Q142">
        <f t="shared" si="8"/>
        <v>-4.6051701859880909</v>
      </c>
    </row>
    <row r="143" spans="1:17" x14ac:dyDescent="0.3">
      <c r="A143">
        <v>142</v>
      </c>
      <c r="B143">
        <v>917724</v>
      </c>
      <c r="C143" t="s">
        <v>299</v>
      </c>
      <c r="D143" t="s">
        <v>300</v>
      </c>
      <c r="E143">
        <v>75</v>
      </c>
      <c r="F143">
        <v>12893</v>
      </c>
      <c r="G143">
        <v>220</v>
      </c>
      <c r="H143">
        <v>95</v>
      </c>
      <c r="I143">
        <v>1</v>
      </c>
      <c r="J143" t="s">
        <v>13</v>
      </c>
      <c r="K143">
        <v>0.1</v>
      </c>
      <c r="L143">
        <v>8.5</v>
      </c>
      <c r="M143" t="s">
        <v>20</v>
      </c>
      <c r="N143">
        <f t="shared" si="6"/>
        <v>2</v>
      </c>
      <c r="O143">
        <v>2016</v>
      </c>
      <c r="P143">
        <f t="shared" si="7"/>
        <v>9.4644398074108373</v>
      </c>
      <c r="Q143">
        <f t="shared" si="8"/>
        <v>4.3176214379815452</v>
      </c>
    </row>
    <row r="144" spans="1:17" hidden="1" x14ac:dyDescent="0.3">
      <c r="A144">
        <v>143</v>
      </c>
      <c r="B144">
        <v>682484</v>
      </c>
      <c r="C144" t="s">
        <v>301</v>
      </c>
      <c r="D144" t="s">
        <v>302</v>
      </c>
      <c r="E144">
        <v>75</v>
      </c>
      <c r="F144">
        <v>12882</v>
      </c>
      <c r="G144">
        <v>95</v>
      </c>
      <c r="H144">
        <v>20</v>
      </c>
      <c r="I144">
        <v>4</v>
      </c>
      <c r="J144" t="s">
        <v>23</v>
      </c>
      <c r="K144">
        <v>0.74</v>
      </c>
      <c r="L144">
        <v>1.5</v>
      </c>
      <c r="M144" t="s">
        <v>20</v>
      </c>
      <c r="N144">
        <f t="shared" si="6"/>
        <v>2</v>
      </c>
      <c r="O144">
        <v>2015</v>
      </c>
      <c r="P144">
        <f t="shared" si="7"/>
        <v>9.4635862671068356</v>
      </c>
      <c r="Q144">
        <f t="shared" si="8"/>
        <v>4.3176214379815452</v>
      </c>
    </row>
    <row r="145" spans="1:17" x14ac:dyDescent="0.3">
      <c r="A145">
        <v>144</v>
      </c>
      <c r="B145">
        <v>101864</v>
      </c>
      <c r="C145" t="s">
        <v>303</v>
      </c>
      <c r="D145" t="s">
        <v>304</v>
      </c>
      <c r="E145">
        <v>200</v>
      </c>
      <c r="F145">
        <v>12873</v>
      </c>
      <c r="G145">
        <v>106</v>
      </c>
      <c r="H145">
        <v>38</v>
      </c>
      <c r="I145">
        <v>1</v>
      </c>
      <c r="J145" t="s">
        <v>13</v>
      </c>
      <c r="K145">
        <v>0.48</v>
      </c>
      <c r="L145">
        <v>2.5</v>
      </c>
      <c r="M145" t="s">
        <v>20</v>
      </c>
      <c r="N145">
        <f t="shared" si="6"/>
        <v>2</v>
      </c>
      <c r="O145">
        <v>2013</v>
      </c>
      <c r="P145">
        <f t="shared" si="7"/>
        <v>9.4628873736596351</v>
      </c>
      <c r="Q145">
        <f t="shared" si="8"/>
        <v>5.2983673652980787</v>
      </c>
    </row>
    <row r="146" spans="1:17" hidden="1" x14ac:dyDescent="0.3">
      <c r="A146">
        <v>145</v>
      </c>
      <c r="B146">
        <v>788514</v>
      </c>
      <c r="C146" t="s">
        <v>305</v>
      </c>
      <c r="D146" t="s">
        <v>306</v>
      </c>
      <c r="E146">
        <v>150</v>
      </c>
      <c r="F146">
        <v>12838</v>
      </c>
      <c r="G146">
        <v>96</v>
      </c>
      <c r="H146">
        <v>22</v>
      </c>
      <c r="I146">
        <v>2</v>
      </c>
      <c r="J146" t="s">
        <v>32</v>
      </c>
      <c r="K146">
        <v>0.85</v>
      </c>
      <c r="L146">
        <v>1.5</v>
      </c>
      <c r="M146" t="s">
        <v>20</v>
      </c>
      <c r="N146">
        <f t="shared" si="6"/>
        <v>2</v>
      </c>
      <c r="O146">
        <v>2016</v>
      </c>
      <c r="P146">
        <f t="shared" si="7"/>
        <v>9.4601648018717235</v>
      </c>
      <c r="Q146">
        <f t="shared" si="8"/>
        <v>5.0107019585407988</v>
      </c>
    </row>
    <row r="147" spans="1:17" hidden="1" x14ac:dyDescent="0.3">
      <c r="A147">
        <v>146</v>
      </c>
      <c r="B147">
        <v>1049092</v>
      </c>
      <c r="C147" t="s">
        <v>307</v>
      </c>
      <c r="D147" t="s">
        <v>308</v>
      </c>
      <c r="E147">
        <v>175</v>
      </c>
      <c r="F147">
        <v>12815</v>
      </c>
      <c r="G147">
        <v>262</v>
      </c>
      <c r="H147">
        <v>53</v>
      </c>
      <c r="I147">
        <v>4</v>
      </c>
      <c r="J147" t="s">
        <v>23</v>
      </c>
      <c r="K147">
        <v>0.52</v>
      </c>
      <c r="L147">
        <v>8.5</v>
      </c>
      <c r="M147" t="s">
        <v>20</v>
      </c>
      <c r="N147">
        <f t="shared" si="6"/>
        <v>2</v>
      </c>
      <c r="O147">
        <v>2017</v>
      </c>
      <c r="P147">
        <f t="shared" si="7"/>
        <v>9.4583716387981713</v>
      </c>
      <c r="Q147">
        <f t="shared" si="8"/>
        <v>5.1648431151480656</v>
      </c>
    </row>
    <row r="148" spans="1:17" hidden="1" x14ac:dyDescent="0.3">
      <c r="A148">
        <v>147</v>
      </c>
      <c r="B148">
        <v>732556</v>
      </c>
      <c r="C148" t="s">
        <v>309</v>
      </c>
      <c r="D148" t="s">
        <v>310</v>
      </c>
      <c r="E148">
        <v>20</v>
      </c>
      <c r="F148">
        <v>12781</v>
      </c>
      <c r="G148">
        <v>145</v>
      </c>
      <c r="H148">
        <v>22</v>
      </c>
      <c r="I148">
        <v>2</v>
      </c>
      <c r="J148" t="s">
        <v>32</v>
      </c>
      <c r="K148">
        <v>0.96</v>
      </c>
      <c r="L148">
        <v>2.5</v>
      </c>
      <c r="M148" t="s">
        <v>20</v>
      </c>
      <c r="N148">
        <f t="shared" si="6"/>
        <v>2</v>
      </c>
      <c r="O148">
        <v>2016</v>
      </c>
      <c r="P148">
        <f t="shared" si="7"/>
        <v>9.4557149721317142</v>
      </c>
      <c r="Q148">
        <f t="shared" si="8"/>
        <v>2.996232148595642</v>
      </c>
    </row>
    <row r="149" spans="1:17" x14ac:dyDescent="0.3">
      <c r="A149">
        <v>148</v>
      </c>
      <c r="B149">
        <v>561136</v>
      </c>
      <c r="C149" t="s">
        <v>311</v>
      </c>
      <c r="D149" t="s">
        <v>312</v>
      </c>
      <c r="E149">
        <v>75</v>
      </c>
      <c r="F149">
        <v>12629</v>
      </c>
      <c r="G149">
        <v>88</v>
      </c>
      <c r="H149">
        <v>36</v>
      </c>
      <c r="I149">
        <v>1</v>
      </c>
      <c r="J149" t="s">
        <v>13</v>
      </c>
      <c r="K149">
        <v>0.99</v>
      </c>
      <c r="L149">
        <v>1.5</v>
      </c>
      <c r="M149" t="s">
        <v>20</v>
      </c>
      <c r="N149">
        <f t="shared" si="6"/>
        <v>2</v>
      </c>
      <c r="O149">
        <v>2015</v>
      </c>
      <c r="P149">
        <f t="shared" si="7"/>
        <v>9.4437510356461694</v>
      </c>
      <c r="Q149">
        <f t="shared" si="8"/>
        <v>4.3176214379815452</v>
      </c>
    </row>
    <row r="150" spans="1:17" hidden="1" x14ac:dyDescent="0.3">
      <c r="A150">
        <v>149</v>
      </c>
      <c r="B150">
        <v>188828</v>
      </c>
      <c r="C150" t="s">
        <v>313</v>
      </c>
      <c r="D150" t="s">
        <v>314</v>
      </c>
      <c r="E150">
        <v>0</v>
      </c>
      <c r="F150">
        <v>12563</v>
      </c>
      <c r="G150">
        <v>239</v>
      </c>
      <c r="H150">
        <v>11</v>
      </c>
      <c r="I150">
        <v>4</v>
      </c>
      <c r="J150" t="s">
        <v>23</v>
      </c>
      <c r="K150">
        <v>0.18</v>
      </c>
      <c r="L150">
        <v>0.56666667000000004</v>
      </c>
      <c r="M150" t="s">
        <v>14</v>
      </c>
      <c r="N150">
        <f t="shared" si="6"/>
        <v>1</v>
      </c>
      <c r="O150">
        <v>2014</v>
      </c>
      <c r="P150">
        <f t="shared" si="7"/>
        <v>9.4385112650044185</v>
      </c>
      <c r="Q150">
        <f t="shared" si="8"/>
        <v>-4.6051701859880909</v>
      </c>
    </row>
    <row r="151" spans="1:17" x14ac:dyDescent="0.3">
      <c r="A151">
        <v>150</v>
      </c>
      <c r="B151">
        <v>8325</v>
      </c>
      <c r="C151" t="s">
        <v>315</v>
      </c>
      <c r="D151" t="s">
        <v>316</v>
      </c>
      <c r="E151">
        <v>20</v>
      </c>
      <c r="F151">
        <v>12458</v>
      </c>
      <c r="G151">
        <v>253</v>
      </c>
      <c r="H151">
        <v>82</v>
      </c>
      <c r="I151">
        <v>1</v>
      </c>
      <c r="J151" t="s">
        <v>13</v>
      </c>
      <c r="K151">
        <v>0.76</v>
      </c>
      <c r="L151">
        <v>4</v>
      </c>
      <c r="M151" t="s">
        <v>20</v>
      </c>
      <c r="N151">
        <f t="shared" si="6"/>
        <v>2</v>
      </c>
      <c r="O151">
        <v>2011</v>
      </c>
      <c r="P151">
        <f t="shared" si="7"/>
        <v>9.430118265814091</v>
      </c>
      <c r="Q151">
        <f t="shared" si="8"/>
        <v>2.996232148595642</v>
      </c>
    </row>
    <row r="152" spans="1:17" hidden="1" x14ac:dyDescent="0.3">
      <c r="A152">
        <v>151</v>
      </c>
      <c r="B152">
        <v>657734</v>
      </c>
      <c r="C152" t="s">
        <v>317</v>
      </c>
      <c r="D152" t="s">
        <v>318</v>
      </c>
      <c r="E152">
        <v>195</v>
      </c>
      <c r="F152">
        <v>12368</v>
      </c>
      <c r="G152">
        <v>89</v>
      </c>
      <c r="H152">
        <v>26</v>
      </c>
      <c r="I152">
        <v>2</v>
      </c>
      <c r="J152" t="s">
        <v>32</v>
      </c>
      <c r="K152">
        <v>0.14000000000000001</v>
      </c>
      <c r="L152">
        <v>3.5</v>
      </c>
      <c r="M152" t="s">
        <v>20</v>
      </c>
      <c r="N152">
        <f t="shared" si="6"/>
        <v>2</v>
      </c>
      <c r="O152">
        <v>2015</v>
      </c>
      <c r="P152">
        <f t="shared" si="7"/>
        <v>9.4228677708272031</v>
      </c>
      <c r="Q152">
        <f t="shared" si="8"/>
        <v>5.273050839300149</v>
      </c>
    </row>
    <row r="153" spans="1:17" x14ac:dyDescent="0.3">
      <c r="A153">
        <v>152</v>
      </c>
      <c r="B153">
        <v>1247828</v>
      </c>
      <c r="C153" t="s">
        <v>319</v>
      </c>
      <c r="D153" t="s">
        <v>320</v>
      </c>
      <c r="E153">
        <v>120</v>
      </c>
      <c r="F153">
        <v>12366</v>
      </c>
      <c r="G153">
        <v>506</v>
      </c>
      <c r="H153">
        <v>120</v>
      </c>
      <c r="I153">
        <v>1</v>
      </c>
      <c r="J153" t="s">
        <v>13</v>
      </c>
      <c r="K153">
        <v>0.2</v>
      </c>
      <c r="L153">
        <v>9</v>
      </c>
      <c r="M153" t="s">
        <v>20</v>
      </c>
      <c r="N153">
        <f t="shared" si="6"/>
        <v>2</v>
      </c>
      <c r="O153">
        <v>2017</v>
      </c>
      <c r="P153">
        <f t="shared" si="7"/>
        <v>9.4227060501185136</v>
      </c>
      <c r="Q153">
        <f t="shared" si="8"/>
        <v>4.7875750726433504</v>
      </c>
    </row>
    <row r="154" spans="1:17" x14ac:dyDescent="0.3">
      <c r="A154">
        <v>153</v>
      </c>
      <c r="B154">
        <v>777654</v>
      </c>
      <c r="C154" t="s">
        <v>321</v>
      </c>
      <c r="D154" t="s">
        <v>322</v>
      </c>
      <c r="E154">
        <v>0</v>
      </c>
      <c r="F154">
        <v>12336</v>
      </c>
      <c r="G154">
        <v>271</v>
      </c>
      <c r="H154">
        <v>26</v>
      </c>
      <c r="I154">
        <v>1</v>
      </c>
      <c r="J154" t="s">
        <v>13</v>
      </c>
      <c r="K154">
        <v>0.96</v>
      </c>
      <c r="L154">
        <v>3.5</v>
      </c>
      <c r="M154" t="s">
        <v>14</v>
      </c>
      <c r="N154">
        <f t="shared" si="6"/>
        <v>1</v>
      </c>
      <c r="O154">
        <v>2016</v>
      </c>
      <c r="P154">
        <f t="shared" si="7"/>
        <v>9.4202770958031099</v>
      </c>
      <c r="Q154">
        <f t="shared" si="8"/>
        <v>-4.6051701859880909</v>
      </c>
    </row>
    <row r="155" spans="1:17" hidden="1" x14ac:dyDescent="0.3">
      <c r="A155">
        <v>154</v>
      </c>
      <c r="B155">
        <v>217010</v>
      </c>
      <c r="C155" t="s">
        <v>323</v>
      </c>
      <c r="D155" t="s">
        <v>324</v>
      </c>
      <c r="E155">
        <v>50</v>
      </c>
      <c r="F155">
        <v>12328</v>
      </c>
      <c r="G155">
        <v>15</v>
      </c>
      <c r="H155">
        <v>32</v>
      </c>
      <c r="I155">
        <v>4</v>
      </c>
      <c r="J155" t="s">
        <v>23</v>
      </c>
      <c r="K155">
        <v>0.89</v>
      </c>
      <c r="L155">
        <v>2</v>
      </c>
      <c r="M155" t="s">
        <v>20</v>
      </c>
      <c r="N155">
        <f t="shared" si="6"/>
        <v>2</v>
      </c>
      <c r="O155">
        <v>2014</v>
      </c>
      <c r="P155">
        <f t="shared" si="7"/>
        <v>9.4196283769999525</v>
      </c>
      <c r="Q155">
        <f t="shared" si="8"/>
        <v>3.9122229854308124</v>
      </c>
    </row>
    <row r="156" spans="1:17" x14ac:dyDescent="0.3">
      <c r="A156">
        <v>155</v>
      </c>
      <c r="B156">
        <v>370752</v>
      </c>
      <c r="C156" t="s">
        <v>325</v>
      </c>
      <c r="D156" t="s">
        <v>326</v>
      </c>
      <c r="E156">
        <v>0</v>
      </c>
      <c r="F156">
        <v>12293</v>
      </c>
      <c r="G156">
        <v>235</v>
      </c>
      <c r="H156">
        <v>18</v>
      </c>
      <c r="I156">
        <v>1</v>
      </c>
      <c r="J156" t="s">
        <v>13</v>
      </c>
      <c r="K156">
        <v>0.49</v>
      </c>
      <c r="L156">
        <v>3</v>
      </c>
      <c r="M156" t="s">
        <v>14</v>
      </c>
      <c r="N156">
        <f t="shared" si="6"/>
        <v>1</v>
      </c>
      <c r="O156">
        <v>2015</v>
      </c>
      <c r="P156">
        <f t="shared" si="7"/>
        <v>9.4167852736673403</v>
      </c>
      <c r="Q156">
        <f t="shared" si="8"/>
        <v>-4.6051701859880909</v>
      </c>
    </row>
    <row r="157" spans="1:17" hidden="1" x14ac:dyDescent="0.3">
      <c r="A157">
        <v>156</v>
      </c>
      <c r="B157">
        <v>890810</v>
      </c>
      <c r="C157" t="s">
        <v>327</v>
      </c>
      <c r="D157" t="s">
        <v>328</v>
      </c>
      <c r="E157">
        <v>0</v>
      </c>
      <c r="F157">
        <v>12201</v>
      </c>
      <c r="G157">
        <v>217</v>
      </c>
      <c r="H157">
        <v>24</v>
      </c>
      <c r="I157">
        <v>4</v>
      </c>
      <c r="J157" t="s">
        <v>23</v>
      </c>
      <c r="K157">
        <v>0.81</v>
      </c>
      <c r="L157">
        <v>5.5</v>
      </c>
      <c r="M157" t="s">
        <v>14</v>
      </c>
      <c r="N157">
        <f t="shared" si="6"/>
        <v>1</v>
      </c>
      <c r="O157">
        <v>2016</v>
      </c>
      <c r="P157">
        <f t="shared" si="7"/>
        <v>9.4092731945753343</v>
      </c>
      <c r="Q157">
        <f t="shared" si="8"/>
        <v>-4.6051701859880909</v>
      </c>
    </row>
    <row r="158" spans="1:17" x14ac:dyDescent="0.3">
      <c r="A158">
        <v>157</v>
      </c>
      <c r="B158">
        <v>113706</v>
      </c>
      <c r="C158" t="s">
        <v>329</v>
      </c>
      <c r="D158" t="s">
        <v>330</v>
      </c>
      <c r="E158">
        <v>35</v>
      </c>
      <c r="F158">
        <v>12105</v>
      </c>
      <c r="G158">
        <v>144</v>
      </c>
      <c r="H158">
        <v>54</v>
      </c>
      <c r="I158">
        <v>1</v>
      </c>
      <c r="J158" t="s">
        <v>13</v>
      </c>
      <c r="K158">
        <v>0.15</v>
      </c>
      <c r="L158">
        <v>7.5</v>
      </c>
      <c r="M158" t="s">
        <v>20</v>
      </c>
      <c r="N158">
        <f t="shared" si="6"/>
        <v>2</v>
      </c>
      <c r="O158">
        <v>2013</v>
      </c>
      <c r="P158">
        <f t="shared" si="7"/>
        <v>9.4013738693721596</v>
      </c>
      <c r="Q158">
        <f t="shared" si="8"/>
        <v>3.5556337349665741</v>
      </c>
    </row>
    <row r="159" spans="1:17" hidden="1" x14ac:dyDescent="0.3">
      <c r="A159">
        <v>158</v>
      </c>
      <c r="B159">
        <v>723522</v>
      </c>
      <c r="C159" t="s">
        <v>331</v>
      </c>
      <c r="D159" t="s">
        <v>332</v>
      </c>
      <c r="E159">
        <v>195</v>
      </c>
      <c r="F159">
        <v>12068</v>
      </c>
      <c r="G159">
        <v>81</v>
      </c>
      <c r="H159">
        <v>12</v>
      </c>
      <c r="I159">
        <v>2</v>
      </c>
      <c r="J159" t="s">
        <v>32</v>
      </c>
      <c r="K159">
        <v>0.74</v>
      </c>
      <c r="L159">
        <v>1.5</v>
      </c>
      <c r="M159" t="s">
        <v>20</v>
      </c>
      <c r="N159">
        <f t="shared" si="6"/>
        <v>2</v>
      </c>
      <c r="O159">
        <v>2016</v>
      </c>
      <c r="P159">
        <f t="shared" si="7"/>
        <v>9.3983126002789525</v>
      </c>
      <c r="Q159">
        <f t="shared" si="8"/>
        <v>5.273050839300149</v>
      </c>
    </row>
    <row r="160" spans="1:17" hidden="1" x14ac:dyDescent="0.3">
      <c r="A160">
        <v>159</v>
      </c>
      <c r="B160">
        <v>746014</v>
      </c>
      <c r="C160" t="s">
        <v>333</v>
      </c>
      <c r="D160" t="s">
        <v>334</v>
      </c>
      <c r="E160">
        <v>195</v>
      </c>
      <c r="F160">
        <v>12021</v>
      </c>
      <c r="G160">
        <v>660</v>
      </c>
      <c r="H160">
        <v>41</v>
      </c>
      <c r="I160">
        <v>4</v>
      </c>
      <c r="J160" t="s">
        <v>23</v>
      </c>
      <c r="K160">
        <v>0.3</v>
      </c>
      <c r="L160">
        <v>4</v>
      </c>
      <c r="M160" t="s">
        <v>20</v>
      </c>
      <c r="N160">
        <f t="shared" si="6"/>
        <v>2</v>
      </c>
      <c r="O160">
        <v>2016</v>
      </c>
      <c r="P160">
        <f t="shared" si="7"/>
        <v>9.3944103993042543</v>
      </c>
      <c r="Q160">
        <f t="shared" si="8"/>
        <v>5.273050839300149</v>
      </c>
    </row>
    <row r="161" spans="1:17" hidden="1" x14ac:dyDescent="0.3">
      <c r="A161">
        <v>160</v>
      </c>
      <c r="B161">
        <v>560996</v>
      </c>
      <c r="C161" t="s">
        <v>335</v>
      </c>
      <c r="D161" t="s">
        <v>336</v>
      </c>
      <c r="E161">
        <v>100</v>
      </c>
      <c r="F161">
        <v>11892</v>
      </c>
      <c r="G161">
        <v>50</v>
      </c>
      <c r="H161">
        <v>28</v>
      </c>
      <c r="I161">
        <v>2</v>
      </c>
      <c r="J161" t="s">
        <v>32</v>
      </c>
      <c r="K161">
        <v>0.82</v>
      </c>
      <c r="L161">
        <v>2.5</v>
      </c>
      <c r="M161" t="s">
        <v>20</v>
      </c>
      <c r="N161">
        <f t="shared" si="6"/>
        <v>2</v>
      </c>
      <c r="O161">
        <v>2015</v>
      </c>
      <c r="P161">
        <f t="shared" si="7"/>
        <v>9.3836211841179882</v>
      </c>
      <c r="Q161">
        <f t="shared" si="8"/>
        <v>4.6052701809884251</v>
      </c>
    </row>
    <row r="162" spans="1:17" hidden="1" x14ac:dyDescent="0.3">
      <c r="A162">
        <v>161</v>
      </c>
      <c r="B162">
        <v>26845</v>
      </c>
      <c r="C162" t="s">
        <v>337</v>
      </c>
      <c r="D162" t="s">
        <v>338</v>
      </c>
      <c r="E162">
        <v>50</v>
      </c>
      <c r="F162">
        <v>11847</v>
      </c>
      <c r="G162">
        <v>57</v>
      </c>
      <c r="H162">
        <v>57</v>
      </c>
      <c r="I162">
        <v>4</v>
      </c>
      <c r="J162" t="s">
        <v>23</v>
      </c>
      <c r="K162">
        <v>0.18</v>
      </c>
      <c r="L162">
        <v>7.5</v>
      </c>
      <c r="M162" t="s">
        <v>20</v>
      </c>
      <c r="N162">
        <f t="shared" si="6"/>
        <v>2</v>
      </c>
      <c r="O162">
        <v>2012</v>
      </c>
      <c r="P162">
        <f t="shared" si="7"/>
        <v>9.3798299499547593</v>
      </c>
      <c r="Q162">
        <f t="shared" si="8"/>
        <v>3.9122229854308124</v>
      </c>
    </row>
    <row r="163" spans="1:17" x14ac:dyDescent="0.3">
      <c r="A163">
        <v>162</v>
      </c>
      <c r="B163">
        <v>822444</v>
      </c>
      <c r="C163" t="s">
        <v>339</v>
      </c>
      <c r="D163" t="s">
        <v>340</v>
      </c>
      <c r="E163">
        <v>200</v>
      </c>
      <c r="F163">
        <v>11832</v>
      </c>
      <c r="G163">
        <v>1883</v>
      </c>
      <c r="H163">
        <v>191</v>
      </c>
      <c r="I163">
        <v>1</v>
      </c>
      <c r="J163" t="s">
        <v>13</v>
      </c>
      <c r="K163">
        <v>0.28999999999999998</v>
      </c>
      <c r="L163">
        <v>31.5</v>
      </c>
      <c r="M163" t="s">
        <v>20</v>
      </c>
      <c r="N163">
        <f t="shared" si="6"/>
        <v>2</v>
      </c>
      <c r="O163">
        <v>2017</v>
      </c>
      <c r="P163">
        <f t="shared" si="7"/>
        <v>9.3785630043906352</v>
      </c>
      <c r="Q163">
        <f t="shared" si="8"/>
        <v>5.2983673652980787</v>
      </c>
    </row>
    <row r="164" spans="1:17" hidden="1" x14ac:dyDescent="0.3">
      <c r="A164">
        <v>163</v>
      </c>
      <c r="B164">
        <v>563668</v>
      </c>
      <c r="C164" t="s">
        <v>341</v>
      </c>
      <c r="D164" t="s">
        <v>342</v>
      </c>
      <c r="E164">
        <v>0</v>
      </c>
      <c r="F164">
        <v>11812</v>
      </c>
      <c r="G164">
        <v>152</v>
      </c>
      <c r="H164">
        <v>19</v>
      </c>
      <c r="I164">
        <v>4</v>
      </c>
      <c r="J164" t="s">
        <v>23</v>
      </c>
      <c r="K164">
        <v>0.41</v>
      </c>
      <c r="L164">
        <v>2</v>
      </c>
      <c r="M164" t="s">
        <v>14</v>
      </c>
      <c r="N164">
        <f t="shared" si="6"/>
        <v>1</v>
      </c>
      <c r="O164">
        <v>2015</v>
      </c>
      <c r="P164">
        <f t="shared" si="7"/>
        <v>9.3768712428638139</v>
      </c>
      <c r="Q164">
        <f t="shared" si="8"/>
        <v>-4.6051701859880909</v>
      </c>
    </row>
    <row r="165" spans="1:17" x14ac:dyDescent="0.3">
      <c r="A165">
        <v>164</v>
      </c>
      <c r="B165">
        <v>540724</v>
      </c>
      <c r="C165" t="s">
        <v>343</v>
      </c>
      <c r="D165" t="s">
        <v>344</v>
      </c>
      <c r="E165">
        <v>0</v>
      </c>
      <c r="F165">
        <v>11758</v>
      </c>
      <c r="G165">
        <v>242</v>
      </c>
      <c r="H165">
        <v>8</v>
      </c>
      <c r="I165">
        <v>1</v>
      </c>
      <c r="J165" t="s">
        <v>13</v>
      </c>
      <c r="K165">
        <v>0.24</v>
      </c>
      <c r="L165">
        <v>1</v>
      </c>
      <c r="M165" t="s">
        <v>14</v>
      </c>
      <c r="N165">
        <f t="shared" si="6"/>
        <v>1</v>
      </c>
      <c r="O165">
        <v>2015</v>
      </c>
      <c r="P165">
        <f t="shared" si="7"/>
        <v>9.3722891389622003</v>
      </c>
      <c r="Q165">
        <f t="shared" si="8"/>
        <v>-4.6051701859880909</v>
      </c>
    </row>
    <row r="166" spans="1:17" hidden="1" x14ac:dyDescent="0.3">
      <c r="A166">
        <v>165</v>
      </c>
      <c r="B166">
        <v>596192</v>
      </c>
      <c r="C166" t="s">
        <v>345</v>
      </c>
      <c r="D166" t="s">
        <v>346</v>
      </c>
      <c r="E166">
        <v>0</v>
      </c>
      <c r="F166">
        <v>11666</v>
      </c>
      <c r="G166">
        <v>546</v>
      </c>
      <c r="H166">
        <v>20</v>
      </c>
      <c r="I166">
        <v>4</v>
      </c>
      <c r="J166" t="s">
        <v>23</v>
      </c>
      <c r="K166">
        <v>0.55000000000000004</v>
      </c>
      <c r="L166">
        <v>4</v>
      </c>
      <c r="M166" t="s">
        <v>14</v>
      </c>
      <c r="N166">
        <f t="shared" si="6"/>
        <v>1</v>
      </c>
      <c r="O166">
        <v>2016</v>
      </c>
      <c r="P166">
        <f t="shared" si="7"/>
        <v>9.3644339073135825</v>
      </c>
      <c r="Q166">
        <f t="shared" si="8"/>
        <v>-4.6051701859880909</v>
      </c>
    </row>
    <row r="167" spans="1:17" hidden="1" x14ac:dyDescent="0.3">
      <c r="A167">
        <v>166</v>
      </c>
      <c r="B167">
        <v>77642</v>
      </c>
      <c r="C167" t="s">
        <v>347</v>
      </c>
      <c r="D167" t="s">
        <v>348</v>
      </c>
      <c r="E167">
        <v>100</v>
      </c>
      <c r="F167">
        <v>11643</v>
      </c>
      <c r="G167">
        <v>169</v>
      </c>
      <c r="H167">
        <v>21</v>
      </c>
      <c r="I167">
        <v>4</v>
      </c>
      <c r="J167" t="s">
        <v>23</v>
      </c>
      <c r="K167">
        <v>0.93</v>
      </c>
      <c r="L167">
        <v>1</v>
      </c>
      <c r="M167" t="s">
        <v>20</v>
      </c>
      <c r="N167">
        <f t="shared" si="6"/>
        <v>2</v>
      </c>
      <c r="O167">
        <v>2013</v>
      </c>
      <c r="P167">
        <f t="shared" si="7"/>
        <v>9.3624604200370154</v>
      </c>
      <c r="Q167">
        <f t="shared" si="8"/>
        <v>4.6052701809884251</v>
      </c>
    </row>
    <row r="168" spans="1:17" hidden="1" x14ac:dyDescent="0.3">
      <c r="A168">
        <v>167</v>
      </c>
      <c r="B168">
        <v>696016</v>
      </c>
      <c r="C168" t="s">
        <v>349</v>
      </c>
      <c r="D168" t="s">
        <v>350</v>
      </c>
      <c r="E168">
        <v>200</v>
      </c>
      <c r="F168">
        <v>11574</v>
      </c>
      <c r="G168">
        <v>78</v>
      </c>
      <c r="H168">
        <v>15</v>
      </c>
      <c r="I168">
        <v>4</v>
      </c>
      <c r="J168" t="s">
        <v>23</v>
      </c>
      <c r="K168">
        <v>0.7</v>
      </c>
      <c r="L168">
        <v>1</v>
      </c>
      <c r="M168" t="s">
        <v>20</v>
      </c>
      <c r="N168">
        <f t="shared" si="6"/>
        <v>2</v>
      </c>
      <c r="O168">
        <v>2015</v>
      </c>
      <c r="P168">
        <f t="shared" si="7"/>
        <v>9.3565164821337845</v>
      </c>
      <c r="Q168">
        <f t="shared" si="8"/>
        <v>5.2983673652980787</v>
      </c>
    </row>
    <row r="169" spans="1:17" hidden="1" x14ac:dyDescent="0.3">
      <c r="A169">
        <v>168</v>
      </c>
      <c r="B169">
        <v>920544</v>
      </c>
      <c r="C169" t="s">
        <v>351</v>
      </c>
      <c r="D169" t="s">
        <v>352</v>
      </c>
      <c r="E169">
        <v>20</v>
      </c>
      <c r="F169">
        <v>11536</v>
      </c>
      <c r="G169">
        <v>876</v>
      </c>
      <c r="H169">
        <v>60</v>
      </c>
      <c r="I169">
        <v>4</v>
      </c>
      <c r="J169" t="s">
        <v>23</v>
      </c>
      <c r="K169">
        <v>0.95</v>
      </c>
      <c r="L169">
        <v>6.5</v>
      </c>
      <c r="M169" t="s">
        <v>20</v>
      </c>
      <c r="N169">
        <f t="shared" si="6"/>
        <v>2</v>
      </c>
      <c r="O169">
        <v>2016</v>
      </c>
      <c r="P169">
        <f t="shared" si="7"/>
        <v>9.3532278595247309</v>
      </c>
      <c r="Q169">
        <f t="shared" si="8"/>
        <v>2.996232148595642</v>
      </c>
    </row>
    <row r="170" spans="1:17" x14ac:dyDescent="0.3">
      <c r="A170">
        <v>169</v>
      </c>
      <c r="B170">
        <v>699618</v>
      </c>
      <c r="C170" t="s">
        <v>353</v>
      </c>
      <c r="D170" t="s">
        <v>354</v>
      </c>
      <c r="E170">
        <v>0</v>
      </c>
      <c r="F170">
        <v>11533</v>
      </c>
      <c r="G170">
        <v>240</v>
      </c>
      <c r="H170">
        <v>18</v>
      </c>
      <c r="I170">
        <v>1</v>
      </c>
      <c r="J170" t="s">
        <v>13</v>
      </c>
      <c r="K170">
        <v>0.21</v>
      </c>
      <c r="L170">
        <v>2</v>
      </c>
      <c r="M170" t="s">
        <v>14</v>
      </c>
      <c r="N170">
        <f t="shared" si="6"/>
        <v>1</v>
      </c>
      <c r="O170">
        <v>2016</v>
      </c>
      <c r="P170">
        <f t="shared" si="7"/>
        <v>9.3529677702259395</v>
      </c>
      <c r="Q170">
        <f t="shared" si="8"/>
        <v>-4.6051701859880909</v>
      </c>
    </row>
    <row r="171" spans="1:17" hidden="1" x14ac:dyDescent="0.3">
      <c r="A171">
        <v>170</v>
      </c>
      <c r="B171">
        <v>789324</v>
      </c>
      <c r="C171" t="s">
        <v>355</v>
      </c>
      <c r="D171" t="s">
        <v>356</v>
      </c>
      <c r="E171">
        <v>200</v>
      </c>
      <c r="F171">
        <v>11492</v>
      </c>
      <c r="G171">
        <v>174</v>
      </c>
      <c r="H171">
        <v>118</v>
      </c>
      <c r="I171">
        <v>4</v>
      </c>
      <c r="J171" t="s">
        <v>23</v>
      </c>
      <c r="K171">
        <v>0.35</v>
      </c>
      <c r="L171">
        <v>24.5</v>
      </c>
      <c r="M171" t="s">
        <v>20</v>
      </c>
      <c r="N171">
        <f t="shared" si="6"/>
        <v>2</v>
      </c>
      <c r="O171">
        <v>2016</v>
      </c>
      <c r="P171">
        <f t="shared" si="7"/>
        <v>9.3494064200991804</v>
      </c>
      <c r="Q171">
        <f t="shared" si="8"/>
        <v>5.2983673652980787</v>
      </c>
    </row>
    <row r="172" spans="1:17" x14ac:dyDescent="0.3">
      <c r="A172">
        <v>171</v>
      </c>
      <c r="B172">
        <v>945978</v>
      </c>
      <c r="C172" t="s">
        <v>357</v>
      </c>
      <c r="D172" t="s">
        <v>358</v>
      </c>
      <c r="E172">
        <v>50</v>
      </c>
      <c r="F172">
        <v>11384</v>
      </c>
      <c r="G172">
        <v>1846</v>
      </c>
      <c r="H172">
        <v>80</v>
      </c>
      <c r="I172">
        <v>1</v>
      </c>
      <c r="J172" t="s">
        <v>13</v>
      </c>
      <c r="K172">
        <v>0.22</v>
      </c>
      <c r="L172">
        <v>5.5</v>
      </c>
      <c r="M172" t="s">
        <v>20</v>
      </c>
      <c r="N172">
        <f t="shared" si="6"/>
        <v>2</v>
      </c>
      <c r="O172">
        <v>2016</v>
      </c>
      <c r="P172">
        <f t="shared" si="7"/>
        <v>9.3399641397696875</v>
      </c>
      <c r="Q172">
        <f t="shared" si="8"/>
        <v>3.9122229854308124</v>
      </c>
    </row>
    <row r="173" spans="1:17" hidden="1" x14ac:dyDescent="0.3">
      <c r="A173">
        <v>172</v>
      </c>
      <c r="B173">
        <v>460056</v>
      </c>
      <c r="C173" t="s">
        <v>359</v>
      </c>
      <c r="D173" t="s">
        <v>360</v>
      </c>
      <c r="E173">
        <v>55</v>
      </c>
      <c r="F173">
        <v>11339</v>
      </c>
      <c r="G173">
        <v>43</v>
      </c>
      <c r="H173">
        <v>26</v>
      </c>
      <c r="I173">
        <v>4</v>
      </c>
      <c r="J173" t="s">
        <v>23</v>
      </c>
      <c r="K173">
        <v>0.47</v>
      </c>
      <c r="L173">
        <v>3.5</v>
      </c>
      <c r="M173" t="s">
        <v>20</v>
      </c>
      <c r="N173">
        <f t="shared" si="6"/>
        <v>2</v>
      </c>
      <c r="O173">
        <v>2015</v>
      </c>
      <c r="P173">
        <f t="shared" si="7"/>
        <v>9.3360033899718395</v>
      </c>
      <c r="Q173">
        <f t="shared" si="8"/>
        <v>4.007514986887367</v>
      </c>
    </row>
    <row r="174" spans="1:17" hidden="1" x14ac:dyDescent="0.3">
      <c r="A174">
        <v>173</v>
      </c>
      <c r="B174">
        <v>1052304</v>
      </c>
      <c r="C174" t="s">
        <v>361</v>
      </c>
      <c r="D174" t="s">
        <v>362</v>
      </c>
      <c r="E174">
        <v>195</v>
      </c>
      <c r="F174">
        <v>11285</v>
      </c>
      <c r="G174">
        <v>102</v>
      </c>
      <c r="H174">
        <v>77</v>
      </c>
      <c r="I174">
        <v>2</v>
      </c>
      <c r="J174" t="s">
        <v>32</v>
      </c>
      <c r="K174">
        <v>0.3</v>
      </c>
      <c r="L174">
        <v>5.5</v>
      </c>
      <c r="M174" t="s">
        <v>20</v>
      </c>
      <c r="N174">
        <f t="shared" si="6"/>
        <v>2</v>
      </c>
      <c r="O174">
        <v>2017</v>
      </c>
      <c r="P174">
        <f t="shared" si="7"/>
        <v>9.3312296892516358</v>
      </c>
      <c r="Q174">
        <f t="shared" si="8"/>
        <v>5.273050839300149</v>
      </c>
    </row>
    <row r="175" spans="1:17" hidden="1" x14ac:dyDescent="0.3">
      <c r="A175">
        <v>174</v>
      </c>
      <c r="B175">
        <v>1052304</v>
      </c>
      <c r="C175" t="s">
        <v>361</v>
      </c>
      <c r="D175" t="s">
        <v>362</v>
      </c>
      <c r="E175">
        <v>195</v>
      </c>
      <c r="F175">
        <v>11285</v>
      </c>
      <c r="G175">
        <v>102</v>
      </c>
      <c r="H175">
        <v>77</v>
      </c>
      <c r="I175">
        <v>2</v>
      </c>
      <c r="J175" t="s">
        <v>32</v>
      </c>
      <c r="K175">
        <v>0.92</v>
      </c>
      <c r="L175">
        <v>5.5</v>
      </c>
      <c r="M175" t="s">
        <v>20</v>
      </c>
      <c r="N175">
        <f t="shared" si="6"/>
        <v>2</v>
      </c>
      <c r="O175">
        <v>2017</v>
      </c>
      <c r="P175">
        <f t="shared" si="7"/>
        <v>9.3312296892516358</v>
      </c>
      <c r="Q175">
        <f t="shared" si="8"/>
        <v>5.273050839300149</v>
      </c>
    </row>
    <row r="176" spans="1:17" x14ac:dyDescent="0.3">
      <c r="A176">
        <v>175</v>
      </c>
      <c r="B176">
        <v>379722</v>
      </c>
      <c r="C176" t="s">
        <v>363</v>
      </c>
      <c r="D176" t="s">
        <v>364</v>
      </c>
      <c r="E176">
        <v>50</v>
      </c>
      <c r="F176">
        <v>11262</v>
      </c>
      <c r="G176">
        <v>142</v>
      </c>
      <c r="H176">
        <v>18</v>
      </c>
      <c r="I176">
        <v>1</v>
      </c>
      <c r="J176" t="s">
        <v>13</v>
      </c>
      <c r="K176">
        <v>0.55000000000000004</v>
      </c>
      <c r="L176">
        <v>2</v>
      </c>
      <c r="M176" t="s">
        <v>20</v>
      </c>
      <c r="N176">
        <f t="shared" si="6"/>
        <v>2</v>
      </c>
      <c r="O176">
        <v>2015</v>
      </c>
      <c r="P176">
        <f t="shared" si="7"/>
        <v>9.3291895058145631</v>
      </c>
      <c r="Q176">
        <f t="shared" si="8"/>
        <v>3.9122229854308124</v>
      </c>
    </row>
    <row r="177" spans="1:17" x14ac:dyDescent="0.3">
      <c r="A177">
        <v>176</v>
      </c>
      <c r="B177">
        <v>736940</v>
      </c>
      <c r="C177" t="s">
        <v>365</v>
      </c>
      <c r="D177" t="s">
        <v>366</v>
      </c>
      <c r="E177">
        <v>95</v>
      </c>
      <c r="F177">
        <v>11170</v>
      </c>
      <c r="G177">
        <v>35</v>
      </c>
      <c r="H177">
        <v>19</v>
      </c>
      <c r="I177">
        <v>1</v>
      </c>
      <c r="J177" t="s">
        <v>13</v>
      </c>
      <c r="K177">
        <v>0.11</v>
      </c>
      <c r="L177">
        <v>2.5</v>
      </c>
      <c r="M177" t="s">
        <v>20</v>
      </c>
      <c r="N177">
        <f t="shared" si="6"/>
        <v>2</v>
      </c>
      <c r="O177">
        <v>2016</v>
      </c>
      <c r="P177">
        <f t="shared" si="7"/>
        <v>9.3209868920632459</v>
      </c>
      <c r="Q177">
        <f t="shared" si="8"/>
        <v>4.5539821492186583</v>
      </c>
    </row>
    <row r="178" spans="1:17" x14ac:dyDescent="0.3">
      <c r="A178">
        <v>177</v>
      </c>
      <c r="B178">
        <v>736940</v>
      </c>
      <c r="C178" t="s">
        <v>365</v>
      </c>
      <c r="D178" t="s">
        <v>366</v>
      </c>
      <c r="E178">
        <v>95</v>
      </c>
      <c r="F178">
        <v>11170</v>
      </c>
      <c r="G178">
        <v>35</v>
      </c>
      <c r="H178">
        <v>19</v>
      </c>
      <c r="I178">
        <v>1</v>
      </c>
      <c r="J178" t="s">
        <v>13</v>
      </c>
      <c r="K178">
        <v>0.92</v>
      </c>
      <c r="L178">
        <v>2.5</v>
      </c>
      <c r="M178" t="s">
        <v>20</v>
      </c>
      <c r="N178">
        <f t="shared" si="6"/>
        <v>2</v>
      </c>
      <c r="O178">
        <v>2016</v>
      </c>
      <c r="P178">
        <f t="shared" si="7"/>
        <v>9.3209868920632459</v>
      </c>
      <c r="Q178">
        <f t="shared" si="8"/>
        <v>4.5539821492186583</v>
      </c>
    </row>
    <row r="179" spans="1:17" x14ac:dyDescent="0.3">
      <c r="A179">
        <v>178</v>
      </c>
      <c r="B179">
        <v>241590</v>
      </c>
      <c r="C179" t="s">
        <v>367</v>
      </c>
      <c r="D179" t="s">
        <v>368</v>
      </c>
      <c r="E179">
        <v>20</v>
      </c>
      <c r="F179">
        <v>11167</v>
      </c>
      <c r="G179">
        <v>34</v>
      </c>
      <c r="H179">
        <v>13</v>
      </c>
      <c r="I179">
        <v>1</v>
      </c>
      <c r="J179" t="s">
        <v>13</v>
      </c>
      <c r="K179">
        <v>0.68</v>
      </c>
      <c r="L179">
        <v>2</v>
      </c>
      <c r="M179" t="s">
        <v>20</v>
      </c>
      <c r="N179">
        <f t="shared" si="6"/>
        <v>2</v>
      </c>
      <c r="O179">
        <v>2014</v>
      </c>
      <c r="P179">
        <f t="shared" si="7"/>
        <v>9.3207182794457921</v>
      </c>
      <c r="Q179">
        <f t="shared" si="8"/>
        <v>2.996232148595642</v>
      </c>
    </row>
    <row r="180" spans="1:17" x14ac:dyDescent="0.3">
      <c r="A180">
        <v>179</v>
      </c>
      <c r="B180">
        <v>241590</v>
      </c>
      <c r="C180" t="s">
        <v>367</v>
      </c>
      <c r="D180" t="s">
        <v>368</v>
      </c>
      <c r="E180">
        <v>20</v>
      </c>
      <c r="F180">
        <v>11167</v>
      </c>
      <c r="G180">
        <v>34</v>
      </c>
      <c r="H180">
        <v>13</v>
      </c>
      <c r="I180">
        <v>1</v>
      </c>
      <c r="J180" t="s">
        <v>13</v>
      </c>
      <c r="K180">
        <v>0.92</v>
      </c>
      <c r="L180">
        <v>2</v>
      </c>
      <c r="M180" t="s">
        <v>20</v>
      </c>
      <c r="N180">
        <f t="shared" si="6"/>
        <v>2</v>
      </c>
      <c r="O180">
        <v>2014</v>
      </c>
      <c r="P180">
        <f t="shared" si="7"/>
        <v>9.3207182794457921</v>
      </c>
      <c r="Q180">
        <f t="shared" si="8"/>
        <v>2.996232148595642</v>
      </c>
    </row>
    <row r="181" spans="1:17" hidden="1" x14ac:dyDescent="0.3">
      <c r="A181">
        <v>180</v>
      </c>
      <c r="B181">
        <v>294408</v>
      </c>
      <c r="C181" t="s">
        <v>369</v>
      </c>
      <c r="D181" t="s">
        <v>370</v>
      </c>
      <c r="E181">
        <v>0</v>
      </c>
      <c r="F181">
        <v>11080</v>
      </c>
      <c r="G181">
        <v>165</v>
      </c>
      <c r="H181">
        <v>7</v>
      </c>
      <c r="I181">
        <v>4</v>
      </c>
      <c r="J181" t="s">
        <v>23</v>
      </c>
      <c r="K181">
        <v>0.19</v>
      </c>
      <c r="L181">
        <v>1</v>
      </c>
      <c r="M181" t="s">
        <v>14</v>
      </c>
      <c r="N181">
        <f t="shared" si="6"/>
        <v>1</v>
      </c>
      <c r="O181">
        <v>2014</v>
      </c>
      <c r="P181">
        <f t="shared" si="7"/>
        <v>9.3128969603012752</v>
      </c>
      <c r="Q181">
        <f t="shared" si="8"/>
        <v>-4.6051701859880909</v>
      </c>
    </row>
    <row r="182" spans="1:17" x14ac:dyDescent="0.3">
      <c r="A182">
        <v>181</v>
      </c>
      <c r="B182">
        <v>142666</v>
      </c>
      <c r="C182" t="s">
        <v>371</v>
      </c>
      <c r="D182" t="s">
        <v>372</v>
      </c>
      <c r="E182">
        <v>0</v>
      </c>
      <c r="F182">
        <v>11026</v>
      </c>
      <c r="G182">
        <v>228</v>
      </c>
      <c r="H182">
        <v>13</v>
      </c>
      <c r="I182">
        <v>1</v>
      </c>
      <c r="J182" t="s">
        <v>13</v>
      </c>
      <c r="K182">
        <v>0.8</v>
      </c>
      <c r="L182">
        <v>1</v>
      </c>
      <c r="M182" t="s">
        <v>14</v>
      </c>
      <c r="N182">
        <f t="shared" si="6"/>
        <v>1</v>
      </c>
      <c r="O182">
        <v>2014</v>
      </c>
      <c r="P182">
        <f t="shared" si="7"/>
        <v>9.3080113991496294</v>
      </c>
      <c r="Q182">
        <f t="shared" si="8"/>
        <v>-4.6051701859880909</v>
      </c>
    </row>
    <row r="183" spans="1:17" x14ac:dyDescent="0.3">
      <c r="A183">
        <v>182</v>
      </c>
      <c r="B183">
        <v>142666</v>
      </c>
      <c r="C183" t="s">
        <v>371</v>
      </c>
      <c r="D183" t="s">
        <v>372</v>
      </c>
      <c r="E183">
        <v>0</v>
      </c>
      <c r="F183">
        <v>11026</v>
      </c>
      <c r="G183">
        <v>228</v>
      </c>
      <c r="H183">
        <v>13</v>
      </c>
      <c r="I183">
        <v>1</v>
      </c>
      <c r="J183" t="s">
        <v>13</v>
      </c>
      <c r="K183">
        <v>0.92</v>
      </c>
      <c r="L183">
        <v>1</v>
      </c>
      <c r="M183" t="s">
        <v>14</v>
      </c>
      <c r="N183">
        <f t="shared" si="6"/>
        <v>1</v>
      </c>
      <c r="O183">
        <v>2014</v>
      </c>
      <c r="P183">
        <f t="shared" si="7"/>
        <v>9.3080113991496294</v>
      </c>
      <c r="Q183">
        <f t="shared" si="8"/>
        <v>-4.6051701859880909</v>
      </c>
    </row>
    <row r="184" spans="1:17" hidden="1" x14ac:dyDescent="0.3">
      <c r="A184">
        <v>183</v>
      </c>
      <c r="B184">
        <v>615106</v>
      </c>
      <c r="C184" t="s">
        <v>373</v>
      </c>
      <c r="D184" t="s">
        <v>374</v>
      </c>
      <c r="E184">
        <v>200</v>
      </c>
      <c r="F184">
        <v>11011</v>
      </c>
      <c r="G184">
        <v>13</v>
      </c>
      <c r="H184">
        <v>36</v>
      </c>
      <c r="I184">
        <v>4</v>
      </c>
      <c r="J184" t="s">
        <v>23</v>
      </c>
      <c r="K184">
        <v>0.94</v>
      </c>
      <c r="L184">
        <v>2.5</v>
      </c>
      <c r="M184" t="s">
        <v>20</v>
      </c>
      <c r="N184">
        <f t="shared" si="6"/>
        <v>2</v>
      </c>
      <c r="O184">
        <v>2015</v>
      </c>
      <c r="P184">
        <f t="shared" si="7"/>
        <v>9.3066500521135911</v>
      </c>
      <c r="Q184">
        <f t="shared" si="8"/>
        <v>5.2983673652980787</v>
      </c>
    </row>
    <row r="185" spans="1:17" hidden="1" x14ac:dyDescent="0.3">
      <c r="A185">
        <v>184</v>
      </c>
      <c r="B185">
        <v>1000574</v>
      </c>
      <c r="C185" t="s">
        <v>375</v>
      </c>
      <c r="D185" t="s">
        <v>376</v>
      </c>
      <c r="E185">
        <v>150</v>
      </c>
      <c r="F185">
        <v>10945</v>
      </c>
      <c r="G185">
        <v>1286</v>
      </c>
      <c r="H185">
        <v>129</v>
      </c>
      <c r="I185">
        <v>4</v>
      </c>
      <c r="J185" t="s">
        <v>23</v>
      </c>
      <c r="K185">
        <v>0.16</v>
      </c>
      <c r="L185">
        <v>13.5</v>
      </c>
      <c r="M185" t="s">
        <v>20</v>
      </c>
      <c r="N185">
        <f t="shared" si="6"/>
        <v>2</v>
      </c>
      <c r="O185">
        <v>2016</v>
      </c>
      <c r="P185">
        <f t="shared" si="7"/>
        <v>9.3006380099569625</v>
      </c>
      <c r="Q185">
        <f t="shared" si="8"/>
        <v>5.0107019585407988</v>
      </c>
    </row>
    <row r="186" spans="1:17" hidden="1" x14ac:dyDescent="0.3">
      <c r="A186">
        <v>185</v>
      </c>
      <c r="B186">
        <v>394832</v>
      </c>
      <c r="C186" t="s">
        <v>377</v>
      </c>
      <c r="D186" t="s">
        <v>378</v>
      </c>
      <c r="E186">
        <v>0</v>
      </c>
      <c r="F186">
        <v>10917</v>
      </c>
      <c r="G186">
        <v>319</v>
      </c>
      <c r="H186">
        <v>25</v>
      </c>
      <c r="I186">
        <v>4</v>
      </c>
      <c r="J186" t="s">
        <v>23</v>
      </c>
      <c r="K186">
        <v>0.18</v>
      </c>
      <c r="L186">
        <v>2</v>
      </c>
      <c r="M186" t="s">
        <v>14</v>
      </c>
      <c r="N186">
        <f t="shared" si="6"/>
        <v>1</v>
      </c>
      <c r="O186">
        <v>2015</v>
      </c>
      <c r="P186">
        <f t="shared" si="7"/>
        <v>9.2980764862802694</v>
      </c>
      <c r="Q186">
        <f t="shared" si="8"/>
        <v>-4.6051701859880909</v>
      </c>
    </row>
    <row r="187" spans="1:17" hidden="1" x14ac:dyDescent="0.3">
      <c r="A187">
        <v>186</v>
      </c>
      <c r="B187">
        <v>113518</v>
      </c>
      <c r="C187" t="s">
        <v>379</v>
      </c>
      <c r="D187" t="s">
        <v>380</v>
      </c>
      <c r="E187">
        <v>75</v>
      </c>
      <c r="F187">
        <v>10890</v>
      </c>
      <c r="G187">
        <v>212</v>
      </c>
      <c r="H187">
        <v>33</v>
      </c>
      <c r="I187">
        <v>4</v>
      </c>
      <c r="J187" t="s">
        <v>23</v>
      </c>
      <c r="K187">
        <v>0.1</v>
      </c>
      <c r="L187">
        <v>5</v>
      </c>
      <c r="M187" t="s">
        <v>20</v>
      </c>
      <c r="N187">
        <f t="shared" si="6"/>
        <v>2</v>
      </c>
      <c r="O187">
        <v>2013</v>
      </c>
      <c r="P187">
        <f t="shared" si="7"/>
        <v>9.2956002159270064</v>
      </c>
      <c r="Q187">
        <f t="shared" si="8"/>
        <v>4.3176214379815452</v>
      </c>
    </row>
    <row r="188" spans="1:17" hidden="1" x14ac:dyDescent="0.3">
      <c r="A188">
        <v>187</v>
      </c>
      <c r="B188">
        <v>701570</v>
      </c>
      <c r="C188" t="s">
        <v>381</v>
      </c>
      <c r="D188" t="s">
        <v>382</v>
      </c>
      <c r="E188">
        <v>195</v>
      </c>
      <c r="F188">
        <v>10874</v>
      </c>
      <c r="G188">
        <v>114</v>
      </c>
      <c r="H188">
        <v>59</v>
      </c>
      <c r="I188">
        <v>4</v>
      </c>
      <c r="J188" t="s">
        <v>23</v>
      </c>
      <c r="K188">
        <v>0.34</v>
      </c>
      <c r="L188">
        <v>7.5</v>
      </c>
      <c r="M188" t="s">
        <v>20</v>
      </c>
      <c r="N188">
        <f t="shared" si="6"/>
        <v>2</v>
      </c>
      <c r="O188">
        <v>2016</v>
      </c>
      <c r="P188">
        <f t="shared" si="7"/>
        <v>9.2941298977058668</v>
      </c>
      <c r="Q188">
        <f t="shared" si="8"/>
        <v>5.273050839300149</v>
      </c>
    </row>
    <row r="189" spans="1:17" x14ac:dyDescent="0.3">
      <c r="A189">
        <v>188</v>
      </c>
      <c r="B189">
        <v>729552</v>
      </c>
      <c r="C189" t="s">
        <v>383</v>
      </c>
      <c r="D189" t="s">
        <v>384</v>
      </c>
      <c r="E189">
        <v>50</v>
      </c>
      <c r="F189">
        <v>10864</v>
      </c>
      <c r="G189">
        <v>63</v>
      </c>
      <c r="H189">
        <v>26</v>
      </c>
      <c r="I189">
        <v>1</v>
      </c>
      <c r="J189" t="s">
        <v>13</v>
      </c>
      <c r="K189">
        <v>0.84</v>
      </c>
      <c r="L189">
        <v>2</v>
      </c>
      <c r="M189" t="s">
        <v>20</v>
      </c>
      <c r="N189">
        <f t="shared" si="6"/>
        <v>2</v>
      </c>
      <c r="O189">
        <v>2016</v>
      </c>
      <c r="P189">
        <f t="shared" si="7"/>
        <v>9.2932098497984779</v>
      </c>
      <c r="Q189">
        <f t="shared" si="8"/>
        <v>3.9122229854308124</v>
      </c>
    </row>
    <row r="190" spans="1:17" hidden="1" x14ac:dyDescent="0.3">
      <c r="A190">
        <v>189</v>
      </c>
      <c r="B190">
        <v>708674</v>
      </c>
      <c r="C190" t="s">
        <v>385</v>
      </c>
      <c r="D190" t="s">
        <v>386</v>
      </c>
      <c r="E190">
        <v>0</v>
      </c>
      <c r="F190">
        <v>10780</v>
      </c>
      <c r="G190">
        <v>110</v>
      </c>
      <c r="H190">
        <v>19</v>
      </c>
      <c r="I190">
        <v>4</v>
      </c>
      <c r="J190" t="s">
        <v>23</v>
      </c>
      <c r="K190">
        <v>0.66</v>
      </c>
      <c r="L190">
        <v>1</v>
      </c>
      <c r="M190" t="s">
        <v>14</v>
      </c>
      <c r="N190">
        <f t="shared" si="6"/>
        <v>1</v>
      </c>
      <c r="O190">
        <v>2016</v>
      </c>
      <c r="P190">
        <f t="shared" si="7"/>
        <v>9.285447844462988</v>
      </c>
      <c r="Q190">
        <f t="shared" si="8"/>
        <v>-4.6051701859880909</v>
      </c>
    </row>
    <row r="191" spans="1:17" hidden="1" x14ac:dyDescent="0.3">
      <c r="A191">
        <v>190</v>
      </c>
      <c r="B191">
        <v>149042</v>
      </c>
      <c r="C191" t="s">
        <v>387</v>
      </c>
      <c r="D191" t="s">
        <v>388</v>
      </c>
      <c r="E191">
        <v>20</v>
      </c>
      <c r="F191">
        <v>10689</v>
      </c>
      <c r="G191">
        <v>394</v>
      </c>
      <c r="H191">
        <v>17</v>
      </c>
      <c r="I191">
        <v>4</v>
      </c>
      <c r="J191" t="s">
        <v>23</v>
      </c>
      <c r="K191">
        <v>0.32</v>
      </c>
      <c r="L191">
        <v>2</v>
      </c>
      <c r="M191" t="s">
        <v>20</v>
      </c>
      <c r="N191">
        <f t="shared" si="6"/>
        <v>2</v>
      </c>
      <c r="O191">
        <v>2014</v>
      </c>
      <c r="P191">
        <f t="shared" si="7"/>
        <v>9.2769704542739451</v>
      </c>
      <c r="Q191">
        <f t="shared" si="8"/>
        <v>2.996232148595642</v>
      </c>
    </row>
    <row r="192" spans="1:17" x14ac:dyDescent="0.3">
      <c r="A192">
        <v>191</v>
      </c>
      <c r="B192">
        <v>1017116</v>
      </c>
      <c r="C192" t="s">
        <v>389</v>
      </c>
      <c r="D192" t="s">
        <v>390</v>
      </c>
      <c r="E192">
        <v>200</v>
      </c>
      <c r="F192">
        <v>10674</v>
      </c>
      <c r="G192">
        <v>102</v>
      </c>
      <c r="H192">
        <v>26</v>
      </c>
      <c r="I192">
        <v>1</v>
      </c>
      <c r="J192" t="s">
        <v>13</v>
      </c>
      <c r="K192">
        <v>0.11</v>
      </c>
      <c r="L192">
        <v>2</v>
      </c>
      <c r="M192" t="s">
        <v>20</v>
      </c>
      <c r="N192">
        <f t="shared" si="6"/>
        <v>2</v>
      </c>
      <c r="O192">
        <v>2016</v>
      </c>
      <c r="P192">
        <f t="shared" si="7"/>
        <v>9.2755661568938894</v>
      </c>
      <c r="Q192">
        <f t="shared" si="8"/>
        <v>5.2983673652980787</v>
      </c>
    </row>
    <row r="193" spans="1:17" hidden="1" x14ac:dyDescent="0.3">
      <c r="A193">
        <v>192</v>
      </c>
      <c r="B193">
        <v>158934</v>
      </c>
      <c r="C193" t="s">
        <v>391</v>
      </c>
      <c r="D193" t="s">
        <v>392</v>
      </c>
      <c r="E193">
        <v>20</v>
      </c>
      <c r="F193">
        <v>10610</v>
      </c>
      <c r="G193">
        <v>83</v>
      </c>
      <c r="H193">
        <v>10</v>
      </c>
      <c r="I193">
        <v>4</v>
      </c>
      <c r="J193" t="s">
        <v>23</v>
      </c>
      <c r="K193">
        <v>0.21</v>
      </c>
      <c r="L193">
        <v>1</v>
      </c>
      <c r="M193" t="s">
        <v>20</v>
      </c>
      <c r="N193">
        <f t="shared" si="6"/>
        <v>2</v>
      </c>
      <c r="O193">
        <v>2014</v>
      </c>
      <c r="P193">
        <f t="shared" si="7"/>
        <v>9.2695522316080297</v>
      </c>
      <c r="Q193">
        <f t="shared" si="8"/>
        <v>2.996232148595642</v>
      </c>
    </row>
    <row r="194" spans="1:17" x14ac:dyDescent="0.3">
      <c r="A194">
        <v>193</v>
      </c>
      <c r="B194">
        <v>266252</v>
      </c>
      <c r="C194" t="s">
        <v>393</v>
      </c>
      <c r="D194" t="s">
        <v>394</v>
      </c>
      <c r="E194">
        <v>60</v>
      </c>
      <c r="F194">
        <v>10606</v>
      </c>
      <c r="G194">
        <v>570</v>
      </c>
      <c r="H194">
        <v>88</v>
      </c>
      <c r="I194">
        <v>1</v>
      </c>
      <c r="J194" t="s">
        <v>13</v>
      </c>
      <c r="K194">
        <v>0.76</v>
      </c>
      <c r="L194">
        <v>23</v>
      </c>
      <c r="M194" t="s">
        <v>20</v>
      </c>
      <c r="N194">
        <f t="shared" ref="N194:N257" si="9">IF(M194="Free",1,IF(M194="Paid",2,0))</f>
        <v>2</v>
      </c>
      <c r="O194">
        <v>2014</v>
      </c>
      <c r="P194">
        <f t="shared" ref="P194:P257" si="10">LN(F194)</f>
        <v>9.2691751576970756</v>
      </c>
      <c r="Q194">
        <f t="shared" ref="Q194:Q257" si="11">LN(E194+0.01)</f>
        <v>4.0945112150014218</v>
      </c>
    </row>
    <row r="195" spans="1:17" x14ac:dyDescent="0.3">
      <c r="A195">
        <v>194</v>
      </c>
      <c r="B195">
        <v>609992</v>
      </c>
      <c r="C195" t="s">
        <v>395</v>
      </c>
      <c r="D195" t="s">
        <v>396</v>
      </c>
      <c r="E195">
        <v>145</v>
      </c>
      <c r="F195">
        <v>10576</v>
      </c>
      <c r="G195">
        <v>154</v>
      </c>
      <c r="H195">
        <v>23</v>
      </c>
      <c r="I195">
        <v>1</v>
      </c>
      <c r="J195" t="s">
        <v>13</v>
      </c>
      <c r="K195">
        <v>0.75</v>
      </c>
      <c r="L195">
        <v>2.5</v>
      </c>
      <c r="M195" t="s">
        <v>20</v>
      </c>
      <c r="N195">
        <f t="shared" si="9"/>
        <v>2</v>
      </c>
      <c r="O195">
        <v>2015</v>
      </c>
      <c r="P195">
        <f t="shared" si="10"/>
        <v>9.2663425620914683</v>
      </c>
      <c r="Q195">
        <f t="shared" si="11"/>
        <v>4.9768027055598036</v>
      </c>
    </row>
    <row r="196" spans="1:17" hidden="1" x14ac:dyDescent="0.3">
      <c r="A196">
        <v>195</v>
      </c>
      <c r="B196">
        <v>559512</v>
      </c>
      <c r="C196" t="s">
        <v>397</v>
      </c>
      <c r="D196" t="s">
        <v>398</v>
      </c>
      <c r="E196">
        <v>195</v>
      </c>
      <c r="F196">
        <v>10518</v>
      </c>
      <c r="G196">
        <v>129</v>
      </c>
      <c r="H196">
        <v>57</v>
      </c>
      <c r="I196">
        <v>4</v>
      </c>
      <c r="J196" t="s">
        <v>23</v>
      </c>
      <c r="K196">
        <v>0.93</v>
      </c>
      <c r="L196">
        <v>4.5</v>
      </c>
      <c r="M196" t="s">
        <v>20</v>
      </c>
      <c r="N196">
        <f t="shared" si="9"/>
        <v>2</v>
      </c>
      <c r="O196">
        <v>2015</v>
      </c>
      <c r="P196">
        <f t="shared" si="10"/>
        <v>9.2608433541492889</v>
      </c>
      <c r="Q196">
        <f t="shared" si="11"/>
        <v>5.273050839300149</v>
      </c>
    </row>
    <row r="197" spans="1:17" x14ac:dyDescent="0.3">
      <c r="A197">
        <v>196</v>
      </c>
      <c r="B197">
        <v>587902</v>
      </c>
      <c r="C197" t="s">
        <v>399</v>
      </c>
      <c r="D197" t="s">
        <v>400</v>
      </c>
      <c r="E197">
        <v>90</v>
      </c>
      <c r="F197">
        <v>10394</v>
      </c>
      <c r="G197">
        <v>33</v>
      </c>
      <c r="H197">
        <v>34</v>
      </c>
      <c r="I197">
        <v>1</v>
      </c>
      <c r="J197" t="s">
        <v>13</v>
      </c>
      <c r="K197">
        <v>0.88</v>
      </c>
      <c r="L197">
        <v>3.5</v>
      </c>
      <c r="M197" t="s">
        <v>20</v>
      </c>
      <c r="N197">
        <f t="shared" si="9"/>
        <v>2</v>
      </c>
      <c r="O197">
        <v>2015</v>
      </c>
      <c r="P197">
        <f t="shared" si="10"/>
        <v>9.2489839955683877</v>
      </c>
      <c r="Q197">
        <f t="shared" si="11"/>
        <v>4.4999207752689943</v>
      </c>
    </row>
    <row r="198" spans="1:17" x14ac:dyDescent="0.3">
      <c r="A198">
        <v>197</v>
      </c>
      <c r="B198">
        <v>176432</v>
      </c>
      <c r="C198" t="s">
        <v>401</v>
      </c>
      <c r="D198" t="s">
        <v>402</v>
      </c>
      <c r="E198">
        <v>20</v>
      </c>
      <c r="F198">
        <v>10247</v>
      </c>
      <c r="G198">
        <v>200</v>
      </c>
      <c r="H198">
        <v>15</v>
      </c>
      <c r="I198">
        <v>1</v>
      </c>
      <c r="J198" t="s">
        <v>13</v>
      </c>
      <c r="K198">
        <v>0.24</v>
      </c>
      <c r="L198">
        <v>1.5</v>
      </c>
      <c r="M198" t="s">
        <v>20</v>
      </c>
      <c r="N198">
        <f t="shared" si="9"/>
        <v>2</v>
      </c>
      <c r="O198">
        <v>2014</v>
      </c>
      <c r="P198">
        <f t="shared" si="10"/>
        <v>9.234740258799718</v>
      </c>
      <c r="Q198">
        <f t="shared" si="11"/>
        <v>2.996232148595642</v>
      </c>
    </row>
    <row r="199" spans="1:17" hidden="1" x14ac:dyDescent="0.3">
      <c r="A199">
        <v>198</v>
      </c>
      <c r="B199">
        <v>763774</v>
      </c>
      <c r="C199" t="s">
        <v>403</v>
      </c>
      <c r="D199" t="s">
        <v>404</v>
      </c>
      <c r="E199">
        <v>0</v>
      </c>
      <c r="F199">
        <v>10179</v>
      </c>
      <c r="G199">
        <v>314</v>
      </c>
      <c r="H199">
        <v>21</v>
      </c>
      <c r="I199">
        <v>4</v>
      </c>
      <c r="J199" t="s">
        <v>23</v>
      </c>
      <c r="K199">
        <v>0.15</v>
      </c>
      <c r="L199">
        <v>1.5</v>
      </c>
      <c r="M199" t="s">
        <v>14</v>
      </c>
      <c r="N199">
        <f t="shared" si="9"/>
        <v>1</v>
      </c>
      <c r="O199">
        <v>2016</v>
      </c>
      <c r="P199">
        <f t="shared" si="10"/>
        <v>9.22808205345234</v>
      </c>
      <c r="Q199">
        <f t="shared" si="11"/>
        <v>-4.6051701859880909</v>
      </c>
    </row>
    <row r="200" spans="1:17" x14ac:dyDescent="0.3">
      <c r="A200">
        <v>199</v>
      </c>
      <c r="B200">
        <v>582392</v>
      </c>
      <c r="C200" t="s">
        <v>405</v>
      </c>
      <c r="D200" t="s">
        <v>406</v>
      </c>
      <c r="E200">
        <v>95</v>
      </c>
      <c r="F200">
        <v>10179</v>
      </c>
      <c r="G200">
        <v>68</v>
      </c>
      <c r="H200">
        <v>17</v>
      </c>
      <c r="I200">
        <v>1</v>
      </c>
      <c r="J200" t="s">
        <v>13</v>
      </c>
      <c r="K200">
        <v>0.81</v>
      </c>
      <c r="L200">
        <v>1.5</v>
      </c>
      <c r="M200" t="s">
        <v>20</v>
      </c>
      <c r="N200">
        <f t="shared" si="9"/>
        <v>2</v>
      </c>
      <c r="O200">
        <v>2015</v>
      </c>
      <c r="P200">
        <f t="shared" si="10"/>
        <v>9.22808205345234</v>
      </c>
      <c r="Q200">
        <f t="shared" si="11"/>
        <v>4.5539821492186583</v>
      </c>
    </row>
    <row r="201" spans="1:17" x14ac:dyDescent="0.3">
      <c r="A201">
        <v>200</v>
      </c>
      <c r="B201">
        <v>481002</v>
      </c>
      <c r="C201" t="s">
        <v>407</v>
      </c>
      <c r="D201" t="s">
        <v>408</v>
      </c>
      <c r="E201">
        <v>50</v>
      </c>
      <c r="F201">
        <v>10150</v>
      </c>
      <c r="G201">
        <v>997</v>
      </c>
      <c r="H201">
        <v>90</v>
      </c>
      <c r="I201">
        <v>1</v>
      </c>
      <c r="J201" t="s">
        <v>13</v>
      </c>
      <c r="K201">
        <v>0.5</v>
      </c>
      <c r="L201">
        <v>16</v>
      </c>
      <c r="M201" t="s">
        <v>20</v>
      </c>
      <c r="N201">
        <f t="shared" si="9"/>
        <v>2</v>
      </c>
      <c r="O201">
        <v>2015</v>
      </c>
      <c r="P201">
        <f t="shared" si="10"/>
        <v>9.2252289844699327</v>
      </c>
      <c r="Q201">
        <f t="shared" si="11"/>
        <v>3.9122229854308124</v>
      </c>
    </row>
    <row r="202" spans="1:17" hidden="1" x14ac:dyDescent="0.3">
      <c r="A202">
        <v>201</v>
      </c>
      <c r="B202">
        <v>155640</v>
      </c>
      <c r="C202" t="s">
        <v>409</v>
      </c>
      <c r="D202" t="s">
        <v>410</v>
      </c>
      <c r="E202">
        <v>0</v>
      </c>
      <c r="F202">
        <v>10110</v>
      </c>
      <c r="G202">
        <v>379</v>
      </c>
      <c r="H202">
        <v>12</v>
      </c>
      <c r="I202">
        <v>4</v>
      </c>
      <c r="J202" t="s">
        <v>23</v>
      </c>
      <c r="K202">
        <v>0.66</v>
      </c>
      <c r="L202">
        <v>2.5</v>
      </c>
      <c r="M202" t="s">
        <v>14</v>
      </c>
      <c r="N202">
        <f t="shared" si="9"/>
        <v>1</v>
      </c>
      <c r="O202">
        <v>2014</v>
      </c>
      <c r="P202">
        <f t="shared" si="10"/>
        <v>9.2212803120145175</v>
      </c>
      <c r="Q202">
        <f t="shared" si="11"/>
        <v>-4.6051701859880909</v>
      </c>
    </row>
    <row r="203" spans="1:17" hidden="1" x14ac:dyDescent="0.3">
      <c r="A203">
        <v>202</v>
      </c>
      <c r="B203">
        <v>752658</v>
      </c>
      <c r="C203" t="s">
        <v>411</v>
      </c>
      <c r="D203" t="s">
        <v>412</v>
      </c>
      <c r="E203">
        <v>115</v>
      </c>
      <c r="F203">
        <v>10103</v>
      </c>
      <c r="G203">
        <v>75</v>
      </c>
      <c r="H203">
        <v>20</v>
      </c>
      <c r="I203">
        <v>4</v>
      </c>
      <c r="J203" t="s">
        <v>23</v>
      </c>
      <c r="K203">
        <v>0.93</v>
      </c>
      <c r="L203">
        <v>1.5</v>
      </c>
      <c r="M203" t="s">
        <v>20</v>
      </c>
      <c r="N203">
        <f t="shared" si="9"/>
        <v>2</v>
      </c>
      <c r="O203">
        <v>2016</v>
      </c>
      <c r="P203">
        <f t="shared" si="10"/>
        <v>9.2205876884277327</v>
      </c>
      <c r="Q203">
        <f t="shared" si="11"/>
        <v>4.7450190811044903</v>
      </c>
    </row>
    <row r="204" spans="1:17" hidden="1" x14ac:dyDescent="0.3">
      <c r="A204">
        <v>203</v>
      </c>
      <c r="B204">
        <v>922600</v>
      </c>
      <c r="C204" t="s">
        <v>413</v>
      </c>
      <c r="D204" t="s">
        <v>414</v>
      </c>
      <c r="E204">
        <v>20</v>
      </c>
      <c r="F204">
        <v>10008</v>
      </c>
      <c r="G204">
        <v>53</v>
      </c>
      <c r="H204">
        <v>26</v>
      </c>
      <c r="I204">
        <v>4</v>
      </c>
      <c r="J204" t="s">
        <v>23</v>
      </c>
      <c r="K204">
        <v>0.53</v>
      </c>
      <c r="L204">
        <v>2.5</v>
      </c>
      <c r="M204" t="s">
        <v>20</v>
      </c>
      <c r="N204">
        <f t="shared" si="9"/>
        <v>2</v>
      </c>
      <c r="O204">
        <v>2016</v>
      </c>
      <c r="P204">
        <f t="shared" si="10"/>
        <v>9.2111400521467477</v>
      </c>
      <c r="Q204">
        <f t="shared" si="11"/>
        <v>2.996232148595642</v>
      </c>
    </row>
    <row r="205" spans="1:17" hidden="1" x14ac:dyDescent="0.3">
      <c r="A205">
        <v>204</v>
      </c>
      <c r="B205">
        <v>1093734</v>
      </c>
      <c r="C205" t="s">
        <v>415</v>
      </c>
      <c r="D205" t="s">
        <v>416</v>
      </c>
      <c r="E205">
        <v>200</v>
      </c>
      <c r="F205">
        <v>9945</v>
      </c>
      <c r="G205">
        <v>101</v>
      </c>
      <c r="H205">
        <v>43</v>
      </c>
      <c r="I205">
        <v>2</v>
      </c>
      <c r="J205" t="s">
        <v>32</v>
      </c>
      <c r="K205">
        <v>0.76</v>
      </c>
      <c r="L205">
        <v>2</v>
      </c>
      <c r="M205" t="s">
        <v>20</v>
      </c>
      <c r="N205">
        <f t="shared" si="9"/>
        <v>2</v>
      </c>
      <c r="O205">
        <v>2017</v>
      </c>
      <c r="P205">
        <f t="shared" si="10"/>
        <v>9.204825191288073</v>
      </c>
      <c r="Q205">
        <f t="shared" si="11"/>
        <v>5.2983673652980787</v>
      </c>
    </row>
    <row r="206" spans="1:17" hidden="1" x14ac:dyDescent="0.3">
      <c r="A206">
        <v>205</v>
      </c>
      <c r="B206">
        <v>30240</v>
      </c>
      <c r="C206" t="s">
        <v>417</v>
      </c>
      <c r="D206" t="s">
        <v>418</v>
      </c>
      <c r="E206">
        <v>50</v>
      </c>
      <c r="F206">
        <v>9881</v>
      </c>
      <c r="G206">
        <v>329</v>
      </c>
      <c r="H206">
        <v>136</v>
      </c>
      <c r="I206">
        <v>2</v>
      </c>
      <c r="J206" t="s">
        <v>32</v>
      </c>
      <c r="K206">
        <v>0.28000000000000003</v>
      </c>
      <c r="L206">
        <v>12</v>
      </c>
      <c r="M206" t="s">
        <v>20</v>
      </c>
      <c r="N206">
        <f t="shared" si="9"/>
        <v>2</v>
      </c>
      <c r="O206">
        <v>2013</v>
      </c>
      <c r="P206">
        <f t="shared" si="10"/>
        <v>9.1983690001949636</v>
      </c>
      <c r="Q206">
        <f t="shared" si="11"/>
        <v>3.9122229854308124</v>
      </c>
    </row>
    <row r="207" spans="1:17" hidden="1" x14ac:dyDescent="0.3">
      <c r="A207">
        <v>206</v>
      </c>
      <c r="B207">
        <v>212376</v>
      </c>
      <c r="C207" t="s">
        <v>419</v>
      </c>
      <c r="D207" t="s">
        <v>420</v>
      </c>
      <c r="E207">
        <v>0</v>
      </c>
      <c r="F207">
        <v>9833</v>
      </c>
      <c r="G207">
        <v>241</v>
      </c>
      <c r="H207">
        <v>15</v>
      </c>
      <c r="I207">
        <v>3</v>
      </c>
      <c r="J207" t="s">
        <v>17</v>
      </c>
      <c r="K207">
        <v>0.64</v>
      </c>
      <c r="L207">
        <v>1</v>
      </c>
      <c r="M207" t="s">
        <v>14</v>
      </c>
      <c r="N207">
        <f t="shared" si="9"/>
        <v>1</v>
      </c>
      <c r="O207">
        <v>2014</v>
      </c>
      <c r="P207">
        <f t="shared" si="10"/>
        <v>9.1934993547801565</v>
      </c>
      <c r="Q207">
        <f t="shared" si="11"/>
        <v>-4.6051701859880909</v>
      </c>
    </row>
    <row r="208" spans="1:17" hidden="1" x14ac:dyDescent="0.3">
      <c r="A208">
        <v>207</v>
      </c>
      <c r="B208">
        <v>978852</v>
      </c>
      <c r="C208" t="s">
        <v>421</v>
      </c>
      <c r="D208" t="s">
        <v>422</v>
      </c>
      <c r="E208">
        <v>95</v>
      </c>
      <c r="F208">
        <v>9832</v>
      </c>
      <c r="G208">
        <v>71</v>
      </c>
      <c r="H208">
        <v>59</v>
      </c>
      <c r="I208">
        <v>4</v>
      </c>
      <c r="J208" t="s">
        <v>23</v>
      </c>
      <c r="K208">
        <v>0.34</v>
      </c>
      <c r="L208">
        <v>2</v>
      </c>
      <c r="M208" t="s">
        <v>20</v>
      </c>
      <c r="N208">
        <f t="shared" si="9"/>
        <v>2</v>
      </c>
      <c r="O208">
        <v>2017</v>
      </c>
      <c r="P208">
        <f t="shared" si="10"/>
        <v>9.1933976512458706</v>
      </c>
      <c r="Q208">
        <f t="shared" si="11"/>
        <v>4.5539821492186583</v>
      </c>
    </row>
    <row r="209" spans="1:17" hidden="1" x14ac:dyDescent="0.3">
      <c r="A209">
        <v>208</v>
      </c>
      <c r="B209">
        <v>1017568</v>
      </c>
      <c r="C209" t="s">
        <v>423</v>
      </c>
      <c r="D209" t="s">
        <v>424</v>
      </c>
      <c r="E209">
        <v>195</v>
      </c>
      <c r="F209">
        <v>9831</v>
      </c>
      <c r="G209">
        <v>56</v>
      </c>
      <c r="H209">
        <v>74</v>
      </c>
      <c r="I209">
        <v>2</v>
      </c>
      <c r="J209" t="s">
        <v>32</v>
      </c>
      <c r="K209">
        <v>1</v>
      </c>
      <c r="L209">
        <v>14.5</v>
      </c>
      <c r="M209" t="s">
        <v>20</v>
      </c>
      <c r="N209">
        <f t="shared" si="9"/>
        <v>2</v>
      </c>
      <c r="O209">
        <v>2017</v>
      </c>
      <c r="P209">
        <f t="shared" si="10"/>
        <v>9.1932959373669245</v>
      </c>
      <c r="Q209">
        <f t="shared" si="11"/>
        <v>5.273050839300149</v>
      </c>
    </row>
    <row r="210" spans="1:17" x14ac:dyDescent="0.3">
      <c r="A210">
        <v>209</v>
      </c>
      <c r="B210">
        <v>465870</v>
      </c>
      <c r="C210" t="s">
        <v>425</v>
      </c>
      <c r="D210" t="s">
        <v>426</v>
      </c>
      <c r="E210">
        <v>0</v>
      </c>
      <c r="F210">
        <v>9786</v>
      </c>
      <c r="G210">
        <v>989</v>
      </c>
      <c r="H210">
        <v>7</v>
      </c>
      <c r="I210">
        <v>1</v>
      </c>
      <c r="J210" t="s">
        <v>13</v>
      </c>
      <c r="K210">
        <v>0.14000000000000001</v>
      </c>
      <c r="L210">
        <v>0.7</v>
      </c>
      <c r="M210" t="s">
        <v>14</v>
      </c>
      <c r="N210">
        <f t="shared" si="9"/>
        <v>1</v>
      </c>
      <c r="O210">
        <v>2015</v>
      </c>
      <c r="P210">
        <f t="shared" si="10"/>
        <v>9.188708071849069</v>
      </c>
      <c r="Q210">
        <f t="shared" si="11"/>
        <v>-4.6051701859880909</v>
      </c>
    </row>
    <row r="211" spans="1:17" x14ac:dyDescent="0.3">
      <c r="A211">
        <v>210</v>
      </c>
      <c r="B211">
        <v>991290</v>
      </c>
      <c r="C211" t="s">
        <v>427</v>
      </c>
      <c r="D211" t="s">
        <v>428</v>
      </c>
      <c r="E211">
        <v>200</v>
      </c>
      <c r="F211">
        <v>9773</v>
      </c>
      <c r="G211">
        <v>117</v>
      </c>
      <c r="H211">
        <v>65</v>
      </c>
      <c r="I211">
        <v>1</v>
      </c>
      <c r="J211" t="s">
        <v>13</v>
      </c>
      <c r="K211">
        <v>0.47</v>
      </c>
      <c r="L211">
        <v>4.5</v>
      </c>
      <c r="M211" t="s">
        <v>20</v>
      </c>
      <c r="N211">
        <f t="shared" si="9"/>
        <v>2</v>
      </c>
      <c r="O211">
        <v>2016</v>
      </c>
      <c r="P211">
        <f t="shared" si="10"/>
        <v>9.1873787603388362</v>
      </c>
      <c r="Q211">
        <f t="shared" si="11"/>
        <v>5.2983673652980787</v>
      </c>
    </row>
    <row r="212" spans="1:17" hidden="1" x14ac:dyDescent="0.3">
      <c r="A212">
        <v>211</v>
      </c>
      <c r="B212">
        <v>992114</v>
      </c>
      <c r="C212" t="s">
        <v>429</v>
      </c>
      <c r="D212" t="s">
        <v>430</v>
      </c>
      <c r="E212">
        <v>20</v>
      </c>
      <c r="F212">
        <v>9762</v>
      </c>
      <c r="G212">
        <v>94</v>
      </c>
      <c r="H212">
        <v>112</v>
      </c>
      <c r="I212">
        <v>2</v>
      </c>
      <c r="J212" t="s">
        <v>32</v>
      </c>
      <c r="K212">
        <v>0.13</v>
      </c>
      <c r="L212">
        <v>13.5</v>
      </c>
      <c r="M212" t="s">
        <v>20</v>
      </c>
      <c r="N212">
        <f t="shared" si="9"/>
        <v>2</v>
      </c>
      <c r="O212">
        <v>2016</v>
      </c>
      <c r="P212">
        <f t="shared" si="10"/>
        <v>9.1862525764470924</v>
      </c>
      <c r="Q212">
        <f t="shared" si="11"/>
        <v>2.996232148595642</v>
      </c>
    </row>
    <row r="213" spans="1:17" x14ac:dyDescent="0.3">
      <c r="A213">
        <v>212</v>
      </c>
      <c r="B213">
        <v>482834</v>
      </c>
      <c r="C213" t="s">
        <v>431</v>
      </c>
      <c r="D213" t="s">
        <v>432</v>
      </c>
      <c r="E213">
        <v>195</v>
      </c>
      <c r="F213">
        <v>9687</v>
      </c>
      <c r="G213">
        <v>59</v>
      </c>
      <c r="H213">
        <v>59</v>
      </c>
      <c r="I213">
        <v>1</v>
      </c>
      <c r="J213" t="s">
        <v>13</v>
      </c>
      <c r="K213">
        <v>0.32</v>
      </c>
      <c r="L213">
        <v>5</v>
      </c>
      <c r="M213" t="s">
        <v>20</v>
      </c>
      <c r="N213">
        <f t="shared" si="9"/>
        <v>2</v>
      </c>
      <c r="O213">
        <v>2015</v>
      </c>
      <c r="P213">
        <f t="shared" si="10"/>
        <v>9.1785400594263855</v>
      </c>
      <c r="Q213">
        <f t="shared" si="11"/>
        <v>5.273050839300149</v>
      </c>
    </row>
    <row r="214" spans="1:17" hidden="1" x14ac:dyDescent="0.3">
      <c r="A214">
        <v>213</v>
      </c>
      <c r="B214">
        <v>669270</v>
      </c>
      <c r="C214" t="s">
        <v>433</v>
      </c>
      <c r="D214" t="s">
        <v>434</v>
      </c>
      <c r="E214">
        <v>100</v>
      </c>
      <c r="F214">
        <v>9668</v>
      </c>
      <c r="G214">
        <v>38</v>
      </c>
      <c r="H214">
        <v>52</v>
      </c>
      <c r="I214">
        <v>4</v>
      </c>
      <c r="J214" t="s">
        <v>23</v>
      </c>
      <c r="K214">
        <v>0.57999999999999996</v>
      </c>
      <c r="L214">
        <v>4</v>
      </c>
      <c r="M214" t="s">
        <v>20</v>
      </c>
      <c r="N214">
        <f t="shared" si="9"/>
        <v>2</v>
      </c>
      <c r="O214">
        <v>2015</v>
      </c>
      <c r="P214">
        <f t="shared" si="10"/>
        <v>9.1765767418233732</v>
      </c>
      <c r="Q214">
        <f t="shared" si="11"/>
        <v>4.6052701809884251</v>
      </c>
    </row>
    <row r="215" spans="1:17" hidden="1" x14ac:dyDescent="0.3">
      <c r="A215">
        <v>214</v>
      </c>
      <c r="B215">
        <v>991630</v>
      </c>
      <c r="C215" t="s">
        <v>435</v>
      </c>
      <c r="D215" t="s">
        <v>436</v>
      </c>
      <c r="E215">
        <v>50</v>
      </c>
      <c r="F215">
        <v>9607</v>
      </c>
      <c r="G215">
        <v>78</v>
      </c>
      <c r="H215">
        <v>40</v>
      </c>
      <c r="I215">
        <v>4</v>
      </c>
      <c r="J215" t="s">
        <v>23</v>
      </c>
      <c r="K215">
        <v>0.17</v>
      </c>
      <c r="L215">
        <v>5.5</v>
      </c>
      <c r="M215" t="s">
        <v>20</v>
      </c>
      <c r="N215">
        <f t="shared" si="9"/>
        <v>2</v>
      </c>
      <c r="O215">
        <v>2016</v>
      </c>
      <c r="P215">
        <f t="shared" si="10"/>
        <v>9.1702472784097377</v>
      </c>
      <c r="Q215">
        <f t="shared" si="11"/>
        <v>3.9122229854308124</v>
      </c>
    </row>
    <row r="216" spans="1:17" hidden="1" x14ac:dyDescent="0.3">
      <c r="A216">
        <v>215</v>
      </c>
      <c r="B216">
        <v>629088</v>
      </c>
      <c r="C216" t="s">
        <v>437</v>
      </c>
      <c r="D216" t="s">
        <v>438</v>
      </c>
      <c r="E216">
        <v>20</v>
      </c>
      <c r="F216">
        <v>9554</v>
      </c>
      <c r="G216">
        <v>368</v>
      </c>
      <c r="H216">
        <v>16</v>
      </c>
      <c r="I216">
        <v>2</v>
      </c>
      <c r="J216" t="s">
        <v>32</v>
      </c>
      <c r="K216">
        <v>0.8</v>
      </c>
      <c r="L216">
        <v>1.5</v>
      </c>
      <c r="M216" t="s">
        <v>20</v>
      </c>
      <c r="N216">
        <f t="shared" si="9"/>
        <v>2</v>
      </c>
      <c r="O216">
        <v>2015</v>
      </c>
      <c r="P216">
        <f t="shared" si="10"/>
        <v>9.1647151939499079</v>
      </c>
      <c r="Q216">
        <f t="shared" si="11"/>
        <v>2.996232148595642</v>
      </c>
    </row>
    <row r="217" spans="1:17" hidden="1" x14ac:dyDescent="0.3">
      <c r="A217">
        <v>216</v>
      </c>
      <c r="B217">
        <v>920306</v>
      </c>
      <c r="C217" t="s">
        <v>439</v>
      </c>
      <c r="D217" t="s">
        <v>440</v>
      </c>
      <c r="E217">
        <v>20</v>
      </c>
      <c r="F217">
        <v>9425</v>
      </c>
      <c r="G217">
        <v>147</v>
      </c>
      <c r="H217">
        <v>14</v>
      </c>
      <c r="I217">
        <v>4</v>
      </c>
      <c r="J217" t="s">
        <v>23</v>
      </c>
      <c r="K217">
        <v>0.67</v>
      </c>
      <c r="L217">
        <v>1.5</v>
      </c>
      <c r="M217" t="s">
        <v>20</v>
      </c>
      <c r="N217">
        <f t="shared" si="9"/>
        <v>2</v>
      </c>
      <c r="O217">
        <v>2016</v>
      </c>
      <c r="P217">
        <f t="shared" si="10"/>
        <v>9.1511210123162119</v>
      </c>
      <c r="Q217">
        <f t="shared" si="11"/>
        <v>2.996232148595642</v>
      </c>
    </row>
    <row r="218" spans="1:17" x14ac:dyDescent="0.3">
      <c r="A218">
        <v>217</v>
      </c>
      <c r="B218">
        <v>575880</v>
      </c>
      <c r="C218" t="s">
        <v>441</v>
      </c>
      <c r="D218" t="s">
        <v>442</v>
      </c>
      <c r="E218">
        <v>195</v>
      </c>
      <c r="F218">
        <v>9421</v>
      </c>
      <c r="G218">
        <v>73</v>
      </c>
      <c r="H218">
        <v>36</v>
      </c>
      <c r="I218">
        <v>1</v>
      </c>
      <c r="J218" t="s">
        <v>13</v>
      </c>
      <c r="K218">
        <v>0.34</v>
      </c>
      <c r="L218">
        <v>3.5</v>
      </c>
      <c r="M218" t="s">
        <v>20</v>
      </c>
      <c r="N218">
        <f t="shared" si="9"/>
        <v>2</v>
      </c>
      <c r="O218">
        <v>2015</v>
      </c>
      <c r="P218">
        <f t="shared" si="10"/>
        <v>9.1506965190486671</v>
      </c>
      <c r="Q218">
        <f t="shared" si="11"/>
        <v>5.273050839300149</v>
      </c>
    </row>
    <row r="219" spans="1:17" hidden="1" x14ac:dyDescent="0.3">
      <c r="A219">
        <v>218</v>
      </c>
      <c r="B219">
        <v>647442</v>
      </c>
      <c r="C219" t="s">
        <v>443</v>
      </c>
      <c r="D219" t="s">
        <v>444</v>
      </c>
      <c r="E219">
        <v>150</v>
      </c>
      <c r="F219">
        <v>9384</v>
      </c>
      <c r="G219">
        <v>21</v>
      </c>
      <c r="H219">
        <v>16</v>
      </c>
      <c r="I219">
        <v>4</v>
      </c>
      <c r="J219" t="s">
        <v>23</v>
      </c>
      <c r="K219">
        <v>0.76</v>
      </c>
      <c r="L219">
        <v>1.5</v>
      </c>
      <c r="M219" t="s">
        <v>20</v>
      </c>
      <c r="N219">
        <f t="shared" si="9"/>
        <v>2</v>
      </c>
      <c r="O219">
        <v>2015</v>
      </c>
      <c r="P219">
        <f t="shared" si="10"/>
        <v>9.146761390333312</v>
      </c>
      <c r="Q219">
        <f t="shared" si="11"/>
        <v>5.0107019585407988</v>
      </c>
    </row>
    <row r="220" spans="1:17" x14ac:dyDescent="0.3">
      <c r="A220">
        <v>219</v>
      </c>
      <c r="B220">
        <v>316704</v>
      </c>
      <c r="C220" t="s">
        <v>445</v>
      </c>
      <c r="D220" t="s">
        <v>446</v>
      </c>
      <c r="E220">
        <v>20</v>
      </c>
      <c r="F220">
        <v>9381</v>
      </c>
      <c r="G220">
        <v>138</v>
      </c>
      <c r="H220">
        <v>131</v>
      </c>
      <c r="I220">
        <v>1</v>
      </c>
      <c r="J220" t="s">
        <v>13</v>
      </c>
      <c r="K220">
        <v>0.8</v>
      </c>
      <c r="L220">
        <v>11</v>
      </c>
      <c r="M220" t="s">
        <v>20</v>
      </c>
      <c r="N220">
        <f t="shared" si="9"/>
        <v>2</v>
      </c>
      <c r="O220">
        <v>2014</v>
      </c>
      <c r="P220">
        <f t="shared" si="10"/>
        <v>9.1464416461259503</v>
      </c>
      <c r="Q220">
        <f t="shared" si="11"/>
        <v>2.996232148595642</v>
      </c>
    </row>
    <row r="221" spans="1:17" hidden="1" x14ac:dyDescent="0.3">
      <c r="A221">
        <v>220</v>
      </c>
      <c r="B221">
        <v>134144</v>
      </c>
      <c r="C221" t="s">
        <v>447</v>
      </c>
      <c r="D221" t="s">
        <v>448</v>
      </c>
      <c r="E221">
        <v>95</v>
      </c>
      <c r="F221">
        <v>9375</v>
      </c>
      <c r="G221">
        <v>219</v>
      </c>
      <c r="H221">
        <v>43</v>
      </c>
      <c r="I221">
        <v>2</v>
      </c>
      <c r="J221" t="s">
        <v>32</v>
      </c>
      <c r="K221">
        <v>0.38</v>
      </c>
      <c r="L221">
        <v>7</v>
      </c>
      <c r="M221" t="s">
        <v>20</v>
      </c>
      <c r="N221">
        <f t="shared" si="9"/>
        <v>2</v>
      </c>
      <c r="O221">
        <v>2014</v>
      </c>
      <c r="P221">
        <f t="shared" si="10"/>
        <v>9.1458018508386107</v>
      </c>
      <c r="Q221">
        <f t="shared" si="11"/>
        <v>4.5539821492186583</v>
      </c>
    </row>
    <row r="222" spans="1:17" hidden="1" x14ac:dyDescent="0.3">
      <c r="A222">
        <v>221</v>
      </c>
      <c r="B222">
        <v>336938</v>
      </c>
      <c r="C222" t="s">
        <v>449</v>
      </c>
      <c r="D222" t="s">
        <v>450</v>
      </c>
      <c r="E222">
        <v>0</v>
      </c>
      <c r="F222">
        <v>9364</v>
      </c>
      <c r="G222">
        <v>311</v>
      </c>
      <c r="H222">
        <v>10</v>
      </c>
      <c r="I222">
        <v>4</v>
      </c>
      <c r="J222" t="s">
        <v>23</v>
      </c>
      <c r="K222">
        <v>0.28000000000000003</v>
      </c>
      <c r="L222">
        <v>0.53333333000000005</v>
      </c>
      <c r="M222" t="s">
        <v>14</v>
      </c>
      <c r="N222">
        <f t="shared" si="9"/>
        <v>1</v>
      </c>
      <c r="O222">
        <v>2015</v>
      </c>
      <c r="P222">
        <f t="shared" si="10"/>
        <v>9.1446278286108011</v>
      </c>
      <c r="Q222">
        <f t="shared" si="11"/>
        <v>-4.6051701859880909</v>
      </c>
    </row>
    <row r="223" spans="1:17" hidden="1" x14ac:dyDescent="0.3">
      <c r="A223">
        <v>222</v>
      </c>
      <c r="B223">
        <v>924704</v>
      </c>
      <c r="C223" t="s">
        <v>451</v>
      </c>
      <c r="D223" t="s">
        <v>452</v>
      </c>
      <c r="E223">
        <v>200</v>
      </c>
      <c r="F223">
        <v>9359</v>
      </c>
      <c r="G223">
        <v>110</v>
      </c>
      <c r="H223">
        <v>402</v>
      </c>
      <c r="I223">
        <v>2</v>
      </c>
      <c r="J223" t="s">
        <v>32</v>
      </c>
      <c r="K223">
        <v>7.0000000000000007E-2</v>
      </c>
      <c r="L223">
        <v>32.5</v>
      </c>
      <c r="M223" t="s">
        <v>20</v>
      </c>
      <c r="N223">
        <f t="shared" si="9"/>
        <v>2</v>
      </c>
      <c r="O223">
        <v>2016</v>
      </c>
      <c r="P223">
        <f t="shared" si="10"/>
        <v>9.1440937261572568</v>
      </c>
      <c r="Q223">
        <f t="shared" si="11"/>
        <v>5.2983673652980787</v>
      </c>
    </row>
    <row r="224" spans="1:17" hidden="1" x14ac:dyDescent="0.3">
      <c r="A224">
        <v>223</v>
      </c>
      <c r="B224">
        <v>260756</v>
      </c>
      <c r="C224" t="s">
        <v>453</v>
      </c>
      <c r="D224" t="s">
        <v>454</v>
      </c>
      <c r="E224">
        <v>200</v>
      </c>
      <c r="F224">
        <v>9355</v>
      </c>
      <c r="G224">
        <v>390</v>
      </c>
      <c r="H224">
        <v>177</v>
      </c>
      <c r="I224">
        <v>4</v>
      </c>
      <c r="J224" t="s">
        <v>23</v>
      </c>
      <c r="K224">
        <v>0.94</v>
      </c>
      <c r="L224">
        <v>16.5</v>
      </c>
      <c r="M224" t="s">
        <v>20</v>
      </c>
      <c r="N224">
        <f t="shared" si="9"/>
        <v>2</v>
      </c>
      <c r="O224">
        <v>2015</v>
      </c>
      <c r="P224">
        <f t="shared" si="10"/>
        <v>9.1436662387081906</v>
      </c>
      <c r="Q224">
        <f t="shared" si="11"/>
        <v>5.2983673652980787</v>
      </c>
    </row>
    <row r="225" spans="1:17" hidden="1" x14ac:dyDescent="0.3">
      <c r="A225">
        <v>224</v>
      </c>
      <c r="B225">
        <v>704732</v>
      </c>
      <c r="C225" t="s">
        <v>455</v>
      </c>
      <c r="D225" t="s">
        <v>456</v>
      </c>
      <c r="E225">
        <v>20</v>
      </c>
      <c r="F225">
        <v>9349</v>
      </c>
      <c r="G225">
        <v>206</v>
      </c>
      <c r="H225">
        <v>69</v>
      </c>
      <c r="I225">
        <v>2</v>
      </c>
      <c r="J225" t="s">
        <v>32</v>
      </c>
      <c r="K225">
        <v>0.81</v>
      </c>
      <c r="L225">
        <v>4</v>
      </c>
      <c r="M225" t="s">
        <v>20</v>
      </c>
      <c r="N225">
        <f t="shared" si="9"/>
        <v>2</v>
      </c>
      <c r="O225">
        <v>2016</v>
      </c>
      <c r="P225">
        <f t="shared" si="10"/>
        <v>9.1430246646913158</v>
      </c>
      <c r="Q225">
        <f t="shared" si="11"/>
        <v>2.996232148595642</v>
      </c>
    </row>
    <row r="226" spans="1:17" hidden="1" x14ac:dyDescent="0.3">
      <c r="A226">
        <v>225</v>
      </c>
      <c r="B226">
        <v>673420</v>
      </c>
      <c r="C226" t="s">
        <v>457</v>
      </c>
      <c r="D226" t="s">
        <v>458</v>
      </c>
      <c r="E226">
        <v>170</v>
      </c>
      <c r="F226">
        <v>9332</v>
      </c>
      <c r="G226">
        <v>172</v>
      </c>
      <c r="H226">
        <v>33</v>
      </c>
      <c r="I226">
        <v>4</v>
      </c>
      <c r="J226" t="s">
        <v>23</v>
      </c>
      <c r="K226">
        <v>0.04</v>
      </c>
      <c r="L226">
        <v>3.5</v>
      </c>
      <c r="M226" t="s">
        <v>20</v>
      </c>
      <c r="N226">
        <f t="shared" si="9"/>
        <v>2</v>
      </c>
      <c r="O226">
        <v>2015</v>
      </c>
      <c r="P226">
        <f t="shared" si="10"/>
        <v>9.1412046331413208</v>
      </c>
      <c r="Q226">
        <f t="shared" si="11"/>
        <v>5.1358572588496374</v>
      </c>
    </row>
    <row r="227" spans="1:17" hidden="1" x14ac:dyDescent="0.3">
      <c r="A227">
        <v>226</v>
      </c>
      <c r="B227">
        <v>947098</v>
      </c>
      <c r="C227" t="s">
        <v>459</v>
      </c>
      <c r="D227" t="s">
        <v>460</v>
      </c>
      <c r="E227">
        <v>110</v>
      </c>
      <c r="F227">
        <v>9132</v>
      </c>
      <c r="G227">
        <v>1560</v>
      </c>
      <c r="H227">
        <v>137</v>
      </c>
      <c r="I227">
        <v>4</v>
      </c>
      <c r="J227" t="s">
        <v>23</v>
      </c>
      <c r="K227">
        <v>0.18</v>
      </c>
      <c r="L227">
        <v>7</v>
      </c>
      <c r="M227" t="s">
        <v>20</v>
      </c>
      <c r="N227">
        <f t="shared" si="9"/>
        <v>2</v>
      </c>
      <c r="O227">
        <v>2016</v>
      </c>
      <c r="P227">
        <f t="shared" si="10"/>
        <v>9.119540007649686</v>
      </c>
      <c r="Q227">
        <f t="shared" si="11"/>
        <v>4.7005712707513441</v>
      </c>
    </row>
    <row r="228" spans="1:17" hidden="1" x14ac:dyDescent="0.3">
      <c r="A228">
        <v>227</v>
      </c>
      <c r="B228">
        <v>295843</v>
      </c>
      <c r="C228" t="s">
        <v>461</v>
      </c>
      <c r="D228" t="s">
        <v>462</v>
      </c>
      <c r="E228">
        <v>0</v>
      </c>
      <c r="F228">
        <v>9110</v>
      </c>
      <c r="G228">
        <v>411</v>
      </c>
      <c r="H228">
        <v>22</v>
      </c>
      <c r="I228">
        <v>4</v>
      </c>
      <c r="J228" t="s">
        <v>23</v>
      </c>
      <c r="K228">
        <v>0.73</v>
      </c>
      <c r="L228">
        <v>2.5</v>
      </c>
      <c r="M228" t="s">
        <v>14</v>
      </c>
      <c r="N228">
        <f t="shared" si="9"/>
        <v>1</v>
      </c>
      <c r="O228">
        <v>2014</v>
      </c>
      <c r="P228">
        <f t="shared" si="10"/>
        <v>9.1171279902540032</v>
      </c>
      <c r="Q228">
        <f t="shared" si="11"/>
        <v>-4.6051701859880909</v>
      </c>
    </row>
    <row r="229" spans="1:17" hidden="1" x14ac:dyDescent="0.3">
      <c r="A229">
        <v>228</v>
      </c>
      <c r="B229">
        <v>318638</v>
      </c>
      <c r="C229" t="s">
        <v>463</v>
      </c>
      <c r="D229" t="s">
        <v>464</v>
      </c>
      <c r="E229">
        <v>60</v>
      </c>
      <c r="F229">
        <v>9109</v>
      </c>
      <c r="G229">
        <v>620</v>
      </c>
      <c r="H229">
        <v>50</v>
      </c>
      <c r="I229">
        <v>4</v>
      </c>
      <c r="J229" t="s">
        <v>23</v>
      </c>
      <c r="K229">
        <v>0.28000000000000003</v>
      </c>
      <c r="L229">
        <v>9</v>
      </c>
      <c r="M229" t="s">
        <v>20</v>
      </c>
      <c r="N229">
        <f t="shared" si="9"/>
        <v>2</v>
      </c>
      <c r="O229">
        <v>2014</v>
      </c>
      <c r="P229">
        <f t="shared" si="10"/>
        <v>9.1170182147448102</v>
      </c>
      <c r="Q229">
        <f t="shared" si="11"/>
        <v>4.0945112150014218</v>
      </c>
    </row>
    <row r="230" spans="1:17" x14ac:dyDescent="0.3">
      <c r="A230">
        <v>229</v>
      </c>
      <c r="B230">
        <v>246154</v>
      </c>
      <c r="C230" t="s">
        <v>465</v>
      </c>
      <c r="D230" t="s">
        <v>466</v>
      </c>
      <c r="E230">
        <v>100</v>
      </c>
      <c r="F230">
        <v>9103</v>
      </c>
      <c r="G230">
        <v>1724</v>
      </c>
      <c r="H230">
        <v>58</v>
      </c>
      <c r="I230">
        <v>1</v>
      </c>
      <c r="J230" t="s">
        <v>13</v>
      </c>
      <c r="K230">
        <v>0.23</v>
      </c>
      <c r="L230">
        <v>9</v>
      </c>
      <c r="M230" t="s">
        <v>20</v>
      </c>
      <c r="N230">
        <f t="shared" si="9"/>
        <v>2</v>
      </c>
      <c r="O230">
        <v>2014</v>
      </c>
      <c r="P230">
        <f t="shared" si="10"/>
        <v>9.1163593085052881</v>
      </c>
      <c r="Q230">
        <f t="shared" si="11"/>
        <v>4.6052701809884251</v>
      </c>
    </row>
    <row r="231" spans="1:17" hidden="1" x14ac:dyDescent="0.3">
      <c r="A231">
        <v>230</v>
      </c>
      <c r="B231">
        <v>1073793</v>
      </c>
      <c r="C231" t="s">
        <v>467</v>
      </c>
      <c r="D231" t="s">
        <v>468</v>
      </c>
      <c r="E231">
        <v>100</v>
      </c>
      <c r="F231">
        <v>9067</v>
      </c>
      <c r="G231">
        <v>41</v>
      </c>
      <c r="H231">
        <v>27</v>
      </c>
      <c r="I231">
        <v>4</v>
      </c>
      <c r="J231" t="s">
        <v>23</v>
      </c>
      <c r="K231">
        <v>0.89</v>
      </c>
      <c r="L231">
        <v>3</v>
      </c>
      <c r="M231" t="s">
        <v>20</v>
      </c>
      <c r="N231">
        <f t="shared" si="9"/>
        <v>2</v>
      </c>
      <c r="O231">
        <v>2017</v>
      </c>
      <c r="P231">
        <f t="shared" si="10"/>
        <v>9.1123967276460558</v>
      </c>
      <c r="Q231">
        <f t="shared" si="11"/>
        <v>4.6052701809884251</v>
      </c>
    </row>
    <row r="232" spans="1:17" hidden="1" x14ac:dyDescent="0.3">
      <c r="A232">
        <v>231</v>
      </c>
      <c r="B232">
        <v>752432</v>
      </c>
      <c r="C232" t="s">
        <v>469</v>
      </c>
      <c r="D232" t="s">
        <v>470</v>
      </c>
      <c r="E232">
        <v>195</v>
      </c>
      <c r="F232">
        <v>9056</v>
      </c>
      <c r="G232">
        <v>96</v>
      </c>
      <c r="H232">
        <v>31</v>
      </c>
      <c r="I232">
        <v>4</v>
      </c>
      <c r="J232" t="s">
        <v>23</v>
      </c>
      <c r="K232">
        <v>0.92</v>
      </c>
      <c r="L232">
        <v>1.5</v>
      </c>
      <c r="M232" t="s">
        <v>20</v>
      </c>
      <c r="N232">
        <f t="shared" si="9"/>
        <v>2</v>
      </c>
      <c r="O232">
        <v>2016</v>
      </c>
      <c r="P232">
        <f t="shared" si="10"/>
        <v>9.1111828004429647</v>
      </c>
      <c r="Q232">
        <f t="shared" si="11"/>
        <v>5.273050839300149</v>
      </c>
    </row>
    <row r="233" spans="1:17" hidden="1" x14ac:dyDescent="0.3">
      <c r="A233">
        <v>232</v>
      </c>
      <c r="B233">
        <v>566910</v>
      </c>
      <c r="C233" t="s">
        <v>471</v>
      </c>
      <c r="D233" t="s">
        <v>472</v>
      </c>
      <c r="E233">
        <v>20</v>
      </c>
      <c r="F233">
        <v>9028</v>
      </c>
      <c r="G233">
        <v>87</v>
      </c>
      <c r="H233">
        <v>12</v>
      </c>
      <c r="I233">
        <v>4</v>
      </c>
      <c r="J233" t="s">
        <v>23</v>
      </c>
      <c r="K233">
        <v>0.78</v>
      </c>
      <c r="L233">
        <v>1.5</v>
      </c>
      <c r="M233" t="s">
        <v>20</v>
      </c>
      <c r="N233">
        <f t="shared" si="9"/>
        <v>2</v>
      </c>
      <c r="O233">
        <v>2015</v>
      </c>
      <c r="P233">
        <f t="shared" si="10"/>
        <v>9.1080861379374269</v>
      </c>
      <c r="Q233">
        <f t="shared" si="11"/>
        <v>2.996232148595642</v>
      </c>
    </row>
    <row r="234" spans="1:17" x14ac:dyDescent="0.3">
      <c r="A234">
        <v>233</v>
      </c>
      <c r="B234">
        <v>778226</v>
      </c>
      <c r="C234" t="s">
        <v>473</v>
      </c>
      <c r="D234" t="s">
        <v>474</v>
      </c>
      <c r="E234">
        <v>100</v>
      </c>
      <c r="F234">
        <v>8968</v>
      </c>
      <c r="G234">
        <v>35</v>
      </c>
      <c r="H234">
        <v>25</v>
      </c>
      <c r="I234">
        <v>1</v>
      </c>
      <c r="J234" t="s">
        <v>13</v>
      </c>
      <c r="K234">
        <v>0.78</v>
      </c>
      <c r="L234">
        <v>2</v>
      </c>
      <c r="M234" t="s">
        <v>20</v>
      </c>
      <c r="N234">
        <f t="shared" si="9"/>
        <v>2</v>
      </c>
      <c r="O234">
        <v>2016</v>
      </c>
      <c r="P234">
        <f t="shared" si="10"/>
        <v>9.1014179647519953</v>
      </c>
      <c r="Q234">
        <f t="shared" si="11"/>
        <v>4.6052701809884251</v>
      </c>
    </row>
    <row r="235" spans="1:17" x14ac:dyDescent="0.3">
      <c r="A235">
        <v>234</v>
      </c>
      <c r="B235">
        <v>1039062</v>
      </c>
      <c r="C235" t="s">
        <v>475</v>
      </c>
      <c r="D235" t="s">
        <v>476</v>
      </c>
      <c r="E235">
        <v>75</v>
      </c>
      <c r="F235">
        <v>8964</v>
      </c>
      <c r="G235">
        <v>1893</v>
      </c>
      <c r="H235">
        <v>56</v>
      </c>
      <c r="I235">
        <v>1</v>
      </c>
      <c r="J235" t="s">
        <v>13</v>
      </c>
      <c r="K235">
        <v>0.57999999999999996</v>
      </c>
      <c r="L235">
        <v>5.5</v>
      </c>
      <c r="M235" t="s">
        <v>20</v>
      </c>
      <c r="N235">
        <f t="shared" si="9"/>
        <v>2</v>
      </c>
      <c r="O235">
        <v>2017</v>
      </c>
      <c r="P235">
        <f t="shared" si="10"/>
        <v>9.1009718349208182</v>
      </c>
      <c r="Q235">
        <f t="shared" si="11"/>
        <v>4.3176214379815452</v>
      </c>
    </row>
    <row r="236" spans="1:17" hidden="1" x14ac:dyDescent="0.3">
      <c r="A236">
        <v>235</v>
      </c>
      <c r="B236">
        <v>197836</v>
      </c>
      <c r="C236" t="s">
        <v>477</v>
      </c>
      <c r="D236" t="s">
        <v>478</v>
      </c>
      <c r="E236">
        <v>60</v>
      </c>
      <c r="F236">
        <v>8777</v>
      </c>
      <c r="G236">
        <v>206</v>
      </c>
      <c r="H236">
        <v>75</v>
      </c>
      <c r="I236">
        <v>4</v>
      </c>
      <c r="J236" t="s">
        <v>23</v>
      </c>
      <c r="K236">
        <v>0.79</v>
      </c>
      <c r="L236">
        <v>15.5</v>
      </c>
      <c r="M236" t="s">
        <v>20</v>
      </c>
      <c r="N236">
        <f t="shared" si="9"/>
        <v>2</v>
      </c>
      <c r="O236">
        <v>2014</v>
      </c>
      <c r="P236">
        <f t="shared" si="10"/>
        <v>9.0798899425921178</v>
      </c>
      <c r="Q236">
        <f t="shared" si="11"/>
        <v>4.0945112150014218</v>
      </c>
    </row>
    <row r="237" spans="1:17" hidden="1" x14ac:dyDescent="0.3">
      <c r="A237">
        <v>236</v>
      </c>
      <c r="B237">
        <v>599532</v>
      </c>
      <c r="C237" t="s">
        <v>479</v>
      </c>
      <c r="D237" t="s">
        <v>480</v>
      </c>
      <c r="E237">
        <v>0</v>
      </c>
      <c r="F237">
        <v>8770</v>
      </c>
      <c r="G237">
        <v>261</v>
      </c>
      <c r="H237">
        <v>13</v>
      </c>
      <c r="I237">
        <v>4</v>
      </c>
      <c r="J237" t="s">
        <v>23</v>
      </c>
      <c r="K237">
        <v>0.62</v>
      </c>
      <c r="L237">
        <v>0.53333333000000005</v>
      </c>
      <c r="M237" t="s">
        <v>14</v>
      </c>
      <c r="N237">
        <f t="shared" si="9"/>
        <v>1</v>
      </c>
      <c r="O237">
        <v>2015</v>
      </c>
      <c r="P237">
        <f t="shared" si="10"/>
        <v>9.0790920853662289</v>
      </c>
      <c r="Q237">
        <f t="shared" si="11"/>
        <v>-4.6051701859880909</v>
      </c>
    </row>
    <row r="238" spans="1:17" hidden="1" x14ac:dyDescent="0.3">
      <c r="A238">
        <v>237</v>
      </c>
      <c r="B238">
        <v>1033944</v>
      </c>
      <c r="C238" t="s">
        <v>481</v>
      </c>
      <c r="D238" t="s">
        <v>482</v>
      </c>
      <c r="E238">
        <v>0</v>
      </c>
      <c r="F238">
        <v>8768</v>
      </c>
      <c r="G238">
        <v>173</v>
      </c>
      <c r="H238">
        <v>8</v>
      </c>
      <c r="I238">
        <v>4</v>
      </c>
      <c r="J238" t="s">
        <v>23</v>
      </c>
      <c r="K238">
        <v>0.87</v>
      </c>
      <c r="L238">
        <v>1</v>
      </c>
      <c r="M238" t="s">
        <v>14</v>
      </c>
      <c r="N238">
        <f t="shared" si="9"/>
        <v>1</v>
      </c>
      <c r="O238">
        <v>2016</v>
      </c>
      <c r="P238">
        <f t="shared" si="10"/>
        <v>9.0788640091877966</v>
      </c>
      <c r="Q238">
        <f t="shared" si="11"/>
        <v>-4.6051701859880909</v>
      </c>
    </row>
    <row r="239" spans="1:17" hidden="1" x14ac:dyDescent="0.3">
      <c r="A239">
        <v>238</v>
      </c>
      <c r="B239">
        <v>82778</v>
      </c>
      <c r="C239" t="s">
        <v>483</v>
      </c>
      <c r="D239" t="s">
        <v>484</v>
      </c>
      <c r="E239">
        <v>50</v>
      </c>
      <c r="F239">
        <v>8755</v>
      </c>
      <c r="G239">
        <v>931</v>
      </c>
      <c r="H239">
        <v>133</v>
      </c>
      <c r="I239">
        <v>4</v>
      </c>
      <c r="J239" t="s">
        <v>23</v>
      </c>
      <c r="K239">
        <v>0.12</v>
      </c>
      <c r="L239">
        <v>15.5</v>
      </c>
      <c r="M239" t="s">
        <v>20</v>
      </c>
      <c r="N239">
        <f t="shared" si="9"/>
        <v>2</v>
      </c>
      <c r="O239">
        <v>2014</v>
      </c>
      <c r="P239">
        <f t="shared" si="10"/>
        <v>9.0773802447199525</v>
      </c>
      <c r="Q239">
        <f t="shared" si="11"/>
        <v>3.9122229854308124</v>
      </c>
    </row>
    <row r="240" spans="1:17" hidden="1" x14ac:dyDescent="0.3">
      <c r="A240">
        <v>239</v>
      </c>
      <c r="B240">
        <v>629082</v>
      </c>
      <c r="C240" t="s">
        <v>485</v>
      </c>
      <c r="D240" t="s">
        <v>486</v>
      </c>
      <c r="E240">
        <v>85</v>
      </c>
      <c r="F240">
        <v>8711</v>
      </c>
      <c r="G240">
        <v>44</v>
      </c>
      <c r="H240">
        <v>22</v>
      </c>
      <c r="I240">
        <v>4</v>
      </c>
      <c r="J240" t="s">
        <v>23</v>
      </c>
      <c r="K240">
        <v>0.04</v>
      </c>
      <c r="L240">
        <v>1.5</v>
      </c>
      <c r="M240" t="s">
        <v>20</v>
      </c>
      <c r="N240">
        <f t="shared" si="9"/>
        <v>2</v>
      </c>
      <c r="O240">
        <v>2015</v>
      </c>
      <c r="P240">
        <f t="shared" si="10"/>
        <v>9.0723418738188926</v>
      </c>
      <c r="Q240">
        <f t="shared" si="11"/>
        <v>4.4427688966292678</v>
      </c>
    </row>
    <row r="241" spans="1:17" hidden="1" x14ac:dyDescent="0.3">
      <c r="A241">
        <v>240</v>
      </c>
      <c r="B241">
        <v>944906</v>
      </c>
      <c r="C241" t="s">
        <v>487</v>
      </c>
      <c r="D241" t="s">
        <v>488</v>
      </c>
      <c r="E241">
        <v>40</v>
      </c>
      <c r="F241">
        <v>8711</v>
      </c>
      <c r="G241">
        <v>29</v>
      </c>
      <c r="H241">
        <v>12</v>
      </c>
      <c r="I241">
        <v>4</v>
      </c>
      <c r="J241" t="s">
        <v>23</v>
      </c>
      <c r="K241">
        <v>0.96</v>
      </c>
      <c r="L241">
        <v>1</v>
      </c>
      <c r="M241" t="s">
        <v>20</v>
      </c>
      <c r="N241">
        <f t="shared" si="9"/>
        <v>2</v>
      </c>
      <c r="O241">
        <v>2016</v>
      </c>
      <c r="P241">
        <f t="shared" si="10"/>
        <v>9.0723418738188926</v>
      </c>
      <c r="Q241">
        <f t="shared" si="11"/>
        <v>3.6891294228691436</v>
      </c>
    </row>
    <row r="242" spans="1:17" hidden="1" x14ac:dyDescent="0.3">
      <c r="A242">
        <v>241</v>
      </c>
      <c r="B242">
        <v>1158572</v>
      </c>
      <c r="C242" t="s">
        <v>489</v>
      </c>
      <c r="D242" t="s">
        <v>490</v>
      </c>
      <c r="E242">
        <v>0</v>
      </c>
      <c r="F242">
        <v>8693</v>
      </c>
      <c r="G242">
        <v>522</v>
      </c>
      <c r="H242">
        <v>11</v>
      </c>
      <c r="I242">
        <v>4</v>
      </c>
      <c r="J242" t="s">
        <v>23</v>
      </c>
      <c r="K242">
        <v>0.24</v>
      </c>
      <c r="L242">
        <v>1.5</v>
      </c>
      <c r="M242" t="s">
        <v>14</v>
      </c>
      <c r="N242">
        <f t="shared" si="9"/>
        <v>1</v>
      </c>
      <c r="O242">
        <v>2017</v>
      </c>
      <c r="P242">
        <f t="shared" si="10"/>
        <v>9.0702733830790638</v>
      </c>
      <c r="Q242">
        <f t="shared" si="11"/>
        <v>-4.6051701859880909</v>
      </c>
    </row>
    <row r="243" spans="1:17" hidden="1" x14ac:dyDescent="0.3">
      <c r="A243">
        <v>242</v>
      </c>
      <c r="B243">
        <v>671552</v>
      </c>
      <c r="C243" t="s">
        <v>491</v>
      </c>
      <c r="D243" t="s">
        <v>492</v>
      </c>
      <c r="E243">
        <v>100</v>
      </c>
      <c r="F243">
        <v>8691</v>
      </c>
      <c r="G243">
        <v>836</v>
      </c>
      <c r="H243">
        <v>63</v>
      </c>
      <c r="I243">
        <v>4</v>
      </c>
      <c r="J243" t="s">
        <v>23</v>
      </c>
      <c r="K243">
        <v>0.69</v>
      </c>
      <c r="L243">
        <v>11</v>
      </c>
      <c r="M243" t="s">
        <v>20</v>
      </c>
      <c r="N243">
        <f t="shared" si="9"/>
        <v>2</v>
      </c>
      <c r="O243">
        <v>2015</v>
      </c>
      <c r="P243">
        <f t="shared" si="10"/>
        <v>9.0700432864374605</v>
      </c>
      <c r="Q243">
        <f t="shared" si="11"/>
        <v>4.6052701809884251</v>
      </c>
    </row>
    <row r="244" spans="1:17" hidden="1" x14ac:dyDescent="0.3">
      <c r="A244">
        <v>243</v>
      </c>
      <c r="B244">
        <v>797038</v>
      </c>
      <c r="C244" t="s">
        <v>493</v>
      </c>
      <c r="D244" t="s">
        <v>494</v>
      </c>
      <c r="E244">
        <v>170</v>
      </c>
      <c r="F244">
        <v>8625</v>
      </c>
      <c r="G244">
        <v>94</v>
      </c>
      <c r="H244">
        <v>73</v>
      </c>
      <c r="I244">
        <v>4</v>
      </c>
      <c r="J244" t="s">
        <v>23</v>
      </c>
      <c r="K244">
        <v>0.98</v>
      </c>
      <c r="L244">
        <v>5</v>
      </c>
      <c r="M244" t="s">
        <v>20</v>
      </c>
      <c r="N244">
        <f t="shared" si="9"/>
        <v>2</v>
      </c>
      <c r="O244">
        <v>2016</v>
      </c>
      <c r="P244">
        <f t="shared" si="10"/>
        <v>9.0624202418995612</v>
      </c>
      <c r="Q244">
        <f t="shared" si="11"/>
        <v>5.1358572588496374</v>
      </c>
    </row>
    <row r="245" spans="1:17" x14ac:dyDescent="0.3">
      <c r="A245">
        <v>244</v>
      </c>
      <c r="B245">
        <v>856490</v>
      </c>
      <c r="C245" t="s">
        <v>495</v>
      </c>
      <c r="D245" t="s">
        <v>496</v>
      </c>
      <c r="E245">
        <v>95</v>
      </c>
      <c r="F245">
        <v>8594</v>
      </c>
      <c r="G245">
        <v>37</v>
      </c>
      <c r="H245">
        <v>18</v>
      </c>
      <c r="I245">
        <v>1</v>
      </c>
      <c r="J245" t="s">
        <v>13</v>
      </c>
      <c r="K245">
        <v>0.77</v>
      </c>
      <c r="L245">
        <v>2</v>
      </c>
      <c r="M245" t="s">
        <v>20</v>
      </c>
      <c r="N245">
        <f t="shared" si="9"/>
        <v>2</v>
      </c>
      <c r="O245">
        <v>2016</v>
      </c>
      <c r="P245">
        <f t="shared" si="10"/>
        <v>9.0588195643349412</v>
      </c>
      <c r="Q245">
        <f t="shared" si="11"/>
        <v>4.5539821492186583</v>
      </c>
    </row>
    <row r="246" spans="1:17" x14ac:dyDescent="0.3">
      <c r="A246">
        <v>245</v>
      </c>
      <c r="B246">
        <v>59535</v>
      </c>
      <c r="C246" t="s">
        <v>497</v>
      </c>
      <c r="D246" t="s">
        <v>498</v>
      </c>
      <c r="E246">
        <v>0</v>
      </c>
      <c r="F246">
        <v>8592</v>
      </c>
      <c r="G246">
        <v>336</v>
      </c>
      <c r="H246">
        <v>35</v>
      </c>
      <c r="I246">
        <v>1</v>
      </c>
      <c r="J246" t="s">
        <v>13</v>
      </c>
      <c r="K246">
        <v>0.8</v>
      </c>
      <c r="L246">
        <v>2.5</v>
      </c>
      <c r="M246" t="s">
        <v>14</v>
      </c>
      <c r="N246">
        <f t="shared" si="9"/>
        <v>1</v>
      </c>
      <c r="O246">
        <v>2013</v>
      </c>
      <c r="P246">
        <f t="shared" si="10"/>
        <v>9.0585868167486456</v>
      </c>
      <c r="Q246">
        <f t="shared" si="11"/>
        <v>-4.6051701859880909</v>
      </c>
    </row>
    <row r="247" spans="1:17" hidden="1" x14ac:dyDescent="0.3">
      <c r="A247">
        <v>246</v>
      </c>
      <c r="B247">
        <v>570416</v>
      </c>
      <c r="C247" t="s">
        <v>499</v>
      </c>
      <c r="D247" t="s">
        <v>500</v>
      </c>
      <c r="E247">
        <v>200</v>
      </c>
      <c r="F247">
        <v>8577</v>
      </c>
      <c r="G247">
        <v>69</v>
      </c>
      <c r="H247">
        <v>31</v>
      </c>
      <c r="I247">
        <v>4</v>
      </c>
      <c r="J247" t="s">
        <v>23</v>
      </c>
      <c r="K247">
        <v>0.22</v>
      </c>
      <c r="L247">
        <v>1.5</v>
      </c>
      <c r="M247" t="s">
        <v>20</v>
      </c>
      <c r="N247">
        <f t="shared" si="9"/>
        <v>2</v>
      </c>
      <c r="O247">
        <v>2015</v>
      </c>
      <c r="P247">
        <f t="shared" si="10"/>
        <v>9.0568394809904209</v>
      </c>
      <c r="Q247">
        <f t="shared" si="11"/>
        <v>5.2983673652980787</v>
      </c>
    </row>
    <row r="248" spans="1:17" hidden="1" x14ac:dyDescent="0.3">
      <c r="A248">
        <v>247</v>
      </c>
      <c r="B248">
        <v>758582</v>
      </c>
      <c r="C248" t="s">
        <v>501</v>
      </c>
      <c r="D248" t="s">
        <v>502</v>
      </c>
      <c r="E248">
        <v>150</v>
      </c>
      <c r="F248">
        <v>8496</v>
      </c>
      <c r="G248">
        <v>1838</v>
      </c>
      <c r="H248">
        <v>308</v>
      </c>
      <c r="I248">
        <v>4</v>
      </c>
      <c r="J248" t="s">
        <v>23</v>
      </c>
      <c r="K248">
        <v>0.93</v>
      </c>
      <c r="L248">
        <v>29.5</v>
      </c>
      <c r="M248" t="s">
        <v>20</v>
      </c>
      <c r="N248">
        <f t="shared" si="9"/>
        <v>2</v>
      </c>
      <c r="O248">
        <v>2016</v>
      </c>
      <c r="P248">
        <f t="shared" si="10"/>
        <v>9.0473507434817204</v>
      </c>
      <c r="Q248">
        <f t="shared" si="11"/>
        <v>5.0107019585407988</v>
      </c>
    </row>
    <row r="249" spans="1:17" x14ac:dyDescent="0.3">
      <c r="A249">
        <v>248</v>
      </c>
      <c r="B249">
        <v>169144</v>
      </c>
      <c r="C249" t="s">
        <v>503</v>
      </c>
      <c r="D249" t="s">
        <v>504</v>
      </c>
      <c r="E249">
        <v>20</v>
      </c>
      <c r="F249">
        <v>8462</v>
      </c>
      <c r="G249">
        <v>50</v>
      </c>
      <c r="H249">
        <v>21</v>
      </c>
      <c r="I249">
        <v>1</v>
      </c>
      <c r="J249" t="s">
        <v>13</v>
      </c>
      <c r="K249">
        <v>0.68</v>
      </c>
      <c r="L249">
        <v>2</v>
      </c>
      <c r="M249" t="s">
        <v>20</v>
      </c>
      <c r="N249">
        <f t="shared" si="9"/>
        <v>2</v>
      </c>
      <c r="O249">
        <v>2014</v>
      </c>
      <c r="P249">
        <f t="shared" si="10"/>
        <v>9.0433408312800125</v>
      </c>
      <c r="Q249">
        <f t="shared" si="11"/>
        <v>2.996232148595642</v>
      </c>
    </row>
    <row r="250" spans="1:17" hidden="1" x14ac:dyDescent="0.3">
      <c r="A250">
        <v>249</v>
      </c>
      <c r="B250">
        <v>264790</v>
      </c>
      <c r="C250" t="s">
        <v>505</v>
      </c>
      <c r="D250" t="s">
        <v>506</v>
      </c>
      <c r="E250">
        <v>0</v>
      </c>
      <c r="F250">
        <v>8415</v>
      </c>
      <c r="G250">
        <v>56</v>
      </c>
      <c r="H250">
        <v>13</v>
      </c>
      <c r="I250">
        <v>4</v>
      </c>
      <c r="J250" t="s">
        <v>23</v>
      </c>
      <c r="K250">
        <v>0.66</v>
      </c>
      <c r="L250">
        <v>1</v>
      </c>
      <c r="M250" t="s">
        <v>14</v>
      </c>
      <c r="N250">
        <f t="shared" si="9"/>
        <v>1</v>
      </c>
      <c r="O250">
        <v>2014</v>
      </c>
      <c r="P250">
        <f t="shared" si="10"/>
        <v>9.0377711066249056</v>
      </c>
      <c r="Q250">
        <f t="shared" si="11"/>
        <v>-4.6051701859880909</v>
      </c>
    </row>
    <row r="251" spans="1:17" hidden="1" x14ac:dyDescent="0.3">
      <c r="A251">
        <v>250</v>
      </c>
      <c r="B251">
        <v>212624</v>
      </c>
      <c r="C251" t="s">
        <v>507</v>
      </c>
      <c r="D251" t="s">
        <v>508</v>
      </c>
      <c r="E251">
        <v>0</v>
      </c>
      <c r="F251">
        <v>8371</v>
      </c>
      <c r="G251">
        <v>212</v>
      </c>
      <c r="H251">
        <v>18</v>
      </c>
      <c r="I251">
        <v>4</v>
      </c>
      <c r="J251" t="s">
        <v>23</v>
      </c>
      <c r="K251">
        <v>0.78</v>
      </c>
      <c r="L251">
        <v>1.5</v>
      </c>
      <c r="M251" t="s">
        <v>14</v>
      </c>
      <c r="N251">
        <f t="shared" si="9"/>
        <v>1</v>
      </c>
      <c r="O251">
        <v>2014</v>
      </c>
      <c r="P251">
        <f t="shared" si="10"/>
        <v>9.0325286306600567</v>
      </c>
      <c r="Q251">
        <f t="shared" si="11"/>
        <v>-4.6051701859880909</v>
      </c>
    </row>
    <row r="252" spans="1:17" hidden="1" x14ac:dyDescent="0.3">
      <c r="A252">
        <v>251</v>
      </c>
      <c r="B252">
        <v>311538</v>
      </c>
      <c r="C252" t="s">
        <v>509</v>
      </c>
      <c r="D252" t="s">
        <v>510</v>
      </c>
      <c r="E252">
        <v>0</v>
      </c>
      <c r="F252">
        <v>8337</v>
      </c>
      <c r="G252">
        <v>300</v>
      </c>
      <c r="H252">
        <v>129</v>
      </c>
      <c r="I252">
        <v>4</v>
      </c>
      <c r="J252" t="s">
        <v>23</v>
      </c>
      <c r="K252">
        <v>0.53</v>
      </c>
      <c r="L252">
        <v>20.5</v>
      </c>
      <c r="M252" t="s">
        <v>14</v>
      </c>
      <c r="N252">
        <f t="shared" si="9"/>
        <v>1</v>
      </c>
      <c r="O252">
        <v>2014</v>
      </c>
      <c r="P252">
        <f t="shared" si="10"/>
        <v>9.0284587184106133</v>
      </c>
      <c r="Q252">
        <f t="shared" si="11"/>
        <v>-4.6051701859880909</v>
      </c>
    </row>
    <row r="253" spans="1:17" hidden="1" x14ac:dyDescent="0.3">
      <c r="A253">
        <v>252</v>
      </c>
      <c r="B253">
        <v>639848</v>
      </c>
      <c r="C253" t="s">
        <v>511</v>
      </c>
      <c r="D253" t="s">
        <v>512</v>
      </c>
      <c r="E253">
        <v>20</v>
      </c>
      <c r="F253">
        <v>8320</v>
      </c>
      <c r="G253">
        <v>73</v>
      </c>
      <c r="H253">
        <v>11</v>
      </c>
      <c r="I253">
        <v>4</v>
      </c>
      <c r="J253" t="s">
        <v>23</v>
      </c>
      <c r="K253">
        <v>0.3</v>
      </c>
      <c r="L253">
        <v>0.71666666999999995</v>
      </c>
      <c r="M253" t="s">
        <v>20</v>
      </c>
      <c r="N253">
        <f t="shared" si="9"/>
        <v>2</v>
      </c>
      <c r="O253">
        <v>2015</v>
      </c>
      <c r="P253">
        <f t="shared" si="10"/>
        <v>9.0264175338152537</v>
      </c>
      <c r="Q253">
        <f t="shared" si="11"/>
        <v>2.996232148595642</v>
      </c>
    </row>
    <row r="254" spans="1:17" hidden="1" x14ac:dyDescent="0.3">
      <c r="A254">
        <v>253</v>
      </c>
      <c r="B254">
        <v>641868</v>
      </c>
      <c r="C254" t="s">
        <v>513</v>
      </c>
      <c r="D254" t="s">
        <v>514</v>
      </c>
      <c r="E254">
        <v>25</v>
      </c>
      <c r="F254">
        <v>8234</v>
      </c>
      <c r="G254">
        <v>1111</v>
      </c>
      <c r="H254">
        <v>110</v>
      </c>
      <c r="I254">
        <v>4</v>
      </c>
      <c r="J254" t="s">
        <v>23</v>
      </c>
      <c r="K254">
        <v>0.78</v>
      </c>
      <c r="L254">
        <v>7.5</v>
      </c>
      <c r="M254" t="s">
        <v>20</v>
      </c>
      <c r="N254">
        <f t="shared" si="9"/>
        <v>2</v>
      </c>
      <c r="O254">
        <v>2015</v>
      </c>
      <c r="P254">
        <f t="shared" si="10"/>
        <v>9.01602720232985</v>
      </c>
      <c r="Q254">
        <f t="shared" si="11"/>
        <v>3.2192757448895279</v>
      </c>
    </row>
    <row r="255" spans="1:17" hidden="1" x14ac:dyDescent="0.3">
      <c r="A255">
        <v>254</v>
      </c>
      <c r="B255">
        <v>674646</v>
      </c>
      <c r="C255" t="s">
        <v>515</v>
      </c>
      <c r="D255" t="s">
        <v>516</v>
      </c>
      <c r="E255">
        <v>75</v>
      </c>
      <c r="F255">
        <v>8067</v>
      </c>
      <c r="G255">
        <v>30</v>
      </c>
      <c r="H255">
        <v>44</v>
      </c>
      <c r="I255">
        <v>4</v>
      </c>
      <c r="J255" t="s">
        <v>23</v>
      </c>
      <c r="K255">
        <v>0.24</v>
      </c>
      <c r="L255">
        <v>3.5</v>
      </c>
      <c r="M255" t="s">
        <v>20</v>
      </c>
      <c r="N255">
        <f t="shared" si="9"/>
        <v>2</v>
      </c>
      <c r="O255">
        <v>2015</v>
      </c>
      <c r="P255">
        <f t="shared" si="10"/>
        <v>8.9955369449369744</v>
      </c>
      <c r="Q255">
        <f t="shared" si="11"/>
        <v>4.3176214379815452</v>
      </c>
    </row>
    <row r="256" spans="1:17" hidden="1" x14ac:dyDescent="0.3">
      <c r="A256">
        <v>255</v>
      </c>
      <c r="B256">
        <v>906700</v>
      </c>
      <c r="C256" t="s">
        <v>517</v>
      </c>
      <c r="D256" t="s">
        <v>518</v>
      </c>
      <c r="E256">
        <v>40</v>
      </c>
      <c r="F256">
        <v>8059</v>
      </c>
      <c r="G256">
        <v>231</v>
      </c>
      <c r="H256">
        <v>39</v>
      </c>
      <c r="I256">
        <v>4</v>
      </c>
      <c r="J256" t="s">
        <v>23</v>
      </c>
      <c r="K256">
        <v>0.05</v>
      </c>
      <c r="L256">
        <v>2</v>
      </c>
      <c r="M256" t="s">
        <v>20</v>
      </c>
      <c r="N256">
        <f t="shared" si="9"/>
        <v>2</v>
      </c>
      <c r="O256">
        <v>2016</v>
      </c>
      <c r="P256">
        <f t="shared" si="10"/>
        <v>8.9945447583245119</v>
      </c>
      <c r="Q256">
        <f t="shared" si="11"/>
        <v>3.6891294228691436</v>
      </c>
    </row>
    <row r="257" spans="1:17" x14ac:dyDescent="0.3">
      <c r="A257">
        <v>256</v>
      </c>
      <c r="B257">
        <v>1090870</v>
      </c>
      <c r="C257" t="s">
        <v>519</v>
      </c>
      <c r="D257" t="s">
        <v>520</v>
      </c>
      <c r="E257">
        <v>0</v>
      </c>
      <c r="F257">
        <v>7922</v>
      </c>
      <c r="G257">
        <v>183</v>
      </c>
      <c r="H257">
        <v>16</v>
      </c>
      <c r="I257">
        <v>1</v>
      </c>
      <c r="J257" t="s">
        <v>13</v>
      </c>
      <c r="K257">
        <v>0.69</v>
      </c>
      <c r="L257">
        <v>1.5</v>
      </c>
      <c r="M257" t="s">
        <v>14</v>
      </c>
      <c r="N257">
        <f t="shared" si="9"/>
        <v>1</v>
      </c>
      <c r="O257">
        <v>2017</v>
      </c>
      <c r="P257">
        <f t="shared" si="10"/>
        <v>8.9773989781818617</v>
      </c>
      <c r="Q257">
        <f t="shared" si="11"/>
        <v>-4.6051701859880909</v>
      </c>
    </row>
    <row r="258" spans="1:17" hidden="1" x14ac:dyDescent="0.3">
      <c r="A258">
        <v>257</v>
      </c>
      <c r="B258">
        <v>866696</v>
      </c>
      <c r="C258" t="s">
        <v>521</v>
      </c>
      <c r="D258" t="s">
        <v>522</v>
      </c>
      <c r="E258">
        <v>0</v>
      </c>
      <c r="F258">
        <v>7905</v>
      </c>
      <c r="G258">
        <v>561</v>
      </c>
      <c r="H258">
        <v>5</v>
      </c>
      <c r="I258">
        <v>4</v>
      </c>
      <c r="J258" t="s">
        <v>23</v>
      </c>
      <c r="K258">
        <v>0.66</v>
      </c>
      <c r="L258">
        <v>0.68333332999999996</v>
      </c>
      <c r="M258" t="s">
        <v>14</v>
      </c>
      <c r="N258">
        <f t="shared" ref="N258:N321" si="12">IF(M258="Free",1,IF(M258="Paid",2,0))</f>
        <v>1</v>
      </c>
      <c r="O258">
        <v>2016</v>
      </c>
      <c r="P258">
        <f t="shared" ref="P258:P321" si="13">LN(F258)</f>
        <v>8.9752507496435729</v>
      </c>
      <c r="Q258">
        <f t="shared" ref="Q258:Q321" si="14">LN(E258+0.01)</f>
        <v>-4.6051701859880909</v>
      </c>
    </row>
    <row r="259" spans="1:17" x14ac:dyDescent="0.3">
      <c r="A259">
        <v>258</v>
      </c>
      <c r="B259">
        <v>747552</v>
      </c>
      <c r="C259" t="s">
        <v>523</v>
      </c>
      <c r="D259" t="s">
        <v>524</v>
      </c>
      <c r="E259">
        <v>150</v>
      </c>
      <c r="F259">
        <v>7884</v>
      </c>
      <c r="G259">
        <v>44</v>
      </c>
      <c r="H259">
        <v>28</v>
      </c>
      <c r="I259">
        <v>1</v>
      </c>
      <c r="J259" t="s">
        <v>13</v>
      </c>
      <c r="K259">
        <v>0.53</v>
      </c>
      <c r="L259">
        <v>2</v>
      </c>
      <c r="M259" t="s">
        <v>20</v>
      </c>
      <c r="N259">
        <f t="shared" si="12"/>
        <v>2</v>
      </c>
      <c r="O259">
        <v>2016</v>
      </c>
      <c r="P259">
        <f t="shared" si="13"/>
        <v>8.9725906682726109</v>
      </c>
      <c r="Q259">
        <f t="shared" si="14"/>
        <v>5.0107019585407988</v>
      </c>
    </row>
    <row r="260" spans="1:17" x14ac:dyDescent="0.3">
      <c r="A260">
        <v>259</v>
      </c>
      <c r="B260">
        <v>16151</v>
      </c>
      <c r="C260" t="s">
        <v>525</v>
      </c>
      <c r="D260" t="s">
        <v>526</v>
      </c>
      <c r="E260">
        <v>20</v>
      </c>
      <c r="F260">
        <v>7867</v>
      </c>
      <c r="G260">
        <v>147</v>
      </c>
      <c r="H260">
        <v>23</v>
      </c>
      <c r="I260">
        <v>1</v>
      </c>
      <c r="J260" t="s">
        <v>13</v>
      </c>
      <c r="K260">
        <v>0.95</v>
      </c>
      <c r="L260">
        <v>3</v>
      </c>
      <c r="M260" t="s">
        <v>20</v>
      </c>
      <c r="N260">
        <f t="shared" si="12"/>
        <v>2</v>
      </c>
      <c r="O260">
        <v>2012</v>
      </c>
      <c r="P260">
        <f t="shared" si="13"/>
        <v>8.9704320743292421</v>
      </c>
      <c r="Q260">
        <f t="shared" si="14"/>
        <v>2.996232148595642</v>
      </c>
    </row>
    <row r="261" spans="1:17" hidden="1" x14ac:dyDescent="0.3">
      <c r="A261">
        <v>260</v>
      </c>
      <c r="B261">
        <v>1166070</v>
      </c>
      <c r="C261" t="s">
        <v>527</v>
      </c>
      <c r="D261" t="s">
        <v>528</v>
      </c>
      <c r="E261">
        <v>0</v>
      </c>
      <c r="F261">
        <v>7865</v>
      </c>
      <c r="G261">
        <v>241</v>
      </c>
      <c r="H261">
        <v>36</v>
      </c>
      <c r="I261">
        <v>4</v>
      </c>
      <c r="J261" t="s">
        <v>23</v>
      </c>
      <c r="K261">
        <v>0.76</v>
      </c>
      <c r="L261">
        <v>5</v>
      </c>
      <c r="M261" t="s">
        <v>14</v>
      </c>
      <c r="N261">
        <f t="shared" si="12"/>
        <v>1</v>
      </c>
      <c r="O261">
        <v>2017</v>
      </c>
      <c r="P261">
        <f t="shared" si="13"/>
        <v>8.970177815492379</v>
      </c>
      <c r="Q261">
        <f t="shared" si="14"/>
        <v>-4.6051701859880909</v>
      </c>
    </row>
    <row r="262" spans="1:17" hidden="1" x14ac:dyDescent="0.3">
      <c r="A262">
        <v>261</v>
      </c>
      <c r="B262">
        <v>425910</v>
      </c>
      <c r="C262" t="s">
        <v>529</v>
      </c>
      <c r="D262" t="s">
        <v>530</v>
      </c>
      <c r="E262">
        <v>125</v>
      </c>
      <c r="F262">
        <v>7852</v>
      </c>
      <c r="G262">
        <v>46</v>
      </c>
      <c r="H262">
        <v>31</v>
      </c>
      <c r="I262">
        <v>3</v>
      </c>
      <c r="J262" t="s">
        <v>17</v>
      </c>
      <c r="K262">
        <v>0.78</v>
      </c>
      <c r="L262">
        <v>3.5</v>
      </c>
      <c r="M262" t="s">
        <v>20</v>
      </c>
      <c r="N262">
        <f t="shared" si="12"/>
        <v>2</v>
      </c>
      <c r="O262">
        <v>2015</v>
      </c>
      <c r="P262">
        <f t="shared" si="13"/>
        <v>8.9685235553963523</v>
      </c>
      <c r="Q262">
        <f t="shared" si="14"/>
        <v>4.8283937341024714</v>
      </c>
    </row>
    <row r="263" spans="1:17" hidden="1" x14ac:dyDescent="0.3">
      <c r="A263">
        <v>262</v>
      </c>
      <c r="B263">
        <v>938560</v>
      </c>
      <c r="C263" t="s">
        <v>531</v>
      </c>
      <c r="D263" t="s">
        <v>532</v>
      </c>
      <c r="E263">
        <v>195</v>
      </c>
      <c r="F263">
        <v>7827</v>
      </c>
      <c r="G263">
        <v>268</v>
      </c>
      <c r="H263">
        <v>66</v>
      </c>
      <c r="I263">
        <v>4</v>
      </c>
      <c r="J263" t="s">
        <v>23</v>
      </c>
      <c r="K263">
        <v>0.76</v>
      </c>
      <c r="L263">
        <v>11</v>
      </c>
      <c r="M263" t="s">
        <v>20</v>
      </c>
      <c r="N263">
        <f t="shared" si="12"/>
        <v>2</v>
      </c>
      <c r="O263">
        <v>2016</v>
      </c>
      <c r="P263">
        <f t="shared" si="13"/>
        <v>8.9653345738048387</v>
      </c>
      <c r="Q263">
        <f t="shared" si="14"/>
        <v>5.273050839300149</v>
      </c>
    </row>
    <row r="264" spans="1:17" hidden="1" x14ac:dyDescent="0.3">
      <c r="A264">
        <v>263</v>
      </c>
      <c r="B264">
        <v>607056</v>
      </c>
      <c r="C264" t="s">
        <v>533</v>
      </c>
      <c r="D264" t="s">
        <v>534</v>
      </c>
      <c r="E264">
        <v>90</v>
      </c>
      <c r="F264">
        <v>7789</v>
      </c>
      <c r="G264">
        <v>59</v>
      </c>
      <c r="H264">
        <v>23</v>
      </c>
      <c r="I264">
        <v>2</v>
      </c>
      <c r="J264" t="s">
        <v>32</v>
      </c>
      <c r="K264">
        <v>0.15</v>
      </c>
      <c r="L264">
        <v>1.5</v>
      </c>
      <c r="M264" t="s">
        <v>20</v>
      </c>
      <c r="N264">
        <f t="shared" si="12"/>
        <v>2</v>
      </c>
      <c r="O264">
        <v>2015</v>
      </c>
      <c r="P264">
        <f t="shared" si="13"/>
        <v>8.9604677609199488</v>
      </c>
      <c r="Q264">
        <f t="shared" si="14"/>
        <v>4.4999207752689943</v>
      </c>
    </row>
    <row r="265" spans="1:17" hidden="1" x14ac:dyDescent="0.3">
      <c r="A265">
        <v>264</v>
      </c>
      <c r="B265">
        <v>147908</v>
      </c>
      <c r="C265" t="s">
        <v>535</v>
      </c>
      <c r="D265" t="s">
        <v>536</v>
      </c>
      <c r="E265">
        <v>75</v>
      </c>
      <c r="F265">
        <v>7785</v>
      </c>
      <c r="G265">
        <v>416</v>
      </c>
      <c r="H265">
        <v>33</v>
      </c>
      <c r="I265">
        <v>4</v>
      </c>
      <c r="J265" t="s">
        <v>23</v>
      </c>
      <c r="K265">
        <v>0.76</v>
      </c>
      <c r="L265">
        <v>4.5</v>
      </c>
      <c r="M265" t="s">
        <v>20</v>
      </c>
      <c r="N265">
        <f t="shared" si="12"/>
        <v>2</v>
      </c>
      <c r="O265">
        <v>2014</v>
      </c>
      <c r="P265">
        <f t="shared" si="13"/>
        <v>8.959954084268098</v>
      </c>
      <c r="Q265">
        <f t="shared" si="14"/>
        <v>4.3176214379815452</v>
      </c>
    </row>
    <row r="266" spans="1:17" hidden="1" x14ac:dyDescent="0.3">
      <c r="A266">
        <v>265</v>
      </c>
      <c r="B266">
        <v>1016536</v>
      </c>
      <c r="C266" t="s">
        <v>537</v>
      </c>
      <c r="D266" t="s">
        <v>538</v>
      </c>
      <c r="E266">
        <v>140</v>
      </c>
      <c r="F266">
        <v>7741</v>
      </c>
      <c r="G266">
        <v>9</v>
      </c>
      <c r="H266">
        <v>36</v>
      </c>
      <c r="I266">
        <v>4</v>
      </c>
      <c r="J266" t="s">
        <v>23</v>
      </c>
      <c r="K266">
        <v>0.67</v>
      </c>
      <c r="L266">
        <v>2.5</v>
      </c>
      <c r="M266" t="s">
        <v>20</v>
      </c>
      <c r="N266">
        <f t="shared" si="12"/>
        <v>2</v>
      </c>
      <c r="O266">
        <v>2016</v>
      </c>
      <c r="P266">
        <f t="shared" si="13"/>
        <v>8.954286157204713</v>
      </c>
      <c r="Q266">
        <f t="shared" si="14"/>
        <v>4.941713848629834</v>
      </c>
    </row>
    <row r="267" spans="1:17" x14ac:dyDescent="0.3">
      <c r="A267">
        <v>266</v>
      </c>
      <c r="B267">
        <v>803378</v>
      </c>
      <c r="C267" t="s">
        <v>539</v>
      </c>
      <c r="D267" t="s">
        <v>540</v>
      </c>
      <c r="E267">
        <v>150</v>
      </c>
      <c r="F267">
        <v>7720</v>
      </c>
      <c r="G267">
        <v>58</v>
      </c>
      <c r="H267">
        <v>17</v>
      </c>
      <c r="I267">
        <v>1</v>
      </c>
      <c r="J267" t="s">
        <v>13</v>
      </c>
      <c r="K267">
        <v>0.73</v>
      </c>
      <c r="L267">
        <v>1.5</v>
      </c>
      <c r="M267" t="s">
        <v>20</v>
      </c>
      <c r="N267">
        <f t="shared" si="12"/>
        <v>2</v>
      </c>
      <c r="O267">
        <v>2016</v>
      </c>
      <c r="P267">
        <f t="shared" si="13"/>
        <v>8.9515696430188214</v>
      </c>
      <c r="Q267">
        <f t="shared" si="14"/>
        <v>5.0107019585407988</v>
      </c>
    </row>
    <row r="268" spans="1:17" hidden="1" x14ac:dyDescent="0.3">
      <c r="A268">
        <v>267</v>
      </c>
      <c r="B268">
        <v>30911</v>
      </c>
      <c r="C268" t="s">
        <v>541</v>
      </c>
      <c r="D268" t="s">
        <v>542</v>
      </c>
      <c r="E268">
        <v>50</v>
      </c>
      <c r="F268">
        <v>7706</v>
      </c>
      <c r="G268">
        <v>62</v>
      </c>
      <c r="H268">
        <v>45</v>
      </c>
      <c r="I268">
        <v>4</v>
      </c>
      <c r="J268" t="s">
        <v>23</v>
      </c>
      <c r="K268">
        <v>0.12</v>
      </c>
      <c r="L268">
        <v>5</v>
      </c>
      <c r="M268" t="s">
        <v>20</v>
      </c>
      <c r="N268">
        <f t="shared" si="12"/>
        <v>2</v>
      </c>
      <c r="O268">
        <v>2012</v>
      </c>
      <c r="P268">
        <f t="shared" si="13"/>
        <v>8.949754525186103</v>
      </c>
      <c r="Q268">
        <f t="shared" si="14"/>
        <v>3.9122229854308124</v>
      </c>
    </row>
    <row r="269" spans="1:17" hidden="1" x14ac:dyDescent="0.3">
      <c r="A269">
        <v>268</v>
      </c>
      <c r="B269">
        <v>161986</v>
      </c>
      <c r="C269" t="s">
        <v>543</v>
      </c>
      <c r="D269" t="s">
        <v>544</v>
      </c>
      <c r="E269">
        <v>50</v>
      </c>
      <c r="F269">
        <v>7660</v>
      </c>
      <c r="G269">
        <v>7</v>
      </c>
      <c r="H269">
        <v>19</v>
      </c>
      <c r="I269">
        <v>4</v>
      </c>
      <c r="J269" t="s">
        <v>23</v>
      </c>
      <c r="K269">
        <v>0.08</v>
      </c>
      <c r="L269">
        <v>2</v>
      </c>
      <c r="M269" t="s">
        <v>20</v>
      </c>
      <c r="N269">
        <f t="shared" si="12"/>
        <v>2</v>
      </c>
      <c r="O269">
        <v>2014</v>
      </c>
      <c r="P269">
        <f t="shared" si="13"/>
        <v>8.943767262734637</v>
      </c>
      <c r="Q269">
        <f t="shared" si="14"/>
        <v>3.9122229854308124</v>
      </c>
    </row>
    <row r="270" spans="1:17" hidden="1" x14ac:dyDescent="0.3">
      <c r="A270">
        <v>269</v>
      </c>
      <c r="B270">
        <v>159760</v>
      </c>
      <c r="C270" t="s">
        <v>545</v>
      </c>
      <c r="D270" t="s">
        <v>546</v>
      </c>
      <c r="E270">
        <v>95</v>
      </c>
      <c r="F270">
        <v>7517</v>
      </c>
      <c r="G270">
        <v>89</v>
      </c>
      <c r="H270">
        <v>47</v>
      </c>
      <c r="I270">
        <v>2</v>
      </c>
      <c r="J270" t="s">
        <v>32</v>
      </c>
      <c r="K270">
        <v>0.89</v>
      </c>
      <c r="L270">
        <v>4.5</v>
      </c>
      <c r="M270" t="s">
        <v>20</v>
      </c>
      <c r="N270">
        <f t="shared" si="12"/>
        <v>2</v>
      </c>
      <c r="O270">
        <v>2014</v>
      </c>
      <c r="P270">
        <f t="shared" si="13"/>
        <v>8.9249224011774686</v>
      </c>
      <c r="Q270">
        <f t="shared" si="14"/>
        <v>4.5539821492186583</v>
      </c>
    </row>
    <row r="271" spans="1:17" hidden="1" x14ac:dyDescent="0.3">
      <c r="A271">
        <v>270</v>
      </c>
      <c r="B271">
        <v>548278</v>
      </c>
      <c r="C271" t="s">
        <v>547</v>
      </c>
      <c r="D271" t="s">
        <v>548</v>
      </c>
      <c r="E271">
        <v>200</v>
      </c>
      <c r="F271">
        <v>7501</v>
      </c>
      <c r="G271">
        <v>1213</v>
      </c>
      <c r="H271">
        <v>384</v>
      </c>
      <c r="I271">
        <v>4</v>
      </c>
      <c r="J271" t="s">
        <v>23</v>
      </c>
      <c r="K271">
        <v>0.42</v>
      </c>
      <c r="L271">
        <v>76.5</v>
      </c>
      <c r="M271" t="s">
        <v>20</v>
      </c>
      <c r="N271">
        <f t="shared" si="12"/>
        <v>2</v>
      </c>
      <c r="O271">
        <v>2015</v>
      </c>
      <c r="P271">
        <f t="shared" si="13"/>
        <v>8.922791623969637</v>
      </c>
      <c r="Q271">
        <f t="shared" si="14"/>
        <v>5.2983673652980787</v>
      </c>
    </row>
    <row r="272" spans="1:17" hidden="1" x14ac:dyDescent="0.3">
      <c r="A272">
        <v>271</v>
      </c>
      <c r="B272">
        <v>631128</v>
      </c>
      <c r="C272" t="s">
        <v>549</v>
      </c>
      <c r="D272" t="s">
        <v>550</v>
      </c>
      <c r="E272">
        <v>110</v>
      </c>
      <c r="F272">
        <v>7489</v>
      </c>
      <c r="G272">
        <v>941</v>
      </c>
      <c r="H272">
        <v>173</v>
      </c>
      <c r="I272">
        <v>4</v>
      </c>
      <c r="J272" t="s">
        <v>23</v>
      </c>
      <c r="K272">
        <v>0.42</v>
      </c>
      <c r="L272">
        <v>16</v>
      </c>
      <c r="M272" t="s">
        <v>20</v>
      </c>
      <c r="N272">
        <f t="shared" si="12"/>
        <v>2</v>
      </c>
      <c r="O272">
        <v>2015</v>
      </c>
      <c r="P272">
        <f t="shared" si="13"/>
        <v>8.9211905562493676</v>
      </c>
      <c r="Q272">
        <f t="shared" si="14"/>
        <v>4.7005712707513441</v>
      </c>
    </row>
    <row r="273" spans="1:17" x14ac:dyDescent="0.3">
      <c r="A273">
        <v>272</v>
      </c>
      <c r="B273">
        <v>436496</v>
      </c>
      <c r="C273" t="s">
        <v>551</v>
      </c>
      <c r="D273" t="s">
        <v>552</v>
      </c>
      <c r="E273">
        <v>0</v>
      </c>
      <c r="F273">
        <v>7484</v>
      </c>
      <c r="G273">
        <v>304</v>
      </c>
      <c r="H273">
        <v>5</v>
      </c>
      <c r="I273">
        <v>1</v>
      </c>
      <c r="J273" t="s">
        <v>13</v>
      </c>
      <c r="K273">
        <v>0.24</v>
      </c>
      <c r="L273">
        <v>1</v>
      </c>
      <c r="M273" t="s">
        <v>14</v>
      </c>
      <c r="N273">
        <f t="shared" si="12"/>
        <v>1</v>
      </c>
      <c r="O273">
        <v>2015</v>
      </c>
      <c r="P273">
        <f t="shared" si="13"/>
        <v>8.92052268739398</v>
      </c>
      <c r="Q273">
        <f t="shared" si="14"/>
        <v>-4.6051701859880909</v>
      </c>
    </row>
    <row r="274" spans="1:17" hidden="1" x14ac:dyDescent="0.3">
      <c r="A274">
        <v>273</v>
      </c>
      <c r="B274">
        <v>200742</v>
      </c>
      <c r="C274" t="s">
        <v>553</v>
      </c>
      <c r="D274" t="s">
        <v>554</v>
      </c>
      <c r="E274">
        <v>20</v>
      </c>
      <c r="F274">
        <v>7449</v>
      </c>
      <c r="G274">
        <v>111</v>
      </c>
      <c r="H274">
        <v>13</v>
      </c>
      <c r="I274">
        <v>3</v>
      </c>
      <c r="J274" t="s">
        <v>17</v>
      </c>
      <c r="K274">
        <v>0.3</v>
      </c>
      <c r="L274">
        <v>1</v>
      </c>
      <c r="M274" t="s">
        <v>20</v>
      </c>
      <c r="N274">
        <f t="shared" si="12"/>
        <v>2</v>
      </c>
      <c r="O274">
        <v>2014</v>
      </c>
      <c r="P274">
        <f t="shared" si="13"/>
        <v>8.9158350741762771</v>
      </c>
      <c r="Q274">
        <f t="shared" si="14"/>
        <v>2.996232148595642</v>
      </c>
    </row>
    <row r="275" spans="1:17" x14ac:dyDescent="0.3">
      <c r="A275">
        <v>274</v>
      </c>
      <c r="B275">
        <v>513958</v>
      </c>
      <c r="C275" t="s">
        <v>555</v>
      </c>
      <c r="D275" t="s">
        <v>556</v>
      </c>
      <c r="E275">
        <v>200</v>
      </c>
      <c r="F275">
        <v>7449</v>
      </c>
      <c r="G275">
        <v>91</v>
      </c>
      <c r="H275">
        <v>32</v>
      </c>
      <c r="I275">
        <v>1</v>
      </c>
      <c r="J275" t="s">
        <v>13</v>
      </c>
      <c r="K275">
        <v>0.38</v>
      </c>
      <c r="L275">
        <v>4</v>
      </c>
      <c r="M275" t="s">
        <v>20</v>
      </c>
      <c r="N275">
        <f t="shared" si="12"/>
        <v>2</v>
      </c>
      <c r="O275">
        <v>2015</v>
      </c>
      <c r="P275">
        <f t="shared" si="13"/>
        <v>8.9158350741762771</v>
      </c>
      <c r="Q275">
        <f t="shared" si="14"/>
        <v>5.2983673652980787</v>
      </c>
    </row>
    <row r="276" spans="1:17" hidden="1" x14ac:dyDescent="0.3">
      <c r="A276">
        <v>275</v>
      </c>
      <c r="B276">
        <v>911318</v>
      </c>
      <c r="C276" t="s">
        <v>557</v>
      </c>
      <c r="D276" t="s">
        <v>558</v>
      </c>
      <c r="E276">
        <v>0</v>
      </c>
      <c r="F276">
        <v>7438</v>
      </c>
      <c r="G276">
        <v>441</v>
      </c>
      <c r="H276">
        <v>37</v>
      </c>
      <c r="I276">
        <v>4</v>
      </c>
      <c r="J276" t="s">
        <v>23</v>
      </c>
      <c r="K276">
        <v>0.78</v>
      </c>
      <c r="L276">
        <v>2.5</v>
      </c>
      <c r="M276" t="s">
        <v>14</v>
      </c>
      <c r="N276">
        <f t="shared" si="12"/>
        <v>1</v>
      </c>
      <c r="O276">
        <v>2016</v>
      </c>
      <c r="P276">
        <f t="shared" si="13"/>
        <v>8.914357274485015</v>
      </c>
      <c r="Q276">
        <f t="shared" si="14"/>
        <v>-4.6051701859880909</v>
      </c>
    </row>
    <row r="277" spans="1:17" hidden="1" x14ac:dyDescent="0.3">
      <c r="A277">
        <v>276</v>
      </c>
      <c r="B277">
        <v>515188</v>
      </c>
      <c r="C277" t="s">
        <v>559</v>
      </c>
      <c r="D277" t="s">
        <v>560</v>
      </c>
      <c r="E277">
        <v>20</v>
      </c>
      <c r="F277">
        <v>7416</v>
      </c>
      <c r="G277">
        <v>65</v>
      </c>
      <c r="H277">
        <v>14</v>
      </c>
      <c r="I277">
        <v>4</v>
      </c>
      <c r="J277" t="s">
        <v>23</v>
      </c>
      <c r="K277">
        <v>0.96</v>
      </c>
      <c r="L277">
        <v>0.65</v>
      </c>
      <c r="M277" t="s">
        <v>20</v>
      </c>
      <c r="N277">
        <f t="shared" si="12"/>
        <v>2</v>
      </c>
      <c r="O277">
        <v>2015</v>
      </c>
      <c r="P277">
        <f t="shared" si="13"/>
        <v>8.9113951072456903</v>
      </c>
      <c r="Q277">
        <f t="shared" si="14"/>
        <v>2.996232148595642</v>
      </c>
    </row>
    <row r="278" spans="1:17" x14ac:dyDescent="0.3">
      <c r="A278">
        <v>277</v>
      </c>
      <c r="B278">
        <v>76052</v>
      </c>
      <c r="C278" t="s">
        <v>561</v>
      </c>
      <c r="D278" t="s">
        <v>562</v>
      </c>
      <c r="E278">
        <v>50</v>
      </c>
      <c r="F278">
        <v>7407</v>
      </c>
      <c r="G278">
        <v>172</v>
      </c>
      <c r="H278">
        <v>147</v>
      </c>
      <c r="I278">
        <v>1</v>
      </c>
      <c r="J278" t="s">
        <v>13</v>
      </c>
      <c r="K278">
        <v>0.68</v>
      </c>
      <c r="L278">
        <v>20</v>
      </c>
      <c r="M278" t="s">
        <v>20</v>
      </c>
      <c r="N278">
        <f t="shared" si="12"/>
        <v>2</v>
      </c>
      <c r="O278">
        <v>2014</v>
      </c>
      <c r="P278">
        <f t="shared" si="13"/>
        <v>8.9101807780132898</v>
      </c>
      <c r="Q278">
        <f t="shared" si="14"/>
        <v>3.9122229854308124</v>
      </c>
    </row>
    <row r="279" spans="1:17" hidden="1" x14ac:dyDescent="0.3">
      <c r="A279">
        <v>278</v>
      </c>
      <c r="B279">
        <v>560990</v>
      </c>
      <c r="C279" t="s">
        <v>563</v>
      </c>
      <c r="D279" t="s">
        <v>564</v>
      </c>
      <c r="E279">
        <v>75</v>
      </c>
      <c r="F279">
        <v>7380</v>
      </c>
      <c r="G279">
        <v>43</v>
      </c>
      <c r="H279">
        <v>59</v>
      </c>
      <c r="I279">
        <v>4</v>
      </c>
      <c r="J279" t="s">
        <v>23</v>
      </c>
      <c r="K279">
        <v>0.68</v>
      </c>
      <c r="L279">
        <v>2.5</v>
      </c>
      <c r="M279" t="s">
        <v>20</v>
      </c>
      <c r="N279">
        <f t="shared" si="12"/>
        <v>2</v>
      </c>
      <c r="O279">
        <v>2015</v>
      </c>
      <c r="P279">
        <f t="shared" si="13"/>
        <v>8.9065289175945175</v>
      </c>
      <c r="Q279">
        <f t="shared" si="14"/>
        <v>4.3176214379815452</v>
      </c>
    </row>
    <row r="280" spans="1:17" x14ac:dyDescent="0.3">
      <c r="A280">
        <v>279</v>
      </c>
      <c r="B280">
        <v>783158</v>
      </c>
      <c r="C280" t="s">
        <v>565</v>
      </c>
      <c r="D280" t="s">
        <v>566</v>
      </c>
      <c r="E280">
        <v>40</v>
      </c>
      <c r="F280">
        <v>7375</v>
      </c>
      <c r="G280">
        <v>52</v>
      </c>
      <c r="H280">
        <v>17</v>
      </c>
      <c r="I280">
        <v>1</v>
      </c>
      <c r="J280" t="s">
        <v>13</v>
      </c>
      <c r="K280">
        <v>0.24</v>
      </c>
      <c r="L280">
        <v>1.5</v>
      </c>
      <c r="M280" t="s">
        <v>20</v>
      </c>
      <c r="N280">
        <f t="shared" si="12"/>
        <v>2</v>
      </c>
      <c r="O280">
        <v>2016</v>
      </c>
      <c r="P280">
        <f t="shared" si="13"/>
        <v>8.9058511812080212</v>
      </c>
      <c r="Q280">
        <f t="shared" si="14"/>
        <v>3.6891294228691436</v>
      </c>
    </row>
    <row r="281" spans="1:17" hidden="1" x14ac:dyDescent="0.3">
      <c r="A281">
        <v>280</v>
      </c>
      <c r="B281">
        <v>92760</v>
      </c>
      <c r="C281" t="s">
        <v>567</v>
      </c>
      <c r="D281" t="s">
        <v>568</v>
      </c>
      <c r="E281">
        <v>20</v>
      </c>
      <c r="F281">
        <v>7368</v>
      </c>
      <c r="G281">
        <v>216</v>
      </c>
      <c r="H281">
        <v>52</v>
      </c>
      <c r="I281">
        <v>4</v>
      </c>
      <c r="J281" t="s">
        <v>23</v>
      </c>
      <c r="K281">
        <v>0.61</v>
      </c>
      <c r="L281">
        <v>2</v>
      </c>
      <c r="M281" t="s">
        <v>20</v>
      </c>
      <c r="N281">
        <f t="shared" si="12"/>
        <v>2</v>
      </c>
      <c r="O281">
        <v>2013</v>
      </c>
      <c r="P281">
        <f t="shared" si="13"/>
        <v>8.9049015779351421</v>
      </c>
      <c r="Q281">
        <f t="shared" si="14"/>
        <v>2.996232148595642</v>
      </c>
    </row>
    <row r="282" spans="1:17" hidden="1" x14ac:dyDescent="0.3">
      <c r="A282">
        <v>281</v>
      </c>
      <c r="B282">
        <v>1109736</v>
      </c>
      <c r="C282" t="s">
        <v>569</v>
      </c>
      <c r="D282" t="s">
        <v>570</v>
      </c>
      <c r="E282">
        <v>200</v>
      </c>
      <c r="F282">
        <v>7331</v>
      </c>
      <c r="G282">
        <v>55</v>
      </c>
      <c r="H282">
        <v>18</v>
      </c>
      <c r="I282">
        <v>4</v>
      </c>
      <c r="J282" t="s">
        <v>23</v>
      </c>
      <c r="K282">
        <v>0.12</v>
      </c>
      <c r="L282">
        <v>1.5</v>
      </c>
      <c r="M282" t="s">
        <v>20</v>
      </c>
      <c r="N282">
        <f t="shared" si="12"/>
        <v>2</v>
      </c>
      <c r="O282">
        <v>2017</v>
      </c>
      <c r="P282">
        <f t="shared" si="13"/>
        <v>8.8998672112235866</v>
      </c>
      <c r="Q282">
        <f t="shared" si="14"/>
        <v>5.2983673652980787</v>
      </c>
    </row>
    <row r="283" spans="1:17" x14ac:dyDescent="0.3">
      <c r="A283">
        <v>282</v>
      </c>
      <c r="B283">
        <v>270976</v>
      </c>
      <c r="C283" t="s">
        <v>571</v>
      </c>
      <c r="D283" t="s">
        <v>572</v>
      </c>
      <c r="E283">
        <v>0</v>
      </c>
      <c r="F283">
        <v>7318</v>
      </c>
      <c r="G283">
        <v>205</v>
      </c>
      <c r="H283">
        <v>8</v>
      </c>
      <c r="I283">
        <v>1</v>
      </c>
      <c r="J283" t="s">
        <v>13</v>
      </c>
      <c r="K283">
        <v>0.23</v>
      </c>
      <c r="L283">
        <v>0.58333332999999998</v>
      </c>
      <c r="M283" t="s">
        <v>14</v>
      </c>
      <c r="N283">
        <f t="shared" si="12"/>
        <v>1</v>
      </c>
      <c r="O283">
        <v>2014</v>
      </c>
      <c r="P283">
        <f t="shared" si="13"/>
        <v>8.898092345579153</v>
      </c>
      <c r="Q283">
        <f t="shared" si="14"/>
        <v>-4.6051701859880909</v>
      </c>
    </row>
    <row r="284" spans="1:17" x14ac:dyDescent="0.3">
      <c r="A284">
        <v>283</v>
      </c>
      <c r="B284">
        <v>784544</v>
      </c>
      <c r="C284" t="s">
        <v>573</v>
      </c>
      <c r="D284" t="s">
        <v>574</v>
      </c>
      <c r="E284">
        <v>0</v>
      </c>
      <c r="F284">
        <v>7304</v>
      </c>
      <c r="G284">
        <v>368</v>
      </c>
      <c r="H284">
        <v>28</v>
      </c>
      <c r="I284">
        <v>1</v>
      </c>
      <c r="J284" t="s">
        <v>13</v>
      </c>
      <c r="K284">
        <v>0.64</v>
      </c>
      <c r="L284">
        <v>2</v>
      </c>
      <c r="M284" t="s">
        <v>14</v>
      </c>
      <c r="N284">
        <f t="shared" si="12"/>
        <v>1</v>
      </c>
      <c r="O284">
        <v>2016</v>
      </c>
      <c r="P284">
        <f t="shared" si="13"/>
        <v>8.8961774222748051</v>
      </c>
      <c r="Q284">
        <f t="shared" si="14"/>
        <v>-4.6051701859880909</v>
      </c>
    </row>
    <row r="285" spans="1:17" hidden="1" x14ac:dyDescent="0.3">
      <c r="A285">
        <v>284</v>
      </c>
      <c r="B285">
        <v>718426</v>
      </c>
      <c r="C285" t="s">
        <v>575</v>
      </c>
      <c r="D285" t="s">
        <v>576</v>
      </c>
      <c r="E285">
        <v>100</v>
      </c>
      <c r="F285">
        <v>7213</v>
      </c>
      <c r="G285">
        <v>50</v>
      </c>
      <c r="H285">
        <v>38</v>
      </c>
      <c r="I285">
        <v>4</v>
      </c>
      <c r="J285" t="s">
        <v>23</v>
      </c>
      <c r="K285">
        <v>0.73</v>
      </c>
      <c r="L285">
        <v>3</v>
      </c>
      <c r="M285" t="s">
        <v>20</v>
      </c>
      <c r="N285">
        <f t="shared" si="12"/>
        <v>2</v>
      </c>
      <c r="O285">
        <v>2016</v>
      </c>
      <c r="P285">
        <f t="shared" si="13"/>
        <v>8.883640232503673</v>
      </c>
      <c r="Q285">
        <f t="shared" si="14"/>
        <v>4.6052701809884251</v>
      </c>
    </row>
    <row r="286" spans="1:17" hidden="1" x14ac:dyDescent="0.3">
      <c r="A286">
        <v>285</v>
      </c>
      <c r="B286">
        <v>481696</v>
      </c>
      <c r="C286" t="s">
        <v>577</v>
      </c>
      <c r="D286" t="s">
        <v>578</v>
      </c>
      <c r="E286">
        <v>200</v>
      </c>
      <c r="F286">
        <v>7211</v>
      </c>
      <c r="G286">
        <v>52</v>
      </c>
      <c r="H286">
        <v>491</v>
      </c>
      <c r="I286">
        <v>4</v>
      </c>
      <c r="J286" t="s">
        <v>23</v>
      </c>
      <c r="K286">
        <v>0.28999999999999998</v>
      </c>
      <c r="L286">
        <v>57</v>
      </c>
      <c r="M286" t="s">
        <v>20</v>
      </c>
      <c r="N286">
        <f t="shared" si="12"/>
        <v>2</v>
      </c>
      <c r="O286">
        <v>2016</v>
      </c>
      <c r="P286">
        <f t="shared" si="13"/>
        <v>8.8833629169167594</v>
      </c>
      <c r="Q286">
        <f t="shared" si="14"/>
        <v>5.2983673652980787</v>
      </c>
    </row>
    <row r="287" spans="1:17" hidden="1" x14ac:dyDescent="0.3">
      <c r="A287">
        <v>286</v>
      </c>
      <c r="B287">
        <v>1241518</v>
      </c>
      <c r="C287" t="s">
        <v>579</v>
      </c>
      <c r="D287" t="s">
        <v>580</v>
      </c>
      <c r="E287">
        <v>30</v>
      </c>
      <c r="F287">
        <v>7196</v>
      </c>
      <c r="G287">
        <v>8</v>
      </c>
      <c r="H287">
        <v>38</v>
      </c>
      <c r="I287">
        <v>4</v>
      </c>
      <c r="J287" t="s">
        <v>23</v>
      </c>
      <c r="K287">
        <v>0.47</v>
      </c>
      <c r="L287">
        <v>6.5</v>
      </c>
      <c r="M287" t="s">
        <v>20</v>
      </c>
      <c r="N287">
        <f t="shared" si="12"/>
        <v>2</v>
      </c>
      <c r="O287">
        <v>2017</v>
      </c>
      <c r="P287">
        <f t="shared" si="13"/>
        <v>8.8812805950704234</v>
      </c>
      <c r="Q287">
        <f t="shared" si="14"/>
        <v>3.4015306594522756</v>
      </c>
    </row>
    <row r="288" spans="1:17" hidden="1" x14ac:dyDescent="0.3">
      <c r="A288">
        <v>287</v>
      </c>
      <c r="B288">
        <v>928858</v>
      </c>
      <c r="C288" t="s">
        <v>581</v>
      </c>
      <c r="D288" t="s">
        <v>582</v>
      </c>
      <c r="E288">
        <v>70</v>
      </c>
      <c r="F288">
        <v>7184</v>
      </c>
      <c r="G288">
        <v>22</v>
      </c>
      <c r="H288">
        <v>29</v>
      </c>
      <c r="I288">
        <v>4</v>
      </c>
      <c r="J288" t="s">
        <v>23</v>
      </c>
      <c r="K288">
        <v>0.34</v>
      </c>
      <c r="L288">
        <v>4</v>
      </c>
      <c r="M288" t="s">
        <v>20</v>
      </c>
      <c r="N288">
        <f t="shared" si="12"/>
        <v>2</v>
      </c>
      <c r="O288">
        <v>2016</v>
      </c>
      <c r="P288">
        <f t="shared" si="13"/>
        <v>8.8796116099820352</v>
      </c>
      <c r="Q288">
        <f t="shared" si="14"/>
        <v>4.2486380889891064</v>
      </c>
    </row>
    <row r="289" spans="1:17" hidden="1" x14ac:dyDescent="0.3">
      <c r="A289">
        <v>288</v>
      </c>
      <c r="B289">
        <v>989452</v>
      </c>
      <c r="C289" t="s">
        <v>583</v>
      </c>
      <c r="D289" t="s">
        <v>584</v>
      </c>
      <c r="E289">
        <v>80</v>
      </c>
      <c r="F289">
        <v>7169</v>
      </c>
      <c r="G289">
        <v>277</v>
      </c>
      <c r="H289">
        <v>20</v>
      </c>
      <c r="I289">
        <v>4</v>
      </c>
      <c r="J289" t="s">
        <v>23</v>
      </c>
      <c r="K289">
        <v>0.16</v>
      </c>
      <c r="L289">
        <v>1</v>
      </c>
      <c r="M289" t="s">
        <v>20</v>
      </c>
      <c r="N289">
        <f t="shared" si="12"/>
        <v>2</v>
      </c>
      <c r="O289">
        <v>2016</v>
      </c>
      <c r="P289">
        <f t="shared" si="13"/>
        <v>8.8775214538528715</v>
      </c>
      <c r="Q289">
        <f t="shared" si="14"/>
        <v>4.3821516268620329</v>
      </c>
    </row>
    <row r="290" spans="1:17" x14ac:dyDescent="0.3">
      <c r="A290">
        <v>289</v>
      </c>
      <c r="B290">
        <v>531954</v>
      </c>
      <c r="C290" t="s">
        <v>585</v>
      </c>
      <c r="D290" t="s">
        <v>586</v>
      </c>
      <c r="E290">
        <v>40</v>
      </c>
      <c r="F290">
        <v>7146</v>
      </c>
      <c r="G290">
        <v>629</v>
      </c>
      <c r="H290">
        <v>77</v>
      </c>
      <c r="I290">
        <v>1</v>
      </c>
      <c r="J290" t="s">
        <v>13</v>
      </c>
      <c r="K290">
        <v>0.89</v>
      </c>
      <c r="L290">
        <v>14.5</v>
      </c>
      <c r="M290" t="s">
        <v>20</v>
      </c>
      <c r="N290">
        <f t="shared" si="12"/>
        <v>2</v>
      </c>
      <c r="O290">
        <v>2015</v>
      </c>
      <c r="P290">
        <f t="shared" si="13"/>
        <v>8.8743080385833544</v>
      </c>
      <c r="Q290">
        <f t="shared" si="14"/>
        <v>3.6891294228691436</v>
      </c>
    </row>
    <row r="291" spans="1:17" hidden="1" x14ac:dyDescent="0.3">
      <c r="A291">
        <v>290</v>
      </c>
      <c r="B291">
        <v>716310</v>
      </c>
      <c r="C291" t="s">
        <v>587</v>
      </c>
      <c r="D291" t="s">
        <v>588</v>
      </c>
      <c r="E291">
        <v>0</v>
      </c>
      <c r="F291">
        <v>7142</v>
      </c>
      <c r="G291">
        <v>41</v>
      </c>
      <c r="H291">
        <v>25</v>
      </c>
      <c r="I291">
        <v>4</v>
      </c>
      <c r="J291" t="s">
        <v>23</v>
      </c>
      <c r="K291">
        <v>0.18</v>
      </c>
      <c r="L291">
        <v>4</v>
      </c>
      <c r="M291" t="s">
        <v>14</v>
      </c>
      <c r="N291">
        <f t="shared" si="12"/>
        <v>1</v>
      </c>
      <c r="O291">
        <v>2016</v>
      </c>
      <c r="P291">
        <f t="shared" si="13"/>
        <v>8.8737481281543946</v>
      </c>
      <c r="Q291">
        <f t="shared" si="14"/>
        <v>-4.6051701859880909</v>
      </c>
    </row>
    <row r="292" spans="1:17" hidden="1" x14ac:dyDescent="0.3">
      <c r="A292">
        <v>291</v>
      </c>
      <c r="B292">
        <v>65493</v>
      </c>
      <c r="C292" t="s">
        <v>589</v>
      </c>
      <c r="D292" t="s">
        <v>590</v>
      </c>
      <c r="E292">
        <v>100</v>
      </c>
      <c r="F292">
        <v>7130</v>
      </c>
      <c r="G292">
        <v>30</v>
      </c>
      <c r="H292">
        <v>17</v>
      </c>
      <c r="I292">
        <v>2</v>
      </c>
      <c r="J292" t="s">
        <v>32</v>
      </c>
      <c r="K292">
        <v>0.8</v>
      </c>
      <c r="L292">
        <v>1</v>
      </c>
      <c r="M292" t="s">
        <v>20</v>
      </c>
      <c r="N292">
        <f t="shared" si="12"/>
        <v>2</v>
      </c>
      <c r="O292">
        <v>2013</v>
      </c>
      <c r="P292">
        <f t="shared" si="13"/>
        <v>8.8720665134083418</v>
      </c>
      <c r="Q292">
        <f t="shared" si="14"/>
        <v>4.6052701809884251</v>
      </c>
    </row>
    <row r="293" spans="1:17" hidden="1" x14ac:dyDescent="0.3">
      <c r="A293">
        <v>292</v>
      </c>
      <c r="B293">
        <v>584786</v>
      </c>
      <c r="C293" t="s">
        <v>591</v>
      </c>
      <c r="D293" t="s">
        <v>592</v>
      </c>
      <c r="E293">
        <v>95</v>
      </c>
      <c r="F293">
        <v>7130</v>
      </c>
      <c r="G293">
        <v>39</v>
      </c>
      <c r="H293">
        <v>24</v>
      </c>
      <c r="I293">
        <v>2</v>
      </c>
      <c r="J293" t="s">
        <v>32</v>
      </c>
      <c r="K293">
        <v>0.3</v>
      </c>
      <c r="L293">
        <v>2</v>
      </c>
      <c r="M293" t="s">
        <v>20</v>
      </c>
      <c r="N293">
        <f t="shared" si="12"/>
        <v>2</v>
      </c>
      <c r="O293">
        <v>2015</v>
      </c>
      <c r="P293">
        <f t="shared" si="13"/>
        <v>8.8720665134083418</v>
      </c>
      <c r="Q293">
        <f t="shared" si="14"/>
        <v>4.5539821492186583</v>
      </c>
    </row>
    <row r="294" spans="1:17" hidden="1" x14ac:dyDescent="0.3">
      <c r="A294">
        <v>293</v>
      </c>
      <c r="B294">
        <v>106178</v>
      </c>
      <c r="C294" t="s">
        <v>593</v>
      </c>
      <c r="D294" t="s">
        <v>594</v>
      </c>
      <c r="E294">
        <v>50</v>
      </c>
      <c r="F294">
        <v>7090</v>
      </c>
      <c r="G294">
        <v>52</v>
      </c>
      <c r="H294">
        <v>30</v>
      </c>
      <c r="I294">
        <v>4</v>
      </c>
      <c r="J294" t="s">
        <v>23</v>
      </c>
      <c r="K294">
        <v>0.78</v>
      </c>
      <c r="L294">
        <v>8.5</v>
      </c>
      <c r="M294" t="s">
        <v>20</v>
      </c>
      <c r="N294">
        <f t="shared" si="12"/>
        <v>2</v>
      </c>
      <c r="O294">
        <v>2014</v>
      </c>
      <c r="P294">
        <f t="shared" si="13"/>
        <v>8.8664406195261734</v>
      </c>
      <c r="Q294">
        <f t="shared" si="14"/>
        <v>3.9122229854308124</v>
      </c>
    </row>
    <row r="295" spans="1:17" x14ac:dyDescent="0.3">
      <c r="A295">
        <v>294</v>
      </c>
      <c r="B295">
        <v>1217948</v>
      </c>
      <c r="C295" t="s">
        <v>595</v>
      </c>
      <c r="D295" t="s">
        <v>596</v>
      </c>
      <c r="E295">
        <v>200</v>
      </c>
      <c r="F295">
        <v>7062</v>
      </c>
      <c r="G295">
        <v>72</v>
      </c>
      <c r="H295">
        <v>172</v>
      </c>
      <c r="I295">
        <v>1</v>
      </c>
      <c r="J295" t="s">
        <v>13</v>
      </c>
      <c r="K295">
        <v>0.61</v>
      </c>
      <c r="L295">
        <v>11</v>
      </c>
      <c r="M295" t="s">
        <v>20</v>
      </c>
      <c r="N295">
        <f t="shared" si="12"/>
        <v>2</v>
      </c>
      <c r="O295">
        <v>2017</v>
      </c>
      <c r="P295">
        <f t="shared" si="13"/>
        <v>8.8624835764883318</v>
      </c>
      <c r="Q295">
        <f t="shared" si="14"/>
        <v>5.2983673652980787</v>
      </c>
    </row>
    <row r="296" spans="1:17" x14ac:dyDescent="0.3">
      <c r="A296">
        <v>295</v>
      </c>
      <c r="B296">
        <v>1252630</v>
      </c>
      <c r="C296" t="s">
        <v>597</v>
      </c>
      <c r="D296" t="s">
        <v>598</v>
      </c>
      <c r="E296">
        <v>100</v>
      </c>
      <c r="F296">
        <v>7059</v>
      </c>
      <c r="G296">
        <v>116</v>
      </c>
      <c r="H296">
        <v>58</v>
      </c>
      <c r="I296">
        <v>1</v>
      </c>
      <c r="J296" t="s">
        <v>13</v>
      </c>
      <c r="K296">
        <v>0.75</v>
      </c>
      <c r="L296">
        <v>5</v>
      </c>
      <c r="M296" t="s">
        <v>20</v>
      </c>
      <c r="N296">
        <f t="shared" si="12"/>
        <v>2</v>
      </c>
      <c r="O296">
        <v>2017</v>
      </c>
      <c r="P296">
        <f t="shared" si="13"/>
        <v>8.8620586773954724</v>
      </c>
      <c r="Q296">
        <f t="shared" si="14"/>
        <v>4.6052701809884251</v>
      </c>
    </row>
    <row r="297" spans="1:17" x14ac:dyDescent="0.3">
      <c r="A297">
        <v>296</v>
      </c>
      <c r="B297">
        <v>1009254</v>
      </c>
      <c r="C297" t="s">
        <v>599</v>
      </c>
      <c r="D297" t="s">
        <v>600</v>
      </c>
      <c r="E297">
        <v>165</v>
      </c>
      <c r="F297">
        <v>7057</v>
      </c>
      <c r="G297">
        <v>655</v>
      </c>
      <c r="H297">
        <v>65</v>
      </c>
      <c r="I297">
        <v>1</v>
      </c>
      <c r="J297" t="s">
        <v>13</v>
      </c>
      <c r="K297">
        <v>0.74</v>
      </c>
      <c r="L297">
        <v>18.5</v>
      </c>
      <c r="M297" t="s">
        <v>20</v>
      </c>
      <c r="N297">
        <f t="shared" si="12"/>
        <v>2</v>
      </c>
      <c r="O297">
        <v>2016</v>
      </c>
      <c r="P297">
        <f t="shared" si="13"/>
        <v>8.8617753110008302</v>
      </c>
      <c r="Q297">
        <f t="shared" si="14"/>
        <v>5.1060060781247136</v>
      </c>
    </row>
    <row r="298" spans="1:17" hidden="1" x14ac:dyDescent="0.3">
      <c r="A298">
        <v>297</v>
      </c>
      <c r="B298">
        <v>1041426</v>
      </c>
      <c r="C298" t="s">
        <v>601</v>
      </c>
      <c r="D298" t="s">
        <v>602</v>
      </c>
      <c r="E298">
        <v>0</v>
      </c>
      <c r="F298">
        <v>7055</v>
      </c>
      <c r="G298">
        <v>166</v>
      </c>
      <c r="H298">
        <v>24</v>
      </c>
      <c r="I298">
        <v>4</v>
      </c>
      <c r="J298" t="s">
        <v>23</v>
      </c>
      <c r="K298">
        <v>0.96</v>
      </c>
      <c r="L298">
        <v>2</v>
      </c>
      <c r="M298" t="s">
        <v>14</v>
      </c>
      <c r="N298">
        <f t="shared" si="12"/>
        <v>1</v>
      </c>
      <c r="O298">
        <v>2017</v>
      </c>
      <c r="P298">
        <f t="shared" si="13"/>
        <v>8.8614918642869149</v>
      </c>
      <c r="Q298">
        <f t="shared" si="14"/>
        <v>-4.6051701859880909</v>
      </c>
    </row>
    <row r="299" spans="1:17" hidden="1" x14ac:dyDescent="0.3">
      <c r="A299">
        <v>298</v>
      </c>
      <c r="B299">
        <v>389018</v>
      </c>
      <c r="C299" t="s">
        <v>603</v>
      </c>
      <c r="D299" t="s">
        <v>604</v>
      </c>
      <c r="E299">
        <v>20</v>
      </c>
      <c r="F299">
        <v>7018</v>
      </c>
      <c r="G299">
        <v>28</v>
      </c>
      <c r="H299">
        <v>38</v>
      </c>
      <c r="I299">
        <v>4</v>
      </c>
      <c r="J299" t="s">
        <v>23</v>
      </c>
      <c r="K299">
        <v>0.16</v>
      </c>
      <c r="L299">
        <v>3</v>
      </c>
      <c r="M299" t="s">
        <v>20</v>
      </c>
      <c r="N299">
        <f t="shared" si="12"/>
        <v>2</v>
      </c>
      <c r="O299">
        <v>2015</v>
      </c>
      <c r="P299">
        <f t="shared" si="13"/>
        <v>8.8562335561431595</v>
      </c>
      <c r="Q299">
        <f t="shared" si="14"/>
        <v>2.996232148595642</v>
      </c>
    </row>
    <row r="300" spans="1:17" hidden="1" x14ac:dyDescent="0.3">
      <c r="A300">
        <v>299</v>
      </c>
      <c r="B300">
        <v>462668</v>
      </c>
      <c r="C300" t="s">
        <v>605</v>
      </c>
      <c r="D300" t="s">
        <v>606</v>
      </c>
      <c r="E300">
        <v>20</v>
      </c>
      <c r="F300">
        <v>7017</v>
      </c>
      <c r="G300">
        <v>37</v>
      </c>
      <c r="H300">
        <v>28</v>
      </c>
      <c r="I300">
        <v>2</v>
      </c>
      <c r="J300" t="s">
        <v>32</v>
      </c>
      <c r="K300">
        <v>0.71</v>
      </c>
      <c r="L300">
        <v>3.5</v>
      </c>
      <c r="M300" t="s">
        <v>20</v>
      </c>
      <c r="N300">
        <f t="shared" si="12"/>
        <v>2</v>
      </c>
      <c r="O300">
        <v>2015</v>
      </c>
      <c r="P300">
        <f t="shared" si="13"/>
        <v>8.8560910552522891</v>
      </c>
      <c r="Q300">
        <f t="shared" si="14"/>
        <v>2.996232148595642</v>
      </c>
    </row>
    <row r="301" spans="1:17" hidden="1" x14ac:dyDescent="0.3">
      <c r="A301">
        <v>300</v>
      </c>
      <c r="B301">
        <v>11153</v>
      </c>
      <c r="C301" t="s">
        <v>607</v>
      </c>
      <c r="D301" t="s">
        <v>608</v>
      </c>
      <c r="E301">
        <v>50</v>
      </c>
      <c r="F301">
        <v>7014</v>
      </c>
      <c r="G301">
        <v>95</v>
      </c>
      <c r="H301">
        <v>62</v>
      </c>
      <c r="I301">
        <v>4</v>
      </c>
      <c r="J301" t="s">
        <v>23</v>
      </c>
      <c r="K301">
        <v>0.54</v>
      </c>
      <c r="L301">
        <v>4.5</v>
      </c>
      <c r="M301" t="s">
        <v>20</v>
      </c>
      <c r="N301">
        <f t="shared" si="12"/>
        <v>2</v>
      </c>
      <c r="O301">
        <v>2011</v>
      </c>
      <c r="P301">
        <f t="shared" si="13"/>
        <v>8.8556634307001243</v>
      </c>
      <c r="Q301">
        <f t="shared" si="14"/>
        <v>3.9122229854308124</v>
      </c>
    </row>
    <row r="302" spans="1:17" hidden="1" x14ac:dyDescent="0.3">
      <c r="A302">
        <v>301</v>
      </c>
      <c r="B302">
        <v>1227322</v>
      </c>
      <c r="C302" t="s">
        <v>609</v>
      </c>
      <c r="D302" t="s">
        <v>610</v>
      </c>
      <c r="E302">
        <v>0</v>
      </c>
      <c r="F302">
        <v>6958</v>
      </c>
      <c r="G302">
        <v>132</v>
      </c>
      <c r="H302">
        <v>30</v>
      </c>
      <c r="I302">
        <v>4</v>
      </c>
      <c r="J302" t="s">
        <v>23</v>
      </c>
      <c r="K302">
        <v>0.53</v>
      </c>
      <c r="L302">
        <v>3.5</v>
      </c>
      <c r="M302" t="s">
        <v>14</v>
      </c>
      <c r="N302">
        <f t="shared" si="12"/>
        <v>1</v>
      </c>
      <c r="O302">
        <v>2017</v>
      </c>
      <c r="P302">
        <f t="shared" si="13"/>
        <v>8.8476473557118869</v>
      </c>
      <c r="Q302">
        <f t="shared" si="14"/>
        <v>-4.6051701859880909</v>
      </c>
    </row>
    <row r="303" spans="1:17" x14ac:dyDescent="0.3">
      <c r="A303">
        <v>302</v>
      </c>
      <c r="B303">
        <v>451938</v>
      </c>
      <c r="C303" t="s">
        <v>611</v>
      </c>
      <c r="D303" t="s">
        <v>612</v>
      </c>
      <c r="E303">
        <v>25</v>
      </c>
      <c r="F303">
        <v>6937</v>
      </c>
      <c r="G303">
        <v>22</v>
      </c>
      <c r="H303">
        <v>7</v>
      </c>
      <c r="I303">
        <v>1</v>
      </c>
      <c r="J303" t="s">
        <v>13</v>
      </c>
      <c r="K303">
        <v>0.76</v>
      </c>
      <c r="L303">
        <v>1</v>
      </c>
      <c r="M303" t="s">
        <v>20</v>
      </c>
      <c r="N303">
        <f t="shared" si="12"/>
        <v>2</v>
      </c>
      <c r="O303">
        <v>2015</v>
      </c>
      <c r="P303">
        <f t="shared" si="13"/>
        <v>8.8446246833853017</v>
      </c>
      <c r="Q303">
        <f t="shared" si="14"/>
        <v>3.2192757448895279</v>
      </c>
    </row>
    <row r="304" spans="1:17" x14ac:dyDescent="0.3">
      <c r="A304">
        <v>303</v>
      </c>
      <c r="B304">
        <v>1191946</v>
      </c>
      <c r="C304" t="s">
        <v>613</v>
      </c>
      <c r="D304" t="s">
        <v>614</v>
      </c>
      <c r="E304">
        <v>0</v>
      </c>
      <c r="F304">
        <v>6909</v>
      </c>
      <c r="G304">
        <v>401</v>
      </c>
      <c r="H304">
        <v>14</v>
      </c>
      <c r="I304">
        <v>1</v>
      </c>
      <c r="J304" t="s">
        <v>13</v>
      </c>
      <c r="K304">
        <v>0.78</v>
      </c>
      <c r="L304">
        <v>2</v>
      </c>
      <c r="M304" t="s">
        <v>14</v>
      </c>
      <c r="N304">
        <f t="shared" si="12"/>
        <v>1</v>
      </c>
      <c r="O304">
        <v>2017</v>
      </c>
      <c r="P304">
        <f t="shared" si="13"/>
        <v>8.8405801884887953</v>
      </c>
      <c r="Q304">
        <f t="shared" si="14"/>
        <v>-4.6051701859880909</v>
      </c>
    </row>
    <row r="305" spans="1:17" x14ac:dyDescent="0.3">
      <c r="A305">
        <v>304</v>
      </c>
      <c r="B305">
        <v>511838</v>
      </c>
      <c r="C305" t="s">
        <v>615</v>
      </c>
      <c r="D305" t="s">
        <v>616</v>
      </c>
      <c r="E305">
        <v>100</v>
      </c>
      <c r="F305">
        <v>6890</v>
      </c>
      <c r="G305">
        <v>99</v>
      </c>
      <c r="H305">
        <v>90</v>
      </c>
      <c r="I305">
        <v>1</v>
      </c>
      <c r="J305" t="s">
        <v>13</v>
      </c>
      <c r="K305">
        <v>0.96</v>
      </c>
      <c r="L305">
        <v>10.5</v>
      </c>
      <c r="M305" t="s">
        <v>20</v>
      </c>
      <c r="N305">
        <f t="shared" si="12"/>
        <v>2</v>
      </c>
      <c r="O305">
        <v>2015</v>
      </c>
      <c r="P305">
        <f t="shared" si="13"/>
        <v>8.8378263640077037</v>
      </c>
      <c r="Q305">
        <f t="shared" si="14"/>
        <v>4.6052701809884251</v>
      </c>
    </row>
    <row r="306" spans="1:17" hidden="1" x14ac:dyDescent="0.3">
      <c r="A306">
        <v>305</v>
      </c>
      <c r="B306">
        <v>1024888</v>
      </c>
      <c r="C306" t="s">
        <v>617</v>
      </c>
      <c r="D306" t="s">
        <v>618</v>
      </c>
      <c r="E306">
        <v>0</v>
      </c>
      <c r="F306">
        <v>6856</v>
      </c>
      <c r="G306">
        <v>137</v>
      </c>
      <c r="H306">
        <v>19</v>
      </c>
      <c r="I306">
        <v>4</v>
      </c>
      <c r="J306" t="s">
        <v>23</v>
      </c>
      <c r="K306">
        <v>0.62</v>
      </c>
      <c r="L306">
        <v>2</v>
      </c>
      <c r="M306" t="s">
        <v>14</v>
      </c>
      <c r="N306">
        <f t="shared" si="12"/>
        <v>1</v>
      </c>
      <c r="O306">
        <v>2016</v>
      </c>
      <c r="P306">
        <f t="shared" si="13"/>
        <v>8.8328794602776153</v>
      </c>
      <c r="Q306">
        <f t="shared" si="14"/>
        <v>-4.6051701859880909</v>
      </c>
    </row>
    <row r="307" spans="1:17" hidden="1" x14ac:dyDescent="0.3">
      <c r="A307">
        <v>306</v>
      </c>
      <c r="B307">
        <v>140238</v>
      </c>
      <c r="C307" t="s">
        <v>619</v>
      </c>
      <c r="D307" t="s">
        <v>620</v>
      </c>
      <c r="E307">
        <v>200</v>
      </c>
      <c r="F307">
        <v>6851</v>
      </c>
      <c r="G307">
        <v>276</v>
      </c>
      <c r="H307">
        <v>454</v>
      </c>
      <c r="I307">
        <v>4</v>
      </c>
      <c r="J307" t="s">
        <v>23</v>
      </c>
      <c r="K307">
        <v>0.94</v>
      </c>
      <c r="L307">
        <v>60</v>
      </c>
      <c r="M307" t="s">
        <v>20</v>
      </c>
      <c r="N307">
        <f t="shared" si="12"/>
        <v>2</v>
      </c>
      <c r="O307">
        <v>2014</v>
      </c>
      <c r="P307">
        <f t="shared" si="13"/>
        <v>8.8321499060028987</v>
      </c>
      <c r="Q307">
        <f t="shared" si="14"/>
        <v>5.2983673652980787</v>
      </c>
    </row>
    <row r="308" spans="1:17" x14ac:dyDescent="0.3">
      <c r="A308">
        <v>307</v>
      </c>
      <c r="B308">
        <v>125806</v>
      </c>
      <c r="C308" t="s">
        <v>621</v>
      </c>
      <c r="D308" t="s">
        <v>622</v>
      </c>
      <c r="E308">
        <v>20</v>
      </c>
      <c r="F308">
        <v>6760</v>
      </c>
      <c r="G308">
        <v>84</v>
      </c>
      <c r="H308">
        <v>27</v>
      </c>
      <c r="I308">
        <v>1</v>
      </c>
      <c r="J308" t="s">
        <v>13</v>
      </c>
      <c r="K308">
        <v>0.47</v>
      </c>
      <c r="L308">
        <v>3</v>
      </c>
      <c r="M308" t="s">
        <v>20</v>
      </c>
      <c r="N308">
        <f t="shared" si="12"/>
        <v>2</v>
      </c>
      <c r="O308">
        <v>2013</v>
      </c>
      <c r="P308">
        <f t="shared" si="13"/>
        <v>8.8187781690370102</v>
      </c>
      <c r="Q308">
        <f t="shared" si="14"/>
        <v>2.996232148595642</v>
      </c>
    </row>
    <row r="309" spans="1:17" hidden="1" x14ac:dyDescent="0.3">
      <c r="A309">
        <v>308</v>
      </c>
      <c r="B309">
        <v>288466</v>
      </c>
      <c r="C309" t="s">
        <v>623</v>
      </c>
      <c r="D309" t="s">
        <v>624</v>
      </c>
      <c r="E309">
        <v>200</v>
      </c>
      <c r="F309">
        <v>6751</v>
      </c>
      <c r="G309">
        <v>44</v>
      </c>
      <c r="H309">
        <v>353</v>
      </c>
      <c r="I309">
        <v>2</v>
      </c>
      <c r="J309" t="s">
        <v>32</v>
      </c>
      <c r="K309">
        <v>0.17</v>
      </c>
      <c r="L309">
        <v>48.5</v>
      </c>
      <c r="M309" t="s">
        <v>20</v>
      </c>
      <c r="N309">
        <f t="shared" si="12"/>
        <v>2</v>
      </c>
      <c r="O309">
        <v>2014</v>
      </c>
      <c r="P309">
        <f t="shared" si="13"/>
        <v>8.8174459210418696</v>
      </c>
      <c r="Q309">
        <f t="shared" si="14"/>
        <v>5.2983673652980787</v>
      </c>
    </row>
    <row r="310" spans="1:17" x14ac:dyDescent="0.3">
      <c r="A310">
        <v>309</v>
      </c>
      <c r="B310">
        <v>730542</v>
      </c>
      <c r="C310" t="s">
        <v>625</v>
      </c>
      <c r="D310" t="s">
        <v>626</v>
      </c>
      <c r="E310">
        <v>0</v>
      </c>
      <c r="F310">
        <v>6742</v>
      </c>
      <c r="G310">
        <v>1036</v>
      </c>
      <c r="H310">
        <v>6</v>
      </c>
      <c r="I310">
        <v>1</v>
      </c>
      <c r="J310" t="s">
        <v>13</v>
      </c>
      <c r="K310">
        <v>0.63</v>
      </c>
      <c r="L310">
        <v>0.68333332999999996</v>
      </c>
      <c r="M310" t="s">
        <v>14</v>
      </c>
      <c r="N310">
        <f t="shared" si="12"/>
        <v>1</v>
      </c>
      <c r="O310">
        <v>2016</v>
      </c>
      <c r="P310">
        <f t="shared" si="13"/>
        <v>8.8161118957940054</v>
      </c>
      <c r="Q310">
        <f t="shared" si="14"/>
        <v>-4.6051701859880909</v>
      </c>
    </row>
    <row r="311" spans="1:17" hidden="1" x14ac:dyDescent="0.3">
      <c r="A311">
        <v>310</v>
      </c>
      <c r="B311">
        <v>1105778</v>
      </c>
      <c r="C311" t="s">
        <v>627</v>
      </c>
      <c r="D311" t="s">
        <v>628</v>
      </c>
      <c r="E311">
        <v>40</v>
      </c>
      <c r="F311">
        <v>6648</v>
      </c>
      <c r="G311">
        <v>16</v>
      </c>
      <c r="H311">
        <v>22</v>
      </c>
      <c r="I311">
        <v>4</v>
      </c>
      <c r="J311" t="s">
        <v>23</v>
      </c>
      <c r="K311">
        <v>0.15</v>
      </c>
      <c r="L311">
        <v>1.5</v>
      </c>
      <c r="M311" t="s">
        <v>20</v>
      </c>
      <c r="N311">
        <f t="shared" si="12"/>
        <v>2</v>
      </c>
      <c r="O311">
        <v>2017</v>
      </c>
      <c r="P311">
        <f t="shared" si="13"/>
        <v>8.8020713365352847</v>
      </c>
      <c r="Q311">
        <f t="shared" si="14"/>
        <v>3.6891294228691436</v>
      </c>
    </row>
    <row r="312" spans="1:17" hidden="1" x14ac:dyDescent="0.3">
      <c r="A312">
        <v>311</v>
      </c>
      <c r="B312">
        <v>812588</v>
      </c>
      <c r="C312" t="s">
        <v>629</v>
      </c>
      <c r="D312" t="s">
        <v>630</v>
      </c>
      <c r="E312">
        <v>195</v>
      </c>
      <c r="F312">
        <v>6636</v>
      </c>
      <c r="G312">
        <v>302</v>
      </c>
      <c r="H312">
        <v>50</v>
      </c>
      <c r="I312">
        <v>4</v>
      </c>
      <c r="J312" t="s">
        <v>23</v>
      </c>
      <c r="K312">
        <v>0.66</v>
      </c>
      <c r="L312">
        <v>6</v>
      </c>
      <c r="M312" t="s">
        <v>20</v>
      </c>
      <c r="N312">
        <f t="shared" si="12"/>
        <v>2</v>
      </c>
      <c r="O312">
        <v>2016</v>
      </c>
      <c r="P312">
        <f t="shared" si="13"/>
        <v>8.8002646513103358</v>
      </c>
      <c r="Q312">
        <f t="shared" si="14"/>
        <v>5.273050839300149</v>
      </c>
    </row>
    <row r="313" spans="1:17" x14ac:dyDescent="0.3">
      <c r="A313">
        <v>312</v>
      </c>
      <c r="B313">
        <v>65492</v>
      </c>
      <c r="C313" t="s">
        <v>631</v>
      </c>
      <c r="D313" t="s">
        <v>632</v>
      </c>
      <c r="E313">
        <v>20</v>
      </c>
      <c r="F313">
        <v>6628</v>
      </c>
      <c r="G313">
        <v>53</v>
      </c>
      <c r="H313">
        <v>19</v>
      </c>
      <c r="I313">
        <v>1</v>
      </c>
      <c r="J313" t="s">
        <v>13</v>
      </c>
      <c r="K313">
        <v>0.82</v>
      </c>
      <c r="L313">
        <v>1</v>
      </c>
      <c r="M313" t="s">
        <v>20</v>
      </c>
      <c r="N313">
        <f t="shared" si="12"/>
        <v>2</v>
      </c>
      <c r="O313">
        <v>2013</v>
      </c>
      <c r="P313">
        <f t="shared" si="13"/>
        <v>8.7990583785464533</v>
      </c>
      <c r="Q313">
        <f t="shared" si="14"/>
        <v>2.996232148595642</v>
      </c>
    </row>
    <row r="314" spans="1:17" x14ac:dyDescent="0.3">
      <c r="A314">
        <v>313</v>
      </c>
      <c r="B314">
        <v>670034</v>
      </c>
      <c r="C314" t="s">
        <v>633</v>
      </c>
      <c r="D314" t="s">
        <v>634</v>
      </c>
      <c r="E314">
        <v>200</v>
      </c>
      <c r="F314">
        <v>6601</v>
      </c>
      <c r="G314">
        <v>1304</v>
      </c>
      <c r="H314">
        <v>26</v>
      </c>
      <c r="I314">
        <v>1</v>
      </c>
      <c r="J314" t="s">
        <v>13</v>
      </c>
      <c r="K314">
        <v>0.15</v>
      </c>
      <c r="L314">
        <v>3.5</v>
      </c>
      <c r="M314" t="s">
        <v>20</v>
      </c>
      <c r="N314">
        <f t="shared" si="12"/>
        <v>2</v>
      </c>
      <c r="O314">
        <v>2015</v>
      </c>
      <c r="P314">
        <f t="shared" si="13"/>
        <v>8.7949764316887702</v>
      </c>
      <c r="Q314">
        <f t="shared" si="14"/>
        <v>5.2983673652980787</v>
      </c>
    </row>
    <row r="315" spans="1:17" x14ac:dyDescent="0.3">
      <c r="A315">
        <v>314</v>
      </c>
      <c r="B315">
        <v>242574</v>
      </c>
      <c r="C315" t="s">
        <v>635</v>
      </c>
      <c r="D315" t="s">
        <v>636</v>
      </c>
      <c r="E315">
        <v>20</v>
      </c>
      <c r="F315">
        <v>6588</v>
      </c>
      <c r="G315">
        <v>721</v>
      </c>
      <c r="H315">
        <v>36</v>
      </c>
      <c r="I315">
        <v>1</v>
      </c>
      <c r="J315" t="s">
        <v>13</v>
      </c>
      <c r="K315">
        <v>0.43</v>
      </c>
      <c r="L315">
        <v>2</v>
      </c>
      <c r="M315" t="s">
        <v>20</v>
      </c>
      <c r="N315">
        <f t="shared" si="12"/>
        <v>2</v>
      </c>
      <c r="O315">
        <v>2014</v>
      </c>
      <c r="P315">
        <f t="shared" si="13"/>
        <v>8.7930050912975304</v>
      </c>
      <c r="Q315">
        <f t="shared" si="14"/>
        <v>2.996232148595642</v>
      </c>
    </row>
    <row r="316" spans="1:17" hidden="1" x14ac:dyDescent="0.3">
      <c r="A316">
        <v>315</v>
      </c>
      <c r="B316">
        <v>1027812</v>
      </c>
      <c r="C316" t="s">
        <v>637</v>
      </c>
      <c r="D316" t="s">
        <v>638</v>
      </c>
      <c r="E316">
        <v>20</v>
      </c>
      <c r="F316">
        <v>6548</v>
      </c>
      <c r="G316">
        <v>44</v>
      </c>
      <c r="H316">
        <v>38</v>
      </c>
      <c r="I316">
        <v>4</v>
      </c>
      <c r="J316" t="s">
        <v>23</v>
      </c>
      <c r="K316">
        <v>0.79</v>
      </c>
      <c r="L316">
        <v>4</v>
      </c>
      <c r="M316" t="s">
        <v>20</v>
      </c>
      <c r="N316">
        <f t="shared" si="12"/>
        <v>2</v>
      </c>
      <c r="O316">
        <v>2016</v>
      </c>
      <c r="P316">
        <f t="shared" si="13"/>
        <v>8.7869149384910248</v>
      </c>
      <c r="Q316">
        <f t="shared" si="14"/>
        <v>2.996232148595642</v>
      </c>
    </row>
    <row r="317" spans="1:17" hidden="1" x14ac:dyDescent="0.3">
      <c r="A317">
        <v>316</v>
      </c>
      <c r="B317">
        <v>832862</v>
      </c>
      <c r="C317" t="s">
        <v>639</v>
      </c>
      <c r="D317" t="s">
        <v>640</v>
      </c>
      <c r="E317">
        <v>140</v>
      </c>
      <c r="F317">
        <v>6527</v>
      </c>
      <c r="G317">
        <v>1384</v>
      </c>
      <c r="H317">
        <v>111</v>
      </c>
      <c r="I317">
        <v>4</v>
      </c>
      <c r="J317" t="s">
        <v>23</v>
      </c>
      <c r="K317">
        <v>0.24</v>
      </c>
      <c r="L317">
        <v>9</v>
      </c>
      <c r="M317" t="s">
        <v>20</v>
      </c>
      <c r="N317">
        <f t="shared" si="12"/>
        <v>2</v>
      </c>
      <c r="O317">
        <v>2016</v>
      </c>
      <c r="P317">
        <f t="shared" si="13"/>
        <v>8.7837026986352171</v>
      </c>
      <c r="Q317">
        <f t="shared" si="14"/>
        <v>4.941713848629834</v>
      </c>
    </row>
    <row r="318" spans="1:17" hidden="1" x14ac:dyDescent="0.3">
      <c r="A318">
        <v>317</v>
      </c>
      <c r="B318">
        <v>565282</v>
      </c>
      <c r="C318" t="s">
        <v>641</v>
      </c>
      <c r="D318" t="s">
        <v>642</v>
      </c>
      <c r="E318">
        <v>195</v>
      </c>
      <c r="F318">
        <v>6510</v>
      </c>
      <c r="G318">
        <v>45</v>
      </c>
      <c r="H318">
        <v>22</v>
      </c>
      <c r="I318">
        <v>4</v>
      </c>
      <c r="J318" t="s">
        <v>23</v>
      </c>
      <c r="K318">
        <v>0.27</v>
      </c>
      <c r="L318">
        <v>2</v>
      </c>
      <c r="M318" t="s">
        <v>20</v>
      </c>
      <c r="N318">
        <f t="shared" si="12"/>
        <v>2</v>
      </c>
      <c r="O318">
        <v>2015</v>
      </c>
      <c r="P318">
        <f t="shared" si="13"/>
        <v>8.7810947352026147</v>
      </c>
      <c r="Q318">
        <f t="shared" si="14"/>
        <v>5.273050839300149</v>
      </c>
    </row>
    <row r="319" spans="1:17" x14ac:dyDescent="0.3">
      <c r="A319">
        <v>318</v>
      </c>
      <c r="B319">
        <v>611308</v>
      </c>
      <c r="C319" t="s">
        <v>643</v>
      </c>
      <c r="D319" t="s">
        <v>644</v>
      </c>
      <c r="E319">
        <v>200</v>
      </c>
      <c r="F319">
        <v>6508</v>
      </c>
      <c r="G319">
        <v>137</v>
      </c>
      <c r="H319">
        <v>90</v>
      </c>
      <c r="I319">
        <v>1</v>
      </c>
      <c r="J319" t="s">
        <v>13</v>
      </c>
      <c r="K319">
        <v>0.87</v>
      </c>
      <c r="L319">
        <v>6.5</v>
      </c>
      <c r="M319" t="s">
        <v>20</v>
      </c>
      <c r="N319">
        <f t="shared" si="12"/>
        <v>2</v>
      </c>
      <c r="O319">
        <v>2015</v>
      </c>
      <c r="P319">
        <f t="shared" si="13"/>
        <v>8.7807874683389286</v>
      </c>
      <c r="Q319">
        <f t="shared" si="14"/>
        <v>5.2983673652980787</v>
      </c>
    </row>
    <row r="320" spans="1:17" hidden="1" x14ac:dyDescent="0.3">
      <c r="A320">
        <v>319</v>
      </c>
      <c r="B320">
        <v>473548</v>
      </c>
      <c r="C320" t="s">
        <v>645</v>
      </c>
      <c r="D320" t="s">
        <v>646</v>
      </c>
      <c r="E320">
        <v>200</v>
      </c>
      <c r="F320">
        <v>6497</v>
      </c>
      <c r="G320">
        <v>901</v>
      </c>
      <c r="H320">
        <v>221</v>
      </c>
      <c r="I320">
        <v>2</v>
      </c>
      <c r="J320" t="s">
        <v>32</v>
      </c>
      <c r="K320">
        <v>0.11</v>
      </c>
      <c r="L320">
        <v>18</v>
      </c>
      <c r="M320" t="s">
        <v>20</v>
      </c>
      <c r="N320">
        <f t="shared" si="12"/>
        <v>2</v>
      </c>
      <c r="O320">
        <v>2015</v>
      </c>
      <c r="P320">
        <f t="shared" si="13"/>
        <v>8.7790958108805306</v>
      </c>
      <c r="Q320">
        <f t="shared" si="14"/>
        <v>5.2983673652980787</v>
      </c>
    </row>
    <row r="321" spans="1:17" x14ac:dyDescent="0.3">
      <c r="A321">
        <v>320</v>
      </c>
      <c r="B321">
        <v>552598</v>
      </c>
      <c r="C321" t="s">
        <v>647</v>
      </c>
      <c r="D321" t="s">
        <v>648</v>
      </c>
      <c r="E321">
        <v>0</v>
      </c>
      <c r="F321">
        <v>6474</v>
      </c>
      <c r="G321">
        <v>86</v>
      </c>
      <c r="H321">
        <v>15</v>
      </c>
      <c r="I321">
        <v>1</v>
      </c>
      <c r="J321" t="s">
        <v>13</v>
      </c>
      <c r="K321">
        <v>0.05</v>
      </c>
      <c r="L321">
        <v>1</v>
      </c>
      <c r="M321" t="s">
        <v>14</v>
      </c>
      <c r="N321">
        <f t="shared" si="12"/>
        <v>1</v>
      </c>
      <c r="O321">
        <v>2015</v>
      </c>
      <c r="P321">
        <f t="shared" si="13"/>
        <v>8.7755494344861891</v>
      </c>
      <c r="Q321">
        <f t="shared" si="14"/>
        <v>-4.6051701859880909</v>
      </c>
    </row>
    <row r="322" spans="1:17" hidden="1" x14ac:dyDescent="0.3">
      <c r="A322">
        <v>321</v>
      </c>
      <c r="B322">
        <v>1161118</v>
      </c>
      <c r="C322" t="s">
        <v>649</v>
      </c>
      <c r="D322" t="s">
        <v>650</v>
      </c>
      <c r="E322">
        <v>0</v>
      </c>
      <c r="F322">
        <v>6437</v>
      </c>
      <c r="G322">
        <v>313</v>
      </c>
      <c r="H322">
        <v>22</v>
      </c>
      <c r="I322">
        <v>4</v>
      </c>
      <c r="J322" t="s">
        <v>23</v>
      </c>
      <c r="K322">
        <v>0.34</v>
      </c>
      <c r="L322">
        <v>1.5</v>
      </c>
      <c r="M322" t="s">
        <v>14</v>
      </c>
      <c r="N322">
        <f t="shared" ref="N322:N385" si="15">IF(M322="Free",1,IF(M322="Paid",2,0))</f>
        <v>1</v>
      </c>
      <c r="O322">
        <v>2017</v>
      </c>
      <c r="P322">
        <f t="shared" ref="P322:P385" si="16">LN(F322)</f>
        <v>8.7698178720526165</v>
      </c>
      <c r="Q322">
        <f t="shared" ref="Q322:Q385" si="17">LN(E322+0.01)</f>
        <v>-4.6051701859880909</v>
      </c>
    </row>
    <row r="323" spans="1:17" hidden="1" x14ac:dyDescent="0.3">
      <c r="A323">
        <v>322</v>
      </c>
      <c r="B323">
        <v>877124</v>
      </c>
      <c r="C323" t="s">
        <v>651</v>
      </c>
      <c r="D323" t="s">
        <v>652</v>
      </c>
      <c r="E323">
        <v>200</v>
      </c>
      <c r="F323">
        <v>6420</v>
      </c>
      <c r="G323">
        <v>134</v>
      </c>
      <c r="H323">
        <v>188</v>
      </c>
      <c r="I323">
        <v>4</v>
      </c>
      <c r="J323" t="s">
        <v>23</v>
      </c>
      <c r="K323">
        <v>0.75</v>
      </c>
      <c r="L323">
        <v>22.5</v>
      </c>
      <c r="M323" t="s">
        <v>20</v>
      </c>
      <c r="N323">
        <f t="shared" si="15"/>
        <v>2</v>
      </c>
      <c r="O323">
        <v>2016</v>
      </c>
      <c r="P323">
        <f t="shared" si="16"/>
        <v>8.7671733966840062</v>
      </c>
      <c r="Q323">
        <f t="shared" si="17"/>
        <v>5.2983673652980787</v>
      </c>
    </row>
    <row r="324" spans="1:17" hidden="1" x14ac:dyDescent="0.3">
      <c r="A324">
        <v>323</v>
      </c>
      <c r="B324">
        <v>389240</v>
      </c>
      <c r="C324" t="s">
        <v>653</v>
      </c>
      <c r="D324" t="s">
        <v>654</v>
      </c>
      <c r="E324">
        <v>30</v>
      </c>
      <c r="F324">
        <v>6413</v>
      </c>
      <c r="G324">
        <v>107</v>
      </c>
      <c r="H324">
        <v>123</v>
      </c>
      <c r="I324">
        <v>4</v>
      </c>
      <c r="J324" t="s">
        <v>23</v>
      </c>
      <c r="K324">
        <v>0.31</v>
      </c>
      <c r="L324">
        <v>9</v>
      </c>
      <c r="M324" t="s">
        <v>20</v>
      </c>
      <c r="N324">
        <f t="shared" si="15"/>
        <v>2</v>
      </c>
      <c r="O324">
        <v>2015</v>
      </c>
      <c r="P324">
        <f t="shared" si="16"/>
        <v>8.7660824591488637</v>
      </c>
      <c r="Q324">
        <f t="shared" si="17"/>
        <v>3.4015306594522756</v>
      </c>
    </row>
    <row r="325" spans="1:17" x14ac:dyDescent="0.3">
      <c r="A325">
        <v>324</v>
      </c>
      <c r="B325">
        <v>1109926</v>
      </c>
      <c r="C325" t="s">
        <v>655</v>
      </c>
      <c r="D325" t="s">
        <v>656</v>
      </c>
      <c r="E325">
        <v>150</v>
      </c>
      <c r="F325">
        <v>6412</v>
      </c>
      <c r="G325">
        <v>987</v>
      </c>
      <c r="H325">
        <v>114</v>
      </c>
      <c r="I325">
        <v>1</v>
      </c>
      <c r="J325" t="s">
        <v>13</v>
      </c>
      <c r="K325">
        <v>0.77</v>
      </c>
      <c r="L325">
        <v>13</v>
      </c>
      <c r="M325" t="s">
        <v>20</v>
      </c>
      <c r="N325">
        <f t="shared" si="15"/>
        <v>2</v>
      </c>
      <c r="O325">
        <v>2017</v>
      </c>
      <c r="P325">
        <f t="shared" si="16"/>
        <v>8.7659265137294433</v>
      </c>
      <c r="Q325">
        <f t="shared" si="17"/>
        <v>5.0107019585407988</v>
      </c>
    </row>
    <row r="326" spans="1:17" x14ac:dyDescent="0.3">
      <c r="A326">
        <v>325</v>
      </c>
      <c r="B326">
        <v>883706</v>
      </c>
      <c r="C326" t="s">
        <v>657</v>
      </c>
      <c r="D326" t="s">
        <v>658</v>
      </c>
      <c r="E326">
        <v>0</v>
      </c>
      <c r="F326">
        <v>6402</v>
      </c>
      <c r="G326">
        <v>104</v>
      </c>
      <c r="H326">
        <v>23</v>
      </c>
      <c r="I326">
        <v>1</v>
      </c>
      <c r="J326" t="s">
        <v>13</v>
      </c>
      <c r="K326">
        <v>0.5</v>
      </c>
      <c r="L326">
        <v>1.5</v>
      </c>
      <c r="M326" t="s">
        <v>14</v>
      </c>
      <c r="N326">
        <f t="shared" si="15"/>
        <v>1</v>
      </c>
      <c r="O326">
        <v>2016</v>
      </c>
      <c r="P326">
        <f t="shared" si="16"/>
        <v>8.764365720529808</v>
      </c>
      <c r="Q326">
        <f t="shared" si="17"/>
        <v>-4.6051701859880909</v>
      </c>
    </row>
    <row r="327" spans="1:17" hidden="1" x14ac:dyDescent="0.3">
      <c r="A327">
        <v>326</v>
      </c>
      <c r="B327">
        <v>366720</v>
      </c>
      <c r="C327" t="s">
        <v>659</v>
      </c>
      <c r="D327" t="s">
        <v>660</v>
      </c>
      <c r="E327">
        <v>0</v>
      </c>
      <c r="F327">
        <v>6315</v>
      </c>
      <c r="G327">
        <v>53</v>
      </c>
      <c r="H327">
        <v>16</v>
      </c>
      <c r="I327">
        <v>4</v>
      </c>
      <c r="J327" t="s">
        <v>23</v>
      </c>
      <c r="K327">
        <v>0.06</v>
      </c>
      <c r="L327">
        <v>1.5</v>
      </c>
      <c r="M327" t="s">
        <v>14</v>
      </c>
      <c r="N327">
        <f t="shared" si="15"/>
        <v>1</v>
      </c>
      <c r="O327">
        <v>2014</v>
      </c>
      <c r="P327">
        <f t="shared" si="16"/>
        <v>8.7506830347845916</v>
      </c>
      <c r="Q327">
        <f t="shared" si="17"/>
        <v>-4.6051701859880909</v>
      </c>
    </row>
    <row r="328" spans="1:17" x14ac:dyDescent="0.3">
      <c r="A328">
        <v>327</v>
      </c>
      <c r="B328">
        <v>651780</v>
      </c>
      <c r="C328" t="s">
        <v>661</v>
      </c>
      <c r="D328" t="s">
        <v>662</v>
      </c>
      <c r="E328">
        <v>65</v>
      </c>
      <c r="F328">
        <v>6293</v>
      </c>
      <c r="G328">
        <v>165</v>
      </c>
      <c r="H328">
        <v>8</v>
      </c>
      <c r="I328">
        <v>1</v>
      </c>
      <c r="J328" t="s">
        <v>13</v>
      </c>
      <c r="K328">
        <v>0.6</v>
      </c>
      <c r="L328">
        <v>1</v>
      </c>
      <c r="M328" t="s">
        <v>20</v>
      </c>
      <c r="N328">
        <f t="shared" si="15"/>
        <v>2</v>
      </c>
      <c r="O328">
        <v>2015</v>
      </c>
      <c r="P328">
        <f t="shared" si="16"/>
        <v>8.7471931835269334</v>
      </c>
      <c r="Q328">
        <f t="shared" si="17"/>
        <v>4.1745411042163774</v>
      </c>
    </row>
    <row r="329" spans="1:17" hidden="1" x14ac:dyDescent="0.3">
      <c r="A329">
        <v>328</v>
      </c>
      <c r="B329">
        <v>73080</v>
      </c>
      <c r="C329" t="s">
        <v>663</v>
      </c>
      <c r="D329" t="s">
        <v>664</v>
      </c>
      <c r="E329">
        <v>120</v>
      </c>
      <c r="F329">
        <v>6162</v>
      </c>
      <c r="G329">
        <v>324</v>
      </c>
      <c r="H329">
        <v>43</v>
      </c>
      <c r="I329">
        <v>3</v>
      </c>
      <c r="J329" t="s">
        <v>17</v>
      </c>
      <c r="K329">
        <v>0</v>
      </c>
      <c r="L329">
        <v>4</v>
      </c>
      <c r="M329" t="s">
        <v>20</v>
      </c>
      <c r="N329">
        <f t="shared" si="15"/>
        <v>2</v>
      </c>
      <c r="O329">
        <v>2013</v>
      </c>
      <c r="P329">
        <f t="shared" si="16"/>
        <v>8.7261566791566132</v>
      </c>
      <c r="Q329">
        <f t="shared" si="17"/>
        <v>4.7875750726433504</v>
      </c>
    </row>
    <row r="330" spans="1:17" hidden="1" x14ac:dyDescent="0.3">
      <c r="A330">
        <v>329</v>
      </c>
      <c r="B330">
        <v>477702</v>
      </c>
      <c r="C330" t="s">
        <v>665</v>
      </c>
      <c r="D330" t="s">
        <v>666</v>
      </c>
      <c r="E330">
        <v>150</v>
      </c>
      <c r="F330">
        <v>6153</v>
      </c>
      <c r="G330">
        <v>125</v>
      </c>
      <c r="H330">
        <v>84</v>
      </c>
      <c r="I330">
        <v>4</v>
      </c>
      <c r="J330" t="s">
        <v>23</v>
      </c>
      <c r="K330">
        <v>0</v>
      </c>
      <c r="L330">
        <v>5</v>
      </c>
      <c r="M330" t="s">
        <v>20</v>
      </c>
      <c r="N330">
        <f t="shared" si="15"/>
        <v>2</v>
      </c>
      <c r="O330">
        <v>2015</v>
      </c>
      <c r="P330">
        <f t="shared" si="16"/>
        <v>8.7246950467404911</v>
      </c>
      <c r="Q330">
        <f t="shared" si="17"/>
        <v>5.0107019585407988</v>
      </c>
    </row>
    <row r="331" spans="1:17" x14ac:dyDescent="0.3">
      <c r="A331">
        <v>330</v>
      </c>
      <c r="B331">
        <v>823996</v>
      </c>
      <c r="C331" t="s">
        <v>667</v>
      </c>
      <c r="D331" t="s">
        <v>668</v>
      </c>
      <c r="E331">
        <v>50</v>
      </c>
      <c r="F331">
        <v>6134</v>
      </c>
      <c r="G331">
        <v>93</v>
      </c>
      <c r="H331">
        <v>15</v>
      </c>
      <c r="I331">
        <v>1</v>
      </c>
      <c r="J331" t="s">
        <v>13</v>
      </c>
      <c r="K331">
        <v>0.98</v>
      </c>
      <c r="L331">
        <v>2</v>
      </c>
      <c r="M331" t="s">
        <v>20</v>
      </c>
      <c r="N331">
        <f t="shared" si="15"/>
        <v>2</v>
      </c>
      <c r="O331">
        <v>2016</v>
      </c>
      <c r="P331">
        <f t="shared" si="16"/>
        <v>8.7216023446741975</v>
      </c>
      <c r="Q331">
        <f t="shared" si="17"/>
        <v>3.9122229854308124</v>
      </c>
    </row>
    <row r="332" spans="1:17" hidden="1" x14ac:dyDescent="0.3">
      <c r="A332">
        <v>331</v>
      </c>
      <c r="B332">
        <v>959586</v>
      </c>
      <c r="C332" t="s">
        <v>669</v>
      </c>
      <c r="D332" t="s">
        <v>670</v>
      </c>
      <c r="E332">
        <v>195</v>
      </c>
      <c r="F332">
        <v>6134</v>
      </c>
      <c r="G332">
        <v>160</v>
      </c>
      <c r="H332">
        <v>50</v>
      </c>
      <c r="I332">
        <v>4</v>
      </c>
      <c r="J332" t="s">
        <v>23</v>
      </c>
      <c r="K332">
        <v>0.14000000000000001</v>
      </c>
      <c r="L332">
        <v>6.5</v>
      </c>
      <c r="M332" t="s">
        <v>20</v>
      </c>
      <c r="N332">
        <f t="shared" si="15"/>
        <v>2</v>
      </c>
      <c r="O332">
        <v>2016</v>
      </c>
      <c r="P332">
        <f t="shared" si="16"/>
        <v>8.7216023446741975</v>
      </c>
      <c r="Q332">
        <f t="shared" si="17"/>
        <v>5.273050839300149</v>
      </c>
    </row>
    <row r="333" spans="1:17" hidden="1" x14ac:dyDescent="0.3">
      <c r="A333">
        <v>332</v>
      </c>
      <c r="B333">
        <v>326244</v>
      </c>
      <c r="C333" t="s">
        <v>671</v>
      </c>
      <c r="D333" t="s">
        <v>672</v>
      </c>
      <c r="E333">
        <v>45</v>
      </c>
      <c r="F333">
        <v>6117</v>
      </c>
      <c r="G333">
        <v>188</v>
      </c>
      <c r="H333">
        <v>28</v>
      </c>
      <c r="I333">
        <v>4</v>
      </c>
      <c r="J333" t="s">
        <v>23</v>
      </c>
      <c r="K333">
        <v>0.76</v>
      </c>
      <c r="L333">
        <v>2.5</v>
      </c>
      <c r="M333" t="s">
        <v>20</v>
      </c>
      <c r="N333">
        <f t="shared" si="15"/>
        <v>2</v>
      </c>
      <c r="O333">
        <v>2014</v>
      </c>
      <c r="P333">
        <f t="shared" si="16"/>
        <v>8.7188270592425656</v>
      </c>
      <c r="Q333">
        <f t="shared" si="17"/>
        <v>3.8068846873048412</v>
      </c>
    </row>
    <row r="334" spans="1:17" x14ac:dyDescent="0.3">
      <c r="A334">
        <v>333</v>
      </c>
      <c r="B334">
        <v>1009452</v>
      </c>
      <c r="C334" t="s">
        <v>673</v>
      </c>
      <c r="D334" t="s">
        <v>674</v>
      </c>
      <c r="E334">
        <v>190</v>
      </c>
      <c r="F334">
        <v>6082</v>
      </c>
      <c r="G334">
        <v>848</v>
      </c>
      <c r="H334">
        <v>135</v>
      </c>
      <c r="I334">
        <v>1</v>
      </c>
      <c r="J334" t="s">
        <v>13</v>
      </c>
      <c r="K334">
        <v>0.3</v>
      </c>
      <c r="L334">
        <v>9.5</v>
      </c>
      <c r="M334" t="s">
        <v>20</v>
      </c>
      <c r="N334">
        <f t="shared" si="15"/>
        <v>2</v>
      </c>
      <c r="O334">
        <v>2016</v>
      </c>
      <c r="P334">
        <f t="shared" si="16"/>
        <v>8.7130888682373104</v>
      </c>
      <c r="Q334">
        <f t="shared" si="17"/>
        <v>5.2470767023544402</v>
      </c>
    </row>
    <row r="335" spans="1:17" hidden="1" x14ac:dyDescent="0.3">
      <c r="A335">
        <v>334</v>
      </c>
      <c r="B335">
        <v>328476</v>
      </c>
      <c r="C335" t="s">
        <v>675</v>
      </c>
      <c r="D335" t="s">
        <v>676</v>
      </c>
      <c r="E335">
        <v>195</v>
      </c>
      <c r="F335">
        <v>6073</v>
      </c>
      <c r="G335">
        <v>627</v>
      </c>
      <c r="H335">
        <v>66</v>
      </c>
      <c r="I335">
        <v>4</v>
      </c>
      <c r="J335" t="s">
        <v>23</v>
      </c>
      <c r="K335">
        <v>0.51</v>
      </c>
      <c r="L335">
        <v>9</v>
      </c>
      <c r="M335" t="s">
        <v>20</v>
      </c>
      <c r="N335">
        <f t="shared" si="15"/>
        <v>2</v>
      </c>
      <c r="O335">
        <v>2014</v>
      </c>
      <c r="P335">
        <f t="shared" si="16"/>
        <v>8.711607995897575</v>
      </c>
      <c r="Q335">
        <f t="shared" si="17"/>
        <v>5.273050839300149</v>
      </c>
    </row>
    <row r="336" spans="1:17" hidden="1" x14ac:dyDescent="0.3">
      <c r="A336">
        <v>335</v>
      </c>
      <c r="B336">
        <v>399640</v>
      </c>
      <c r="C336" t="s">
        <v>677</v>
      </c>
      <c r="D336" t="s">
        <v>678</v>
      </c>
      <c r="E336">
        <v>20</v>
      </c>
      <c r="F336">
        <v>6008</v>
      </c>
      <c r="G336">
        <v>203</v>
      </c>
      <c r="H336">
        <v>35</v>
      </c>
      <c r="I336">
        <v>4</v>
      </c>
      <c r="J336" t="s">
        <v>23</v>
      </c>
      <c r="K336">
        <v>0.76</v>
      </c>
      <c r="L336">
        <v>4</v>
      </c>
      <c r="M336" t="s">
        <v>20</v>
      </c>
      <c r="N336">
        <f t="shared" si="15"/>
        <v>2</v>
      </c>
      <c r="O336">
        <v>2015</v>
      </c>
      <c r="P336">
        <f t="shared" si="16"/>
        <v>8.7008471934439715</v>
      </c>
      <c r="Q336">
        <f t="shared" si="17"/>
        <v>2.996232148595642</v>
      </c>
    </row>
    <row r="337" spans="1:17" hidden="1" x14ac:dyDescent="0.3">
      <c r="A337">
        <v>336</v>
      </c>
      <c r="B337">
        <v>628430</v>
      </c>
      <c r="C337" t="s">
        <v>679</v>
      </c>
      <c r="D337" t="s">
        <v>680</v>
      </c>
      <c r="E337">
        <v>95</v>
      </c>
      <c r="F337">
        <v>6000</v>
      </c>
      <c r="G337">
        <v>21</v>
      </c>
      <c r="H337">
        <v>25</v>
      </c>
      <c r="I337">
        <v>4</v>
      </c>
      <c r="J337" t="s">
        <v>23</v>
      </c>
      <c r="K337">
        <v>0.2</v>
      </c>
      <c r="L337">
        <v>1.5</v>
      </c>
      <c r="M337" t="s">
        <v>20</v>
      </c>
      <c r="N337">
        <f t="shared" si="15"/>
        <v>2</v>
      </c>
      <c r="O337">
        <v>2015</v>
      </c>
      <c r="P337">
        <f t="shared" si="16"/>
        <v>8.6995147482101913</v>
      </c>
      <c r="Q337">
        <f t="shared" si="17"/>
        <v>4.5539821492186583</v>
      </c>
    </row>
    <row r="338" spans="1:17" x14ac:dyDescent="0.3">
      <c r="A338">
        <v>337</v>
      </c>
      <c r="B338">
        <v>665042</v>
      </c>
      <c r="C338" t="s">
        <v>681</v>
      </c>
      <c r="D338" t="s">
        <v>682</v>
      </c>
      <c r="E338">
        <v>100</v>
      </c>
      <c r="F338">
        <v>5962</v>
      </c>
      <c r="G338">
        <v>466</v>
      </c>
      <c r="H338">
        <v>132</v>
      </c>
      <c r="I338">
        <v>1</v>
      </c>
      <c r="J338" t="s">
        <v>13</v>
      </c>
      <c r="K338">
        <v>1</v>
      </c>
      <c r="L338">
        <v>16</v>
      </c>
      <c r="M338" t="s">
        <v>20</v>
      </c>
      <c r="N338">
        <f t="shared" si="15"/>
        <v>2</v>
      </c>
      <c r="O338">
        <v>2016</v>
      </c>
      <c r="P338">
        <f t="shared" si="16"/>
        <v>8.6931612742380171</v>
      </c>
      <c r="Q338">
        <f t="shared" si="17"/>
        <v>4.6052701809884251</v>
      </c>
    </row>
    <row r="339" spans="1:17" hidden="1" x14ac:dyDescent="0.3">
      <c r="A339">
        <v>338</v>
      </c>
      <c r="B339">
        <v>178640</v>
      </c>
      <c r="C339" t="s">
        <v>179</v>
      </c>
      <c r="D339" t="s">
        <v>683</v>
      </c>
      <c r="E339">
        <v>50</v>
      </c>
      <c r="F339">
        <v>5921</v>
      </c>
      <c r="G339">
        <v>35</v>
      </c>
      <c r="H339">
        <v>42</v>
      </c>
      <c r="I339">
        <v>4</v>
      </c>
      <c r="J339" t="s">
        <v>23</v>
      </c>
      <c r="K339">
        <v>0.01</v>
      </c>
      <c r="L339">
        <v>4.5</v>
      </c>
      <c r="M339" t="s">
        <v>20</v>
      </c>
      <c r="N339">
        <f t="shared" si="15"/>
        <v>2</v>
      </c>
      <c r="O339">
        <v>2014</v>
      </c>
      <c r="P339">
        <f t="shared" si="16"/>
        <v>8.6862606325317753</v>
      </c>
      <c r="Q339">
        <f t="shared" si="17"/>
        <v>3.9122229854308124</v>
      </c>
    </row>
    <row r="340" spans="1:17" hidden="1" x14ac:dyDescent="0.3">
      <c r="A340">
        <v>339</v>
      </c>
      <c r="B340">
        <v>886614</v>
      </c>
      <c r="C340" t="s">
        <v>684</v>
      </c>
      <c r="D340" t="s">
        <v>685</v>
      </c>
      <c r="E340">
        <v>110</v>
      </c>
      <c r="F340">
        <v>5811</v>
      </c>
      <c r="G340">
        <v>850</v>
      </c>
      <c r="H340">
        <v>114</v>
      </c>
      <c r="I340">
        <v>4</v>
      </c>
      <c r="J340" t="s">
        <v>23</v>
      </c>
      <c r="K340">
        <v>0.76</v>
      </c>
      <c r="L340">
        <v>6</v>
      </c>
      <c r="M340" t="s">
        <v>20</v>
      </c>
      <c r="N340">
        <f t="shared" si="15"/>
        <v>2</v>
      </c>
      <c r="O340">
        <v>2016</v>
      </c>
      <c r="P340">
        <f t="shared" si="16"/>
        <v>8.6675079520751055</v>
      </c>
      <c r="Q340">
        <f t="shared" si="17"/>
        <v>4.7005712707513441</v>
      </c>
    </row>
    <row r="341" spans="1:17" hidden="1" x14ac:dyDescent="0.3">
      <c r="A341">
        <v>340</v>
      </c>
      <c r="B341">
        <v>818990</v>
      </c>
      <c r="C341" t="s">
        <v>686</v>
      </c>
      <c r="D341" t="s">
        <v>687</v>
      </c>
      <c r="E341">
        <v>200</v>
      </c>
      <c r="F341">
        <v>5809</v>
      </c>
      <c r="G341">
        <v>1445</v>
      </c>
      <c r="H341">
        <v>61</v>
      </c>
      <c r="I341">
        <v>4</v>
      </c>
      <c r="J341" t="s">
        <v>23</v>
      </c>
      <c r="K341">
        <v>0.36</v>
      </c>
      <c r="L341">
        <v>15</v>
      </c>
      <c r="M341" t="s">
        <v>20</v>
      </c>
      <c r="N341">
        <f t="shared" si="15"/>
        <v>2</v>
      </c>
      <c r="O341">
        <v>2016</v>
      </c>
      <c r="P341">
        <f t="shared" si="16"/>
        <v>8.6671637179925334</v>
      </c>
      <c r="Q341">
        <f t="shared" si="17"/>
        <v>5.2983673652980787</v>
      </c>
    </row>
    <row r="342" spans="1:17" hidden="1" x14ac:dyDescent="0.3">
      <c r="A342">
        <v>341</v>
      </c>
      <c r="B342">
        <v>537008</v>
      </c>
      <c r="C342" t="s">
        <v>688</v>
      </c>
      <c r="D342" t="s">
        <v>689</v>
      </c>
      <c r="E342">
        <v>100</v>
      </c>
      <c r="F342">
        <v>5800</v>
      </c>
      <c r="G342">
        <v>185</v>
      </c>
      <c r="H342">
        <v>32</v>
      </c>
      <c r="I342">
        <v>2</v>
      </c>
      <c r="J342" t="s">
        <v>32</v>
      </c>
      <c r="K342">
        <v>0.88</v>
      </c>
      <c r="L342">
        <v>3.5</v>
      </c>
      <c r="M342" t="s">
        <v>20</v>
      </c>
      <c r="N342">
        <f t="shared" si="15"/>
        <v>2</v>
      </c>
      <c r="O342">
        <v>2015</v>
      </c>
      <c r="P342">
        <f t="shared" si="16"/>
        <v>8.66561319653451</v>
      </c>
      <c r="Q342">
        <f t="shared" si="17"/>
        <v>4.6052701809884251</v>
      </c>
    </row>
    <row r="343" spans="1:17" hidden="1" x14ac:dyDescent="0.3">
      <c r="A343">
        <v>342</v>
      </c>
      <c r="B343">
        <v>98140</v>
      </c>
      <c r="C343" t="s">
        <v>690</v>
      </c>
      <c r="D343" t="s">
        <v>691</v>
      </c>
      <c r="E343">
        <v>20</v>
      </c>
      <c r="F343">
        <v>5795</v>
      </c>
      <c r="G343">
        <v>79</v>
      </c>
      <c r="H343">
        <v>29</v>
      </c>
      <c r="I343">
        <v>4</v>
      </c>
      <c r="J343" t="s">
        <v>23</v>
      </c>
      <c r="K343">
        <v>0</v>
      </c>
      <c r="L343">
        <v>2.5</v>
      </c>
      <c r="M343" t="s">
        <v>20</v>
      </c>
      <c r="N343">
        <f t="shared" si="15"/>
        <v>2</v>
      </c>
      <c r="O343">
        <v>2013</v>
      </c>
      <c r="P343">
        <f t="shared" si="16"/>
        <v>8.6647507557738521</v>
      </c>
      <c r="Q343">
        <f t="shared" si="17"/>
        <v>2.996232148595642</v>
      </c>
    </row>
    <row r="344" spans="1:17" x14ac:dyDescent="0.3">
      <c r="A344">
        <v>343</v>
      </c>
      <c r="B344">
        <v>1140532</v>
      </c>
      <c r="C344" t="s">
        <v>692</v>
      </c>
      <c r="D344" t="s">
        <v>693</v>
      </c>
      <c r="E344">
        <v>200</v>
      </c>
      <c r="F344">
        <v>5739</v>
      </c>
      <c r="G344">
        <v>26</v>
      </c>
      <c r="H344">
        <v>29</v>
      </c>
      <c r="I344">
        <v>1</v>
      </c>
      <c r="J344" t="s">
        <v>13</v>
      </c>
      <c r="K344">
        <v>0.94</v>
      </c>
      <c r="L344">
        <v>2.5</v>
      </c>
      <c r="M344" t="s">
        <v>20</v>
      </c>
      <c r="N344">
        <f t="shared" si="15"/>
        <v>2</v>
      </c>
      <c r="O344">
        <v>2017</v>
      </c>
      <c r="P344">
        <f t="shared" si="16"/>
        <v>8.6550402581083627</v>
      </c>
      <c r="Q344">
        <f t="shared" si="17"/>
        <v>5.2983673652980787</v>
      </c>
    </row>
    <row r="345" spans="1:17" hidden="1" x14ac:dyDescent="0.3">
      <c r="A345">
        <v>344</v>
      </c>
      <c r="B345">
        <v>1254172</v>
      </c>
      <c r="C345" t="s">
        <v>694</v>
      </c>
      <c r="D345" t="s">
        <v>695</v>
      </c>
      <c r="E345">
        <v>95</v>
      </c>
      <c r="F345">
        <v>5738</v>
      </c>
      <c r="G345">
        <v>9</v>
      </c>
      <c r="H345">
        <v>35</v>
      </c>
      <c r="I345">
        <v>4</v>
      </c>
      <c r="J345" t="s">
        <v>23</v>
      </c>
      <c r="K345">
        <v>0.5</v>
      </c>
      <c r="L345">
        <v>4</v>
      </c>
      <c r="M345" t="s">
        <v>20</v>
      </c>
      <c r="N345">
        <f t="shared" si="15"/>
        <v>2</v>
      </c>
      <c r="O345">
        <v>2017</v>
      </c>
      <c r="P345">
        <f t="shared" si="16"/>
        <v>8.6548659965413108</v>
      </c>
      <c r="Q345">
        <f t="shared" si="17"/>
        <v>4.5539821492186583</v>
      </c>
    </row>
    <row r="346" spans="1:17" hidden="1" x14ac:dyDescent="0.3">
      <c r="A346">
        <v>345</v>
      </c>
      <c r="B346">
        <v>476408</v>
      </c>
      <c r="C346" t="s">
        <v>696</v>
      </c>
      <c r="D346" t="s">
        <v>697</v>
      </c>
      <c r="E346">
        <v>100</v>
      </c>
      <c r="F346">
        <v>5715</v>
      </c>
      <c r="G346">
        <v>52</v>
      </c>
      <c r="H346">
        <v>31</v>
      </c>
      <c r="I346">
        <v>2</v>
      </c>
      <c r="J346" t="s">
        <v>32</v>
      </c>
      <c r="K346">
        <v>0.89</v>
      </c>
      <c r="L346">
        <v>3</v>
      </c>
      <c r="M346" t="s">
        <v>20</v>
      </c>
      <c r="N346">
        <f t="shared" si="15"/>
        <v>2</v>
      </c>
      <c r="O346">
        <v>2015</v>
      </c>
      <c r="P346">
        <f t="shared" si="16"/>
        <v>8.6508495762289108</v>
      </c>
      <c r="Q346">
        <f t="shared" si="17"/>
        <v>4.6052701809884251</v>
      </c>
    </row>
    <row r="347" spans="1:17" x14ac:dyDescent="0.3">
      <c r="A347">
        <v>346</v>
      </c>
      <c r="B347">
        <v>945602</v>
      </c>
      <c r="C347" t="s">
        <v>698</v>
      </c>
      <c r="D347" t="s">
        <v>699</v>
      </c>
      <c r="E347">
        <v>200</v>
      </c>
      <c r="F347">
        <v>5603</v>
      </c>
      <c r="G347">
        <v>46</v>
      </c>
      <c r="H347">
        <v>47</v>
      </c>
      <c r="I347">
        <v>1</v>
      </c>
      <c r="J347" t="s">
        <v>13</v>
      </c>
      <c r="K347">
        <v>0.76</v>
      </c>
      <c r="L347">
        <v>4</v>
      </c>
      <c r="M347" t="s">
        <v>20</v>
      </c>
      <c r="N347">
        <f t="shared" si="15"/>
        <v>2</v>
      </c>
      <c r="O347">
        <v>2016</v>
      </c>
      <c r="P347">
        <f t="shared" si="16"/>
        <v>8.6310574475652846</v>
      </c>
      <c r="Q347">
        <f t="shared" si="17"/>
        <v>5.2983673652980787</v>
      </c>
    </row>
    <row r="348" spans="1:17" hidden="1" x14ac:dyDescent="0.3">
      <c r="A348">
        <v>347</v>
      </c>
      <c r="B348">
        <v>1181900</v>
      </c>
      <c r="C348" t="s">
        <v>700</v>
      </c>
      <c r="D348" t="s">
        <v>701</v>
      </c>
      <c r="E348">
        <v>200</v>
      </c>
      <c r="F348">
        <v>5559</v>
      </c>
      <c r="G348">
        <v>35</v>
      </c>
      <c r="H348">
        <v>21</v>
      </c>
      <c r="I348">
        <v>4</v>
      </c>
      <c r="J348" t="s">
        <v>23</v>
      </c>
      <c r="K348">
        <v>0.88</v>
      </c>
      <c r="L348">
        <v>2</v>
      </c>
      <c r="M348" t="s">
        <v>20</v>
      </c>
      <c r="N348">
        <f t="shared" si="15"/>
        <v>2</v>
      </c>
      <c r="O348">
        <v>2017</v>
      </c>
      <c r="P348">
        <f t="shared" si="16"/>
        <v>8.6231735149534696</v>
      </c>
      <c r="Q348">
        <f t="shared" si="17"/>
        <v>5.2983673652980787</v>
      </c>
    </row>
    <row r="349" spans="1:17" hidden="1" x14ac:dyDescent="0.3">
      <c r="A349">
        <v>348</v>
      </c>
      <c r="B349">
        <v>32649</v>
      </c>
      <c r="C349" t="s">
        <v>702</v>
      </c>
      <c r="D349" t="s">
        <v>703</v>
      </c>
      <c r="E349">
        <v>50</v>
      </c>
      <c r="F349">
        <v>5549</v>
      </c>
      <c r="G349">
        <v>92</v>
      </c>
      <c r="H349">
        <v>143</v>
      </c>
      <c r="I349">
        <v>4</v>
      </c>
      <c r="J349" t="s">
        <v>23</v>
      </c>
      <c r="K349">
        <v>0.76</v>
      </c>
      <c r="L349">
        <v>15.5</v>
      </c>
      <c r="M349" t="s">
        <v>20</v>
      </c>
      <c r="N349">
        <f t="shared" si="15"/>
        <v>2</v>
      </c>
      <c r="O349">
        <v>2012</v>
      </c>
      <c r="P349">
        <f t="shared" si="16"/>
        <v>8.6213730103259021</v>
      </c>
      <c r="Q349">
        <f t="shared" si="17"/>
        <v>3.9122229854308124</v>
      </c>
    </row>
    <row r="350" spans="1:17" hidden="1" x14ac:dyDescent="0.3">
      <c r="A350">
        <v>349</v>
      </c>
      <c r="B350">
        <v>309370</v>
      </c>
      <c r="C350" t="s">
        <v>704</v>
      </c>
      <c r="D350" t="s">
        <v>705</v>
      </c>
      <c r="E350">
        <v>40</v>
      </c>
      <c r="F350">
        <v>5547</v>
      </c>
      <c r="G350">
        <v>80</v>
      </c>
      <c r="H350">
        <v>40</v>
      </c>
      <c r="I350">
        <v>4</v>
      </c>
      <c r="J350" t="s">
        <v>23</v>
      </c>
      <c r="K350">
        <v>0.8</v>
      </c>
      <c r="L350">
        <v>3.5</v>
      </c>
      <c r="M350" t="s">
        <v>20</v>
      </c>
      <c r="N350">
        <f t="shared" si="15"/>
        <v>2</v>
      </c>
      <c r="O350">
        <v>2014</v>
      </c>
      <c r="P350">
        <f t="shared" si="16"/>
        <v>8.6210125200552348</v>
      </c>
      <c r="Q350">
        <f t="shared" si="17"/>
        <v>3.6891294228691436</v>
      </c>
    </row>
    <row r="351" spans="1:17" hidden="1" x14ac:dyDescent="0.3">
      <c r="A351">
        <v>350</v>
      </c>
      <c r="B351">
        <v>1248974</v>
      </c>
      <c r="C351" t="s">
        <v>706</v>
      </c>
      <c r="D351" t="s">
        <v>707</v>
      </c>
      <c r="E351">
        <v>0</v>
      </c>
      <c r="F351">
        <v>5542</v>
      </c>
      <c r="G351">
        <v>54</v>
      </c>
      <c r="H351">
        <v>9</v>
      </c>
      <c r="I351">
        <v>4</v>
      </c>
      <c r="J351" t="s">
        <v>23</v>
      </c>
      <c r="K351">
        <v>0.18</v>
      </c>
      <c r="L351">
        <v>1</v>
      </c>
      <c r="M351" t="s">
        <v>14</v>
      </c>
      <c r="N351">
        <f t="shared" si="15"/>
        <v>1</v>
      </c>
      <c r="O351">
        <v>2017</v>
      </c>
      <c r="P351">
        <f t="shared" si="16"/>
        <v>8.6201107254229239</v>
      </c>
      <c r="Q351">
        <f t="shared" si="17"/>
        <v>-4.6051701859880909</v>
      </c>
    </row>
    <row r="352" spans="1:17" x14ac:dyDescent="0.3">
      <c r="A352">
        <v>351</v>
      </c>
      <c r="B352">
        <v>380178</v>
      </c>
      <c r="C352" t="s">
        <v>708</v>
      </c>
      <c r="D352" t="s">
        <v>709</v>
      </c>
      <c r="E352">
        <v>0</v>
      </c>
      <c r="F352">
        <v>5533</v>
      </c>
      <c r="G352">
        <v>137</v>
      </c>
      <c r="H352">
        <v>11</v>
      </c>
      <c r="I352">
        <v>1</v>
      </c>
      <c r="J352" t="s">
        <v>13</v>
      </c>
      <c r="K352">
        <v>0.14000000000000001</v>
      </c>
      <c r="L352">
        <v>1</v>
      </c>
      <c r="M352" t="s">
        <v>14</v>
      </c>
      <c r="N352">
        <f t="shared" si="15"/>
        <v>1</v>
      </c>
      <c r="O352">
        <v>2015</v>
      </c>
      <c r="P352">
        <f t="shared" si="16"/>
        <v>8.618485442898109</v>
      </c>
      <c r="Q352">
        <f t="shared" si="17"/>
        <v>-4.6051701859880909</v>
      </c>
    </row>
    <row r="353" spans="1:17" x14ac:dyDescent="0.3">
      <c r="A353">
        <v>352</v>
      </c>
      <c r="B353">
        <v>760752</v>
      </c>
      <c r="C353" t="s">
        <v>710</v>
      </c>
      <c r="D353" t="s">
        <v>711</v>
      </c>
      <c r="E353">
        <v>150</v>
      </c>
      <c r="F353">
        <v>5495</v>
      </c>
      <c r="G353">
        <v>52</v>
      </c>
      <c r="H353">
        <v>18</v>
      </c>
      <c r="I353">
        <v>1</v>
      </c>
      <c r="J353" t="s">
        <v>13</v>
      </c>
      <c r="K353">
        <v>0.89</v>
      </c>
      <c r="L353">
        <v>1.5</v>
      </c>
      <c r="M353" t="s">
        <v>20</v>
      </c>
      <c r="N353">
        <f t="shared" si="15"/>
        <v>2</v>
      </c>
      <c r="O353">
        <v>2016</v>
      </c>
      <c r="P353">
        <f t="shared" si="16"/>
        <v>8.6115938668377225</v>
      </c>
      <c r="Q353">
        <f t="shared" si="17"/>
        <v>5.0107019585407988</v>
      </c>
    </row>
    <row r="354" spans="1:17" hidden="1" x14ac:dyDescent="0.3">
      <c r="A354">
        <v>353</v>
      </c>
      <c r="B354">
        <v>426196</v>
      </c>
      <c r="C354" t="s">
        <v>712</v>
      </c>
      <c r="D354" t="s">
        <v>713</v>
      </c>
      <c r="E354">
        <v>125</v>
      </c>
      <c r="F354">
        <v>5484</v>
      </c>
      <c r="G354">
        <v>439</v>
      </c>
      <c r="H354">
        <v>92</v>
      </c>
      <c r="I354">
        <v>4</v>
      </c>
      <c r="J354" t="s">
        <v>23</v>
      </c>
      <c r="K354">
        <v>0.67</v>
      </c>
      <c r="L354">
        <v>12.5</v>
      </c>
      <c r="M354" t="s">
        <v>20</v>
      </c>
      <c r="N354">
        <f t="shared" si="15"/>
        <v>2</v>
      </c>
      <c r="O354">
        <v>2015</v>
      </c>
      <c r="P354">
        <f t="shared" si="16"/>
        <v>8.609590040682205</v>
      </c>
      <c r="Q354">
        <f t="shared" si="17"/>
        <v>4.8283937341024714</v>
      </c>
    </row>
    <row r="355" spans="1:17" x14ac:dyDescent="0.3">
      <c r="A355">
        <v>354</v>
      </c>
      <c r="B355">
        <v>72262</v>
      </c>
      <c r="C355" t="s">
        <v>714</v>
      </c>
      <c r="D355" t="s">
        <v>715</v>
      </c>
      <c r="E355">
        <v>100</v>
      </c>
      <c r="F355">
        <v>5456</v>
      </c>
      <c r="G355">
        <v>133</v>
      </c>
      <c r="H355">
        <v>25</v>
      </c>
      <c r="I355">
        <v>1</v>
      </c>
      <c r="J355" t="s">
        <v>13</v>
      </c>
      <c r="K355">
        <v>0.8</v>
      </c>
      <c r="L355">
        <v>1</v>
      </c>
      <c r="M355" t="s">
        <v>20</v>
      </c>
      <c r="N355">
        <f t="shared" si="15"/>
        <v>2</v>
      </c>
      <c r="O355">
        <v>2013</v>
      </c>
      <c r="P355">
        <f t="shared" si="16"/>
        <v>8.6044711995232976</v>
      </c>
      <c r="Q355">
        <f t="shared" si="17"/>
        <v>4.6052701809884251</v>
      </c>
    </row>
    <row r="356" spans="1:17" x14ac:dyDescent="0.3">
      <c r="A356">
        <v>355</v>
      </c>
      <c r="B356">
        <v>1229274</v>
      </c>
      <c r="C356" t="s">
        <v>716</v>
      </c>
      <c r="D356" t="s">
        <v>717</v>
      </c>
      <c r="E356">
        <v>200</v>
      </c>
      <c r="F356">
        <v>5439</v>
      </c>
      <c r="G356">
        <v>22</v>
      </c>
      <c r="H356">
        <v>24</v>
      </c>
      <c r="I356">
        <v>1</v>
      </c>
      <c r="J356" t="s">
        <v>13</v>
      </c>
      <c r="K356">
        <v>0.94</v>
      </c>
      <c r="L356">
        <v>4</v>
      </c>
      <c r="M356" t="s">
        <v>20</v>
      </c>
      <c r="N356">
        <f t="shared" si="15"/>
        <v>2</v>
      </c>
      <c r="O356">
        <v>2017</v>
      </c>
      <c r="P356">
        <f t="shared" si="16"/>
        <v>8.6013504994229599</v>
      </c>
      <c r="Q356">
        <f t="shared" si="17"/>
        <v>5.2983673652980787</v>
      </c>
    </row>
    <row r="357" spans="1:17" x14ac:dyDescent="0.3">
      <c r="A357">
        <v>356</v>
      </c>
      <c r="B357">
        <v>374590</v>
      </c>
      <c r="C357" t="s">
        <v>718</v>
      </c>
      <c r="D357" t="s">
        <v>719</v>
      </c>
      <c r="E357">
        <v>0</v>
      </c>
      <c r="F357">
        <v>5421</v>
      </c>
      <c r="G357">
        <v>93</v>
      </c>
      <c r="H357">
        <v>20</v>
      </c>
      <c r="I357">
        <v>1</v>
      </c>
      <c r="J357" t="s">
        <v>13</v>
      </c>
      <c r="K357">
        <v>0.34</v>
      </c>
      <c r="L357">
        <v>1.5</v>
      </c>
      <c r="M357" t="s">
        <v>14</v>
      </c>
      <c r="N357">
        <f t="shared" si="15"/>
        <v>1</v>
      </c>
      <c r="O357">
        <v>2015</v>
      </c>
      <c r="P357">
        <f t="shared" si="16"/>
        <v>8.5980355792603387</v>
      </c>
      <c r="Q357">
        <f t="shared" si="17"/>
        <v>-4.6051701859880909</v>
      </c>
    </row>
    <row r="358" spans="1:17" x14ac:dyDescent="0.3">
      <c r="A358">
        <v>357</v>
      </c>
      <c r="B358">
        <v>297044</v>
      </c>
      <c r="C358" t="s">
        <v>720</v>
      </c>
      <c r="D358" t="s">
        <v>721</v>
      </c>
      <c r="E358">
        <v>50</v>
      </c>
      <c r="F358">
        <v>5398</v>
      </c>
      <c r="G358">
        <v>358</v>
      </c>
      <c r="H358">
        <v>83</v>
      </c>
      <c r="I358">
        <v>1</v>
      </c>
      <c r="J358" t="s">
        <v>13</v>
      </c>
      <c r="K358">
        <v>0.57999999999999996</v>
      </c>
      <c r="L358">
        <v>10.5</v>
      </c>
      <c r="M358" t="s">
        <v>20</v>
      </c>
      <c r="N358">
        <f t="shared" si="15"/>
        <v>2</v>
      </c>
      <c r="O358">
        <v>2014</v>
      </c>
      <c r="P358">
        <f t="shared" si="16"/>
        <v>8.5937837935779502</v>
      </c>
      <c r="Q358">
        <f t="shared" si="17"/>
        <v>3.9122229854308124</v>
      </c>
    </row>
    <row r="359" spans="1:17" hidden="1" x14ac:dyDescent="0.3">
      <c r="A359">
        <v>358</v>
      </c>
      <c r="B359">
        <v>1127988</v>
      </c>
      <c r="C359" t="s">
        <v>722</v>
      </c>
      <c r="D359" t="s">
        <v>723</v>
      </c>
      <c r="E359">
        <v>0</v>
      </c>
      <c r="F359">
        <v>5397</v>
      </c>
      <c r="G359">
        <v>112</v>
      </c>
      <c r="H359">
        <v>36</v>
      </c>
      <c r="I359">
        <v>4</v>
      </c>
      <c r="J359" t="s">
        <v>23</v>
      </c>
      <c r="K359">
        <v>0.14000000000000001</v>
      </c>
      <c r="L359">
        <v>2.5</v>
      </c>
      <c r="M359" t="s">
        <v>14</v>
      </c>
      <c r="N359">
        <f t="shared" si="15"/>
        <v>1</v>
      </c>
      <c r="O359">
        <v>2017</v>
      </c>
      <c r="P359">
        <f t="shared" si="16"/>
        <v>8.5935985226186435</v>
      </c>
      <c r="Q359">
        <f t="shared" si="17"/>
        <v>-4.6051701859880909</v>
      </c>
    </row>
    <row r="360" spans="1:17" hidden="1" x14ac:dyDescent="0.3">
      <c r="A360">
        <v>359</v>
      </c>
      <c r="B360">
        <v>342084</v>
      </c>
      <c r="C360" t="s">
        <v>724</v>
      </c>
      <c r="D360" t="s">
        <v>725</v>
      </c>
      <c r="E360">
        <v>40</v>
      </c>
      <c r="F360">
        <v>5387</v>
      </c>
      <c r="G360">
        <v>38</v>
      </c>
      <c r="H360">
        <v>15</v>
      </c>
      <c r="I360">
        <v>4</v>
      </c>
      <c r="J360" t="s">
        <v>23</v>
      </c>
      <c r="K360">
        <v>0.96</v>
      </c>
      <c r="L360">
        <v>1</v>
      </c>
      <c r="M360" t="s">
        <v>20</v>
      </c>
      <c r="N360">
        <f t="shared" si="15"/>
        <v>2</v>
      </c>
      <c r="O360">
        <v>2015</v>
      </c>
      <c r="P360">
        <f t="shared" si="16"/>
        <v>8.5917439226805339</v>
      </c>
      <c r="Q360">
        <f t="shared" si="17"/>
        <v>3.6891294228691436</v>
      </c>
    </row>
    <row r="361" spans="1:17" hidden="1" x14ac:dyDescent="0.3">
      <c r="A361">
        <v>360</v>
      </c>
      <c r="B361">
        <v>573716</v>
      </c>
      <c r="C361" t="s">
        <v>726</v>
      </c>
      <c r="D361" t="s">
        <v>727</v>
      </c>
      <c r="E361">
        <v>35</v>
      </c>
      <c r="F361">
        <v>5368</v>
      </c>
      <c r="G361">
        <v>78</v>
      </c>
      <c r="H361">
        <v>20</v>
      </c>
      <c r="I361">
        <v>4</v>
      </c>
      <c r="J361" t="s">
        <v>23</v>
      </c>
      <c r="K361">
        <v>0.32</v>
      </c>
      <c r="L361">
        <v>2</v>
      </c>
      <c r="M361" t="s">
        <v>20</v>
      </c>
      <c r="N361">
        <f t="shared" si="15"/>
        <v>2</v>
      </c>
      <c r="O361">
        <v>2015</v>
      </c>
      <c r="P361">
        <f t="shared" si="16"/>
        <v>8.5882106786515173</v>
      </c>
      <c r="Q361">
        <f t="shared" si="17"/>
        <v>3.5556337349665741</v>
      </c>
    </row>
    <row r="362" spans="1:17" hidden="1" x14ac:dyDescent="0.3">
      <c r="A362">
        <v>361</v>
      </c>
      <c r="B362">
        <v>846210</v>
      </c>
      <c r="C362" t="s">
        <v>728</v>
      </c>
      <c r="D362" t="s">
        <v>729</v>
      </c>
      <c r="E362">
        <v>0</v>
      </c>
      <c r="F362">
        <v>5351</v>
      </c>
      <c r="G362">
        <v>235</v>
      </c>
      <c r="H362">
        <v>13</v>
      </c>
      <c r="I362">
        <v>2</v>
      </c>
      <c r="J362" t="s">
        <v>32</v>
      </c>
      <c r="K362">
        <v>0.76</v>
      </c>
      <c r="L362">
        <v>1.5</v>
      </c>
      <c r="M362" t="s">
        <v>14</v>
      </c>
      <c r="N362">
        <f t="shared" si="15"/>
        <v>1</v>
      </c>
      <c r="O362">
        <v>2016</v>
      </c>
      <c r="P362">
        <f t="shared" si="16"/>
        <v>8.5850387383113045</v>
      </c>
      <c r="Q362">
        <f t="shared" si="17"/>
        <v>-4.6051701859880909</v>
      </c>
    </row>
    <row r="363" spans="1:17" hidden="1" x14ac:dyDescent="0.3">
      <c r="A363">
        <v>362</v>
      </c>
      <c r="B363">
        <v>921474</v>
      </c>
      <c r="C363" t="s">
        <v>730</v>
      </c>
      <c r="D363" t="s">
        <v>731</v>
      </c>
      <c r="E363">
        <v>195</v>
      </c>
      <c r="F363">
        <v>5335</v>
      </c>
      <c r="G363">
        <v>105</v>
      </c>
      <c r="H363">
        <v>117</v>
      </c>
      <c r="I363">
        <v>4</v>
      </c>
      <c r="J363" t="s">
        <v>23</v>
      </c>
      <c r="K363">
        <v>0.7</v>
      </c>
      <c r="L363">
        <v>14</v>
      </c>
      <c r="M363" t="s">
        <v>20</v>
      </c>
      <c r="N363">
        <f t="shared" si="15"/>
        <v>2</v>
      </c>
      <c r="O363">
        <v>2016</v>
      </c>
      <c r="P363">
        <f t="shared" si="16"/>
        <v>8.5820441637358531</v>
      </c>
      <c r="Q363">
        <f t="shared" si="17"/>
        <v>5.273050839300149</v>
      </c>
    </row>
    <row r="364" spans="1:17" x14ac:dyDescent="0.3">
      <c r="A364">
        <v>363</v>
      </c>
      <c r="B364">
        <v>1144726</v>
      </c>
      <c r="C364" t="s">
        <v>732</v>
      </c>
      <c r="D364" t="s">
        <v>733</v>
      </c>
      <c r="E364">
        <v>190</v>
      </c>
      <c r="F364">
        <v>5332</v>
      </c>
      <c r="G364">
        <v>828</v>
      </c>
      <c r="H364">
        <v>160</v>
      </c>
      <c r="I364">
        <v>1</v>
      </c>
      <c r="J364" t="s">
        <v>13</v>
      </c>
      <c r="K364">
        <v>0.52</v>
      </c>
      <c r="L364">
        <v>10.5</v>
      </c>
      <c r="M364" t="s">
        <v>20</v>
      </c>
      <c r="N364">
        <f t="shared" si="15"/>
        <v>2</v>
      </c>
      <c r="O364">
        <v>2017</v>
      </c>
      <c r="P364">
        <f t="shared" si="16"/>
        <v>8.5814816812985999</v>
      </c>
      <c r="Q364">
        <f t="shared" si="17"/>
        <v>5.2470767023544402</v>
      </c>
    </row>
    <row r="365" spans="1:17" x14ac:dyDescent="0.3">
      <c r="A365">
        <v>364</v>
      </c>
      <c r="B365">
        <v>629044</v>
      </c>
      <c r="C365" t="s">
        <v>734</v>
      </c>
      <c r="D365" t="s">
        <v>735</v>
      </c>
      <c r="E365">
        <v>20</v>
      </c>
      <c r="F365">
        <v>5328</v>
      </c>
      <c r="G365">
        <v>47</v>
      </c>
      <c r="H365">
        <v>28</v>
      </c>
      <c r="I365">
        <v>1</v>
      </c>
      <c r="J365" t="s">
        <v>13</v>
      </c>
      <c r="K365">
        <v>0.78</v>
      </c>
      <c r="L365">
        <v>3.5</v>
      </c>
      <c r="M365" t="s">
        <v>20</v>
      </c>
      <c r="N365">
        <f t="shared" si="15"/>
        <v>2</v>
      </c>
      <c r="O365">
        <v>2016</v>
      </c>
      <c r="P365">
        <f t="shared" si="16"/>
        <v>8.5807312122202255</v>
      </c>
      <c r="Q365">
        <f t="shared" si="17"/>
        <v>2.996232148595642</v>
      </c>
    </row>
    <row r="366" spans="1:17" hidden="1" x14ac:dyDescent="0.3">
      <c r="A366">
        <v>365</v>
      </c>
      <c r="B366">
        <v>1103448</v>
      </c>
      <c r="C366" t="s">
        <v>736</v>
      </c>
      <c r="D366" t="s">
        <v>737</v>
      </c>
      <c r="E366">
        <v>30</v>
      </c>
      <c r="F366">
        <v>5324</v>
      </c>
      <c r="G366">
        <v>52</v>
      </c>
      <c r="H366">
        <v>14</v>
      </c>
      <c r="I366">
        <v>4</v>
      </c>
      <c r="J366" t="s">
        <v>23</v>
      </c>
      <c r="K366">
        <v>0.47</v>
      </c>
      <c r="L366">
        <v>2.5</v>
      </c>
      <c r="M366" t="s">
        <v>20</v>
      </c>
      <c r="N366">
        <f t="shared" si="15"/>
        <v>2</v>
      </c>
      <c r="O366">
        <v>2017</v>
      </c>
      <c r="P366">
        <f t="shared" si="16"/>
        <v>8.5799801795150028</v>
      </c>
      <c r="Q366">
        <f t="shared" si="17"/>
        <v>3.4015306594522756</v>
      </c>
    </row>
    <row r="367" spans="1:17" hidden="1" x14ac:dyDescent="0.3">
      <c r="A367">
        <v>366</v>
      </c>
      <c r="B367">
        <v>504316</v>
      </c>
      <c r="C367" t="s">
        <v>738</v>
      </c>
      <c r="D367" t="s">
        <v>739</v>
      </c>
      <c r="E367">
        <v>20</v>
      </c>
      <c r="F367">
        <v>5318</v>
      </c>
      <c r="G367">
        <v>56</v>
      </c>
      <c r="H367">
        <v>13</v>
      </c>
      <c r="I367">
        <v>4</v>
      </c>
      <c r="J367" t="s">
        <v>23</v>
      </c>
      <c r="K367">
        <v>0.78</v>
      </c>
      <c r="L367">
        <v>1.5</v>
      </c>
      <c r="M367" t="s">
        <v>20</v>
      </c>
      <c r="N367">
        <f t="shared" si="15"/>
        <v>2</v>
      </c>
      <c r="O367">
        <v>2015</v>
      </c>
      <c r="P367">
        <f t="shared" si="16"/>
        <v>8.5788525718029653</v>
      </c>
      <c r="Q367">
        <f t="shared" si="17"/>
        <v>2.996232148595642</v>
      </c>
    </row>
    <row r="368" spans="1:17" x14ac:dyDescent="0.3">
      <c r="A368">
        <v>367</v>
      </c>
      <c r="B368">
        <v>1054814</v>
      </c>
      <c r="C368" t="s">
        <v>740</v>
      </c>
      <c r="D368" t="s">
        <v>741</v>
      </c>
      <c r="E368">
        <v>0</v>
      </c>
      <c r="F368">
        <v>5301</v>
      </c>
      <c r="G368">
        <v>174</v>
      </c>
      <c r="H368">
        <v>6</v>
      </c>
      <c r="I368">
        <v>1</v>
      </c>
      <c r="J368" t="s">
        <v>13</v>
      </c>
      <c r="K368">
        <v>0.57999999999999996</v>
      </c>
      <c r="L368">
        <v>0.5</v>
      </c>
      <c r="M368" t="s">
        <v>14</v>
      </c>
      <c r="N368">
        <f t="shared" si="15"/>
        <v>1</v>
      </c>
      <c r="O368">
        <v>2017</v>
      </c>
      <c r="P368">
        <f t="shared" si="16"/>
        <v>8.5756507609878057</v>
      </c>
      <c r="Q368">
        <f t="shared" si="17"/>
        <v>-4.6051701859880909</v>
      </c>
    </row>
    <row r="369" spans="1:17" x14ac:dyDescent="0.3">
      <c r="A369">
        <v>368</v>
      </c>
      <c r="B369">
        <v>904462</v>
      </c>
      <c r="C369" t="s">
        <v>742</v>
      </c>
      <c r="D369" t="s">
        <v>743</v>
      </c>
      <c r="E369">
        <v>50</v>
      </c>
      <c r="F369">
        <v>5279</v>
      </c>
      <c r="G369">
        <v>1375</v>
      </c>
      <c r="H369">
        <v>123</v>
      </c>
      <c r="I369">
        <v>1</v>
      </c>
      <c r="J369" t="s">
        <v>13</v>
      </c>
      <c r="K369">
        <v>0.33</v>
      </c>
      <c r="L369">
        <v>14.5</v>
      </c>
      <c r="M369" t="s">
        <v>20</v>
      </c>
      <c r="N369">
        <f t="shared" si="15"/>
        <v>2</v>
      </c>
      <c r="O369">
        <v>2016</v>
      </c>
      <c r="P369">
        <f t="shared" si="16"/>
        <v>8.5714919648236165</v>
      </c>
      <c r="Q369">
        <f t="shared" si="17"/>
        <v>3.9122229854308124</v>
      </c>
    </row>
    <row r="370" spans="1:17" x14ac:dyDescent="0.3">
      <c r="A370">
        <v>369</v>
      </c>
      <c r="B370">
        <v>554570</v>
      </c>
      <c r="C370" t="s">
        <v>744</v>
      </c>
      <c r="D370" t="s">
        <v>745</v>
      </c>
      <c r="E370">
        <v>20</v>
      </c>
      <c r="F370">
        <v>5272</v>
      </c>
      <c r="G370">
        <v>111</v>
      </c>
      <c r="H370">
        <v>24</v>
      </c>
      <c r="I370">
        <v>1</v>
      </c>
      <c r="J370" t="s">
        <v>13</v>
      </c>
      <c r="K370">
        <v>0.47</v>
      </c>
      <c r="L370">
        <v>2</v>
      </c>
      <c r="M370" t="s">
        <v>20</v>
      </c>
      <c r="N370">
        <f t="shared" si="15"/>
        <v>2</v>
      </c>
      <c r="O370">
        <v>2015</v>
      </c>
      <c r="P370">
        <f t="shared" si="16"/>
        <v>8.5701650761823434</v>
      </c>
      <c r="Q370">
        <f t="shared" si="17"/>
        <v>2.996232148595642</v>
      </c>
    </row>
    <row r="371" spans="1:17" hidden="1" x14ac:dyDescent="0.3">
      <c r="A371">
        <v>370</v>
      </c>
      <c r="B371">
        <v>951060</v>
      </c>
      <c r="C371" t="s">
        <v>746</v>
      </c>
      <c r="D371" t="s">
        <v>747</v>
      </c>
      <c r="E371">
        <v>75</v>
      </c>
      <c r="F371">
        <v>5263</v>
      </c>
      <c r="G371">
        <v>29</v>
      </c>
      <c r="H371">
        <v>29</v>
      </c>
      <c r="I371">
        <v>4</v>
      </c>
      <c r="J371" t="s">
        <v>23</v>
      </c>
      <c r="K371">
        <v>0.14000000000000001</v>
      </c>
      <c r="L371">
        <v>2</v>
      </c>
      <c r="M371" t="s">
        <v>20</v>
      </c>
      <c r="N371">
        <f t="shared" si="15"/>
        <v>2</v>
      </c>
      <c r="O371">
        <v>2016</v>
      </c>
      <c r="P371">
        <f t="shared" si="16"/>
        <v>8.5684564853537797</v>
      </c>
      <c r="Q371">
        <f t="shared" si="17"/>
        <v>4.3176214379815452</v>
      </c>
    </row>
    <row r="372" spans="1:17" hidden="1" x14ac:dyDescent="0.3">
      <c r="A372">
        <v>371</v>
      </c>
      <c r="B372">
        <v>581256</v>
      </c>
      <c r="C372" t="s">
        <v>748</v>
      </c>
      <c r="D372" t="s">
        <v>749</v>
      </c>
      <c r="E372">
        <v>20</v>
      </c>
      <c r="F372">
        <v>5228</v>
      </c>
      <c r="G372">
        <v>180</v>
      </c>
      <c r="H372">
        <v>27</v>
      </c>
      <c r="I372">
        <v>4</v>
      </c>
      <c r="J372" t="s">
        <v>23</v>
      </c>
      <c r="K372">
        <v>0.3</v>
      </c>
      <c r="L372">
        <v>2.5</v>
      </c>
      <c r="M372" t="s">
        <v>20</v>
      </c>
      <c r="N372">
        <f t="shared" si="15"/>
        <v>2</v>
      </c>
      <c r="O372">
        <v>2015</v>
      </c>
      <c r="P372">
        <f t="shared" si="16"/>
        <v>8.5617840747441125</v>
      </c>
      <c r="Q372">
        <f t="shared" si="17"/>
        <v>2.996232148595642</v>
      </c>
    </row>
    <row r="373" spans="1:17" hidden="1" x14ac:dyDescent="0.3">
      <c r="A373">
        <v>372</v>
      </c>
      <c r="B373">
        <v>997814</v>
      </c>
      <c r="C373" t="s">
        <v>750</v>
      </c>
      <c r="D373" t="s">
        <v>751</v>
      </c>
      <c r="E373">
        <v>200</v>
      </c>
      <c r="F373">
        <v>5211</v>
      </c>
      <c r="G373">
        <v>414</v>
      </c>
      <c r="H373">
        <v>133</v>
      </c>
      <c r="I373">
        <v>4</v>
      </c>
      <c r="J373" t="s">
        <v>23</v>
      </c>
      <c r="K373">
        <v>0.46</v>
      </c>
      <c r="L373">
        <v>19.5</v>
      </c>
      <c r="M373" t="s">
        <v>20</v>
      </c>
      <c r="N373">
        <f t="shared" si="15"/>
        <v>2</v>
      </c>
      <c r="O373">
        <v>2016</v>
      </c>
      <c r="P373">
        <f t="shared" si="16"/>
        <v>8.5585270549092147</v>
      </c>
      <c r="Q373">
        <f t="shared" si="17"/>
        <v>5.2983673652980787</v>
      </c>
    </row>
    <row r="374" spans="1:17" x14ac:dyDescent="0.3">
      <c r="A374">
        <v>373</v>
      </c>
      <c r="B374">
        <v>1068590</v>
      </c>
      <c r="C374" t="s">
        <v>752</v>
      </c>
      <c r="D374" t="s">
        <v>753</v>
      </c>
      <c r="E374">
        <v>0</v>
      </c>
      <c r="F374">
        <v>5181</v>
      </c>
      <c r="G374">
        <v>64</v>
      </c>
      <c r="H374">
        <v>22</v>
      </c>
      <c r="I374">
        <v>1</v>
      </c>
      <c r="J374" t="s">
        <v>13</v>
      </c>
      <c r="K374">
        <v>0.37</v>
      </c>
      <c r="L374">
        <v>2.5</v>
      </c>
      <c r="M374" t="s">
        <v>14</v>
      </c>
      <c r="N374">
        <f t="shared" si="15"/>
        <v>1</v>
      </c>
      <c r="O374">
        <v>2017</v>
      </c>
      <c r="P374">
        <f t="shared" si="16"/>
        <v>8.5527533668147875</v>
      </c>
      <c r="Q374">
        <f t="shared" si="17"/>
        <v>-4.6051701859880909</v>
      </c>
    </row>
    <row r="375" spans="1:17" x14ac:dyDescent="0.3">
      <c r="A375">
        <v>374</v>
      </c>
      <c r="B375">
        <v>554384</v>
      </c>
      <c r="C375" t="s">
        <v>754</v>
      </c>
      <c r="D375" t="s">
        <v>755</v>
      </c>
      <c r="E375">
        <v>95</v>
      </c>
      <c r="F375">
        <v>5177</v>
      </c>
      <c r="G375">
        <v>318</v>
      </c>
      <c r="H375">
        <v>70</v>
      </c>
      <c r="I375">
        <v>1</v>
      </c>
      <c r="J375" t="s">
        <v>13</v>
      </c>
      <c r="K375">
        <v>0.67</v>
      </c>
      <c r="L375">
        <v>13.5</v>
      </c>
      <c r="M375" t="s">
        <v>20</v>
      </c>
      <c r="N375">
        <f t="shared" si="15"/>
        <v>2</v>
      </c>
      <c r="O375">
        <v>2015</v>
      </c>
      <c r="P375">
        <f t="shared" si="16"/>
        <v>8.5519810169019017</v>
      </c>
      <c r="Q375">
        <f t="shared" si="17"/>
        <v>4.5539821492186583</v>
      </c>
    </row>
    <row r="376" spans="1:17" hidden="1" x14ac:dyDescent="0.3">
      <c r="A376">
        <v>375</v>
      </c>
      <c r="B376">
        <v>970600</v>
      </c>
      <c r="C376" t="s">
        <v>756</v>
      </c>
      <c r="D376" t="s">
        <v>757</v>
      </c>
      <c r="E376">
        <v>110</v>
      </c>
      <c r="F376">
        <v>5151</v>
      </c>
      <c r="G376">
        <v>737</v>
      </c>
      <c r="H376">
        <v>115</v>
      </c>
      <c r="I376">
        <v>4</v>
      </c>
      <c r="J376" t="s">
        <v>23</v>
      </c>
      <c r="K376">
        <v>0.14000000000000001</v>
      </c>
      <c r="L376">
        <v>12.5</v>
      </c>
      <c r="M376" t="s">
        <v>20</v>
      </c>
      <c r="N376">
        <f t="shared" si="15"/>
        <v>2</v>
      </c>
      <c r="O376">
        <v>2016</v>
      </c>
      <c r="P376">
        <f t="shared" si="16"/>
        <v>8.546946149565585</v>
      </c>
      <c r="Q376">
        <f t="shared" si="17"/>
        <v>4.7005712707513441</v>
      </c>
    </row>
    <row r="377" spans="1:17" x14ac:dyDescent="0.3">
      <c r="A377">
        <v>376</v>
      </c>
      <c r="B377">
        <v>883002</v>
      </c>
      <c r="C377" t="s">
        <v>758</v>
      </c>
      <c r="D377" t="s">
        <v>759</v>
      </c>
      <c r="E377">
        <v>50</v>
      </c>
      <c r="F377">
        <v>5143</v>
      </c>
      <c r="G377">
        <v>941</v>
      </c>
      <c r="H377">
        <v>80</v>
      </c>
      <c r="I377">
        <v>1</v>
      </c>
      <c r="J377" t="s">
        <v>13</v>
      </c>
      <c r="K377">
        <v>0.66</v>
      </c>
      <c r="L377">
        <v>12</v>
      </c>
      <c r="M377" t="s">
        <v>20</v>
      </c>
      <c r="N377">
        <f t="shared" si="15"/>
        <v>2</v>
      </c>
      <c r="O377">
        <v>2016</v>
      </c>
      <c r="P377">
        <f t="shared" si="16"/>
        <v>8.5453918457749154</v>
      </c>
      <c r="Q377">
        <f t="shared" si="17"/>
        <v>3.9122229854308124</v>
      </c>
    </row>
    <row r="378" spans="1:17" x14ac:dyDescent="0.3">
      <c r="A378">
        <v>377</v>
      </c>
      <c r="B378">
        <v>507992</v>
      </c>
      <c r="C378" t="s">
        <v>760</v>
      </c>
      <c r="D378" t="s">
        <v>761</v>
      </c>
      <c r="E378">
        <v>200</v>
      </c>
      <c r="F378">
        <v>5129</v>
      </c>
      <c r="G378">
        <v>183</v>
      </c>
      <c r="H378">
        <v>35</v>
      </c>
      <c r="I378">
        <v>1</v>
      </c>
      <c r="J378" t="s">
        <v>13</v>
      </c>
      <c r="K378">
        <v>0.68</v>
      </c>
      <c r="L378">
        <v>1.5</v>
      </c>
      <c r="M378" t="s">
        <v>20</v>
      </c>
      <c r="N378">
        <f t="shared" si="15"/>
        <v>2</v>
      </c>
      <c r="O378">
        <v>2015</v>
      </c>
      <c r="P378">
        <f t="shared" si="16"/>
        <v>8.5426659873892685</v>
      </c>
      <c r="Q378">
        <f t="shared" si="17"/>
        <v>5.2983673652980787</v>
      </c>
    </row>
    <row r="379" spans="1:17" hidden="1" x14ac:dyDescent="0.3">
      <c r="A379">
        <v>378</v>
      </c>
      <c r="B379">
        <v>874960</v>
      </c>
      <c r="C379" t="s">
        <v>762</v>
      </c>
      <c r="D379" t="s">
        <v>763</v>
      </c>
      <c r="E379">
        <v>20</v>
      </c>
      <c r="F379">
        <v>5125</v>
      </c>
      <c r="G379">
        <v>395</v>
      </c>
      <c r="H379">
        <v>53</v>
      </c>
      <c r="I379">
        <v>3</v>
      </c>
      <c r="J379" t="s">
        <v>17</v>
      </c>
      <c r="K379">
        <v>0.74</v>
      </c>
      <c r="L379">
        <v>7</v>
      </c>
      <c r="M379" t="s">
        <v>20</v>
      </c>
      <c r="N379">
        <f t="shared" si="15"/>
        <v>2</v>
      </c>
      <c r="O379">
        <v>2016</v>
      </c>
      <c r="P379">
        <f t="shared" si="16"/>
        <v>8.5418858040066095</v>
      </c>
      <c r="Q379">
        <f t="shared" si="17"/>
        <v>2.996232148595642</v>
      </c>
    </row>
    <row r="380" spans="1:17" x14ac:dyDescent="0.3">
      <c r="A380">
        <v>379</v>
      </c>
      <c r="B380">
        <v>527952</v>
      </c>
      <c r="C380" t="s">
        <v>764</v>
      </c>
      <c r="D380" t="s">
        <v>765</v>
      </c>
      <c r="E380">
        <v>100</v>
      </c>
      <c r="F380">
        <v>5117</v>
      </c>
      <c r="G380">
        <v>463</v>
      </c>
      <c r="H380">
        <v>138</v>
      </c>
      <c r="I380">
        <v>1</v>
      </c>
      <c r="J380" t="s">
        <v>13</v>
      </c>
      <c r="K380">
        <v>0.53</v>
      </c>
      <c r="L380">
        <v>14.5</v>
      </c>
      <c r="M380" t="s">
        <v>20</v>
      </c>
      <c r="N380">
        <f t="shared" si="15"/>
        <v>2</v>
      </c>
      <c r="O380">
        <v>2015</v>
      </c>
      <c r="P380">
        <f t="shared" si="16"/>
        <v>8.5403236088050924</v>
      </c>
      <c r="Q380">
        <f t="shared" si="17"/>
        <v>4.6052701809884251</v>
      </c>
    </row>
    <row r="381" spans="1:17" x14ac:dyDescent="0.3">
      <c r="A381">
        <v>380</v>
      </c>
      <c r="B381">
        <v>780056</v>
      </c>
      <c r="C381" t="s">
        <v>766</v>
      </c>
      <c r="D381" t="s">
        <v>767</v>
      </c>
      <c r="E381">
        <v>100</v>
      </c>
      <c r="F381">
        <v>5097</v>
      </c>
      <c r="G381">
        <v>196</v>
      </c>
      <c r="H381">
        <v>37</v>
      </c>
      <c r="I381">
        <v>1</v>
      </c>
      <c r="J381" t="s">
        <v>13</v>
      </c>
      <c r="K381">
        <v>0.56000000000000005</v>
      </c>
      <c r="L381">
        <v>2</v>
      </c>
      <c r="M381" t="s">
        <v>20</v>
      </c>
      <c r="N381">
        <f t="shared" si="15"/>
        <v>2</v>
      </c>
      <c r="O381">
        <v>2016</v>
      </c>
      <c r="P381">
        <f t="shared" si="16"/>
        <v>8.5364074103400416</v>
      </c>
      <c r="Q381">
        <f t="shared" si="17"/>
        <v>4.6052701809884251</v>
      </c>
    </row>
    <row r="382" spans="1:17" hidden="1" x14ac:dyDescent="0.3">
      <c r="A382">
        <v>381</v>
      </c>
      <c r="B382">
        <v>405818</v>
      </c>
      <c r="C382" t="s">
        <v>768</v>
      </c>
      <c r="D382" t="s">
        <v>769</v>
      </c>
      <c r="E382">
        <v>100</v>
      </c>
      <c r="F382">
        <v>5089</v>
      </c>
      <c r="G382">
        <v>685</v>
      </c>
      <c r="H382">
        <v>29</v>
      </c>
      <c r="I382">
        <v>4</v>
      </c>
      <c r="J382" t="s">
        <v>23</v>
      </c>
      <c r="K382">
        <v>0.74</v>
      </c>
      <c r="L382">
        <v>3.5</v>
      </c>
      <c r="M382" t="s">
        <v>20</v>
      </c>
      <c r="N382">
        <f t="shared" si="15"/>
        <v>2</v>
      </c>
      <c r="O382">
        <v>2015</v>
      </c>
      <c r="P382">
        <f t="shared" si="16"/>
        <v>8.5348366265888327</v>
      </c>
      <c r="Q382">
        <f t="shared" si="17"/>
        <v>4.6052701809884251</v>
      </c>
    </row>
    <row r="383" spans="1:17" hidden="1" x14ac:dyDescent="0.3">
      <c r="A383">
        <v>382</v>
      </c>
      <c r="B383">
        <v>151956</v>
      </c>
      <c r="C383" t="s">
        <v>770</v>
      </c>
      <c r="D383" t="s">
        <v>771</v>
      </c>
      <c r="E383">
        <v>195</v>
      </c>
      <c r="F383">
        <v>5085</v>
      </c>
      <c r="G383">
        <v>106</v>
      </c>
      <c r="H383">
        <v>27</v>
      </c>
      <c r="I383">
        <v>4</v>
      </c>
      <c r="J383" t="s">
        <v>23</v>
      </c>
      <c r="K383">
        <v>0.64</v>
      </c>
      <c r="L383">
        <v>6.5</v>
      </c>
      <c r="M383" t="s">
        <v>20</v>
      </c>
      <c r="N383">
        <f t="shared" si="15"/>
        <v>2</v>
      </c>
      <c r="O383">
        <v>2014</v>
      </c>
      <c r="P383">
        <f t="shared" si="16"/>
        <v>8.5340503084826604</v>
      </c>
      <c r="Q383">
        <f t="shared" si="17"/>
        <v>5.273050839300149</v>
      </c>
    </row>
    <row r="384" spans="1:17" hidden="1" x14ac:dyDescent="0.3">
      <c r="A384">
        <v>383</v>
      </c>
      <c r="B384">
        <v>543090</v>
      </c>
      <c r="C384" t="s">
        <v>772</v>
      </c>
      <c r="D384" t="s">
        <v>773</v>
      </c>
      <c r="E384">
        <v>45</v>
      </c>
      <c r="F384">
        <v>5077</v>
      </c>
      <c r="G384">
        <v>126</v>
      </c>
      <c r="H384">
        <v>66</v>
      </c>
      <c r="I384">
        <v>4</v>
      </c>
      <c r="J384" t="s">
        <v>23</v>
      </c>
      <c r="K384">
        <v>0.99</v>
      </c>
      <c r="L384">
        <v>3.5</v>
      </c>
      <c r="M384" t="s">
        <v>20</v>
      </c>
      <c r="N384">
        <f t="shared" si="15"/>
        <v>2</v>
      </c>
      <c r="O384">
        <v>2015</v>
      </c>
      <c r="P384">
        <f t="shared" si="16"/>
        <v>8.5324758149473947</v>
      </c>
      <c r="Q384">
        <f t="shared" si="17"/>
        <v>3.8068846873048412</v>
      </c>
    </row>
    <row r="385" spans="1:17" hidden="1" x14ac:dyDescent="0.3">
      <c r="A385">
        <v>384</v>
      </c>
      <c r="B385">
        <v>642696</v>
      </c>
      <c r="C385" t="s">
        <v>774</v>
      </c>
      <c r="D385" t="s">
        <v>775</v>
      </c>
      <c r="E385">
        <v>95</v>
      </c>
      <c r="F385">
        <v>5065</v>
      </c>
      <c r="G385">
        <v>40</v>
      </c>
      <c r="H385">
        <v>12</v>
      </c>
      <c r="I385">
        <v>4</v>
      </c>
      <c r="J385" t="s">
        <v>23</v>
      </c>
      <c r="K385">
        <v>0.99</v>
      </c>
      <c r="L385">
        <v>0.53333333000000005</v>
      </c>
      <c r="M385" t="s">
        <v>20</v>
      </c>
      <c r="N385">
        <f t="shared" si="15"/>
        <v>2</v>
      </c>
      <c r="O385">
        <v>2015</v>
      </c>
      <c r="P385">
        <f t="shared" si="16"/>
        <v>8.5301094166827838</v>
      </c>
      <c r="Q385">
        <f t="shared" si="17"/>
        <v>4.5539821492186583</v>
      </c>
    </row>
    <row r="386" spans="1:17" hidden="1" x14ac:dyDescent="0.3">
      <c r="A386">
        <v>385</v>
      </c>
      <c r="B386">
        <v>358508</v>
      </c>
      <c r="C386" t="s">
        <v>776</v>
      </c>
      <c r="D386" t="s">
        <v>777</v>
      </c>
      <c r="E386">
        <v>20</v>
      </c>
      <c r="F386">
        <v>5056</v>
      </c>
      <c r="G386">
        <v>74</v>
      </c>
      <c r="H386">
        <v>11</v>
      </c>
      <c r="I386">
        <v>4</v>
      </c>
      <c r="J386" t="s">
        <v>23</v>
      </c>
      <c r="K386">
        <v>0.99</v>
      </c>
      <c r="L386">
        <v>2</v>
      </c>
      <c r="M386" t="s">
        <v>20</v>
      </c>
      <c r="N386">
        <f t="shared" ref="N386:N449" si="18">IF(M386="Free",1,IF(M386="Paid",2,0))</f>
        <v>2</v>
      </c>
      <c r="O386">
        <v>2014</v>
      </c>
      <c r="P386">
        <f t="shared" ref="P386:P449" si="19">LN(F386)</f>
        <v>8.528330935826693</v>
      </c>
      <c r="Q386">
        <f t="shared" ref="Q386:Q449" si="20">LN(E386+0.01)</f>
        <v>2.996232148595642</v>
      </c>
    </row>
    <row r="387" spans="1:17" hidden="1" x14ac:dyDescent="0.3">
      <c r="A387">
        <v>386</v>
      </c>
      <c r="B387">
        <v>375136</v>
      </c>
      <c r="C387" t="s">
        <v>778</v>
      </c>
      <c r="D387" t="s">
        <v>779</v>
      </c>
      <c r="E387">
        <v>0</v>
      </c>
      <c r="F387">
        <v>5052</v>
      </c>
      <c r="G387">
        <v>92</v>
      </c>
      <c r="H387">
        <v>23</v>
      </c>
      <c r="I387">
        <v>2</v>
      </c>
      <c r="J387" t="s">
        <v>32</v>
      </c>
      <c r="K387">
        <v>0.99</v>
      </c>
      <c r="L387">
        <v>1.5</v>
      </c>
      <c r="M387" t="s">
        <v>14</v>
      </c>
      <c r="N387">
        <f t="shared" si="18"/>
        <v>1</v>
      </c>
      <c r="O387">
        <v>2014</v>
      </c>
      <c r="P387">
        <f t="shared" si="19"/>
        <v>8.527539483470381</v>
      </c>
      <c r="Q387">
        <f t="shared" si="20"/>
        <v>-4.6051701859880909</v>
      </c>
    </row>
    <row r="388" spans="1:17" hidden="1" x14ac:dyDescent="0.3">
      <c r="A388">
        <v>387</v>
      </c>
      <c r="B388">
        <v>1218130</v>
      </c>
      <c r="C388" t="s">
        <v>780</v>
      </c>
      <c r="D388" t="s">
        <v>781</v>
      </c>
      <c r="E388">
        <v>80</v>
      </c>
      <c r="F388">
        <v>5026</v>
      </c>
      <c r="G388">
        <v>72</v>
      </c>
      <c r="H388">
        <v>43</v>
      </c>
      <c r="I388">
        <v>2</v>
      </c>
      <c r="J388" t="s">
        <v>32</v>
      </c>
      <c r="K388">
        <v>0.99</v>
      </c>
      <c r="L388">
        <v>3</v>
      </c>
      <c r="M388" t="s">
        <v>20</v>
      </c>
      <c r="N388">
        <f t="shared" si="18"/>
        <v>2</v>
      </c>
      <c r="O388">
        <v>2017</v>
      </c>
      <c r="P388">
        <f t="shared" si="19"/>
        <v>8.5223797181035383</v>
      </c>
      <c r="Q388">
        <f t="shared" si="20"/>
        <v>4.3821516268620329</v>
      </c>
    </row>
    <row r="389" spans="1:17" x14ac:dyDescent="0.3">
      <c r="A389">
        <v>388</v>
      </c>
      <c r="B389">
        <v>861122</v>
      </c>
      <c r="C389" t="s">
        <v>782</v>
      </c>
      <c r="D389" t="s">
        <v>783</v>
      </c>
      <c r="E389">
        <v>75</v>
      </c>
      <c r="F389">
        <v>5022</v>
      </c>
      <c r="G389">
        <v>38</v>
      </c>
      <c r="H389">
        <v>13</v>
      </c>
      <c r="I389">
        <v>1</v>
      </c>
      <c r="J389" t="s">
        <v>13</v>
      </c>
      <c r="K389">
        <v>0.99</v>
      </c>
      <c r="L389">
        <v>1</v>
      </c>
      <c r="M389" t="s">
        <v>20</v>
      </c>
      <c r="N389">
        <f t="shared" si="18"/>
        <v>2</v>
      </c>
      <c r="O389">
        <v>2016</v>
      </c>
      <c r="P389">
        <f t="shared" si="19"/>
        <v>8.5215835397175308</v>
      </c>
      <c r="Q389">
        <f t="shared" si="20"/>
        <v>4.3176214379815452</v>
      </c>
    </row>
    <row r="390" spans="1:17" hidden="1" x14ac:dyDescent="0.3">
      <c r="A390">
        <v>389</v>
      </c>
      <c r="B390">
        <v>576722</v>
      </c>
      <c r="C390" t="s">
        <v>784</v>
      </c>
      <c r="D390" t="s">
        <v>785</v>
      </c>
      <c r="E390">
        <v>0</v>
      </c>
      <c r="F390">
        <v>5014</v>
      </c>
      <c r="G390">
        <v>196</v>
      </c>
      <c r="H390">
        <v>32</v>
      </c>
      <c r="I390">
        <v>2</v>
      </c>
      <c r="J390" t="s">
        <v>32</v>
      </c>
      <c r="K390">
        <v>0.99</v>
      </c>
      <c r="L390">
        <v>3</v>
      </c>
      <c r="M390" t="s">
        <v>14</v>
      </c>
      <c r="N390">
        <f t="shared" si="18"/>
        <v>1</v>
      </c>
      <c r="O390">
        <v>2015</v>
      </c>
      <c r="P390">
        <f t="shared" si="19"/>
        <v>8.5199892787182385</v>
      </c>
      <c r="Q390">
        <f t="shared" si="20"/>
        <v>-4.6051701859880909</v>
      </c>
    </row>
    <row r="391" spans="1:17" hidden="1" x14ac:dyDescent="0.3">
      <c r="A391">
        <v>390</v>
      </c>
      <c r="B391">
        <v>708558</v>
      </c>
      <c r="C391" t="s">
        <v>786</v>
      </c>
      <c r="D391" t="s">
        <v>787</v>
      </c>
      <c r="E391">
        <v>0</v>
      </c>
      <c r="F391">
        <v>5004</v>
      </c>
      <c r="G391">
        <v>52</v>
      </c>
      <c r="H391">
        <v>21</v>
      </c>
      <c r="I391">
        <v>4</v>
      </c>
      <c r="J391" t="s">
        <v>23</v>
      </c>
      <c r="K391">
        <v>0.99</v>
      </c>
      <c r="L391">
        <v>3</v>
      </c>
      <c r="M391" t="s">
        <v>14</v>
      </c>
      <c r="N391">
        <f t="shared" si="18"/>
        <v>1</v>
      </c>
      <c r="O391">
        <v>2015</v>
      </c>
      <c r="P391">
        <f t="shared" si="19"/>
        <v>8.5179928715868023</v>
      </c>
      <c r="Q391">
        <f t="shared" si="20"/>
        <v>-4.6051701859880909</v>
      </c>
    </row>
    <row r="392" spans="1:17" x14ac:dyDescent="0.3">
      <c r="A392">
        <v>391</v>
      </c>
      <c r="B392">
        <v>306556</v>
      </c>
      <c r="C392" t="s">
        <v>788</v>
      </c>
      <c r="D392" t="s">
        <v>789</v>
      </c>
      <c r="E392">
        <v>90</v>
      </c>
      <c r="F392">
        <v>4957</v>
      </c>
      <c r="G392">
        <v>634</v>
      </c>
      <c r="H392">
        <v>60</v>
      </c>
      <c r="I392">
        <v>1</v>
      </c>
      <c r="J392" t="s">
        <v>13</v>
      </c>
      <c r="K392">
        <v>0.99</v>
      </c>
      <c r="L392">
        <v>5.5</v>
      </c>
      <c r="M392" t="s">
        <v>20</v>
      </c>
      <c r="N392">
        <f t="shared" si="18"/>
        <v>2</v>
      </c>
      <c r="O392">
        <v>2014</v>
      </c>
      <c r="P392">
        <f t="shared" si="19"/>
        <v>8.5085559980205741</v>
      </c>
      <c r="Q392">
        <f t="shared" si="20"/>
        <v>4.4999207752689943</v>
      </c>
    </row>
    <row r="393" spans="1:17" x14ac:dyDescent="0.3">
      <c r="A393">
        <v>392</v>
      </c>
      <c r="B393">
        <v>988982</v>
      </c>
      <c r="C393" t="s">
        <v>790</v>
      </c>
      <c r="D393" t="s">
        <v>791</v>
      </c>
      <c r="E393">
        <v>0</v>
      </c>
      <c r="F393">
        <v>4905</v>
      </c>
      <c r="G393">
        <v>101</v>
      </c>
      <c r="H393">
        <v>13</v>
      </c>
      <c r="I393">
        <v>1</v>
      </c>
      <c r="J393" t="s">
        <v>13</v>
      </c>
      <c r="K393">
        <v>0.99</v>
      </c>
      <c r="L393">
        <v>1</v>
      </c>
      <c r="M393" t="s">
        <v>14</v>
      </c>
      <c r="N393">
        <f t="shared" si="18"/>
        <v>1</v>
      </c>
      <c r="O393">
        <v>2016</v>
      </c>
      <c r="P393">
        <f t="shared" si="19"/>
        <v>8.4980103719994631</v>
      </c>
      <c r="Q393">
        <f t="shared" si="20"/>
        <v>-4.6051701859880909</v>
      </c>
    </row>
    <row r="394" spans="1:17" x14ac:dyDescent="0.3">
      <c r="A394">
        <v>393</v>
      </c>
      <c r="B394">
        <v>918870</v>
      </c>
      <c r="C394" t="s">
        <v>792</v>
      </c>
      <c r="D394" t="s">
        <v>793</v>
      </c>
      <c r="E394">
        <v>50</v>
      </c>
      <c r="F394">
        <v>4892</v>
      </c>
      <c r="G394">
        <v>49</v>
      </c>
      <c r="H394">
        <v>32</v>
      </c>
      <c r="I394">
        <v>1</v>
      </c>
      <c r="J394" t="s">
        <v>13</v>
      </c>
      <c r="K394">
        <v>0.99</v>
      </c>
      <c r="L394">
        <v>2</v>
      </c>
      <c r="M394" t="s">
        <v>20</v>
      </c>
      <c r="N394">
        <f t="shared" si="18"/>
        <v>2</v>
      </c>
      <c r="O394">
        <v>2016</v>
      </c>
      <c r="P394">
        <f t="shared" si="19"/>
        <v>8.4953564968070623</v>
      </c>
      <c r="Q394">
        <f t="shared" si="20"/>
        <v>3.9122229854308124</v>
      </c>
    </row>
    <row r="395" spans="1:17" hidden="1" x14ac:dyDescent="0.3">
      <c r="A395">
        <v>394</v>
      </c>
      <c r="B395">
        <v>1002030</v>
      </c>
      <c r="C395" t="s">
        <v>794</v>
      </c>
      <c r="D395" t="s">
        <v>795</v>
      </c>
      <c r="E395">
        <v>65</v>
      </c>
      <c r="F395">
        <v>4872</v>
      </c>
      <c r="G395">
        <v>662</v>
      </c>
      <c r="H395">
        <v>171</v>
      </c>
      <c r="I395">
        <v>4</v>
      </c>
      <c r="J395" t="s">
        <v>23</v>
      </c>
      <c r="K395">
        <v>0.99</v>
      </c>
      <c r="L395">
        <v>19</v>
      </c>
      <c r="M395" t="s">
        <v>20</v>
      </c>
      <c r="N395">
        <f t="shared" si="18"/>
        <v>2</v>
      </c>
      <c r="O395">
        <v>2017</v>
      </c>
      <c r="P395">
        <f t="shared" si="19"/>
        <v>8.4912598093897333</v>
      </c>
      <c r="Q395">
        <f t="shared" si="20"/>
        <v>4.1745411042163774</v>
      </c>
    </row>
    <row r="396" spans="1:17" hidden="1" x14ac:dyDescent="0.3">
      <c r="A396">
        <v>395</v>
      </c>
      <c r="B396">
        <v>806020</v>
      </c>
      <c r="C396" t="s">
        <v>796</v>
      </c>
      <c r="D396" t="s">
        <v>797</v>
      </c>
      <c r="E396">
        <v>20</v>
      </c>
      <c r="F396">
        <v>4867</v>
      </c>
      <c r="G396">
        <v>128</v>
      </c>
      <c r="H396">
        <v>12</v>
      </c>
      <c r="I396">
        <v>4</v>
      </c>
      <c r="J396" t="s">
        <v>23</v>
      </c>
      <c r="K396">
        <v>0.99</v>
      </c>
      <c r="L396">
        <v>1</v>
      </c>
      <c r="M396" t="s">
        <v>20</v>
      </c>
      <c r="N396">
        <f t="shared" si="18"/>
        <v>2</v>
      </c>
      <c r="O396">
        <v>2016</v>
      </c>
      <c r="P396">
        <f t="shared" si="19"/>
        <v>8.4902330098334549</v>
      </c>
      <c r="Q396">
        <f t="shared" si="20"/>
        <v>2.996232148595642</v>
      </c>
    </row>
    <row r="397" spans="1:17" x14ac:dyDescent="0.3">
      <c r="A397">
        <v>396</v>
      </c>
      <c r="B397">
        <v>903526</v>
      </c>
      <c r="C397" t="s">
        <v>798</v>
      </c>
      <c r="D397" t="s">
        <v>799</v>
      </c>
      <c r="E397">
        <v>20</v>
      </c>
      <c r="F397">
        <v>4848</v>
      </c>
      <c r="G397">
        <v>33</v>
      </c>
      <c r="H397">
        <v>17</v>
      </c>
      <c r="I397">
        <v>1</v>
      </c>
      <c r="J397" t="s">
        <v>13</v>
      </c>
      <c r="K397">
        <v>0.99</v>
      </c>
      <c r="L397">
        <v>1.5</v>
      </c>
      <c r="M397" t="s">
        <v>20</v>
      </c>
      <c r="N397">
        <f t="shared" si="18"/>
        <v>2</v>
      </c>
      <c r="O397">
        <v>2016</v>
      </c>
      <c r="P397">
        <f t="shared" si="19"/>
        <v>8.4863215277491495</v>
      </c>
      <c r="Q397">
        <f t="shared" si="20"/>
        <v>2.996232148595642</v>
      </c>
    </row>
    <row r="398" spans="1:17" hidden="1" x14ac:dyDescent="0.3">
      <c r="A398">
        <v>397</v>
      </c>
      <c r="B398">
        <v>1115222</v>
      </c>
      <c r="C398" t="s">
        <v>800</v>
      </c>
      <c r="D398" t="s">
        <v>801</v>
      </c>
      <c r="E398">
        <v>30</v>
      </c>
      <c r="F398">
        <v>4848</v>
      </c>
      <c r="G398">
        <v>105</v>
      </c>
      <c r="H398">
        <v>123</v>
      </c>
      <c r="I398">
        <v>4</v>
      </c>
      <c r="J398" t="s">
        <v>23</v>
      </c>
      <c r="K398">
        <v>0.99</v>
      </c>
      <c r="L398">
        <v>16.5</v>
      </c>
      <c r="M398" t="s">
        <v>20</v>
      </c>
      <c r="N398">
        <f t="shared" si="18"/>
        <v>2</v>
      </c>
      <c r="O398">
        <v>2017</v>
      </c>
      <c r="P398">
        <f t="shared" si="19"/>
        <v>8.4863215277491495</v>
      </c>
      <c r="Q398">
        <f t="shared" si="20"/>
        <v>3.4015306594522756</v>
      </c>
    </row>
    <row r="399" spans="1:17" x14ac:dyDescent="0.3">
      <c r="A399">
        <v>398</v>
      </c>
      <c r="B399">
        <v>657710</v>
      </c>
      <c r="C399" t="s">
        <v>802</v>
      </c>
      <c r="D399" t="s">
        <v>803</v>
      </c>
      <c r="E399">
        <v>35</v>
      </c>
      <c r="F399">
        <v>4839</v>
      </c>
      <c r="G399">
        <v>129</v>
      </c>
      <c r="H399">
        <v>84</v>
      </c>
      <c r="I399">
        <v>1</v>
      </c>
      <c r="J399" t="s">
        <v>13</v>
      </c>
      <c r="K399">
        <v>0.99</v>
      </c>
      <c r="L399">
        <v>4</v>
      </c>
      <c r="M399" t="s">
        <v>20</v>
      </c>
      <c r="N399">
        <f t="shared" si="18"/>
        <v>2</v>
      </c>
      <c r="O399">
        <v>2015</v>
      </c>
      <c r="P399">
        <f t="shared" si="19"/>
        <v>8.4844633667933191</v>
      </c>
      <c r="Q399">
        <f t="shared" si="20"/>
        <v>3.5556337349665741</v>
      </c>
    </row>
    <row r="400" spans="1:17" x14ac:dyDescent="0.3">
      <c r="A400">
        <v>399</v>
      </c>
      <c r="B400">
        <v>575644</v>
      </c>
      <c r="C400" t="s">
        <v>804</v>
      </c>
      <c r="D400" t="s">
        <v>805</v>
      </c>
      <c r="E400">
        <v>0</v>
      </c>
      <c r="F400">
        <v>4830</v>
      </c>
      <c r="G400">
        <v>38</v>
      </c>
      <c r="H400">
        <v>7</v>
      </c>
      <c r="I400">
        <v>1</v>
      </c>
      <c r="J400" t="s">
        <v>13</v>
      </c>
      <c r="K400">
        <v>0.99</v>
      </c>
      <c r="L400">
        <v>0.53333333000000005</v>
      </c>
      <c r="M400" t="s">
        <v>14</v>
      </c>
      <c r="N400">
        <f t="shared" si="18"/>
        <v>1</v>
      </c>
      <c r="O400">
        <v>2015</v>
      </c>
      <c r="P400">
        <f t="shared" si="19"/>
        <v>8.482601746646619</v>
      </c>
      <c r="Q400">
        <f t="shared" si="20"/>
        <v>-4.6051701859880909</v>
      </c>
    </row>
    <row r="401" spans="1:17" hidden="1" x14ac:dyDescent="0.3">
      <c r="A401">
        <v>400</v>
      </c>
      <c r="B401">
        <v>687466</v>
      </c>
      <c r="C401" t="s">
        <v>806</v>
      </c>
      <c r="D401" t="s">
        <v>807</v>
      </c>
      <c r="E401">
        <v>75</v>
      </c>
      <c r="F401">
        <v>4820</v>
      </c>
      <c r="G401">
        <v>983</v>
      </c>
      <c r="H401">
        <v>53</v>
      </c>
      <c r="I401">
        <v>4</v>
      </c>
      <c r="J401" t="s">
        <v>23</v>
      </c>
      <c r="K401">
        <v>0.99</v>
      </c>
      <c r="L401">
        <v>11.5</v>
      </c>
      <c r="M401" t="s">
        <v>20</v>
      </c>
      <c r="N401">
        <f t="shared" si="18"/>
        <v>2</v>
      </c>
      <c r="O401">
        <v>2015</v>
      </c>
      <c r="P401">
        <f t="shared" si="19"/>
        <v>8.4805292070446452</v>
      </c>
      <c r="Q401">
        <f t="shared" si="20"/>
        <v>4.3176214379815452</v>
      </c>
    </row>
    <row r="402" spans="1:17" hidden="1" x14ac:dyDescent="0.3">
      <c r="A402">
        <v>401</v>
      </c>
      <c r="B402">
        <v>653754</v>
      </c>
      <c r="C402" t="s">
        <v>808</v>
      </c>
      <c r="D402" t="s">
        <v>809</v>
      </c>
      <c r="E402">
        <v>65</v>
      </c>
      <c r="F402">
        <v>4797</v>
      </c>
      <c r="G402">
        <v>97</v>
      </c>
      <c r="H402">
        <v>11</v>
      </c>
      <c r="I402">
        <v>4</v>
      </c>
      <c r="J402" t="s">
        <v>23</v>
      </c>
      <c r="K402">
        <v>0.99</v>
      </c>
      <c r="L402">
        <v>1</v>
      </c>
      <c r="M402" t="s">
        <v>20</v>
      </c>
      <c r="N402">
        <f t="shared" si="18"/>
        <v>2</v>
      </c>
      <c r="O402">
        <v>2015</v>
      </c>
      <c r="P402">
        <f t="shared" si="19"/>
        <v>8.4757460015020634</v>
      </c>
      <c r="Q402">
        <f t="shared" si="20"/>
        <v>4.1745411042163774</v>
      </c>
    </row>
    <row r="403" spans="1:17" hidden="1" x14ac:dyDescent="0.3">
      <c r="A403">
        <v>402</v>
      </c>
      <c r="B403">
        <v>1124970</v>
      </c>
      <c r="C403" t="s">
        <v>810</v>
      </c>
      <c r="D403" t="s">
        <v>811</v>
      </c>
      <c r="E403">
        <v>175</v>
      </c>
      <c r="F403">
        <v>4783</v>
      </c>
      <c r="G403">
        <v>41</v>
      </c>
      <c r="H403">
        <v>48</v>
      </c>
      <c r="I403">
        <v>4</v>
      </c>
      <c r="J403" t="s">
        <v>23</v>
      </c>
      <c r="K403">
        <v>0.99</v>
      </c>
      <c r="L403">
        <v>7</v>
      </c>
      <c r="M403" t="s">
        <v>20</v>
      </c>
      <c r="N403">
        <f t="shared" si="18"/>
        <v>2</v>
      </c>
      <c r="O403">
        <v>2017</v>
      </c>
      <c r="P403">
        <f t="shared" si="19"/>
        <v>8.4728232436802973</v>
      </c>
      <c r="Q403">
        <f t="shared" si="20"/>
        <v>5.1648431151480656</v>
      </c>
    </row>
    <row r="404" spans="1:17" hidden="1" x14ac:dyDescent="0.3">
      <c r="A404">
        <v>403</v>
      </c>
      <c r="B404">
        <v>53256</v>
      </c>
      <c r="C404" t="s">
        <v>812</v>
      </c>
      <c r="D404" t="s">
        <v>813</v>
      </c>
      <c r="E404">
        <v>75</v>
      </c>
      <c r="F404">
        <v>4743</v>
      </c>
      <c r="G404">
        <v>393</v>
      </c>
      <c r="H404">
        <v>28</v>
      </c>
      <c r="I404">
        <v>4</v>
      </c>
      <c r="J404" t="s">
        <v>23</v>
      </c>
      <c r="K404">
        <v>0.99</v>
      </c>
      <c r="L404">
        <v>3</v>
      </c>
      <c r="M404" t="s">
        <v>20</v>
      </c>
      <c r="N404">
        <f t="shared" si="18"/>
        <v>2</v>
      </c>
      <c r="O404">
        <v>2013</v>
      </c>
      <c r="P404">
        <f t="shared" si="19"/>
        <v>8.4644251258775824</v>
      </c>
      <c r="Q404">
        <f t="shared" si="20"/>
        <v>4.3176214379815452</v>
      </c>
    </row>
    <row r="405" spans="1:17" hidden="1" x14ac:dyDescent="0.3">
      <c r="A405">
        <v>404</v>
      </c>
      <c r="B405">
        <v>837950</v>
      </c>
      <c r="C405" t="s">
        <v>814</v>
      </c>
      <c r="D405" t="s">
        <v>815</v>
      </c>
      <c r="E405">
        <v>0</v>
      </c>
      <c r="F405">
        <v>4735</v>
      </c>
      <c r="G405">
        <v>81</v>
      </c>
      <c r="H405">
        <v>69</v>
      </c>
      <c r="I405">
        <v>2</v>
      </c>
      <c r="J405" t="s">
        <v>32</v>
      </c>
      <c r="K405">
        <v>0.99</v>
      </c>
      <c r="L405">
        <v>5</v>
      </c>
      <c r="M405" t="s">
        <v>14</v>
      </c>
      <c r="N405">
        <f t="shared" si="18"/>
        <v>1</v>
      </c>
      <c r="O405">
        <v>2016</v>
      </c>
      <c r="P405">
        <f t="shared" si="19"/>
        <v>8.4627370056201787</v>
      </c>
      <c r="Q405">
        <f t="shared" si="20"/>
        <v>-4.6051701859880909</v>
      </c>
    </row>
    <row r="406" spans="1:17" hidden="1" x14ac:dyDescent="0.3">
      <c r="A406">
        <v>405</v>
      </c>
      <c r="B406">
        <v>484872</v>
      </c>
      <c r="C406" t="s">
        <v>816</v>
      </c>
      <c r="D406" t="s">
        <v>817</v>
      </c>
      <c r="E406">
        <v>50</v>
      </c>
      <c r="F406">
        <v>4732</v>
      </c>
      <c r="G406">
        <v>5</v>
      </c>
      <c r="H406">
        <v>14</v>
      </c>
      <c r="I406">
        <v>4</v>
      </c>
      <c r="J406" t="s">
        <v>23</v>
      </c>
      <c r="K406">
        <v>0.99</v>
      </c>
      <c r="L406">
        <v>2</v>
      </c>
      <c r="M406" t="s">
        <v>20</v>
      </c>
      <c r="N406">
        <f t="shared" si="18"/>
        <v>2</v>
      </c>
      <c r="O406">
        <v>2015</v>
      </c>
      <c r="P406">
        <f t="shared" si="19"/>
        <v>8.4621032250982768</v>
      </c>
      <c r="Q406">
        <f t="shared" si="20"/>
        <v>3.9122229854308124</v>
      </c>
    </row>
    <row r="407" spans="1:17" x14ac:dyDescent="0.3">
      <c r="A407">
        <v>406</v>
      </c>
      <c r="B407">
        <v>886300</v>
      </c>
      <c r="C407" t="s">
        <v>818</v>
      </c>
      <c r="D407" t="s">
        <v>819</v>
      </c>
      <c r="E407">
        <v>110</v>
      </c>
      <c r="F407">
        <v>4720</v>
      </c>
      <c r="G407">
        <v>1017</v>
      </c>
      <c r="H407">
        <v>126</v>
      </c>
      <c r="I407">
        <v>1</v>
      </c>
      <c r="J407" t="s">
        <v>13</v>
      </c>
      <c r="K407">
        <v>0.99</v>
      </c>
      <c r="L407">
        <v>7.5</v>
      </c>
      <c r="M407" t="s">
        <v>20</v>
      </c>
      <c r="N407">
        <f t="shared" si="18"/>
        <v>2</v>
      </c>
      <c r="O407">
        <v>2016</v>
      </c>
      <c r="P407">
        <f t="shared" si="19"/>
        <v>8.4595640785796018</v>
      </c>
      <c r="Q407">
        <f t="shared" si="20"/>
        <v>4.7005712707513441</v>
      </c>
    </row>
    <row r="408" spans="1:17" x14ac:dyDescent="0.3">
      <c r="A408">
        <v>407</v>
      </c>
      <c r="B408">
        <v>552198</v>
      </c>
      <c r="C408" t="s">
        <v>820</v>
      </c>
      <c r="D408" t="s">
        <v>821</v>
      </c>
      <c r="E408">
        <v>200</v>
      </c>
      <c r="F408">
        <v>4714</v>
      </c>
      <c r="G408">
        <v>149</v>
      </c>
      <c r="H408">
        <v>28</v>
      </c>
      <c r="I408">
        <v>1</v>
      </c>
      <c r="J408" t="s">
        <v>13</v>
      </c>
      <c r="K408">
        <v>0.99</v>
      </c>
      <c r="L408">
        <v>4</v>
      </c>
      <c r="M408" t="s">
        <v>20</v>
      </c>
      <c r="N408">
        <f t="shared" si="18"/>
        <v>2</v>
      </c>
      <c r="O408">
        <v>2015</v>
      </c>
      <c r="P408">
        <f t="shared" si="19"/>
        <v>8.458292083496076</v>
      </c>
      <c r="Q408">
        <f t="shared" si="20"/>
        <v>5.2983673652980787</v>
      </c>
    </row>
    <row r="409" spans="1:17" x14ac:dyDescent="0.3">
      <c r="A409">
        <v>408</v>
      </c>
      <c r="B409">
        <v>970874</v>
      </c>
      <c r="C409" t="s">
        <v>822</v>
      </c>
      <c r="D409" t="s">
        <v>823</v>
      </c>
      <c r="E409">
        <v>195</v>
      </c>
      <c r="F409">
        <v>4708</v>
      </c>
      <c r="G409">
        <v>111</v>
      </c>
      <c r="H409">
        <v>18</v>
      </c>
      <c r="I409">
        <v>1</v>
      </c>
      <c r="J409" t="s">
        <v>13</v>
      </c>
      <c r="K409">
        <v>0.21</v>
      </c>
      <c r="L409">
        <v>2.5</v>
      </c>
      <c r="M409" t="s">
        <v>20</v>
      </c>
      <c r="N409">
        <f t="shared" si="18"/>
        <v>2</v>
      </c>
      <c r="O409">
        <v>2016</v>
      </c>
      <c r="P409">
        <f t="shared" si="19"/>
        <v>8.4570184683801681</v>
      </c>
      <c r="Q409">
        <f t="shared" si="20"/>
        <v>5.273050839300149</v>
      </c>
    </row>
    <row r="410" spans="1:17" x14ac:dyDescent="0.3">
      <c r="A410">
        <v>409</v>
      </c>
      <c r="B410">
        <v>303514</v>
      </c>
      <c r="C410" t="s">
        <v>824</v>
      </c>
      <c r="D410" t="s">
        <v>825</v>
      </c>
      <c r="E410">
        <v>60</v>
      </c>
      <c r="F410">
        <v>4689</v>
      </c>
      <c r="G410">
        <v>216</v>
      </c>
      <c r="H410">
        <v>54</v>
      </c>
      <c r="I410">
        <v>1</v>
      </c>
      <c r="J410" t="s">
        <v>13</v>
      </c>
      <c r="K410">
        <v>0.52</v>
      </c>
      <c r="L410">
        <v>10</v>
      </c>
      <c r="M410" t="s">
        <v>20</v>
      </c>
      <c r="N410">
        <f t="shared" si="18"/>
        <v>2</v>
      </c>
      <c r="O410">
        <v>2014</v>
      </c>
      <c r="P410">
        <f t="shared" si="19"/>
        <v>8.452974619089586</v>
      </c>
      <c r="Q410">
        <f t="shared" si="20"/>
        <v>4.0945112150014218</v>
      </c>
    </row>
    <row r="411" spans="1:17" hidden="1" x14ac:dyDescent="0.3">
      <c r="A411">
        <v>410</v>
      </c>
      <c r="B411">
        <v>959604</v>
      </c>
      <c r="C411" t="s">
        <v>826</v>
      </c>
      <c r="D411" t="s">
        <v>827</v>
      </c>
      <c r="E411">
        <v>195</v>
      </c>
      <c r="F411">
        <v>4687</v>
      </c>
      <c r="G411">
        <v>99</v>
      </c>
      <c r="H411">
        <v>24</v>
      </c>
      <c r="I411">
        <v>4</v>
      </c>
      <c r="J411" t="s">
        <v>23</v>
      </c>
      <c r="K411">
        <v>0.14000000000000001</v>
      </c>
      <c r="L411">
        <v>4</v>
      </c>
      <c r="M411" t="s">
        <v>20</v>
      </c>
      <c r="N411">
        <f t="shared" si="18"/>
        <v>2</v>
      </c>
      <c r="O411">
        <v>2017</v>
      </c>
      <c r="P411">
        <f t="shared" si="19"/>
        <v>8.4525479979227054</v>
      </c>
      <c r="Q411">
        <f t="shared" si="20"/>
        <v>5.273050839300149</v>
      </c>
    </row>
    <row r="412" spans="1:17" x14ac:dyDescent="0.3">
      <c r="A412">
        <v>411</v>
      </c>
      <c r="B412">
        <v>416282</v>
      </c>
      <c r="C412" t="s">
        <v>828</v>
      </c>
      <c r="D412" t="s">
        <v>829</v>
      </c>
      <c r="E412">
        <v>95</v>
      </c>
      <c r="F412">
        <v>4675</v>
      </c>
      <c r="G412">
        <v>15</v>
      </c>
      <c r="H412">
        <v>56</v>
      </c>
      <c r="I412">
        <v>1</v>
      </c>
      <c r="J412" t="s">
        <v>13</v>
      </c>
      <c r="K412">
        <v>0.15</v>
      </c>
      <c r="L412">
        <v>6</v>
      </c>
      <c r="M412" t="s">
        <v>20</v>
      </c>
      <c r="N412">
        <f t="shared" si="18"/>
        <v>2</v>
      </c>
      <c r="O412">
        <v>2015</v>
      </c>
      <c r="P412">
        <f t="shared" si="19"/>
        <v>8.449984441722787</v>
      </c>
      <c r="Q412">
        <f t="shared" si="20"/>
        <v>4.5539821492186583</v>
      </c>
    </row>
    <row r="413" spans="1:17" hidden="1" x14ac:dyDescent="0.3">
      <c r="A413">
        <v>412</v>
      </c>
      <c r="B413">
        <v>1114060</v>
      </c>
      <c r="C413" t="s">
        <v>830</v>
      </c>
      <c r="D413" t="s">
        <v>831</v>
      </c>
      <c r="E413">
        <v>0</v>
      </c>
      <c r="F413">
        <v>4645</v>
      </c>
      <c r="G413">
        <v>171</v>
      </c>
      <c r="H413">
        <v>19</v>
      </c>
      <c r="I413">
        <v>4</v>
      </c>
      <c r="J413" t="s">
        <v>23</v>
      </c>
      <c r="K413">
        <v>0.96</v>
      </c>
      <c r="L413">
        <v>2</v>
      </c>
      <c r="M413" t="s">
        <v>14</v>
      </c>
      <c r="N413">
        <f t="shared" si="18"/>
        <v>1</v>
      </c>
      <c r="O413">
        <v>2017</v>
      </c>
      <c r="P413">
        <f t="shared" si="19"/>
        <v>8.4435466512479387</v>
      </c>
      <c r="Q413">
        <f t="shared" si="20"/>
        <v>-4.6051701859880909</v>
      </c>
    </row>
    <row r="414" spans="1:17" hidden="1" x14ac:dyDescent="0.3">
      <c r="A414">
        <v>413</v>
      </c>
      <c r="B414">
        <v>621022</v>
      </c>
      <c r="C414" t="s">
        <v>832</v>
      </c>
      <c r="D414" t="s">
        <v>833</v>
      </c>
      <c r="E414">
        <v>50</v>
      </c>
      <c r="F414">
        <v>4628</v>
      </c>
      <c r="G414">
        <v>247</v>
      </c>
      <c r="H414">
        <v>93</v>
      </c>
      <c r="I414">
        <v>2</v>
      </c>
      <c r="J414" t="s">
        <v>32</v>
      </c>
      <c r="K414">
        <v>0.2</v>
      </c>
      <c r="L414">
        <v>12</v>
      </c>
      <c r="M414" t="s">
        <v>20</v>
      </c>
      <c r="N414">
        <f t="shared" si="18"/>
        <v>2</v>
      </c>
      <c r="O414">
        <v>2015</v>
      </c>
      <c r="P414">
        <f t="shared" si="19"/>
        <v>8.4398800883135667</v>
      </c>
      <c r="Q414">
        <f t="shared" si="20"/>
        <v>3.9122229854308124</v>
      </c>
    </row>
    <row r="415" spans="1:17" hidden="1" x14ac:dyDescent="0.3">
      <c r="A415">
        <v>414</v>
      </c>
      <c r="B415">
        <v>1023070</v>
      </c>
      <c r="C415" t="s">
        <v>834</v>
      </c>
      <c r="D415" t="s">
        <v>835</v>
      </c>
      <c r="E415">
        <v>80</v>
      </c>
      <c r="F415">
        <v>4616</v>
      </c>
      <c r="G415">
        <v>20</v>
      </c>
      <c r="H415">
        <v>19</v>
      </c>
      <c r="I415">
        <v>4</v>
      </c>
      <c r="J415" t="s">
        <v>23</v>
      </c>
      <c r="K415">
        <v>0.45</v>
      </c>
      <c r="L415">
        <v>2</v>
      </c>
      <c r="M415" t="s">
        <v>20</v>
      </c>
      <c r="N415">
        <f t="shared" si="18"/>
        <v>2</v>
      </c>
      <c r="O415">
        <v>2016</v>
      </c>
      <c r="P415">
        <f t="shared" si="19"/>
        <v>8.4372838081879351</v>
      </c>
      <c r="Q415">
        <f t="shared" si="20"/>
        <v>4.3821516268620329</v>
      </c>
    </row>
    <row r="416" spans="1:17" x14ac:dyDescent="0.3">
      <c r="A416">
        <v>415</v>
      </c>
      <c r="B416">
        <v>495484</v>
      </c>
      <c r="C416" t="s">
        <v>836</v>
      </c>
      <c r="D416" t="s">
        <v>837</v>
      </c>
      <c r="E416">
        <v>195</v>
      </c>
      <c r="F416">
        <v>4587</v>
      </c>
      <c r="G416">
        <v>46</v>
      </c>
      <c r="H416">
        <v>49</v>
      </c>
      <c r="I416">
        <v>1</v>
      </c>
      <c r="J416" t="s">
        <v>13</v>
      </c>
      <c r="K416">
        <v>0.14000000000000001</v>
      </c>
      <c r="L416">
        <v>4</v>
      </c>
      <c r="M416" t="s">
        <v>20</v>
      </c>
      <c r="N416">
        <f t="shared" si="18"/>
        <v>2</v>
      </c>
      <c r="O416">
        <v>2015</v>
      </c>
      <c r="P416">
        <f t="shared" si="19"/>
        <v>8.4309814945971713</v>
      </c>
      <c r="Q416">
        <f t="shared" si="20"/>
        <v>5.273050839300149</v>
      </c>
    </row>
    <row r="417" spans="1:17" hidden="1" x14ac:dyDescent="0.3">
      <c r="A417">
        <v>416</v>
      </c>
      <c r="B417">
        <v>1178394</v>
      </c>
      <c r="C417" t="s">
        <v>838</v>
      </c>
      <c r="D417" t="s">
        <v>839</v>
      </c>
      <c r="E417">
        <v>0</v>
      </c>
      <c r="F417">
        <v>4569</v>
      </c>
      <c r="G417">
        <v>108</v>
      </c>
      <c r="H417">
        <v>18</v>
      </c>
      <c r="I417">
        <v>4</v>
      </c>
      <c r="J417" t="s">
        <v>23</v>
      </c>
      <c r="K417">
        <v>0.11</v>
      </c>
      <c r="L417">
        <v>1</v>
      </c>
      <c r="M417" t="s">
        <v>14</v>
      </c>
      <c r="N417">
        <f t="shared" si="18"/>
        <v>1</v>
      </c>
      <c r="O417">
        <v>2017</v>
      </c>
      <c r="P417">
        <f t="shared" si="19"/>
        <v>8.4270496415632721</v>
      </c>
      <c r="Q417">
        <f t="shared" si="20"/>
        <v>-4.6051701859880909</v>
      </c>
    </row>
    <row r="418" spans="1:17" x14ac:dyDescent="0.3">
      <c r="A418">
        <v>417</v>
      </c>
      <c r="B418">
        <v>669536</v>
      </c>
      <c r="C418" t="s">
        <v>840</v>
      </c>
      <c r="D418" t="s">
        <v>841</v>
      </c>
      <c r="E418">
        <v>100</v>
      </c>
      <c r="F418">
        <v>4563</v>
      </c>
      <c r="G418">
        <v>49</v>
      </c>
      <c r="H418">
        <v>13</v>
      </c>
      <c r="I418">
        <v>1</v>
      </c>
      <c r="J418" t="s">
        <v>13</v>
      </c>
      <c r="K418">
        <v>0.89</v>
      </c>
      <c r="L418">
        <v>1.5</v>
      </c>
      <c r="M418" t="s">
        <v>20</v>
      </c>
      <c r="N418">
        <f t="shared" si="18"/>
        <v>2</v>
      </c>
      <c r="O418">
        <v>2015</v>
      </c>
      <c r="P418">
        <f t="shared" si="19"/>
        <v>8.4257355809274017</v>
      </c>
      <c r="Q418">
        <f t="shared" si="20"/>
        <v>4.6052701809884251</v>
      </c>
    </row>
    <row r="419" spans="1:17" x14ac:dyDescent="0.3">
      <c r="A419">
        <v>418</v>
      </c>
      <c r="B419">
        <v>576694</v>
      </c>
      <c r="C419" t="s">
        <v>842</v>
      </c>
      <c r="D419" t="s">
        <v>843</v>
      </c>
      <c r="E419">
        <v>100</v>
      </c>
      <c r="F419">
        <v>4537</v>
      </c>
      <c r="G419">
        <v>415</v>
      </c>
      <c r="H419">
        <v>49</v>
      </c>
      <c r="I419">
        <v>1</v>
      </c>
      <c r="J419" t="s">
        <v>13</v>
      </c>
      <c r="K419">
        <v>0.89</v>
      </c>
      <c r="L419">
        <v>9</v>
      </c>
      <c r="M419" t="s">
        <v>20</v>
      </c>
      <c r="N419">
        <f t="shared" si="18"/>
        <v>2</v>
      </c>
      <c r="O419">
        <v>2015</v>
      </c>
      <c r="P419">
        <f t="shared" si="19"/>
        <v>8.4200212796639633</v>
      </c>
      <c r="Q419">
        <f t="shared" si="20"/>
        <v>4.6052701809884251</v>
      </c>
    </row>
    <row r="420" spans="1:17" hidden="1" x14ac:dyDescent="0.3">
      <c r="A420">
        <v>419</v>
      </c>
      <c r="B420">
        <v>681514</v>
      </c>
      <c r="C420" t="s">
        <v>844</v>
      </c>
      <c r="D420" t="s">
        <v>845</v>
      </c>
      <c r="E420">
        <v>200</v>
      </c>
      <c r="F420">
        <v>4529</v>
      </c>
      <c r="G420">
        <v>54</v>
      </c>
      <c r="H420">
        <v>29</v>
      </c>
      <c r="I420">
        <v>4</v>
      </c>
      <c r="J420" t="s">
        <v>23</v>
      </c>
      <c r="K420">
        <v>0.89</v>
      </c>
      <c r="L420">
        <v>2</v>
      </c>
      <c r="M420" t="s">
        <v>20</v>
      </c>
      <c r="N420">
        <f t="shared" si="18"/>
        <v>2</v>
      </c>
      <c r="O420">
        <v>2015</v>
      </c>
      <c r="P420">
        <f t="shared" si="19"/>
        <v>8.4182564435562135</v>
      </c>
      <c r="Q420">
        <f t="shared" si="20"/>
        <v>5.2983673652980787</v>
      </c>
    </row>
    <row r="421" spans="1:17" hidden="1" x14ac:dyDescent="0.3">
      <c r="A421">
        <v>420</v>
      </c>
      <c r="B421">
        <v>764076</v>
      </c>
      <c r="C421" t="s">
        <v>846</v>
      </c>
      <c r="D421" t="s">
        <v>847</v>
      </c>
      <c r="E421">
        <v>0</v>
      </c>
      <c r="F421">
        <v>4503</v>
      </c>
      <c r="G421">
        <v>146</v>
      </c>
      <c r="H421">
        <v>122</v>
      </c>
      <c r="I421">
        <v>4</v>
      </c>
      <c r="J421" t="s">
        <v>23</v>
      </c>
      <c r="K421">
        <v>0.89</v>
      </c>
      <c r="L421">
        <v>21</v>
      </c>
      <c r="M421" t="s">
        <v>14</v>
      </c>
      <c r="N421">
        <f t="shared" si="18"/>
        <v>1</v>
      </c>
      <c r="O421">
        <v>2016</v>
      </c>
      <c r="P421">
        <f t="shared" si="19"/>
        <v>8.4124991203015718</v>
      </c>
      <c r="Q421">
        <f t="shared" si="20"/>
        <v>-4.6051701859880909</v>
      </c>
    </row>
    <row r="422" spans="1:17" x14ac:dyDescent="0.3">
      <c r="A422">
        <v>421</v>
      </c>
      <c r="B422">
        <v>1106646</v>
      </c>
      <c r="C422" t="s">
        <v>848</v>
      </c>
      <c r="D422" t="s">
        <v>849</v>
      </c>
      <c r="E422">
        <v>0</v>
      </c>
      <c r="F422">
        <v>4499</v>
      </c>
      <c r="G422">
        <v>138</v>
      </c>
      <c r="H422">
        <v>20</v>
      </c>
      <c r="I422">
        <v>1</v>
      </c>
      <c r="J422" t="s">
        <v>13</v>
      </c>
      <c r="K422">
        <v>0.89</v>
      </c>
      <c r="L422">
        <v>2</v>
      </c>
      <c r="M422" t="s">
        <v>14</v>
      </c>
      <c r="N422">
        <f t="shared" si="18"/>
        <v>1</v>
      </c>
      <c r="O422">
        <v>2017</v>
      </c>
      <c r="P422">
        <f t="shared" si="19"/>
        <v>8.4116104288411719</v>
      </c>
      <c r="Q422">
        <f t="shared" si="20"/>
        <v>-4.6051701859880909</v>
      </c>
    </row>
    <row r="423" spans="1:17" x14ac:dyDescent="0.3">
      <c r="A423">
        <v>422</v>
      </c>
      <c r="B423">
        <v>982860</v>
      </c>
      <c r="C423" t="s">
        <v>850</v>
      </c>
      <c r="D423" t="s">
        <v>851</v>
      </c>
      <c r="E423">
        <v>95</v>
      </c>
      <c r="F423">
        <v>4463</v>
      </c>
      <c r="G423">
        <v>59</v>
      </c>
      <c r="H423">
        <v>36</v>
      </c>
      <c r="I423">
        <v>1</v>
      </c>
      <c r="J423" t="s">
        <v>13</v>
      </c>
      <c r="K423">
        <v>0.89</v>
      </c>
      <c r="L423">
        <v>5.5</v>
      </c>
      <c r="M423" t="s">
        <v>20</v>
      </c>
      <c r="N423">
        <f t="shared" si="18"/>
        <v>2</v>
      </c>
      <c r="O423">
        <v>2016</v>
      </c>
      <c r="P423">
        <f t="shared" si="19"/>
        <v>8.4035764646292694</v>
      </c>
      <c r="Q423">
        <f t="shared" si="20"/>
        <v>4.5539821492186583</v>
      </c>
    </row>
    <row r="424" spans="1:17" x14ac:dyDescent="0.3">
      <c r="A424">
        <v>423</v>
      </c>
      <c r="B424">
        <v>825354</v>
      </c>
      <c r="C424" t="s">
        <v>852</v>
      </c>
      <c r="D424" t="s">
        <v>853</v>
      </c>
      <c r="E424">
        <v>50</v>
      </c>
      <c r="F424">
        <v>4447</v>
      </c>
      <c r="G424">
        <v>76</v>
      </c>
      <c r="H424">
        <v>24</v>
      </c>
      <c r="I424">
        <v>1</v>
      </c>
      <c r="J424" t="s">
        <v>13</v>
      </c>
      <c r="K424">
        <v>0.89</v>
      </c>
      <c r="L424">
        <v>4</v>
      </c>
      <c r="M424" t="s">
        <v>20</v>
      </c>
      <c r="N424">
        <f t="shared" si="18"/>
        <v>2</v>
      </c>
      <c r="O424">
        <v>2016</v>
      </c>
      <c r="P424">
        <f t="shared" si="19"/>
        <v>8.3999849905106956</v>
      </c>
      <c r="Q424">
        <f t="shared" si="20"/>
        <v>3.9122229854308124</v>
      </c>
    </row>
    <row r="425" spans="1:17" x14ac:dyDescent="0.3">
      <c r="A425">
        <v>424</v>
      </c>
      <c r="B425">
        <v>791030</v>
      </c>
      <c r="C425" t="s">
        <v>854</v>
      </c>
      <c r="D425" t="s">
        <v>855</v>
      </c>
      <c r="E425">
        <v>100</v>
      </c>
      <c r="F425">
        <v>4442</v>
      </c>
      <c r="G425">
        <v>23</v>
      </c>
      <c r="H425">
        <v>28</v>
      </c>
      <c r="I425">
        <v>1</v>
      </c>
      <c r="J425" t="s">
        <v>13</v>
      </c>
      <c r="K425">
        <v>0.89</v>
      </c>
      <c r="L425">
        <v>2</v>
      </c>
      <c r="M425" t="s">
        <v>20</v>
      </c>
      <c r="N425">
        <f t="shared" si="18"/>
        <v>2</v>
      </c>
      <c r="O425">
        <v>2016</v>
      </c>
      <c r="P425">
        <f t="shared" si="19"/>
        <v>8.398860004454372</v>
      </c>
      <c r="Q425">
        <f t="shared" si="20"/>
        <v>4.6052701809884251</v>
      </c>
    </row>
    <row r="426" spans="1:17" x14ac:dyDescent="0.3">
      <c r="A426">
        <v>425</v>
      </c>
      <c r="B426">
        <v>1079624</v>
      </c>
      <c r="C426" t="s">
        <v>856</v>
      </c>
      <c r="D426" t="s">
        <v>857</v>
      </c>
      <c r="E426">
        <v>0</v>
      </c>
      <c r="F426">
        <v>4410</v>
      </c>
      <c r="G426">
        <v>52</v>
      </c>
      <c r="H426">
        <v>26</v>
      </c>
      <c r="I426">
        <v>1</v>
      </c>
      <c r="J426" t="s">
        <v>13</v>
      </c>
      <c r="K426">
        <v>0.89</v>
      </c>
      <c r="L426">
        <v>3</v>
      </c>
      <c r="M426" t="s">
        <v>14</v>
      </c>
      <c r="N426">
        <f t="shared" si="18"/>
        <v>1</v>
      </c>
      <c r="O426">
        <v>2017</v>
      </c>
      <c r="P426">
        <f t="shared" si="19"/>
        <v>8.3916299684408919</v>
      </c>
      <c r="Q426">
        <f t="shared" si="20"/>
        <v>-4.6051701859880909</v>
      </c>
    </row>
    <row r="427" spans="1:17" hidden="1" x14ac:dyDescent="0.3">
      <c r="A427">
        <v>426</v>
      </c>
      <c r="B427">
        <v>548068</v>
      </c>
      <c r="C427" t="s">
        <v>858</v>
      </c>
      <c r="D427" t="s">
        <v>859</v>
      </c>
      <c r="E427">
        <v>0</v>
      </c>
      <c r="F427">
        <v>4409</v>
      </c>
      <c r="G427">
        <v>71</v>
      </c>
      <c r="H427">
        <v>100</v>
      </c>
      <c r="I427">
        <v>4</v>
      </c>
      <c r="J427" t="s">
        <v>23</v>
      </c>
      <c r="K427">
        <v>0.89</v>
      </c>
      <c r="L427">
        <v>5</v>
      </c>
      <c r="M427" t="s">
        <v>14</v>
      </c>
      <c r="N427">
        <f t="shared" si="18"/>
        <v>1</v>
      </c>
      <c r="O427">
        <v>2016</v>
      </c>
      <c r="P427">
        <f t="shared" si="19"/>
        <v>8.3914031853579374</v>
      </c>
      <c r="Q427">
        <f t="shared" si="20"/>
        <v>-4.6051701859880909</v>
      </c>
    </row>
    <row r="428" spans="1:17" hidden="1" x14ac:dyDescent="0.3">
      <c r="A428">
        <v>427</v>
      </c>
      <c r="B428">
        <v>688092</v>
      </c>
      <c r="C428" t="s">
        <v>860</v>
      </c>
      <c r="D428" t="s">
        <v>861</v>
      </c>
      <c r="E428">
        <v>50</v>
      </c>
      <c r="F428">
        <v>4407</v>
      </c>
      <c r="G428">
        <v>17</v>
      </c>
      <c r="H428">
        <v>29</v>
      </c>
      <c r="I428">
        <v>4</v>
      </c>
      <c r="J428" t="s">
        <v>23</v>
      </c>
      <c r="K428">
        <v>0.89</v>
      </c>
      <c r="L428">
        <v>2.5</v>
      </c>
      <c r="M428" t="s">
        <v>20</v>
      </c>
      <c r="N428">
        <f t="shared" si="18"/>
        <v>2</v>
      </c>
      <c r="O428">
        <v>2015</v>
      </c>
      <c r="P428">
        <f t="shared" si="19"/>
        <v>8.3909494648419862</v>
      </c>
      <c r="Q428">
        <f t="shared" si="20"/>
        <v>3.9122229854308124</v>
      </c>
    </row>
    <row r="429" spans="1:17" x14ac:dyDescent="0.3">
      <c r="A429">
        <v>428</v>
      </c>
      <c r="B429">
        <v>1201054</v>
      </c>
      <c r="C429" t="s">
        <v>862</v>
      </c>
      <c r="D429" t="s">
        <v>863</v>
      </c>
      <c r="E429">
        <v>0</v>
      </c>
      <c r="F429">
        <v>4405</v>
      </c>
      <c r="G429">
        <v>71</v>
      </c>
      <c r="H429">
        <v>12</v>
      </c>
      <c r="I429">
        <v>1</v>
      </c>
      <c r="J429" t="s">
        <v>13</v>
      </c>
      <c r="K429">
        <v>0.89</v>
      </c>
      <c r="L429">
        <v>1.5</v>
      </c>
      <c r="M429" t="s">
        <v>14</v>
      </c>
      <c r="N429">
        <f t="shared" si="18"/>
        <v>1</v>
      </c>
      <c r="O429">
        <v>2017</v>
      </c>
      <c r="P429">
        <f t="shared" si="19"/>
        <v>8.3904955383702795</v>
      </c>
      <c r="Q429">
        <f t="shared" si="20"/>
        <v>-4.6051701859880909</v>
      </c>
    </row>
    <row r="430" spans="1:17" x14ac:dyDescent="0.3">
      <c r="A430">
        <v>429</v>
      </c>
      <c r="B430">
        <v>929130</v>
      </c>
      <c r="C430" t="s">
        <v>864</v>
      </c>
      <c r="D430" t="s">
        <v>865</v>
      </c>
      <c r="E430">
        <v>200</v>
      </c>
      <c r="F430">
        <v>4375</v>
      </c>
      <c r="G430">
        <v>622</v>
      </c>
      <c r="H430">
        <v>129</v>
      </c>
      <c r="I430">
        <v>1</v>
      </c>
      <c r="J430" t="s">
        <v>13</v>
      </c>
      <c r="K430">
        <v>0.89</v>
      </c>
      <c r="L430">
        <v>15.5</v>
      </c>
      <c r="M430" t="s">
        <v>20</v>
      </c>
      <c r="N430">
        <f t="shared" si="18"/>
        <v>2</v>
      </c>
      <c r="O430">
        <v>2016</v>
      </c>
      <c r="P430">
        <f t="shared" si="19"/>
        <v>8.3836617987917155</v>
      </c>
      <c r="Q430">
        <f t="shared" si="20"/>
        <v>5.2983673652980787</v>
      </c>
    </row>
    <row r="431" spans="1:17" hidden="1" x14ac:dyDescent="0.3">
      <c r="A431">
        <v>430</v>
      </c>
      <c r="B431">
        <v>320798</v>
      </c>
      <c r="C431" t="s">
        <v>866</v>
      </c>
      <c r="D431" t="s">
        <v>867</v>
      </c>
      <c r="E431">
        <v>20</v>
      </c>
      <c r="F431">
        <v>4333</v>
      </c>
      <c r="G431">
        <v>16</v>
      </c>
      <c r="H431">
        <v>17</v>
      </c>
      <c r="I431">
        <v>4</v>
      </c>
      <c r="J431" t="s">
        <v>23</v>
      </c>
      <c r="K431">
        <v>0.89</v>
      </c>
      <c r="L431">
        <v>1</v>
      </c>
      <c r="M431" t="s">
        <v>20</v>
      </c>
      <c r="N431">
        <f t="shared" si="18"/>
        <v>2</v>
      </c>
      <c r="O431">
        <v>2014</v>
      </c>
      <c r="P431">
        <f t="shared" si="19"/>
        <v>8.3740154217399088</v>
      </c>
      <c r="Q431">
        <f t="shared" si="20"/>
        <v>2.996232148595642</v>
      </c>
    </row>
    <row r="432" spans="1:17" x14ac:dyDescent="0.3">
      <c r="A432">
        <v>431</v>
      </c>
      <c r="B432">
        <v>737468</v>
      </c>
      <c r="C432" t="s">
        <v>868</v>
      </c>
      <c r="D432" t="s">
        <v>869</v>
      </c>
      <c r="E432">
        <v>0</v>
      </c>
      <c r="F432">
        <v>4306</v>
      </c>
      <c r="G432">
        <v>163</v>
      </c>
      <c r="H432">
        <v>12</v>
      </c>
      <c r="I432">
        <v>1</v>
      </c>
      <c r="J432" t="s">
        <v>13</v>
      </c>
      <c r="K432">
        <v>0.89</v>
      </c>
      <c r="L432">
        <v>0.51666666999999999</v>
      </c>
      <c r="M432" t="s">
        <v>14</v>
      </c>
      <c r="N432">
        <f t="shared" si="18"/>
        <v>1</v>
      </c>
      <c r="O432">
        <v>2016</v>
      </c>
      <c r="P432">
        <f t="shared" si="19"/>
        <v>8.367764677924308</v>
      </c>
      <c r="Q432">
        <f t="shared" si="20"/>
        <v>-4.6051701859880909</v>
      </c>
    </row>
    <row r="433" spans="1:17" hidden="1" x14ac:dyDescent="0.3">
      <c r="A433">
        <v>432</v>
      </c>
      <c r="B433">
        <v>593128</v>
      </c>
      <c r="C433" t="s">
        <v>870</v>
      </c>
      <c r="D433" t="s">
        <v>871</v>
      </c>
      <c r="E433">
        <v>0</v>
      </c>
      <c r="F433">
        <v>4290</v>
      </c>
      <c r="G433">
        <v>150</v>
      </c>
      <c r="H433">
        <v>15</v>
      </c>
      <c r="I433">
        <v>4</v>
      </c>
      <c r="J433" t="s">
        <v>23</v>
      </c>
      <c r="K433">
        <v>0.89</v>
      </c>
      <c r="L433">
        <v>0.61666666999999997</v>
      </c>
      <c r="M433" t="s">
        <v>14</v>
      </c>
      <c r="N433">
        <f t="shared" si="18"/>
        <v>1</v>
      </c>
      <c r="O433">
        <v>2015</v>
      </c>
      <c r="P433">
        <f t="shared" si="19"/>
        <v>8.3640420119220629</v>
      </c>
      <c r="Q433">
        <f t="shared" si="20"/>
        <v>-4.6051701859880909</v>
      </c>
    </row>
    <row r="434" spans="1:17" hidden="1" x14ac:dyDescent="0.3">
      <c r="A434">
        <v>433</v>
      </c>
      <c r="B434">
        <v>810550</v>
      </c>
      <c r="C434" t="s">
        <v>872</v>
      </c>
      <c r="D434" t="s">
        <v>873</v>
      </c>
      <c r="E434">
        <v>20</v>
      </c>
      <c r="F434">
        <v>4259</v>
      </c>
      <c r="G434">
        <v>0</v>
      </c>
      <c r="H434">
        <v>11</v>
      </c>
      <c r="I434">
        <v>4</v>
      </c>
      <c r="J434" t="s">
        <v>23</v>
      </c>
      <c r="K434">
        <v>0.89</v>
      </c>
      <c r="L434">
        <v>1</v>
      </c>
      <c r="M434" t="s">
        <v>20</v>
      </c>
      <c r="N434">
        <f t="shared" si="18"/>
        <v>2</v>
      </c>
      <c r="O434">
        <v>2016</v>
      </c>
      <c r="P434">
        <f t="shared" si="19"/>
        <v>8.3567896699232129</v>
      </c>
      <c r="Q434">
        <f t="shared" si="20"/>
        <v>2.996232148595642</v>
      </c>
    </row>
    <row r="435" spans="1:17" hidden="1" x14ac:dyDescent="0.3">
      <c r="A435">
        <v>434</v>
      </c>
      <c r="B435">
        <v>70640</v>
      </c>
      <c r="C435" t="s">
        <v>874</v>
      </c>
      <c r="D435" t="s">
        <v>875</v>
      </c>
      <c r="E435">
        <v>195</v>
      </c>
      <c r="F435">
        <v>4198</v>
      </c>
      <c r="G435">
        <v>145</v>
      </c>
      <c r="H435">
        <v>161</v>
      </c>
      <c r="I435">
        <v>4</v>
      </c>
      <c r="J435" t="s">
        <v>23</v>
      </c>
      <c r="K435">
        <v>0.89</v>
      </c>
      <c r="L435">
        <v>26</v>
      </c>
      <c r="M435" t="s">
        <v>20</v>
      </c>
      <c r="N435">
        <f t="shared" si="18"/>
        <v>2</v>
      </c>
      <c r="O435">
        <v>2013</v>
      </c>
      <c r="P435">
        <f t="shared" si="19"/>
        <v>8.3423635003805785</v>
      </c>
      <c r="Q435">
        <f t="shared" si="20"/>
        <v>5.273050839300149</v>
      </c>
    </row>
    <row r="436" spans="1:17" x14ac:dyDescent="0.3">
      <c r="A436">
        <v>435</v>
      </c>
      <c r="B436">
        <v>553582</v>
      </c>
      <c r="C436" t="s">
        <v>876</v>
      </c>
      <c r="D436" t="s">
        <v>877</v>
      </c>
      <c r="E436">
        <v>20</v>
      </c>
      <c r="F436">
        <v>4193</v>
      </c>
      <c r="G436">
        <v>92</v>
      </c>
      <c r="H436">
        <v>44</v>
      </c>
      <c r="I436">
        <v>1</v>
      </c>
      <c r="J436" t="s">
        <v>13</v>
      </c>
      <c r="K436">
        <v>0.89</v>
      </c>
      <c r="L436">
        <v>2.5</v>
      </c>
      <c r="M436" t="s">
        <v>20</v>
      </c>
      <c r="N436">
        <f t="shared" si="18"/>
        <v>2</v>
      </c>
      <c r="O436">
        <v>2015</v>
      </c>
      <c r="P436">
        <f t="shared" si="19"/>
        <v>8.3411717471707618</v>
      </c>
      <c r="Q436">
        <f t="shared" si="20"/>
        <v>2.996232148595642</v>
      </c>
    </row>
    <row r="437" spans="1:17" x14ac:dyDescent="0.3">
      <c r="A437">
        <v>436</v>
      </c>
      <c r="B437">
        <v>304490</v>
      </c>
      <c r="C437" t="s">
        <v>878</v>
      </c>
      <c r="D437" t="s">
        <v>879</v>
      </c>
      <c r="E437">
        <v>35</v>
      </c>
      <c r="F437">
        <v>4183</v>
      </c>
      <c r="G437">
        <v>231</v>
      </c>
      <c r="H437">
        <v>86</v>
      </c>
      <c r="I437">
        <v>1</v>
      </c>
      <c r="J437" t="s">
        <v>13</v>
      </c>
      <c r="K437">
        <v>0.89</v>
      </c>
      <c r="L437">
        <v>14</v>
      </c>
      <c r="M437" t="s">
        <v>20</v>
      </c>
      <c r="N437">
        <f t="shared" si="18"/>
        <v>2</v>
      </c>
      <c r="O437">
        <v>2014</v>
      </c>
      <c r="P437">
        <f t="shared" si="19"/>
        <v>8.338783971442199</v>
      </c>
      <c r="Q437">
        <f t="shared" si="20"/>
        <v>3.5556337349665741</v>
      </c>
    </row>
    <row r="438" spans="1:17" hidden="1" x14ac:dyDescent="0.3">
      <c r="A438">
        <v>437</v>
      </c>
      <c r="B438">
        <v>446608</v>
      </c>
      <c r="C438" t="s">
        <v>880</v>
      </c>
      <c r="D438" t="s">
        <v>881</v>
      </c>
      <c r="E438">
        <v>70</v>
      </c>
      <c r="F438">
        <v>4183</v>
      </c>
      <c r="G438">
        <v>292</v>
      </c>
      <c r="H438">
        <v>38</v>
      </c>
      <c r="I438">
        <v>4</v>
      </c>
      <c r="J438" t="s">
        <v>23</v>
      </c>
      <c r="K438">
        <v>0.1</v>
      </c>
      <c r="L438">
        <v>3.5</v>
      </c>
      <c r="M438" t="s">
        <v>20</v>
      </c>
      <c r="N438">
        <f t="shared" si="18"/>
        <v>2</v>
      </c>
      <c r="O438">
        <v>2015</v>
      </c>
      <c r="P438">
        <f t="shared" si="19"/>
        <v>8.338783971442199</v>
      </c>
      <c r="Q438">
        <f t="shared" si="20"/>
        <v>4.2486380889891064</v>
      </c>
    </row>
    <row r="439" spans="1:17" x14ac:dyDescent="0.3">
      <c r="A439">
        <v>438</v>
      </c>
      <c r="B439">
        <v>769390</v>
      </c>
      <c r="C439" t="s">
        <v>882</v>
      </c>
      <c r="D439" t="s">
        <v>883</v>
      </c>
      <c r="E439">
        <v>30</v>
      </c>
      <c r="F439">
        <v>4157</v>
      </c>
      <c r="G439">
        <v>206</v>
      </c>
      <c r="H439">
        <v>80</v>
      </c>
      <c r="I439">
        <v>1</v>
      </c>
      <c r="J439" t="s">
        <v>13</v>
      </c>
      <c r="K439">
        <v>0.78</v>
      </c>
      <c r="L439">
        <v>9.5</v>
      </c>
      <c r="M439" t="s">
        <v>20</v>
      </c>
      <c r="N439">
        <f t="shared" si="18"/>
        <v>2</v>
      </c>
      <c r="O439">
        <v>2016</v>
      </c>
      <c r="P439">
        <f t="shared" si="19"/>
        <v>8.3325489392526375</v>
      </c>
      <c r="Q439">
        <f t="shared" si="20"/>
        <v>3.4015306594522756</v>
      </c>
    </row>
    <row r="440" spans="1:17" hidden="1" x14ac:dyDescent="0.3">
      <c r="A440">
        <v>439</v>
      </c>
      <c r="B440">
        <v>907386</v>
      </c>
      <c r="C440" t="s">
        <v>884</v>
      </c>
      <c r="D440" t="s">
        <v>885</v>
      </c>
      <c r="E440">
        <v>40</v>
      </c>
      <c r="F440">
        <v>4144</v>
      </c>
      <c r="G440">
        <v>383</v>
      </c>
      <c r="H440">
        <v>43</v>
      </c>
      <c r="I440">
        <v>4</v>
      </c>
      <c r="J440" t="s">
        <v>23</v>
      </c>
      <c r="K440">
        <v>0.96</v>
      </c>
      <c r="L440">
        <v>5.5</v>
      </c>
      <c r="M440" t="s">
        <v>20</v>
      </c>
      <c r="N440">
        <f t="shared" si="18"/>
        <v>2</v>
      </c>
      <c r="O440">
        <v>2016</v>
      </c>
      <c r="P440">
        <f t="shared" si="19"/>
        <v>8.3294167839393189</v>
      </c>
      <c r="Q440">
        <f t="shared" si="20"/>
        <v>3.6891294228691436</v>
      </c>
    </row>
    <row r="441" spans="1:17" x14ac:dyDescent="0.3">
      <c r="A441">
        <v>440</v>
      </c>
      <c r="B441">
        <v>1145430</v>
      </c>
      <c r="C441" t="s">
        <v>886</v>
      </c>
      <c r="D441" t="s">
        <v>887</v>
      </c>
      <c r="E441">
        <v>120</v>
      </c>
      <c r="F441">
        <v>4138</v>
      </c>
      <c r="G441">
        <v>307</v>
      </c>
      <c r="H441">
        <v>107</v>
      </c>
      <c r="I441">
        <v>1</v>
      </c>
      <c r="J441" t="s">
        <v>13</v>
      </c>
      <c r="K441">
        <v>0.24</v>
      </c>
      <c r="L441">
        <v>6</v>
      </c>
      <c r="M441" t="s">
        <v>20</v>
      </c>
      <c r="N441">
        <f t="shared" si="18"/>
        <v>2</v>
      </c>
      <c r="O441">
        <v>2017</v>
      </c>
      <c r="P441">
        <f t="shared" si="19"/>
        <v>8.3279678583054881</v>
      </c>
      <c r="Q441">
        <f t="shared" si="20"/>
        <v>4.7875750726433504</v>
      </c>
    </row>
    <row r="442" spans="1:17" x14ac:dyDescent="0.3">
      <c r="A442">
        <v>441</v>
      </c>
      <c r="B442">
        <v>420652</v>
      </c>
      <c r="C442" t="s">
        <v>888</v>
      </c>
      <c r="D442" t="s">
        <v>889</v>
      </c>
      <c r="E442">
        <v>75</v>
      </c>
      <c r="F442">
        <v>4128</v>
      </c>
      <c r="G442">
        <v>434</v>
      </c>
      <c r="H442">
        <v>61</v>
      </c>
      <c r="I442">
        <v>1</v>
      </c>
      <c r="J442" t="s">
        <v>13</v>
      </c>
      <c r="K442">
        <v>0.8</v>
      </c>
      <c r="L442">
        <v>6</v>
      </c>
      <c r="M442" t="s">
        <v>20</v>
      </c>
      <c r="N442">
        <f t="shared" si="18"/>
        <v>2</v>
      </c>
      <c r="O442">
        <v>2015</v>
      </c>
      <c r="P442">
        <f t="shared" si="19"/>
        <v>8.325548307161398</v>
      </c>
      <c r="Q442">
        <f t="shared" si="20"/>
        <v>4.3176214379815452</v>
      </c>
    </row>
    <row r="443" spans="1:17" hidden="1" x14ac:dyDescent="0.3">
      <c r="A443">
        <v>442</v>
      </c>
      <c r="B443">
        <v>125162</v>
      </c>
      <c r="C443" t="s">
        <v>890</v>
      </c>
      <c r="D443" t="s">
        <v>891</v>
      </c>
      <c r="E443">
        <v>50</v>
      </c>
      <c r="F443">
        <v>4123</v>
      </c>
      <c r="G443">
        <v>23</v>
      </c>
      <c r="H443">
        <v>34</v>
      </c>
      <c r="I443">
        <v>4</v>
      </c>
      <c r="J443" t="s">
        <v>23</v>
      </c>
      <c r="K443">
        <v>0.84</v>
      </c>
      <c r="L443">
        <v>3.5</v>
      </c>
      <c r="M443" t="s">
        <v>20</v>
      </c>
      <c r="N443">
        <f t="shared" si="18"/>
        <v>2</v>
      </c>
      <c r="O443">
        <v>2013</v>
      </c>
      <c r="P443">
        <f t="shared" si="19"/>
        <v>8.3243363327069009</v>
      </c>
      <c r="Q443">
        <f t="shared" si="20"/>
        <v>3.9122229854308124</v>
      </c>
    </row>
    <row r="444" spans="1:17" x14ac:dyDescent="0.3">
      <c r="A444">
        <v>443</v>
      </c>
      <c r="B444">
        <v>200854</v>
      </c>
      <c r="C444" t="s">
        <v>892</v>
      </c>
      <c r="D444" t="s">
        <v>893</v>
      </c>
      <c r="E444">
        <v>50</v>
      </c>
      <c r="F444">
        <v>4123</v>
      </c>
      <c r="G444">
        <v>46</v>
      </c>
      <c r="H444">
        <v>31</v>
      </c>
      <c r="I444">
        <v>1</v>
      </c>
      <c r="J444" t="s">
        <v>13</v>
      </c>
      <c r="K444">
        <v>0.55000000000000004</v>
      </c>
      <c r="L444">
        <v>4.5</v>
      </c>
      <c r="M444" t="s">
        <v>20</v>
      </c>
      <c r="N444">
        <f t="shared" si="18"/>
        <v>2</v>
      </c>
      <c r="O444">
        <v>2014</v>
      </c>
      <c r="P444">
        <f t="shared" si="19"/>
        <v>8.3243363327069009</v>
      </c>
      <c r="Q444">
        <f t="shared" si="20"/>
        <v>3.9122229854308124</v>
      </c>
    </row>
    <row r="445" spans="1:17" hidden="1" x14ac:dyDescent="0.3">
      <c r="A445">
        <v>444</v>
      </c>
      <c r="B445">
        <v>1113036</v>
      </c>
      <c r="C445" t="s">
        <v>894</v>
      </c>
      <c r="D445" t="s">
        <v>895</v>
      </c>
      <c r="E445">
        <v>0</v>
      </c>
      <c r="F445">
        <v>4115</v>
      </c>
      <c r="G445">
        <v>63</v>
      </c>
      <c r="H445">
        <v>13</v>
      </c>
      <c r="I445">
        <v>4</v>
      </c>
      <c r="J445" t="s">
        <v>23</v>
      </c>
      <c r="K445">
        <v>0.67</v>
      </c>
      <c r="L445">
        <v>2</v>
      </c>
      <c r="M445" t="s">
        <v>14</v>
      </c>
      <c r="N445">
        <f t="shared" si="18"/>
        <v>1</v>
      </c>
      <c r="O445">
        <v>2017</v>
      </c>
      <c r="P445">
        <f t="shared" si="19"/>
        <v>8.3223941131111694</v>
      </c>
      <c r="Q445">
        <f t="shared" si="20"/>
        <v>-4.6051701859880909</v>
      </c>
    </row>
    <row r="446" spans="1:17" hidden="1" x14ac:dyDescent="0.3">
      <c r="A446">
        <v>445</v>
      </c>
      <c r="B446">
        <v>942366</v>
      </c>
      <c r="C446" t="s">
        <v>896</v>
      </c>
      <c r="D446" t="s">
        <v>897</v>
      </c>
      <c r="E446">
        <v>50</v>
      </c>
      <c r="F446">
        <v>4106</v>
      </c>
      <c r="G446">
        <v>112</v>
      </c>
      <c r="H446">
        <v>15</v>
      </c>
      <c r="I446">
        <v>2</v>
      </c>
      <c r="J446" t="s">
        <v>32</v>
      </c>
      <c r="K446">
        <v>0.38</v>
      </c>
      <c r="L446">
        <v>1</v>
      </c>
      <c r="M446" t="s">
        <v>20</v>
      </c>
      <c r="N446">
        <f t="shared" si="18"/>
        <v>2</v>
      </c>
      <c r="O446">
        <v>2016</v>
      </c>
      <c r="P446">
        <f t="shared" si="19"/>
        <v>8.3202045975788792</v>
      </c>
      <c r="Q446">
        <f t="shared" si="20"/>
        <v>3.9122229854308124</v>
      </c>
    </row>
    <row r="447" spans="1:17" hidden="1" x14ac:dyDescent="0.3">
      <c r="A447">
        <v>446</v>
      </c>
      <c r="B447">
        <v>965528</v>
      </c>
      <c r="C447" t="s">
        <v>898</v>
      </c>
      <c r="D447" t="s">
        <v>899</v>
      </c>
      <c r="E447">
        <v>200</v>
      </c>
      <c r="F447">
        <v>4090</v>
      </c>
      <c r="G447">
        <v>178</v>
      </c>
      <c r="H447">
        <v>348</v>
      </c>
      <c r="I447">
        <v>4</v>
      </c>
      <c r="J447" t="s">
        <v>23</v>
      </c>
      <c r="K447">
        <v>0.92</v>
      </c>
      <c r="L447">
        <v>19.5</v>
      </c>
      <c r="M447" t="s">
        <v>20</v>
      </c>
      <c r="N447">
        <f t="shared" si="18"/>
        <v>2</v>
      </c>
      <c r="O447">
        <v>2016</v>
      </c>
      <c r="P447">
        <f t="shared" si="19"/>
        <v>8.3163002490368481</v>
      </c>
      <c r="Q447">
        <f t="shared" si="20"/>
        <v>5.2983673652980787</v>
      </c>
    </row>
    <row r="448" spans="1:17" x14ac:dyDescent="0.3">
      <c r="A448">
        <v>447</v>
      </c>
      <c r="B448">
        <v>311916</v>
      </c>
      <c r="C448" t="s">
        <v>900</v>
      </c>
      <c r="D448" t="s">
        <v>901</v>
      </c>
      <c r="E448">
        <v>50</v>
      </c>
      <c r="F448">
        <v>4076</v>
      </c>
      <c r="G448">
        <v>39</v>
      </c>
      <c r="H448">
        <v>22</v>
      </c>
      <c r="I448">
        <v>1</v>
      </c>
      <c r="J448" t="s">
        <v>13</v>
      </c>
      <c r="K448">
        <v>0.92</v>
      </c>
      <c r="L448">
        <v>3</v>
      </c>
      <c r="M448" t="s">
        <v>20</v>
      </c>
      <c r="N448">
        <f t="shared" si="18"/>
        <v>2</v>
      </c>
      <c r="O448">
        <v>2014</v>
      </c>
      <c r="P448">
        <f t="shared" si="19"/>
        <v>8.3128713943426149</v>
      </c>
      <c r="Q448">
        <f t="shared" si="20"/>
        <v>3.9122229854308124</v>
      </c>
    </row>
    <row r="449" spans="1:17" hidden="1" x14ac:dyDescent="0.3">
      <c r="A449">
        <v>448</v>
      </c>
      <c r="B449">
        <v>833398</v>
      </c>
      <c r="C449" t="s">
        <v>902</v>
      </c>
      <c r="D449" t="s">
        <v>903</v>
      </c>
      <c r="E449">
        <v>150</v>
      </c>
      <c r="F449">
        <v>4057</v>
      </c>
      <c r="G449">
        <v>359</v>
      </c>
      <c r="H449">
        <v>99</v>
      </c>
      <c r="I449">
        <v>4</v>
      </c>
      <c r="J449" t="s">
        <v>23</v>
      </c>
      <c r="K449">
        <v>0.92</v>
      </c>
      <c r="L449">
        <v>6.5</v>
      </c>
      <c r="M449" t="s">
        <v>20</v>
      </c>
      <c r="N449">
        <f t="shared" si="18"/>
        <v>2</v>
      </c>
      <c r="O449">
        <v>2016</v>
      </c>
      <c r="P449">
        <f t="shared" si="19"/>
        <v>8.3081990632064464</v>
      </c>
      <c r="Q449">
        <f t="shared" si="20"/>
        <v>5.0107019585407988</v>
      </c>
    </row>
    <row r="450" spans="1:17" x14ac:dyDescent="0.3">
      <c r="A450">
        <v>449</v>
      </c>
      <c r="B450">
        <v>82412</v>
      </c>
      <c r="C450" t="s">
        <v>904</v>
      </c>
      <c r="D450" t="s">
        <v>905</v>
      </c>
      <c r="E450">
        <v>200</v>
      </c>
      <c r="F450">
        <v>4040</v>
      </c>
      <c r="G450">
        <v>72</v>
      </c>
      <c r="H450">
        <v>20</v>
      </c>
      <c r="I450">
        <v>1</v>
      </c>
      <c r="J450" t="s">
        <v>13</v>
      </c>
      <c r="K450">
        <v>0.92</v>
      </c>
      <c r="L450">
        <v>1.5</v>
      </c>
      <c r="M450" t="s">
        <v>20</v>
      </c>
      <c r="N450">
        <f t="shared" ref="N450:N513" si="21">IF(M450="Free",1,IF(M450="Paid",2,0))</f>
        <v>2</v>
      </c>
      <c r="O450">
        <v>2013</v>
      </c>
      <c r="P450">
        <f t="shared" ref="P450:P513" si="22">LN(F450)</f>
        <v>8.3039999709551964</v>
      </c>
      <c r="Q450">
        <f t="shared" ref="Q450:Q513" si="23">LN(E450+0.01)</f>
        <v>5.2983673652980787</v>
      </c>
    </row>
    <row r="451" spans="1:17" hidden="1" x14ac:dyDescent="0.3">
      <c r="A451">
        <v>450</v>
      </c>
      <c r="B451">
        <v>761768</v>
      </c>
      <c r="C451" t="s">
        <v>906</v>
      </c>
      <c r="D451" t="s">
        <v>907</v>
      </c>
      <c r="E451">
        <v>200</v>
      </c>
      <c r="F451">
        <v>4033</v>
      </c>
      <c r="G451">
        <v>40</v>
      </c>
      <c r="H451">
        <v>25</v>
      </c>
      <c r="I451">
        <v>2</v>
      </c>
      <c r="J451" t="s">
        <v>32</v>
      </c>
      <c r="K451">
        <v>0.92</v>
      </c>
      <c r="L451">
        <v>3</v>
      </c>
      <c r="M451" t="s">
        <v>20</v>
      </c>
      <c r="N451">
        <f t="shared" si="21"/>
        <v>2</v>
      </c>
      <c r="O451">
        <v>2016</v>
      </c>
      <c r="P451">
        <f t="shared" si="22"/>
        <v>8.3022657948733674</v>
      </c>
      <c r="Q451">
        <f t="shared" si="23"/>
        <v>5.2983673652980787</v>
      </c>
    </row>
    <row r="452" spans="1:17" hidden="1" x14ac:dyDescent="0.3">
      <c r="A452">
        <v>451</v>
      </c>
      <c r="B452">
        <v>720144</v>
      </c>
      <c r="C452" t="s">
        <v>908</v>
      </c>
      <c r="D452" t="s">
        <v>909</v>
      </c>
      <c r="E452">
        <v>30</v>
      </c>
      <c r="F452">
        <v>4030</v>
      </c>
      <c r="G452">
        <v>92</v>
      </c>
      <c r="H452">
        <v>46</v>
      </c>
      <c r="I452">
        <v>4</v>
      </c>
      <c r="J452" t="s">
        <v>23</v>
      </c>
      <c r="K452">
        <v>0.92</v>
      </c>
      <c r="L452">
        <v>9</v>
      </c>
      <c r="M452" t="s">
        <v>20</v>
      </c>
      <c r="N452">
        <f t="shared" si="21"/>
        <v>2</v>
      </c>
      <c r="O452">
        <v>2016</v>
      </c>
      <c r="P452">
        <f t="shared" si="22"/>
        <v>8.3015216549407285</v>
      </c>
      <c r="Q452">
        <f t="shared" si="23"/>
        <v>3.4015306594522756</v>
      </c>
    </row>
    <row r="453" spans="1:17" hidden="1" x14ac:dyDescent="0.3">
      <c r="A453">
        <v>452</v>
      </c>
      <c r="B453">
        <v>860812</v>
      </c>
      <c r="C453" t="s">
        <v>910</v>
      </c>
      <c r="D453" t="s">
        <v>911</v>
      </c>
      <c r="E453">
        <v>120</v>
      </c>
      <c r="F453">
        <v>4028</v>
      </c>
      <c r="G453">
        <v>674</v>
      </c>
      <c r="H453">
        <v>93</v>
      </c>
      <c r="I453">
        <v>2</v>
      </c>
      <c r="J453" t="s">
        <v>32</v>
      </c>
      <c r="K453">
        <v>0.92</v>
      </c>
      <c r="L453">
        <v>9</v>
      </c>
      <c r="M453" t="s">
        <v>20</v>
      </c>
      <c r="N453">
        <f t="shared" si="21"/>
        <v>2</v>
      </c>
      <c r="O453">
        <v>2016</v>
      </c>
      <c r="P453">
        <f t="shared" si="22"/>
        <v>8.3010252538384535</v>
      </c>
      <c r="Q453">
        <f t="shared" si="23"/>
        <v>4.7875750726433504</v>
      </c>
    </row>
    <row r="454" spans="1:17" hidden="1" x14ac:dyDescent="0.3">
      <c r="A454">
        <v>453</v>
      </c>
      <c r="B454">
        <v>365816</v>
      </c>
      <c r="C454" t="s">
        <v>912</v>
      </c>
      <c r="D454" t="s">
        <v>913</v>
      </c>
      <c r="E454">
        <v>145</v>
      </c>
      <c r="F454">
        <v>4020</v>
      </c>
      <c r="G454">
        <v>95</v>
      </c>
      <c r="H454">
        <v>52</v>
      </c>
      <c r="I454">
        <v>2</v>
      </c>
      <c r="J454" t="s">
        <v>32</v>
      </c>
      <c r="K454">
        <v>0.92</v>
      </c>
      <c r="L454">
        <v>3.5</v>
      </c>
      <c r="M454" t="s">
        <v>20</v>
      </c>
      <c r="N454">
        <f t="shared" si="21"/>
        <v>2</v>
      </c>
      <c r="O454">
        <v>2015</v>
      </c>
      <c r="P454">
        <f t="shared" si="22"/>
        <v>8.2990371816130661</v>
      </c>
      <c r="Q454">
        <f t="shared" si="23"/>
        <v>4.9768027055598036</v>
      </c>
    </row>
    <row r="455" spans="1:17" hidden="1" x14ac:dyDescent="0.3">
      <c r="A455">
        <v>454</v>
      </c>
      <c r="B455">
        <v>384078</v>
      </c>
      <c r="C455" t="s">
        <v>914</v>
      </c>
      <c r="D455" t="s">
        <v>915</v>
      </c>
      <c r="E455">
        <v>20</v>
      </c>
      <c r="F455">
        <v>4011</v>
      </c>
      <c r="G455">
        <v>24</v>
      </c>
      <c r="H455">
        <v>17</v>
      </c>
      <c r="I455">
        <v>2</v>
      </c>
      <c r="J455" t="s">
        <v>32</v>
      </c>
      <c r="K455">
        <v>0.92</v>
      </c>
      <c r="L455">
        <v>1.5</v>
      </c>
      <c r="M455" t="s">
        <v>20</v>
      </c>
      <c r="N455">
        <f t="shared" si="21"/>
        <v>2</v>
      </c>
      <c r="O455">
        <v>2015</v>
      </c>
      <c r="P455">
        <f t="shared" si="22"/>
        <v>8.2967958657700525</v>
      </c>
      <c r="Q455">
        <f t="shared" si="23"/>
        <v>2.996232148595642</v>
      </c>
    </row>
    <row r="456" spans="1:17" hidden="1" x14ac:dyDescent="0.3">
      <c r="A456">
        <v>455</v>
      </c>
      <c r="B456">
        <v>875882</v>
      </c>
      <c r="C456" t="s">
        <v>916</v>
      </c>
      <c r="D456" t="s">
        <v>917</v>
      </c>
      <c r="E456">
        <v>25</v>
      </c>
      <c r="F456">
        <v>4010</v>
      </c>
      <c r="G456">
        <v>17</v>
      </c>
      <c r="H456">
        <v>12</v>
      </c>
      <c r="I456">
        <v>4</v>
      </c>
      <c r="J456" t="s">
        <v>23</v>
      </c>
      <c r="K456">
        <v>0.92</v>
      </c>
      <c r="L456">
        <v>1</v>
      </c>
      <c r="M456" t="s">
        <v>20</v>
      </c>
      <c r="N456">
        <f t="shared" si="21"/>
        <v>2</v>
      </c>
      <c r="O456">
        <v>2016</v>
      </c>
      <c r="P456">
        <f t="shared" si="22"/>
        <v>8.2965465203006143</v>
      </c>
      <c r="Q456">
        <f t="shared" si="23"/>
        <v>3.2192757448895279</v>
      </c>
    </row>
    <row r="457" spans="1:17" hidden="1" x14ac:dyDescent="0.3">
      <c r="A457">
        <v>456</v>
      </c>
      <c r="B457">
        <v>1200874</v>
      </c>
      <c r="C457" t="s">
        <v>918</v>
      </c>
      <c r="D457" t="s">
        <v>919</v>
      </c>
      <c r="E457">
        <v>195</v>
      </c>
      <c r="F457">
        <v>4001</v>
      </c>
      <c r="G457">
        <v>8</v>
      </c>
      <c r="H457">
        <v>37</v>
      </c>
      <c r="I457">
        <v>4</v>
      </c>
      <c r="J457" t="s">
        <v>23</v>
      </c>
      <c r="K457">
        <v>0.92</v>
      </c>
      <c r="L457">
        <v>4</v>
      </c>
      <c r="M457" t="s">
        <v>20</v>
      </c>
      <c r="N457">
        <f t="shared" si="21"/>
        <v>2</v>
      </c>
      <c r="O457">
        <v>2017</v>
      </c>
      <c r="P457">
        <f t="shared" si="22"/>
        <v>8.2942996088572354</v>
      </c>
      <c r="Q457">
        <f t="shared" si="23"/>
        <v>5.273050839300149</v>
      </c>
    </row>
    <row r="458" spans="1:17" x14ac:dyDescent="0.3">
      <c r="A458">
        <v>457</v>
      </c>
      <c r="B458">
        <v>912996</v>
      </c>
      <c r="C458" t="s">
        <v>920</v>
      </c>
      <c r="D458" t="s">
        <v>921</v>
      </c>
      <c r="E458">
        <v>30</v>
      </c>
      <c r="F458">
        <v>3960</v>
      </c>
      <c r="G458">
        <v>220</v>
      </c>
      <c r="H458">
        <v>47</v>
      </c>
      <c r="I458">
        <v>1</v>
      </c>
      <c r="J458" t="s">
        <v>13</v>
      </c>
      <c r="K458">
        <v>0.92</v>
      </c>
      <c r="L458">
        <v>4.5</v>
      </c>
      <c r="M458" t="s">
        <v>20</v>
      </c>
      <c r="N458">
        <f t="shared" si="21"/>
        <v>2</v>
      </c>
      <c r="O458">
        <v>2016</v>
      </c>
      <c r="P458">
        <f t="shared" si="22"/>
        <v>8.2839993042485265</v>
      </c>
      <c r="Q458">
        <f t="shared" si="23"/>
        <v>3.4015306594522756</v>
      </c>
    </row>
    <row r="459" spans="1:17" hidden="1" x14ac:dyDescent="0.3">
      <c r="A459">
        <v>458</v>
      </c>
      <c r="B459">
        <v>1176686</v>
      </c>
      <c r="C459" t="s">
        <v>922</v>
      </c>
      <c r="D459" t="s">
        <v>923</v>
      </c>
      <c r="E459">
        <v>0</v>
      </c>
      <c r="F459">
        <v>3933</v>
      </c>
      <c r="G459">
        <v>23</v>
      </c>
      <c r="H459">
        <v>14</v>
      </c>
      <c r="I459">
        <v>4</v>
      </c>
      <c r="J459" t="s">
        <v>23</v>
      </c>
      <c r="K459">
        <v>0.92</v>
      </c>
      <c r="L459">
        <v>3</v>
      </c>
      <c r="M459" t="s">
        <v>14</v>
      </c>
      <c r="N459">
        <f t="shared" si="21"/>
        <v>1</v>
      </c>
      <c r="O459">
        <v>2017</v>
      </c>
      <c r="P459">
        <f t="shared" si="22"/>
        <v>8.2771577724318099</v>
      </c>
      <c r="Q459">
        <f t="shared" si="23"/>
        <v>-4.6051701859880909</v>
      </c>
    </row>
    <row r="460" spans="1:17" x14ac:dyDescent="0.3">
      <c r="A460">
        <v>459</v>
      </c>
      <c r="B460">
        <v>1260288</v>
      </c>
      <c r="C460" t="s">
        <v>924</v>
      </c>
      <c r="D460" t="s">
        <v>925</v>
      </c>
      <c r="E460">
        <v>20</v>
      </c>
      <c r="F460">
        <v>3903</v>
      </c>
      <c r="G460">
        <v>53</v>
      </c>
      <c r="H460">
        <v>107</v>
      </c>
      <c r="I460">
        <v>1</v>
      </c>
      <c r="J460" t="s">
        <v>13</v>
      </c>
      <c r="K460">
        <v>0.57999999999999996</v>
      </c>
      <c r="L460">
        <v>10.5</v>
      </c>
      <c r="M460" t="s">
        <v>20</v>
      </c>
      <c r="N460">
        <f t="shared" si="21"/>
        <v>2</v>
      </c>
      <c r="O460">
        <v>2017</v>
      </c>
      <c r="P460">
        <f t="shared" si="22"/>
        <v>8.2695007671806149</v>
      </c>
      <c r="Q460">
        <f t="shared" si="23"/>
        <v>2.996232148595642</v>
      </c>
    </row>
    <row r="461" spans="1:17" hidden="1" x14ac:dyDescent="0.3">
      <c r="A461">
        <v>460</v>
      </c>
      <c r="B461">
        <v>615084</v>
      </c>
      <c r="C461" t="s">
        <v>926</v>
      </c>
      <c r="D461" t="s">
        <v>927</v>
      </c>
      <c r="E461">
        <v>20</v>
      </c>
      <c r="F461">
        <v>3898</v>
      </c>
      <c r="G461">
        <v>95</v>
      </c>
      <c r="H461">
        <v>32</v>
      </c>
      <c r="I461">
        <v>2</v>
      </c>
      <c r="J461" t="s">
        <v>32</v>
      </c>
      <c r="K461">
        <v>0.22</v>
      </c>
      <c r="L461">
        <v>3</v>
      </c>
      <c r="M461" t="s">
        <v>20</v>
      </c>
      <c r="N461">
        <f t="shared" si="21"/>
        <v>2</v>
      </c>
      <c r="O461">
        <v>2015</v>
      </c>
      <c r="P461">
        <f t="shared" si="22"/>
        <v>8.268218880067506</v>
      </c>
      <c r="Q461">
        <f t="shared" si="23"/>
        <v>2.996232148595642</v>
      </c>
    </row>
    <row r="462" spans="1:17" hidden="1" x14ac:dyDescent="0.3">
      <c r="A462">
        <v>461</v>
      </c>
      <c r="B462">
        <v>857270</v>
      </c>
      <c r="C462" t="s">
        <v>928</v>
      </c>
      <c r="D462" t="s">
        <v>929</v>
      </c>
      <c r="E462">
        <v>0</v>
      </c>
      <c r="F462">
        <v>3894</v>
      </c>
      <c r="G462">
        <v>91</v>
      </c>
      <c r="H462">
        <v>29</v>
      </c>
      <c r="I462">
        <v>4</v>
      </c>
      <c r="J462" t="s">
        <v>23</v>
      </c>
      <c r="K462">
        <v>0.97</v>
      </c>
      <c r="L462">
        <v>2</v>
      </c>
      <c r="M462" t="s">
        <v>14</v>
      </c>
      <c r="N462">
        <f t="shared" si="21"/>
        <v>1</v>
      </c>
      <c r="O462">
        <v>2016</v>
      </c>
      <c r="P462">
        <f t="shared" si="22"/>
        <v>8.2671921859321458</v>
      </c>
      <c r="Q462">
        <f t="shared" si="23"/>
        <v>-4.6051701859880909</v>
      </c>
    </row>
    <row r="463" spans="1:17" hidden="1" x14ac:dyDescent="0.3">
      <c r="A463">
        <v>462</v>
      </c>
      <c r="B463">
        <v>595728</v>
      </c>
      <c r="C463" t="s">
        <v>930</v>
      </c>
      <c r="D463" t="s">
        <v>931</v>
      </c>
      <c r="E463">
        <v>200</v>
      </c>
      <c r="F463">
        <v>3887</v>
      </c>
      <c r="G463">
        <v>81</v>
      </c>
      <c r="H463">
        <v>94</v>
      </c>
      <c r="I463">
        <v>4</v>
      </c>
      <c r="J463" t="s">
        <v>23</v>
      </c>
      <c r="K463">
        <v>0.71</v>
      </c>
      <c r="L463">
        <v>8.5</v>
      </c>
      <c r="M463" t="s">
        <v>20</v>
      </c>
      <c r="N463">
        <f t="shared" si="21"/>
        <v>2</v>
      </c>
      <c r="O463">
        <v>2015</v>
      </c>
      <c r="P463">
        <f t="shared" si="22"/>
        <v>8.265392930852224</v>
      </c>
      <c r="Q463">
        <f t="shared" si="23"/>
        <v>5.2983673652980787</v>
      </c>
    </row>
    <row r="464" spans="1:17" x14ac:dyDescent="0.3">
      <c r="A464">
        <v>463</v>
      </c>
      <c r="B464">
        <v>678150</v>
      </c>
      <c r="C464" t="s">
        <v>932</v>
      </c>
      <c r="D464" t="s">
        <v>933</v>
      </c>
      <c r="E464">
        <v>0</v>
      </c>
      <c r="F464">
        <v>3883</v>
      </c>
      <c r="G464">
        <v>110</v>
      </c>
      <c r="H464">
        <v>9</v>
      </c>
      <c r="I464">
        <v>1</v>
      </c>
      <c r="J464" t="s">
        <v>13</v>
      </c>
      <c r="K464">
        <v>0.89</v>
      </c>
      <c r="L464">
        <v>1</v>
      </c>
      <c r="M464" t="s">
        <v>14</v>
      </c>
      <c r="N464">
        <f t="shared" si="21"/>
        <v>1</v>
      </c>
      <c r="O464">
        <v>2016</v>
      </c>
      <c r="P464">
        <f t="shared" si="22"/>
        <v>8.2643633297316672</v>
      </c>
      <c r="Q464">
        <f t="shared" si="23"/>
        <v>-4.6051701859880909</v>
      </c>
    </row>
    <row r="465" spans="1:17" x14ac:dyDescent="0.3">
      <c r="A465">
        <v>464</v>
      </c>
      <c r="B465">
        <v>604044</v>
      </c>
      <c r="C465" t="s">
        <v>934</v>
      </c>
      <c r="D465" t="s">
        <v>935</v>
      </c>
      <c r="E465">
        <v>20</v>
      </c>
      <c r="F465">
        <v>3877</v>
      </c>
      <c r="G465">
        <v>92</v>
      </c>
      <c r="H465">
        <v>15</v>
      </c>
      <c r="I465">
        <v>1</v>
      </c>
      <c r="J465" t="s">
        <v>13</v>
      </c>
      <c r="K465">
        <v>0.55000000000000004</v>
      </c>
      <c r="L465">
        <v>1.5</v>
      </c>
      <c r="M465" t="s">
        <v>20</v>
      </c>
      <c r="N465">
        <f t="shared" si="21"/>
        <v>2</v>
      </c>
      <c r="O465">
        <v>2015</v>
      </c>
      <c r="P465">
        <f t="shared" si="22"/>
        <v>8.2628169376709284</v>
      </c>
      <c r="Q465">
        <f t="shared" si="23"/>
        <v>2.996232148595642</v>
      </c>
    </row>
    <row r="466" spans="1:17" x14ac:dyDescent="0.3">
      <c r="A466">
        <v>465</v>
      </c>
      <c r="B466">
        <v>745306</v>
      </c>
      <c r="C466" t="s">
        <v>936</v>
      </c>
      <c r="D466" t="s">
        <v>937</v>
      </c>
      <c r="E466">
        <v>60</v>
      </c>
      <c r="F466">
        <v>3854</v>
      </c>
      <c r="G466">
        <v>482</v>
      </c>
      <c r="H466">
        <v>48</v>
      </c>
      <c r="I466">
        <v>1</v>
      </c>
      <c r="J466" t="s">
        <v>13</v>
      </c>
      <c r="K466">
        <v>0.72</v>
      </c>
      <c r="L466">
        <v>3</v>
      </c>
      <c r="M466" t="s">
        <v>20</v>
      </c>
      <c r="N466">
        <f t="shared" si="21"/>
        <v>2</v>
      </c>
      <c r="O466">
        <v>2016</v>
      </c>
      <c r="P466">
        <f t="shared" si="22"/>
        <v>8.2568668489743118</v>
      </c>
      <c r="Q466">
        <f t="shared" si="23"/>
        <v>4.0945112150014218</v>
      </c>
    </row>
    <row r="467" spans="1:17" hidden="1" x14ac:dyDescent="0.3">
      <c r="A467">
        <v>466</v>
      </c>
      <c r="B467">
        <v>482404</v>
      </c>
      <c r="C467" t="s">
        <v>938</v>
      </c>
      <c r="D467" t="s">
        <v>939</v>
      </c>
      <c r="E467">
        <v>195</v>
      </c>
      <c r="F467">
        <v>3831</v>
      </c>
      <c r="G467">
        <v>15</v>
      </c>
      <c r="H467">
        <v>25</v>
      </c>
      <c r="I467">
        <v>2</v>
      </c>
      <c r="J467" t="s">
        <v>32</v>
      </c>
      <c r="K467">
        <v>0.5</v>
      </c>
      <c r="L467">
        <v>1.5</v>
      </c>
      <c r="M467" t="s">
        <v>20</v>
      </c>
      <c r="N467">
        <f t="shared" si="21"/>
        <v>2</v>
      </c>
      <c r="O467">
        <v>2015</v>
      </c>
      <c r="P467">
        <f t="shared" si="22"/>
        <v>8.2508811447006494</v>
      </c>
      <c r="Q467">
        <f t="shared" si="23"/>
        <v>5.273050839300149</v>
      </c>
    </row>
    <row r="468" spans="1:17" hidden="1" x14ac:dyDescent="0.3">
      <c r="A468">
        <v>467</v>
      </c>
      <c r="B468">
        <v>1033686</v>
      </c>
      <c r="C468" t="s">
        <v>940</v>
      </c>
      <c r="D468" t="s">
        <v>941</v>
      </c>
      <c r="E468">
        <v>55</v>
      </c>
      <c r="F468">
        <v>3801</v>
      </c>
      <c r="G468">
        <v>43</v>
      </c>
      <c r="H468">
        <v>12</v>
      </c>
      <c r="I468">
        <v>4</v>
      </c>
      <c r="J468" t="s">
        <v>23</v>
      </c>
      <c r="K468">
        <v>0.37</v>
      </c>
      <c r="L468">
        <v>1</v>
      </c>
      <c r="M468" t="s">
        <v>20</v>
      </c>
      <c r="N468">
        <f t="shared" si="21"/>
        <v>2</v>
      </c>
      <c r="O468">
        <v>2017</v>
      </c>
      <c r="P468">
        <f t="shared" si="22"/>
        <v>8.2430194689892495</v>
      </c>
      <c r="Q468">
        <f t="shared" si="23"/>
        <v>4.007514986887367</v>
      </c>
    </row>
    <row r="469" spans="1:17" hidden="1" x14ac:dyDescent="0.3">
      <c r="A469">
        <v>468</v>
      </c>
      <c r="B469">
        <v>1049344</v>
      </c>
      <c r="C469" t="s">
        <v>942</v>
      </c>
      <c r="D469" t="s">
        <v>943</v>
      </c>
      <c r="E469">
        <v>0</v>
      </c>
      <c r="F469">
        <v>3784</v>
      </c>
      <c r="G469">
        <v>85</v>
      </c>
      <c r="H469">
        <v>32</v>
      </c>
      <c r="I469">
        <v>2</v>
      </c>
      <c r="J469" t="s">
        <v>32</v>
      </c>
      <c r="K469">
        <v>0.13</v>
      </c>
      <c r="L469">
        <v>2</v>
      </c>
      <c r="M469" t="s">
        <v>14</v>
      </c>
      <c r="N469">
        <f t="shared" si="21"/>
        <v>1</v>
      </c>
      <c r="O469">
        <v>2017</v>
      </c>
      <c r="P469">
        <f t="shared" si="22"/>
        <v>8.2385369301717688</v>
      </c>
      <c r="Q469">
        <f t="shared" si="23"/>
        <v>-4.6051701859880909</v>
      </c>
    </row>
    <row r="470" spans="1:17" x14ac:dyDescent="0.3">
      <c r="A470">
        <v>469</v>
      </c>
      <c r="B470">
        <v>1239022</v>
      </c>
      <c r="C470" t="s">
        <v>944</v>
      </c>
      <c r="D470" t="s">
        <v>945</v>
      </c>
      <c r="E470">
        <v>0</v>
      </c>
      <c r="F470">
        <v>3782</v>
      </c>
      <c r="G470">
        <v>32</v>
      </c>
      <c r="H470">
        <v>11</v>
      </c>
      <c r="I470">
        <v>1</v>
      </c>
      <c r="J470" t="s">
        <v>13</v>
      </c>
      <c r="K470">
        <v>0.56999999999999995</v>
      </c>
      <c r="L470">
        <v>1.5</v>
      </c>
      <c r="M470" t="s">
        <v>14</v>
      </c>
      <c r="N470">
        <f t="shared" si="21"/>
        <v>1</v>
      </c>
      <c r="O470">
        <v>2017</v>
      </c>
      <c r="P470">
        <f t="shared" si="22"/>
        <v>8.238008249218403</v>
      </c>
      <c r="Q470">
        <f t="shared" si="23"/>
        <v>-4.6051701859880909</v>
      </c>
    </row>
    <row r="471" spans="1:17" hidden="1" x14ac:dyDescent="0.3">
      <c r="A471">
        <v>470</v>
      </c>
      <c r="B471">
        <v>529028</v>
      </c>
      <c r="C471" t="s">
        <v>946</v>
      </c>
      <c r="D471" t="s">
        <v>947</v>
      </c>
      <c r="E471">
        <v>50</v>
      </c>
      <c r="F471">
        <v>3770</v>
      </c>
      <c r="G471">
        <v>108</v>
      </c>
      <c r="H471">
        <v>72</v>
      </c>
      <c r="I471">
        <v>4</v>
      </c>
      <c r="J471" t="s">
        <v>23</v>
      </c>
      <c r="K471">
        <v>0.73</v>
      </c>
      <c r="L471">
        <v>7</v>
      </c>
      <c r="M471" t="s">
        <v>20</v>
      </c>
      <c r="N471">
        <f t="shared" si="21"/>
        <v>2</v>
      </c>
      <c r="O471">
        <v>2015</v>
      </c>
      <c r="P471">
        <f t="shared" si="22"/>
        <v>8.2348302804420559</v>
      </c>
      <c r="Q471">
        <f t="shared" si="23"/>
        <v>3.9122229854308124</v>
      </c>
    </row>
    <row r="472" spans="1:17" hidden="1" x14ac:dyDescent="0.3">
      <c r="A472">
        <v>471</v>
      </c>
      <c r="B472">
        <v>1102962</v>
      </c>
      <c r="C472" t="s">
        <v>948</v>
      </c>
      <c r="D472" t="s">
        <v>949</v>
      </c>
      <c r="E472">
        <v>0</v>
      </c>
      <c r="F472">
        <v>3766</v>
      </c>
      <c r="G472">
        <v>135</v>
      </c>
      <c r="H472">
        <v>14</v>
      </c>
      <c r="I472">
        <v>4</v>
      </c>
      <c r="J472" t="s">
        <v>23</v>
      </c>
      <c r="K472">
        <v>0.66</v>
      </c>
      <c r="L472">
        <v>0.7</v>
      </c>
      <c r="M472" t="s">
        <v>14</v>
      </c>
      <c r="N472">
        <f t="shared" si="21"/>
        <v>1</v>
      </c>
      <c r="O472">
        <v>2017</v>
      </c>
      <c r="P472">
        <f t="shared" si="22"/>
        <v>8.233768709217097</v>
      </c>
      <c r="Q472">
        <f t="shared" si="23"/>
        <v>-4.6051701859880909</v>
      </c>
    </row>
    <row r="473" spans="1:17" hidden="1" x14ac:dyDescent="0.3">
      <c r="A473">
        <v>472</v>
      </c>
      <c r="B473">
        <v>821526</v>
      </c>
      <c r="C473" t="s">
        <v>950</v>
      </c>
      <c r="D473" t="s">
        <v>951</v>
      </c>
      <c r="E473">
        <v>20</v>
      </c>
      <c r="F473">
        <v>3759</v>
      </c>
      <c r="G473">
        <v>24</v>
      </c>
      <c r="H473">
        <v>25</v>
      </c>
      <c r="I473">
        <v>4</v>
      </c>
      <c r="J473" t="s">
        <v>23</v>
      </c>
      <c r="K473">
        <v>0.94</v>
      </c>
      <c r="L473">
        <v>4</v>
      </c>
      <c r="M473" t="s">
        <v>20</v>
      </c>
      <c r="N473">
        <f t="shared" si="21"/>
        <v>2</v>
      </c>
      <c r="O473">
        <v>2016</v>
      </c>
      <c r="P473">
        <f t="shared" si="22"/>
        <v>8.2319082435641775</v>
      </c>
      <c r="Q473">
        <f t="shared" si="23"/>
        <v>2.996232148595642</v>
      </c>
    </row>
    <row r="474" spans="1:17" x14ac:dyDescent="0.3">
      <c r="A474">
        <v>473</v>
      </c>
      <c r="B474">
        <v>511378</v>
      </c>
      <c r="C474" t="s">
        <v>952</v>
      </c>
      <c r="D474" t="s">
        <v>953</v>
      </c>
      <c r="E474">
        <v>100</v>
      </c>
      <c r="F474">
        <v>3757</v>
      </c>
      <c r="G474">
        <v>28</v>
      </c>
      <c r="H474">
        <v>20</v>
      </c>
      <c r="I474">
        <v>1</v>
      </c>
      <c r="J474" t="s">
        <v>13</v>
      </c>
      <c r="K474">
        <v>0.2</v>
      </c>
      <c r="L474">
        <v>1</v>
      </c>
      <c r="M474" t="s">
        <v>20</v>
      </c>
      <c r="N474">
        <f t="shared" si="21"/>
        <v>2</v>
      </c>
      <c r="O474">
        <v>2015</v>
      </c>
      <c r="P474">
        <f t="shared" si="22"/>
        <v>8.2313760455739686</v>
      </c>
      <c r="Q474">
        <f t="shared" si="23"/>
        <v>4.6052701809884251</v>
      </c>
    </row>
    <row r="475" spans="1:17" hidden="1" x14ac:dyDescent="0.3">
      <c r="A475">
        <v>474</v>
      </c>
      <c r="B475">
        <v>219838</v>
      </c>
      <c r="C475" t="s">
        <v>954</v>
      </c>
      <c r="D475" t="s">
        <v>955</v>
      </c>
      <c r="E475">
        <v>50</v>
      </c>
      <c r="F475">
        <v>3704</v>
      </c>
      <c r="G475">
        <v>111</v>
      </c>
      <c r="H475">
        <v>18</v>
      </c>
      <c r="I475">
        <v>4</v>
      </c>
      <c r="J475" t="s">
        <v>23</v>
      </c>
      <c r="K475">
        <v>0.72</v>
      </c>
      <c r="L475">
        <v>2</v>
      </c>
      <c r="M475" t="s">
        <v>20</v>
      </c>
      <c r="N475">
        <f t="shared" si="21"/>
        <v>2</v>
      </c>
      <c r="O475">
        <v>2014</v>
      </c>
      <c r="P475">
        <f t="shared" si="22"/>
        <v>8.2171685957660703</v>
      </c>
      <c r="Q475">
        <f t="shared" si="23"/>
        <v>3.9122229854308124</v>
      </c>
    </row>
    <row r="476" spans="1:17" hidden="1" x14ac:dyDescent="0.3">
      <c r="A476">
        <v>475</v>
      </c>
      <c r="B476">
        <v>593544</v>
      </c>
      <c r="C476" t="s">
        <v>956</v>
      </c>
      <c r="D476" t="s">
        <v>957</v>
      </c>
      <c r="E476">
        <v>100</v>
      </c>
      <c r="F476">
        <v>3701</v>
      </c>
      <c r="G476">
        <v>508</v>
      </c>
      <c r="H476">
        <v>125</v>
      </c>
      <c r="I476">
        <v>2</v>
      </c>
      <c r="J476" t="s">
        <v>32</v>
      </c>
      <c r="K476">
        <v>0.34</v>
      </c>
      <c r="L476">
        <v>10.5</v>
      </c>
      <c r="M476" t="s">
        <v>20</v>
      </c>
      <c r="N476">
        <f t="shared" si="21"/>
        <v>2</v>
      </c>
      <c r="O476">
        <v>2015</v>
      </c>
      <c r="P476">
        <f t="shared" si="22"/>
        <v>8.2163583323861555</v>
      </c>
      <c r="Q476">
        <f t="shared" si="23"/>
        <v>4.6052701809884251</v>
      </c>
    </row>
    <row r="477" spans="1:17" hidden="1" x14ac:dyDescent="0.3">
      <c r="A477">
        <v>476</v>
      </c>
      <c r="B477">
        <v>796010</v>
      </c>
      <c r="C477" t="s">
        <v>958</v>
      </c>
      <c r="D477" t="s">
        <v>959</v>
      </c>
      <c r="E477">
        <v>20</v>
      </c>
      <c r="F477">
        <v>3699</v>
      </c>
      <c r="G477">
        <v>201</v>
      </c>
      <c r="H477">
        <v>11</v>
      </c>
      <c r="I477">
        <v>2</v>
      </c>
      <c r="J477" t="s">
        <v>32</v>
      </c>
      <c r="K477">
        <v>0.92</v>
      </c>
      <c r="L477">
        <v>1</v>
      </c>
      <c r="M477" t="s">
        <v>20</v>
      </c>
      <c r="N477">
        <f t="shared" si="21"/>
        <v>2</v>
      </c>
      <c r="O477">
        <v>2016</v>
      </c>
      <c r="P477">
        <f t="shared" si="22"/>
        <v>8.2158177918324533</v>
      </c>
      <c r="Q477">
        <f t="shared" si="23"/>
        <v>2.996232148595642</v>
      </c>
    </row>
    <row r="478" spans="1:17" hidden="1" x14ac:dyDescent="0.3">
      <c r="A478">
        <v>477</v>
      </c>
      <c r="B478">
        <v>8324</v>
      </c>
      <c r="C478" t="s">
        <v>960</v>
      </c>
      <c r="D478" t="s">
        <v>961</v>
      </c>
      <c r="E478">
        <v>20</v>
      </c>
      <c r="F478">
        <v>3697</v>
      </c>
      <c r="G478">
        <v>195</v>
      </c>
      <c r="H478">
        <v>48</v>
      </c>
      <c r="I478">
        <v>4</v>
      </c>
      <c r="J478" t="s">
        <v>23</v>
      </c>
      <c r="K478">
        <v>0.11</v>
      </c>
      <c r="L478">
        <v>3</v>
      </c>
      <c r="M478" t="s">
        <v>20</v>
      </c>
      <c r="N478">
        <f t="shared" si="21"/>
        <v>2</v>
      </c>
      <c r="O478">
        <v>2011</v>
      </c>
      <c r="P478">
        <f t="shared" si="22"/>
        <v>8.2152769589366326</v>
      </c>
      <c r="Q478">
        <f t="shared" si="23"/>
        <v>2.996232148595642</v>
      </c>
    </row>
    <row r="479" spans="1:17" x14ac:dyDescent="0.3">
      <c r="A479">
        <v>478</v>
      </c>
      <c r="B479">
        <v>566920</v>
      </c>
      <c r="C479" t="s">
        <v>962</v>
      </c>
      <c r="D479" t="s">
        <v>963</v>
      </c>
      <c r="E479">
        <v>20</v>
      </c>
      <c r="F479">
        <v>3694</v>
      </c>
      <c r="G479">
        <v>48</v>
      </c>
      <c r="H479">
        <v>39</v>
      </c>
      <c r="I479">
        <v>1</v>
      </c>
      <c r="J479" t="s">
        <v>13</v>
      </c>
      <c r="K479">
        <v>0.11</v>
      </c>
      <c r="L479">
        <v>4</v>
      </c>
      <c r="M479" t="s">
        <v>20</v>
      </c>
      <c r="N479">
        <f t="shared" si="21"/>
        <v>2</v>
      </c>
      <c r="O479">
        <v>2015</v>
      </c>
      <c r="P479">
        <f t="shared" si="22"/>
        <v>8.2144651607591861</v>
      </c>
      <c r="Q479">
        <f t="shared" si="23"/>
        <v>2.996232148595642</v>
      </c>
    </row>
    <row r="480" spans="1:17" hidden="1" x14ac:dyDescent="0.3">
      <c r="A480">
        <v>479</v>
      </c>
      <c r="B480">
        <v>1169848</v>
      </c>
      <c r="C480" t="s">
        <v>964</v>
      </c>
      <c r="D480" t="s">
        <v>965</v>
      </c>
      <c r="E480">
        <v>50</v>
      </c>
      <c r="F480">
        <v>3688</v>
      </c>
      <c r="G480">
        <v>49</v>
      </c>
      <c r="H480">
        <v>11</v>
      </c>
      <c r="I480">
        <v>4</v>
      </c>
      <c r="J480" t="s">
        <v>23</v>
      </c>
      <c r="K480">
        <v>0.62</v>
      </c>
      <c r="L480">
        <v>1</v>
      </c>
      <c r="M480" t="s">
        <v>20</v>
      </c>
      <c r="N480">
        <f t="shared" si="21"/>
        <v>2</v>
      </c>
      <c r="O480">
        <v>2017</v>
      </c>
      <c r="P480">
        <f t="shared" si="22"/>
        <v>8.2128395846764839</v>
      </c>
      <c r="Q480">
        <f t="shared" si="23"/>
        <v>3.9122229854308124</v>
      </c>
    </row>
    <row r="481" spans="1:17" x14ac:dyDescent="0.3">
      <c r="A481">
        <v>480</v>
      </c>
      <c r="B481">
        <v>1084894</v>
      </c>
      <c r="C481" t="s">
        <v>966</v>
      </c>
      <c r="D481" t="s">
        <v>967</v>
      </c>
      <c r="E481">
        <v>0</v>
      </c>
      <c r="F481">
        <v>3655</v>
      </c>
      <c r="G481">
        <v>85</v>
      </c>
      <c r="H481">
        <v>44</v>
      </c>
      <c r="I481">
        <v>1</v>
      </c>
      <c r="J481" t="s">
        <v>13</v>
      </c>
      <c r="K481">
        <v>0.94</v>
      </c>
      <c r="L481">
        <v>2</v>
      </c>
      <c r="M481" t="s">
        <v>14</v>
      </c>
      <c r="N481">
        <f t="shared" si="21"/>
        <v>1</v>
      </c>
      <c r="O481">
        <v>2017</v>
      </c>
      <c r="P481">
        <f t="shared" si="22"/>
        <v>8.2038513721838786</v>
      </c>
      <c r="Q481">
        <f t="shared" si="23"/>
        <v>-4.6051701859880909</v>
      </c>
    </row>
    <row r="482" spans="1:17" hidden="1" x14ac:dyDescent="0.3">
      <c r="A482">
        <v>481</v>
      </c>
      <c r="B482">
        <v>834924</v>
      </c>
      <c r="C482" t="s">
        <v>968</v>
      </c>
      <c r="D482" t="s">
        <v>969</v>
      </c>
      <c r="E482">
        <v>30</v>
      </c>
      <c r="F482">
        <v>3652</v>
      </c>
      <c r="G482">
        <v>60</v>
      </c>
      <c r="H482">
        <v>7</v>
      </c>
      <c r="I482">
        <v>4</v>
      </c>
      <c r="J482" t="s">
        <v>23</v>
      </c>
      <c r="K482">
        <v>0.94</v>
      </c>
      <c r="L482">
        <v>0.66666667000000002</v>
      </c>
      <c r="M482" t="s">
        <v>20</v>
      </c>
      <c r="N482">
        <f t="shared" si="21"/>
        <v>2</v>
      </c>
      <c r="O482">
        <v>2016</v>
      </c>
      <c r="P482">
        <f t="shared" si="22"/>
        <v>8.2030302417148597</v>
      </c>
      <c r="Q482">
        <f t="shared" si="23"/>
        <v>3.4015306594522756</v>
      </c>
    </row>
    <row r="483" spans="1:17" x14ac:dyDescent="0.3">
      <c r="A483">
        <v>482</v>
      </c>
      <c r="B483">
        <v>900434</v>
      </c>
      <c r="C483" t="s">
        <v>970</v>
      </c>
      <c r="D483" t="s">
        <v>971</v>
      </c>
      <c r="E483">
        <v>200</v>
      </c>
      <c r="F483">
        <v>3632</v>
      </c>
      <c r="G483">
        <v>28</v>
      </c>
      <c r="H483">
        <v>31</v>
      </c>
      <c r="I483">
        <v>1</v>
      </c>
      <c r="J483" t="s">
        <v>13</v>
      </c>
      <c r="K483">
        <v>0.94</v>
      </c>
      <c r="L483">
        <v>2</v>
      </c>
      <c r="M483" t="s">
        <v>20</v>
      </c>
      <c r="N483">
        <f t="shared" si="21"/>
        <v>2</v>
      </c>
      <c r="O483">
        <v>2016</v>
      </c>
      <c r="P483">
        <f t="shared" si="22"/>
        <v>8.1975387397211836</v>
      </c>
      <c r="Q483">
        <f t="shared" si="23"/>
        <v>5.2983673652980787</v>
      </c>
    </row>
    <row r="484" spans="1:17" x14ac:dyDescent="0.3">
      <c r="A484">
        <v>483</v>
      </c>
      <c r="B484">
        <v>993146</v>
      </c>
      <c r="C484" t="s">
        <v>972</v>
      </c>
      <c r="D484" t="s">
        <v>973</v>
      </c>
      <c r="E484">
        <v>95</v>
      </c>
      <c r="F484">
        <v>3619</v>
      </c>
      <c r="G484">
        <v>93</v>
      </c>
      <c r="H484">
        <v>19</v>
      </c>
      <c r="I484">
        <v>1</v>
      </c>
      <c r="J484" t="s">
        <v>13</v>
      </c>
      <c r="K484">
        <v>0.94</v>
      </c>
      <c r="L484">
        <v>1</v>
      </c>
      <c r="M484" t="s">
        <v>20</v>
      </c>
      <c r="N484">
        <f t="shared" si="21"/>
        <v>2</v>
      </c>
      <c r="O484">
        <v>2016</v>
      </c>
      <c r="P484">
        <f t="shared" si="22"/>
        <v>8.1939530235637417</v>
      </c>
      <c r="Q484">
        <f t="shared" si="23"/>
        <v>4.5539821492186583</v>
      </c>
    </row>
    <row r="485" spans="1:17" hidden="1" x14ac:dyDescent="0.3">
      <c r="A485">
        <v>484</v>
      </c>
      <c r="B485">
        <v>947498</v>
      </c>
      <c r="C485" t="s">
        <v>974</v>
      </c>
      <c r="D485" t="s">
        <v>975</v>
      </c>
      <c r="E485">
        <v>50</v>
      </c>
      <c r="F485">
        <v>3601</v>
      </c>
      <c r="G485">
        <v>28</v>
      </c>
      <c r="H485">
        <v>22</v>
      </c>
      <c r="I485">
        <v>4</v>
      </c>
      <c r="J485" t="s">
        <v>23</v>
      </c>
      <c r="K485">
        <v>0.94</v>
      </c>
      <c r="L485">
        <v>2</v>
      </c>
      <c r="M485" t="s">
        <v>20</v>
      </c>
      <c r="N485">
        <f t="shared" si="21"/>
        <v>2</v>
      </c>
      <c r="O485">
        <v>2016</v>
      </c>
      <c r="P485">
        <f t="shared" si="22"/>
        <v>8.1889668636488757</v>
      </c>
      <c r="Q485">
        <f t="shared" si="23"/>
        <v>3.9122229854308124</v>
      </c>
    </row>
    <row r="486" spans="1:17" hidden="1" x14ac:dyDescent="0.3">
      <c r="A486">
        <v>485</v>
      </c>
      <c r="B486">
        <v>739090</v>
      </c>
      <c r="C486" t="s">
        <v>976</v>
      </c>
      <c r="D486" t="s">
        <v>977</v>
      </c>
      <c r="E486">
        <v>110</v>
      </c>
      <c r="F486">
        <v>3590</v>
      </c>
      <c r="G486">
        <v>36</v>
      </c>
      <c r="H486">
        <v>104</v>
      </c>
      <c r="I486">
        <v>2</v>
      </c>
      <c r="J486" t="s">
        <v>32</v>
      </c>
      <c r="K486">
        <v>0.94</v>
      </c>
      <c r="L486">
        <v>14</v>
      </c>
      <c r="M486" t="s">
        <v>20</v>
      </c>
      <c r="N486">
        <f t="shared" si="21"/>
        <v>2</v>
      </c>
      <c r="O486">
        <v>2016</v>
      </c>
      <c r="P486">
        <f t="shared" si="22"/>
        <v>8.1859074814823245</v>
      </c>
      <c r="Q486">
        <f t="shared" si="23"/>
        <v>4.7005712707513441</v>
      </c>
    </row>
    <row r="487" spans="1:17" x14ac:dyDescent="0.3">
      <c r="A487">
        <v>486</v>
      </c>
      <c r="B487">
        <v>1246622</v>
      </c>
      <c r="C487" t="s">
        <v>978</v>
      </c>
      <c r="D487" t="s">
        <v>979</v>
      </c>
      <c r="E487">
        <v>0</v>
      </c>
      <c r="F487">
        <v>3571</v>
      </c>
      <c r="G487">
        <v>18</v>
      </c>
      <c r="H487">
        <v>8</v>
      </c>
      <c r="I487">
        <v>1</v>
      </c>
      <c r="J487" t="s">
        <v>13</v>
      </c>
      <c r="K487">
        <v>0.94</v>
      </c>
      <c r="L487">
        <v>1</v>
      </c>
      <c r="M487" t="s">
        <v>14</v>
      </c>
      <c r="N487">
        <f t="shared" si="21"/>
        <v>1</v>
      </c>
      <c r="O487">
        <v>2017</v>
      </c>
      <c r="P487">
        <f t="shared" si="22"/>
        <v>8.1806009475944492</v>
      </c>
      <c r="Q487">
        <f t="shared" si="23"/>
        <v>-4.6051701859880909</v>
      </c>
    </row>
    <row r="488" spans="1:17" hidden="1" x14ac:dyDescent="0.3">
      <c r="A488">
        <v>487</v>
      </c>
      <c r="B488">
        <v>1249968</v>
      </c>
      <c r="C488" t="s">
        <v>980</v>
      </c>
      <c r="D488" t="s">
        <v>981</v>
      </c>
      <c r="E488">
        <v>100</v>
      </c>
      <c r="F488">
        <v>3559</v>
      </c>
      <c r="G488">
        <v>24</v>
      </c>
      <c r="H488">
        <v>18</v>
      </c>
      <c r="I488">
        <v>2</v>
      </c>
      <c r="J488" t="s">
        <v>32</v>
      </c>
      <c r="K488">
        <v>0.94</v>
      </c>
      <c r="L488">
        <v>1</v>
      </c>
      <c r="M488" t="s">
        <v>20</v>
      </c>
      <c r="N488">
        <f t="shared" si="21"/>
        <v>2</v>
      </c>
      <c r="O488">
        <v>2017</v>
      </c>
      <c r="P488">
        <f t="shared" si="22"/>
        <v>8.1772348855101935</v>
      </c>
      <c r="Q488">
        <f t="shared" si="23"/>
        <v>4.6052701809884251</v>
      </c>
    </row>
    <row r="489" spans="1:17" x14ac:dyDescent="0.3">
      <c r="A489">
        <v>488</v>
      </c>
      <c r="B489">
        <v>1086834</v>
      </c>
      <c r="C489" t="s">
        <v>982</v>
      </c>
      <c r="D489" t="s">
        <v>983</v>
      </c>
      <c r="E489">
        <v>40</v>
      </c>
      <c r="F489">
        <v>3541</v>
      </c>
      <c r="G489">
        <v>202</v>
      </c>
      <c r="H489">
        <v>37</v>
      </c>
      <c r="I489">
        <v>1</v>
      </c>
      <c r="J489" t="s">
        <v>13</v>
      </c>
      <c r="K489">
        <v>0.94</v>
      </c>
      <c r="L489">
        <v>4</v>
      </c>
      <c r="M489" t="s">
        <v>20</v>
      </c>
      <c r="N489">
        <f t="shared" si="21"/>
        <v>2</v>
      </c>
      <c r="O489">
        <v>2017</v>
      </c>
      <c r="P489">
        <f t="shared" si="22"/>
        <v>8.1721644521119039</v>
      </c>
      <c r="Q489">
        <f t="shared" si="23"/>
        <v>3.6891294228691436</v>
      </c>
    </row>
    <row r="490" spans="1:17" hidden="1" x14ac:dyDescent="0.3">
      <c r="A490">
        <v>489</v>
      </c>
      <c r="B490">
        <v>1174446</v>
      </c>
      <c r="C490" t="s">
        <v>984</v>
      </c>
      <c r="D490" t="s">
        <v>985</v>
      </c>
      <c r="E490">
        <v>35</v>
      </c>
      <c r="F490">
        <v>3539</v>
      </c>
      <c r="G490">
        <v>43</v>
      </c>
      <c r="H490">
        <v>20</v>
      </c>
      <c r="I490">
        <v>4</v>
      </c>
      <c r="J490" t="s">
        <v>23</v>
      </c>
      <c r="K490">
        <v>0.94</v>
      </c>
      <c r="L490">
        <v>1</v>
      </c>
      <c r="M490" t="s">
        <v>20</v>
      </c>
      <c r="N490">
        <f t="shared" si="21"/>
        <v>2</v>
      </c>
      <c r="O490">
        <v>2017</v>
      </c>
      <c r="P490">
        <f t="shared" si="22"/>
        <v>8.1715994803454635</v>
      </c>
      <c r="Q490">
        <f t="shared" si="23"/>
        <v>3.5556337349665741</v>
      </c>
    </row>
    <row r="491" spans="1:17" hidden="1" x14ac:dyDescent="0.3">
      <c r="A491">
        <v>490</v>
      </c>
      <c r="B491">
        <v>994740</v>
      </c>
      <c r="C491" t="s">
        <v>986</v>
      </c>
      <c r="D491" t="s">
        <v>987</v>
      </c>
      <c r="E491">
        <v>30</v>
      </c>
      <c r="F491">
        <v>3503</v>
      </c>
      <c r="G491">
        <v>123</v>
      </c>
      <c r="H491">
        <v>41</v>
      </c>
      <c r="I491">
        <v>4</v>
      </c>
      <c r="J491" t="s">
        <v>23</v>
      </c>
      <c r="K491">
        <v>0.94</v>
      </c>
      <c r="L491">
        <v>4</v>
      </c>
      <c r="M491" t="s">
        <v>20</v>
      </c>
      <c r="N491">
        <f t="shared" si="21"/>
        <v>2</v>
      </c>
      <c r="O491">
        <v>2016</v>
      </c>
      <c r="P491">
        <f t="shared" si="22"/>
        <v>8.1613750231974862</v>
      </c>
      <c r="Q491">
        <f t="shared" si="23"/>
        <v>3.4015306594522756</v>
      </c>
    </row>
    <row r="492" spans="1:17" hidden="1" x14ac:dyDescent="0.3">
      <c r="A492">
        <v>491</v>
      </c>
      <c r="B492">
        <v>1203894</v>
      </c>
      <c r="C492" t="s">
        <v>988</v>
      </c>
      <c r="D492" t="s">
        <v>989</v>
      </c>
      <c r="E492">
        <v>0</v>
      </c>
      <c r="F492">
        <v>3493</v>
      </c>
      <c r="G492">
        <v>43</v>
      </c>
      <c r="H492">
        <v>26</v>
      </c>
      <c r="I492">
        <v>2</v>
      </c>
      <c r="J492" t="s">
        <v>32</v>
      </c>
      <c r="K492">
        <v>0.94</v>
      </c>
      <c r="L492">
        <v>4.5</v>
      </c>
      <c r="M492" t="s">
        <v>14</v>
      </c>
      <c r="N492">
        <f t="shared" si="21"/>
        <v>1</v>
      </c>
      <c r="O492">
        <v>2017</v>
      </c>
      <c r="P492">
        <f t="shared" si="22"/>
        <v>8.1585162448068314</v>
      </c>
      <c r="Q492">
        <f t="shared" si="23"/>
        <v>-4.6051701859880909</v>
      </c>
    </row>
    <row r="493" spans="1:17" hidden="1" x14ac:dyDescent="0.3">
      <c r="A493">
        <v>492</v>
      </c>
      <c r="B493">
        <v>1023196</v>
      </c>
      <c r="C493" t="s">
        <v>990</v>
      </c>
      <c r="D493" t="s">
        <v>991</v>
      </c>
      <c r="E493">
        <v>25</v>
      </c>
      <c r="F493">
        <v>3492</v>
      </c>
      <c r="G493">
        <v>61</v>
      </c>
      <c r="H493">
        <v>12</v>
      </c>
      <c r="I493">
        <v>4</v>
      </c>
      <c r="J493" t="s">
        <v>23</v>
      </c>
      <c r="K493">
        <v>0.94</v>
      </c>
      <c r="L493">
        <v>1.5</v>
      </c>
      <c r="M493" t="s">
        <v>20</v>
      </c>
      <c r="N493">
        <f t="shared" si="21"/>
        <v>2</v>
      </c>
      <c r="O493">
        <v>2016</v>
      </c>
      <c r="P493">
        <f t="shared" si="22"/>
        <v>8.1582299169594936</v>
      </c>
      <c r="Q493">
        <f t="shared" si="23"/>
        <v>3.2192757448895279</v>
      </c>
    </row>
    <row r="494" spans="1:17" hidden="1" x14ac:dyDescent="0.3">
      <c r="A494">
        <v>493</v>
      </c>
      <c r="B494">
        <v>597256</v>
      </c>
      <c r="C494" t="s">
        <v>992</v>
      </c>
      <c r="D494" t="s">
        <v>993</v>
      </c>
      <c r="E494">
        <v>35</v>
      </c>
      <c r="F494">
        <v>3485</v>
      </c>
      <c r="G494">
        <v>22</v>
      </c>
      <c r="H494">
        <v>19</v>
      </c>
      <c r="I494">
        <v>2</v>
      </c>
      <c r="J494" t="s">
        <v>32</v>
      </c>
      <c r="K494">
        <v>0.55000000000000004</v>
      </c>
      <c r="L494">
        <v>2</v>
      </c>
      <c r="M494" t="s">
        <v>20</v>
      </c>
      <c r="N494">
        <f t="shared" si="21"/>
        <v>2</v>
      </c>
      <c r="O494">
        <v>2015</v>
      </c>
      <c r="P494">
        <f t="shared" si="22"/>
        <v>8.1562233231946237</v>
      </c>
      <c r="Q494">
        <f t="shared" si="23"/>
        <v>3.5556337349665741</v>
      </c>
    </row>
    <row r="495" spans="1:17" hidden="1" x14ac:dyDescent="0.3">
      <c r="A495">
        <v>494</v>
      </c>
      <c r="B495">
        <v>683394</v>
      </c>
      <c r="C495" t="s">
        <v>994</v>
      </c>
      <c r="D495" t="s">
        <v>995</v>
      </c>
      <c r="E495">
        <v>20</v>
      </c>
      <c r="F495">
        <v>3461</v>
      </c>
      <c r="G495">
        <v>11</v>
      </c>
      <c r="H495">
        <v>23</v>
      </c>
      <c r="I495">
        <v>4</v>
      </c>
      <c r="J495" t="s">
        <v>23</v>
      </c>
      <c r="K495">
        <v>0.43</v>
      </c>
      <c r="L495">
        <v>1.5</v>
      </c>
      <c r="M495" t="s">
        <v>20</v>
      </c>
      <c r="N495">
        <f t="shared" si="21"/>
        <v>2</v>
      </c>
      <c r="O495">
        <v>2015</v>
      </c>
      <c r="P495">
        <f t="shared" si="22"/>
        <v>8.1493128436353448</v>
      </c>
      <c r="Q495">
        <f t="shared" si="23"/>
        <v>2.996232148595642</v>
      </c>
    </row>
    <row r="496" spans="1:17" hidden="1" x14ac:dyDescent="0.3">
      <c r="A496">
        <v>495</v>
      </c>
      <c r="B496">
        <v>1090194</v>
      </c>
      <c r="C496" t="s">
        <v>996</v>
      </c>
      <c r="D496" t="s">
        <v>997</v>
      </c>
      <c r="E496">
        <v>20</v>
      </c>
      <c r="F496">
        <v>3444</v>
      </c>
      <c r="G496">
        <v>35</v>
      </c>
      <c r="H496">
        <v>16</v>
      </c>
      <c r="I496">
        <v>4</v>
      </c>
      <c r="J496" t="s">
        <v>23</v>
      </c>
      <c r="K496">
        <v>0.34</v>
      </c>
      <c r="L496">
        <v>3</v>
      </c>
      <c r="M496" t="s">
        <v>20</v>
      </c>
      <c r="N496">
        <f t="shared" si="21"/>
        <v>2</v>
      </c>
      <c r="O496">
        <v>2017</v>
      </c>
      <c r="P496">
        <f t="shared" si="22"/>
        <v>8.1443888655476222</v>
      </c>
      <c r="Q496">
        <f t="shared" si="23"/>
        <v>2.996232148595642</v>
      </c>
    </row>
    <row r="497" spans="1:17" hidden="1" x14ac:dyDescent="0.3">
      <c r="A497">
        <v>496</v>
      </c>
      <c r="B497">
        <v>368340</v>
      </c>
      <c r="C497" t="s">
        <v>998</v>
      </c>
      <c r="D497" t="s">
        <v>999</v>
      </c>
      <c r="E497">
        <v>120</v>
      </c>
      <c r="F497">
        <v>3420</v>
      </c>
      <c r="G497">
        <v>489</v>
      </c>
      <c r="H497">
        <v>102</v>
      </c>
      <c r="I497">
        <v>4</v>
      </c>
      <c r="J497" t="s">
        <v>23</v>
      </c>
      <c r="K497">
        <v>0.18</v>
      </c>
      <c r="L497">
        <v>14.5</v>
      </c>
      <c r="M497" t="s">
        <v>20</v>
      </c>
      <c r="N497">
        <f t="shared" si="21"/>
        <v>2</v>
      </c>
      <c r="O497">
        <v>2015</v>
      </c>
      <c r="P497">
        <f t="shared" si="22"/>
        <v>8.1373958300566507</v>
      </c>
      <c r="Q497">
        <f t="shared" si="23"/>
        <v>4.7875750726433504</v>
      </c>
    </row>
    <row r="498" spans="1:17" hidden="1" x14ac:dyDescent="0.3">
      <c r="A498">
        <v>497</v>
      </c>
      <c r="B498">
        <v>883000</v>
      </c>
      <c r="C498" t="s">
        <v>1000</v>
      </c>
      <c r="D498" t="s">
        <v>1001</v>
      </c>
      <c r="E498">
        <v>150</v>
      </c>
      <c r="F498">
        <v>3415</v>
      </c>
      <c r="G498">
        <v>312</v>
      </c>
      <c r="H498">
        <v>160</v>
      </c>
      <c r="I498">
        <v>4</v>
      </c>
      <c r="J498" t="s">
        <v>23</v>
      </c>
      <c r="K498">
        <v>0.88</v>
      </c>
      <c r="L498">
        <v>25</v>
      </c>
      <c r="M498" t="s">
        <v>20</v>
      </c>
      <c r="N498">
        <f t="shared" si="21"/>
        <v>2</v>
      </c>
      <c r="O498">
        <v>2016</v>
      </c>
      <c r="P498">
        <f t="shared" si="22"/>
        <v>8.1359327720048906</v>
      </c>
      <c r="Q498">
        <f t="shared" si="23"/>
        <v>5.0107019585407988</v>
      </c>
    </row>
    <row r="499" spans="1:17" hidden="1" x14ac:dyDescent="0.3">
      <c r="A499">
        <v>498</v>
      </c>
      <c r="B499">
        <v>92194</v>
      </c>
      <c r="C499" t="s">
        <v>1002</v>
      </c>
      <c r="D499" t="s">
        <v>1003</v>
      </c>
      <c r="E499">
        <v>50</v>
      </c>
      <c r="F499">
        <v>3411</v>
      </c>
      <c r="G499">
        <v>84</v>
      </c>
      <c r="H499">
        <v>22</v>
      </c>
      <c r="I499">
        <v>2</v>
      </c>
      <c r="J499" t="s">
        <v>32</v>
      </c>
      <c r="K499">
        <v>0.21</v>
      </c>
      <c r="L499">
        <v>1</v>
      </c>
      <c r="M499" t="s">
        <v>20</v>
      </c>
      <c r="N499">
        <f t="shared" si="21"/>
        <v>2</v>
      </c>
      <c r="O499">
        <v>2013</v>
      </c>
      <c r="P499">
        <f t="shared" si="22"/>
        <v>8.1347607824186454</v>
      </c>
      <c r="Q499">
        <f t="shared" si="23"/>
        <v>3.9122229854308124</v>
      </c>
    </row>
    <row r="500" spans="1:17" hidden="1" x14ac:dyDescent="0.3">
      <c r="A500">
        <v>499</v>
      </c>
      <c r="B500">
        <v>564366</v>
      </c>
      <c r="C500" t="s">
        <v>1004</v>
      </c>
      <c r="D500" t="s">
        <v>1005</v>
      </c>
      <c r="E500">
        <v>200</v>
      </c>
      <c r="F500">
        <v>3399</v>
      </c>
      <c r="G500">
        <v>85</v>
      </c>
      <c r="H500">
        <v>15</v>
      </c>
      <c r="I500">
        <v>4</v>
      </c>
      <c r="J500" t="s">
        <v>23</v>
      </c>
      <c r="K500">
        <v>0.76</v>
      </c>
      <c r="L500">
        <v>1.5</v>
      </c>
      <c r="M500" t="s">
        <v>20</v>
      </c>
      <c r="N500">
        <f t="shared" si="21"/>
        <v>2</v>
      </c>
      <c r="O500">
        <v>2015</v>
      </c>
      <c r="P500">
        <f t="shared" si="22"/>
        <v>8.1312365496961156</v>
      </c>
      <c r="Q500">
        <f t="shared" si="23"/>
        <v>5.2983673652980787</v>
      </c>
    </row>
    <row r="501" spans="1:17" hidden="1" x14ac:dyDescent="0.3">
      <c r="A501">
        <v>500</v>
      </c>
      <c r="B501">
        <v>467426</v>
      </c>
      <c r="C501" t="s">
        <v>1006</v>
      </c>
      <c r="D501" t="s">
        <v>1007</v>
      </c>
      <c r="E501">
        <v>200</v>
      </c>
      <c r="F501">
        <v>3397</v>
      </c>
      <c r="G501">
        <v>12</v>
      </c>
      <c r="H501">
        <v>85</v>
      </c>
      <c r="I501">
        <v>4</v>
      </c>
      <c r="J501" t="s">
        <v>23</v>
      </c>
      <c r="K501">
        <v>0.9</v>
      </c>
      <c r="L501">
        <v>8</v>
      </c>
      <c r="M501" t="s">
        <v>20</v>
      </c>
      <c r="N501">
        <f t="shared" si="21"/>
        <v>2</v>
      </c>
      <c r="O501">
        <v>2015</v>
      </c>
      <c r="P501">
        <f t="shared" si="22"/>
        <v>8.1306479681605843</v>
      </c>
      <c r="Q501">
        <f t="shared" si="23"/>
        <v>5.2983673652980787</v>
      </c>
    </row>
    <row r="502" spans="1:17" hidden="1" x14ac:dyDescent="0.3">
      <c r="A502">
        <v>501</v>
      </c>
      <c r="B502">
        <v>976598</v>
      </c>
      <c r="C502" t="s">
        <v>1008</v>
      </c>
      <c r="D502" t="s">
        <v>1009</v>
      </c>
      <c r="E502">
        <v>200</v>
      </c>
      <c r="F502">
        <v>3392</v>
      </c>
      <c r="G502">
        <v>29</v>
      </c>
      <c r="H502">
        <v>19</v>
      </c>
      <c r="I502">
        <v>4</v>
      </c>
      <c r="J502" t="s">
        <v>23</v>
      </c>
      <c r="K502">
        <v>0.93</v>
      </c>
      <c r="L502">
        <v>1.5</v>
      </c>
      <c r="M502" t="s">
        <v>20</v>
      </c>
      <c r="N502">
        <f t="shared" si="21"/>
        <v>2</v>
      </c>
      <c r="O502">
        <v>2016</v>
      </c>
      <c r="P502">
        <f t="shared" si="22"/>
        <v>8.129174996911793</v>
      </c>
      <c r="Q502">
        <f t="shared" si="23"/>
        <v>5.2983673652980787</v>
      </c>
    </row>
    <row r="503" spans="1:17" x14ac:dyDescent="0.3">
      <c r="A503">
        <v>502</v>
      </c>
      <c r="B503">
        <v>830834</v>
      </c>
      <c r="C503" t="s">
        <v>1010</v>
      </c>
      <c r="D503" t="s">
        <v>1011</v>
      </c>
      <c r="E503">
        <v>150</v>
      </c>
      <c r="F503">
        <v>3388</v>
      </c>
      <c r="G503">
        <v>67</v>
      </c>
      <c r="H503">
        <v>39</v>
      </c>
      <c r="I503">
        <v>1</v>
      </c>
      <c r="J503" t="s">
        <v>13</v>
      </c>
      <c r="K503">
        <v>0.73</v>
      </c>
      <c r="L503">
        <v>3</v>
      </c>
      <c r="M503" t="s">
        <v>20</v>
      </c>
      <c r="N503">
        <f t="shared" si="21"/>
        <v>2</v>
      </c>
      <c r="O503">
        <v>2016</v>
      </c>
      <c r="P503">
        <f t="shared" si="22"/>
        <v>8.1279950557719456</v>
      </c>
      <c r="Q503">
        <f t="shared" si="23"/>
        <v>5.0107019585407988</v>
      </c>
    </row>
    <row r="504" spans="1:17" x14ac:dyDescent="0.3">
      <c r="A504">
        <v>503</v>
      </c>
      <c r="B504">
        <v>634754</v>
      </c>
      <c r="C504" t="s">
        <v>1012</v>
      </c>
      <c r="D504" t="s">
        <v>1013</v>
      </c>
      <c r="E504">
        <v>65</v>
      </c>
      <c r="F504">
        <v>3380</v>
      </c>
      <c r="G504">
        <v>50</v>
      </c>
      <c r="H504">
        <v>16</v>
      </c>
      <c r="I504">
        <v>1</v>
      </c>
      <c r="J504" t="s">
        <v>13</v>
      </c>
      <c r="K504">
        <v>0.15</v>
      </c>
      <c r="L504">
        <v>2</v>
      </c>
      <c r="M504" t="s">
        <v>20</v>
      </c>
      <c r="N504">
        <f t="shared" si="21"/>
        <v>2</v>
      </c>
      <c r="O504">
        <v>2015</v>
      </c>
      <c r="P504">
        <f t="shared" si="22"/>
        <v>8.1256309884770648</v>
      </c>
      <c r="Q504">
        <f t="shared" si="23"/>
        <v>4.1745411042163774</v>
      </c>
    </row>
    <row r="505" spans="1:17" hidden="1" x14ac:dyDescent="0.3">
      <c r="A505">
        <v>504</v>
      </c>
      <c r="B505">
        <v>98066</v>
      </c>
      <c r="C505" t="s">
        <v>1014</v>
      </c>
      <c r="D505" t="s">
        <v>1015</v>
      </c>
      <c r="E505">
        <v>20</v>
      </c>
      <c r="F505">
        <v>3357</v>
      </c>
      <c r="G505">
        <v>82</v>
      </c>
      <c r="H505">
        <v>48</v>
      </c>
      <c r="I505">
        <v>2</v>
      </c>
      <c r="J505" t="s">
        <v>32</v>
      </c>
      <c r="K505">
        <v>0.55000000000000004</v>
      </c>
      <c r="L505">
        <v>12.5</v>
      </c>
      <c r="M505" t="s">
        <v>20</v>
      </c>
      <c r="N505">
        <f t="shared" si="21"/>
        <v>2</v>
      </c>
      <c r="O505">
        <v>2014</v>
      </c>
      <c r="P505">
        <f t="shared" si="22"/>
        <v>8.118802996980035</v>
      </c>
      <c r="Q505">
        <f t="shared" si="23"/>
        <v>2.996232148595642</v>
      </c>
    </row>
    <row r="506" spans="1:17" hidden="1" x14ac:dyDescent="0.3">
      <c r="A506">
        <v>505</v>
      </c>
      <c r="B506">
        <v>1121650</v>
      </c>
      <c r="C506" t="s">
        <v>1016</v>
      </c>
      <c r="D506" t="s">
        <v>1017</v>
      </c>
      <c r="E506">
        <v>0</v>
      </c>
      <c r="F506">
        <v>3357</v>
      </c>
      <c r="G506">
        <v>84</v>
      </c>
      <c r="H506">
        <v>13</v>
      </c>
      <c r="I506">
        <v>4</v>
      </c>
      <c r="J506" t="s">
        <v>23</v>
      </c>
      <c r="K506">
        <v>0.61</v>
      </c>
      <c r="L506">
        <v>0.61666666999999997</v>
      </c>
      <c r="M506" t="s">
        <v>14</v>
      </c>
      <c r="N506">
        <f t="shared" si="21"/>
        <v>1</v>
      </c>
      <c r="O506">
        <v>2017</v>
      </c>
      <c r="P506">
        <f t="shared" si="22"/>
        <v>8.118802996980035</v>
      </c>
      <c r="Q506">
        <f t="shared" si="23"/>
        <v>-4.6051701859880909</v>
      </c>
    </row>
    <row r="507" spans="1:17" x14ac:dyDescent="0.3">
      <c r="A507">
        <v>506</v>
      </c>
      <c r="B507">
        <v>1065250</v>
      </c>
      <c r="C507" t="s">
        <v>1018</v>
      </c>
      <c r="D507" t="s">
        <v>1019</v>
      </c>
      <c r="E507">
        <v>0</v>
      </c>
      <c r="F507">
        <v>3324</v>
      </c>
      <c r="G507">
        <v>138</v>
      </c>
      <c r="H507">
        <v>19</v>
      </c>
      <c r="I507">
        <v>1</v>
      </c>
      <c r="J507" t="s">
        <v>13</v>
      </c>
      <c r="K507">
        <v>0.2</v>
      </c>
      <c r="L507">
        <v>5</v>
      </c>
      <c r="M507" t="s">
        <v>14</v>
      </c>
      <c r="N507">
        <f t="shared" si="21"/>
        <v>1</v>
      </c>
      <c r="O507">
        <v>2017</v>
      </c>
      <c r="P507">
        <f t="shared" si="22"/>
        <v>8.1089241559753393</v>
      </c>
      <c r="Q507">
        <f t="shared" si="23"/>
        <v>-4.6051701859880909</v>
      </c>
    </row>
    <row r="508" spans="1:17" x14ac:dyDescent="0.3">
      <c r="A508">
        <v>507</v>
      </c>
      <c r="B508">
        <v>1075808</v>
      </c>
      <c r="C508" t="s">
        <v>1020</v>
      </c>
      <c r="D508" t="s">
        <v>1021</v>
      </c>
      <c r="E508">
        <v>45</v>
      </c>
      <c r="F508">
        <v>3323</v>
      </c>
      <c r="G508">
        <v>90</v>
      </c>
      <c r="H508">
        <v>7</v>
      </c>
      <c r="I508">
        <v>1</v>
      </c>
      <c r="J508" t="s">
        <v>13</v>
      </c>
      <c r="K508">
        <v>0.88</v>
      </c>
      <c r="L508">
        <v>0.63333333000000003</v>
      </c>
      <c r="M508" t="s">
        <v>20</v>
      </c>
      <c r="N508">
        <f t="shared" si="21"/>
        <v>2</v>
      </c>
      <c r="O508">
        <v>2017</v>
      </c>
      <c r="P508">
        <f t="shared" si="22"/>
        <v>8.1086232683545951</v>
      </c>
      <c r="Q508">
        <f t="shared" si="23"/>
        <v>3.8068846873048412</v>
      </c>
    </row>
    <row r="509" spans="1:17" x14ac:dyDescent="0.3">
      <c r="A509">
        <v>508</v>
      </c>
      <c r="B509">
        <v>409618</v>
      </c>
      <c r="C509" t="s">
        <v>1022</v>
      </c>
      <c r="D509" t="s">
        <v>1023</v>
      </c>
      <c r="E509">
        <v>20</v>
      </c>
      <c r="F509">
        <v>3299</v>
      </c>
      <c r="G509">
        <v>166</v>
      </c>
      <c r="H509">
        <v>34</v>
      </c>
      <c r="I509">
        <v>1</v>
      </c>
      <c r="J509" t="s">
        <v>13</v>
      </c>
      <c r="K509">
        <v>0.21</v>
      </c>
      <c r="L509">
        <v>4</v>
      </c>
      <c r="M509" t="s">
        <v>20</v>
      </c>
      <c r="N509">
        <f t="shared" si="21"/>
        <v>2</v>
      </c>
      <c r="O509">
        <v>2015</v>
      </c>
      <c r="P509">
        <f t="shared" si="22"/>
        <v>8.1013746712285819</v>
      </c>
      <c r="Q509">
        <f t="shared" si="23"/>
        <v>2.996232148595642</v>
      </c>
    </row>
    <row r="510" spans="1:17" x14ac:dyDescent="0.3">
      <c r="A510">
        <v>509</v>
      </c>
      <c r="B510">
        <v>1014776</v>
      </c>
      <c r="C510" t="s">
        <v>1024</v>
      </c>
      <c r="D510" t="s">
        <v>1025</v>
      </c>
      <c r="E510">
        <v>85</v>
      </c>
      <c r="F510">
        <v>3295</v>
      </c>
      <c r="G510">
        <v>531</v>
      </c>
      <c r="H510">
        <v>162</v>
      </c>
      <c r="I510">
        <v>1</v>
      </c>
      <c r="J510" t="s">
        <v>13</v>
      </c>
      <c r="K510">
        <v>0.92</v>
      </c>
      <c r="L510">
        <v>31.5</v>
      </c>
      <c r="M510" t="s">
        <v>20</v>
      </c>
      <c r="N510">
        <f t="shared" si="21"/>
        <v>2</v>
      </c>
      <c r="O510">
        <v>2016</v>
      </c>
      <c r="P510">
        <f t="shared" si="22"/>
        <v>8.1001614469366068</v>
      </c>
      <c r="Q510">
        <f t="shared" si="23"/>
        <v>4.4427688966292678</v>
      </c>
    </row>
    <row r="511" spans="1:17" x14ac:dyDescent="0.3">
      <c r="A511">
        <v>510</v>
      </c>
      <c r="B511">
        <v>584758</v>
      </c>
      <c r="C511" t="s">
        <v>1026</v>
      </c>
      <c r="D511" t="s">
        <v>1027</v>
      </c>
      <c r="E511">
        <v>20</v>
      </c>
      <c r="F511">
        <v>3271</v>
      </c>
      <c r="G511">
        <v>278</v>
      </c>
      <c r="H511">
        <v>54</v>
      </c>
      <c r="I511">
        <v>1</v>
      </c>
      <c r="J511" t="s">
        <v>13</v>
      </c>
      <c r="K511">
        <v>0.92</v>
      </c>
      <c r="L511">
        <v>2.5</v>
      </c>
      <c r="M511" t="s">
        <v>20</v>
      </c>
      <c r="N511">
        <f t="shared" si="21"/>
        <v>2</v>
      </c>
      <c r="O511">
        <v>2015</v>
      </c>
      <c r="P511">
        <f t="shared" si="22"/>
        <v>8.0928510275383836</v>
      </c>
      <c r="Q511">
        <f t="shared" si="23"/>
        <v>2.996232148595642</v>
      </c>
    </row>
    <row r="512" spans="1:17" hidden="1" x14ac:dyDescent="0.3">
      <c r="A512">
        <v>511</v>
      </c>
      <c r="B512">
        <v>803074</v>
      </c>
      <c r="C512" t="s">
        <v>1028</v>
      </c>
      <c r="D512" t="s">
        <v>1029</v>
      </c>
      <c r="E512">
        <v>20</v>
      </c>
      <c r="F512">
        <v>3258</v>
      </c>
      <c r="G512">
        <v>32</v>
      </c>
      <c r="H512">
        <v>16</v>
      </c>
      <c r="I512">
        <v>3</v>
      </c>
      <c r="J512" t="s">
        <v>17</v>
      </c>
      <c r="K512">
        <v>0.92</v>
      </c>
      <c r="L512">
        <v>2</v>
      </c>
      <c r="M512" t="s">
        <v>20</v>
      </c>
      <c r="N512">
        <f t="shared" si="21"/>
        <v>2</v>
      </c>
      <c r="O512">
        <v>2016</v>
      </c>
      <c r="P512">
        <f t="shared" si="22"/>
        <v>8.0888687891619906</v>
      </c>
      <c r="Q512">
        <f t="shared" si="23"/>
        <v>2.996232148595642</v>
      </c>
    </row>
    <row r="513" spans="1:17" x14ac:dyDescent="0.3">
      <c r="A513">
        <v>512</v>
      </c>
      <c r="B513">
        <v>864482</v>
      </c>
      <c r="C513" t="s">
        <v>1030</v>
      </c>
      <c r="D513" t="s">
        <v>1031</v>
      </c>
      <c r="E513">
        <v>40</v>
      </c>
      <c r="F513">
        <v>3254</v>
      </c>
      <c r="G513">
        <v>92</v>
      </c>
      <c r="H513">
        <v>16</v>
      </c>
      <c r="I513">
        <v>1</v>
      </c>
      <c r="J513" t="s">
        <v>13</v>
      </c>
      <c r="K513">
        <v>0.92</v>
      </c>
      <c r="L513">
        <v>1.5</v>
      </c>
      <c r="M513" t="s">
        <v>20</v>
      </c>
      <c r="N513">
        <f t="shared" si="21"/>
        <v>2</v>
      </c>
      <c r="O513">
        <v>2016</v>
      </c>
      <c r="P513">
        <f t="shared" si="22"/>
        <v>8.0876402877789833</v>
      </c>
      <c r="Q513">
        <f t="shared" si="23"/>
        <v>3.6891294228691436</v>
      </c>
    </row>
    <row r="514" spans="1:17" hidden="1" x14ac:dyDescent="0.3">
      <c r="A514">
        <v>513</v>
      </c>
      <c r="B514">
        <v>836044</v>
      </c>
      <c r="C514" t="s">
        <v>1032</v>
      </c>
      <c r="D514" t="s">
        <v>1033</v>
      </c>
      <c r="E514">
        <v>150</v>
      </c>
      <c r="F514">
        <v>3252</v>
      </c>
      <c r="G514">
        <v>401</v>
      </c>
      <c r="H514">
        <v>62</v>
      </c>
      <c r="I514">
        <v>2</v>
      </c>
      <c r="J514" t="s">
        <v>32</v>
      </c>
      <c r="K514">
        <v>0.92</v>
      </c>
      <c r="L514">
        <v>12.5</v>
      </c>
      <c r="M514" t="s">
        <v>20</v>
      </c>
      <c r="N514">
        <f t="shared" ref="N514:N577" si="24">IF(M514="Free",1,IF(M514="Paid",2,0))</f>
        <v>2</v>
      </c>
      <c r="O514">
        <v>2016</v>
      </c>
      <c r="P514">
        <f t="shared" ref="P514:P577" si="25">LN(F514)</f>
        <v>8.0870254706677009</v>
      </c>
      <c r="Q514">
        <f t="shared" ref="Q514:Q577" si="26">LN(E514+0.01)</f>
        <v>5.0107019585407988</v>
      </c>
    </row>
    <row r="515" spans="1:17" hidden="1" x14ac:dyDescent="0.3">
      <c r="A515">
        <v>514</v>
      </c>
      <c r="B515">
        <v>615920</v>
      </c>
      <c r="C515" t="s">
        <v>1034</v>
      </c>
      <c r="D515" t="s">
        <v>1035</v>
      </c>
      <c r="E515">
        <v>25</v>
      </c>
      <c r="F515">
        <v>3249</v>
      </c>
      <c r="G515">
        <v>27</v>
      </c>
      <c r="H515">
        <v>60</v>
      </c>
      <c r="I515">
        <v>4</v>
      </c>
      <c r="J515" t="s">
        <v>23</v>
      </c>
      <c r="K515">
        <v>0.92</v>
      </c>
      <c r="L515">
        <v>6.5</v>
      </c>
      <c r="M515" t="s">
        <v>20</v>
      </c>
      <c r="N515">
        <f t="shared" si="24"/>
        <v>2</v>
      </c>
      <c r="O515">
        <v>2015</v>
      </c>
      <c r="P515">
        <f t="shared" si="25"/>
        <v>8.0861025356691005</v>
      </c>
      <c r="Q515">
        <f t="shared" si="26"/>
        <v>3.2192757448895279</v>
      </c>
    </row>
    <row r="516" spans="1:17" hidden="1" x14ac:dyDescent="0.3">
      <c r="A516">
        <v>515</v>
      </c>
      <c r="B516">
        <v>1211366</v>
      </c>
      <c r="C516" t="s">
        <v>1036</v>
      </c>
      <c r="D516" t="s">
        <v>1037</v>
      </c>
      <c r="E516">
        <v>0</v>
      </c>
      <c r="F516">
        <v>3227</v>
      </c>
      <c r="G516">
        <v>19</v>
      </c>
      <c r="H516">
        <v>21</v>
      </c>
      <c r="I516">
        <v>4</v>
      </c>
      <c r="J516" t="s">
        <v>23</v>
      </c>
      <c r="K516">
        <v>0.92</v>
      </c>
      <c r="L516">
        <v>2</v>
      </c>
      <c r="M516" t="s">
        <v>14</v>
      </c>
      <c r="N516">
        <f t="shared" si="24"/>
        <v>1</v>
      </c>
      <c r="O516">
        <v>2017</v>
      </c>
      <c r="P516">
        <f t="shared" si="25"/>
        <v>8.0793081920519612</v>
      </c>
      <c r="Q516">
        <f t="shared" si="26"/>
        <v>-4.6051701859880909</v>
      </c>
    </row>
    <row r="517" spans="1:17" hidden="1" x14ac:dyDescent="0.3">
      <c r="A517">
        <v>516</v>
      </c>
      <c r="B517">
        <v>916902</v>
      </c>
      <c r="C517" t="s">
        <v>1038</v>
      </c>
      <c r="D517" t="s">
        <v>1039</v>
      </c>
      <c r="E517">
        <v>195</v>
      </c>
      <c r="F517">
        <v>3209</v>
      </c>
      <c r="G517">
        <v>58</v>
      </c>
      <c r="H517">
        <v>96</v>
      </c>
      <c r="I517">
        <v>4</v>
      </c>
      <c r="J517" t="s">
        <v>23</v>
      </c>
      <c r="K517">
        <v>0.92</v>
      </c>
      <c r="L517">
        <v>12.5</v>
      </c>
      <c r="M517" t="s">
        <v>20</v>
      </c>
      <c r="N517">
        <f t="shared" si="24"/>
        <v>2</v>
      </c>
      <c r="O517">
        <v>2016</v>
      </c>
      <c r="P517">
        <f t="shared" si="25"/>
        <v>8.0737146411098575</v>
      </c>
      <c r="Q517">
        <f t="shared" si="26"/>
        <v>5.273050839300149</v>
      </c>
    </row>
    <row r="518" spans="1:17" x14ac:dyDescent="0.3">
      <c r="A518">
        <v>517</v>
      </c>
      <c r="B518">
        <v>1274210</v>
      </c>
      <c r="C518" t="s">
        <v>1040</v>
      </c>
      <c r="D518" t="s">
        <v>1041</v>
      </c>
      <c r="E518">
        <v>200</v>
      </c>
      <c r="F518">
        <v>3193</v>
      </c>
      <c r="G518">
        <v>10</v>
      </c>
      <c r="H518">
        <v>23</v>
      </c>
      <c r="I518">
        <v>1</v>
      </c>
      <c r="J518" t="s">
        <v>13</v>
      </c>
      <c r="K518">
        <v>0.92</v>
      </c>
      <c r="L518">
        <v>1.5</v>
      </c>
      <c r="M518" t="s">
        <v>20</v>
      </c>
      <c r="N518">
        <f t="shared" si="24"/>
        <v>2</v>
      </c>
      <c r="O518">
        <v>2017</v>
      </c>
      <c r="P518">
        <f t="shared" si="25"/>
        <v>8.0687161927147812</v>
      </c>
      <c r="Q518">
        <f t="shared" si="26"/>
        <v>5.2983673652980787</v>
      </c>
    </row>
    <row r="519" spans="1:17" x14ac:dyDescent="0.3">
      <c r="A519">
        <v>518</v>
      </c>
      <c r="B519">
        <v>492818</v>
      </c>
      <c r="C519" t="s">
        <v>1042</v>
      </c>
      <c r="D519" t="s">
        <v>1043</v>
      </c>
      <c r="E519">
        <v>20</v>
      </c>
      <c r="F519">
        <v>3185</v>
      </c>
      <c r="G519">
        <v>102</v>
      </c>
      <c r="H519">
        <v>94</v>
      </c>
      <c r="I519">
        <v>1</v>
      </c>
      <c r="J519" t="s">
        <v>13</v>
      </c>
      <c r="K519">
        <v>0.92</v>
      </c>
      <c r="L519">
        <v>8</v>
      </c>
      <c r="M519" t="s">
        <v>20</v>
      </c>
      <c r="N519">
        <f t="shared" si="24"/>
        <v>2</v>
      </c>
      <c r="O519">
        <v>2015</v>
      </c>
      <c r="P519">
        <f t="shared" si="25"/>
        <v>8.0662075680062646</v>
      </c>
      <c r="Q519">
        <f t="shared" si="26"/>
        <v>2.996232148595642</v>
      </c>
    </row>
    <row r="520" spans="1:17" hidden="1" x14ac:dyDescent="0.3">
      <c r="A520">
        <v>519</v>
      </c>
      <c r="B520">
        <v>1000010</v>
      </c>
      <c r="C520" t="s">
        <v>1044</v>
      </c>
      <c r="D520" t="s">
        <v>1045</v>
      </c>
      <c r="E520">
        <v>200</v>
      </c>
      <c r="F520">
        <v>3179</v>
      </c>
      <c r="G520">
        <v>214</v>
      </c>
      <c r="H520">
        <v>174</v>
      </c>
      <c r="I520">
        <v>4</v>
      </c>
      <c r="J520" t="s">
        <v>23</v>
      </c>
      <c r="K520">
        <v>0.92</v>
      </c>
      <c r="L520">
        <v>20.5</v>
      </c>
      <c r="M520" t="s">
        <v>20</v>
      </c>
      <c r="N520">
        <f t="shared" si="24"/>
        <v>2</v>
      </c>
      <c r="O520">
        <v>2017</v>
      </c>
      <c r="P520">
        <f t="shared" si="25"/>
        <v>8.064321960910803</v>
      </c>
      <c r="Q520">
        <f t="shared" si="26"/>
        <v>5.2983673652980787</v>
      </c>
    </row>
    <row r="521" spans="1:17" x14ac:dyDescent="0.3">
      <c r="A521">
        <v>520</v>
      </c>
      <c r="B521">
        <v>967058</v>
      </c>
      <c r="C521" t="s">
        <v>1046</v>
      </c>
      <c r="D521" t="s">
        <v>1047</v>
      </c>
      <c r="E521">
        <v>195</v>
      </c>
      <c r="F521">
        <v>3169</v>
      </c>
      <c r="G521">
        <v>527</v>
      </c>
      <c r="H521">
        <v>38</v>
      </c>
      <c r="I521">
        <v>1</v>
      </c>
      <c r="J521" t="s">
        <v>13</v>
      </c>
      <c r="K521">
        <v>0.92</v>
      </c>
      <c r="L521">
        <v>3.5</v>
      </c>
      <c r="M521" t="s">
        <v>20</v>
      </c>
      <c r="N521">
        <f t="shared" si="24"/>
        <v>2</v>
      </c>
      <c r="O521">
        <v>2016</v>
      </c>
      <c r="P521">
        <f t="shared" si="25"/>
        <v>8.0611713596909205</v>
      </c>
      <c r="Q521">
        <f t="shared" si="26"/>
        <v>5.273050839300149</v>
      </c>
    </row>
    <row r="522" spans="1:17" hidden="1" x14ac:dyDescent="0.3">
      <c r="A522">
        <v>521</v>
      </c>
      <c r="B522">
        <v>500628</v>
      </c>
      <c r="C522" t="s">
        <v>1048</v>
      </c>
      <c r="D522" t="s">
        <v>1049</v>
      </c>
      <c r="E522">
        <v>20</v>
      </c>
      <c r="F522">
        <v>3150</v>
      </c>
      <c r="G522">
        <v>69</v>
      </c>
      <c r="H522">
        <v>49</v>
      </c>
      <c r="I522">
        <v>4</v>
      </c>
      <c r="J522" t="s">
        <v>23</v>
      </c>
      <c r="K522">
        <v>0.92</v>
      </c>
      <c r="L522">
        <v>3.5</v>
      </c>
      <c r="M522" t="s">
        <v>20</v>
      </c>
      <c r="N522">
        <f t="shared" si="24"/>
        <v>2</v>
      </c>
      <c r="O522">
        <v>2015</v>
      </c>
      <c r="P522">
        <f t="shared" si="25"/>
        <v>8.0551577318196781</v>
      </c>
      <c r="Q522">
        <f t="shared" si="26"/>
        <v>2.996232148595642</v>
      </c>
    </row>
    <row r="523" spans="1:17" x14ac:dyDescent="0.3">
      <c r="A523">
        <v>522</v>
      </c>
      <c r="B523">
        <v>909836</v>
      </c>
      <c r="C523" t="s">
        <v>1050</v>
      </c>
      <c r="D523" t="s">
        <v>1051</v>
      </c>
      <c r="E523">
        <v>0</v>
      </c>
      <c r="F523">
        <v>3142</v>
      </c>
      <c r="G523">
        <v>117</v>
      </c>
      <c r="H523">
        <v>20</v>
      </c>
      <c r="I523">
        <v>1</v>
      </c>
      <c r="J523" t="s">
        <v>13</v>
      </c>
      <c r="K523">
        <v>0.8</v>
      </c>
      <c r="L523">
        <v>0.61666666999999997</v>
      </c>
      <c r="M523" t="s">
        <v>14</v>
      </c>
      <c r="N523">
        <f t="shared" si="24"/>
        <v>1</v>
      </c>
      <c r="O523">
        <v>2016</v>
      </c>
      <c r="P523">
        <f t="shared" si="25"/>
        <v>8.0526148188155666</v>
      </c>
      <c r="Q523">
        <f t="shared" si="26"/>
        <v>-4.6051701859880909</v>
      </c>
    </row>
    <row r="524" spans="1:17" hidden="1" x14ac:dyDescent="0.3">
      <c r="A524">
        <v>523</v>
      </c>
      <c r="B524">
        <v>785388</v>
      </c>
      <c r="C524" t="s">
        <v>1052</v>
      </c>
      <c r="D524" t="s">
        <v>1053</v>
      </c>
      <c r="E524">
        <v>25</v>
      </c>
      <c r="F524">
        <v>3133</v>
      </c>
      <c r="G524">
        <v>351</v>
      </c>
      <c r="H524">
        <v>63</v>
      </c>
      <c r="I524">
        <v>4</v>
      </c>
      <c r="J524" t="s">
        <v>23</v>
      </c>
      <c r="K524">
        <v>0.8</v>
      </c>
      <c r="L524">
        <v>6</v>
      </c>
      <c r="M524" t="s">
        <v>20</v>
      </c>
      <c r="N524">
        <f t="shared" si="24"/>
        <v>2</v>
      </c>
      <c r="O524">
        <v>2016</v>
      </c>
      <c r="P524">
        <f t="shared" si="25"/>
        <v>8.0497462909521911</v>
      </c>
      <c r="Q524">
        <f t="shared" si="26"/>
        <v>3.2192757448895279</v>
      </c>
    </row>
    <row r="525" spans="1:17" hidden="1" x14ac:dyDescent="0.3">
      <c r="A525">
        <v>524</v>
      </c>
      <c r="B525">
        <v>1002676</v>
      </c>
      <c r="C525" t="s">
        <v>1054</v>
      </c>
      <c r="D525" t="s">
        <v>1055</v>
      </c>
      <c r="E525">
        <v>60</v>
      </c>
      <c r="F525">
        <v>3119</v>
      </c>
      <c r="G525">
        <v>453</v>
      </c>
      <c r="H525">
        <v>207</v>
      </c>
      <c r="I525">
        <v>4</v>
      </c>
      <c r="J525" t="s">
        <v>23</v>
      </c>
      <c r="K525">
        <v>0.8</v>
      </c>
      <c r="L525">
        <v>33</v>
      </c>
      <c r="M525" t="s">
        <v>20</v>
      </c>
      <c r="N525">
        <f t="shared" si="24"/>
        <v>2</v>
      </c>
      <c r="O525">
        <v>2016</v>
      </c>
      <c r="P525">
        <f t="shared" si="25"/>
        <v>8.0452677166078033</v>
      </c>
      <c r="Q525">
        <f t="shared" si="26"/>
        <v>4.0945112150014218</v>
      </c>
    </row>
    <row r="526" spans="1:17" hidden="1" x14ac:dyDescent="0.3">
      <c r="A526">
        <v>525</v>
      </c>
      <c r="B526">
        <v>994362</v>
      </c>
      <c r="C526" t="s">
        <v>1056</v>
      </c>
      <c r="D526" t="s">
        <v>1057</v>
      </c>
      <c r="E526">
        <v>0</v>
      </c>
      <c r="F526">
        <v>3118</v>
      </c>
      <c r="G526">
        <v>8</v>
      </c>
      <c r="H526">
        <v>33</v>
      </c>
      <c r="I526">
        <v>4</v>
      </c>
      <c r="J526" t="s">
        <v>23</v>
      </c>
      <c r="K526">
        <v>0.8</v>
      </c>
      <c r="L526">
        <v>1.5</v>
      </c>
      <c r="M526" t="s">
        <v>14</v>
      </c>
      <c r="N526">
        <f t="shared" si="24"/>
        <v>1</v>
      </c>
      <c r="O526">
        <v>2016</v>
      </c>
      <c r="P526">
        <f t="shared" si="25"/>
        <v>8.044947049617722</v>
      </c>
      <c r="Q526">
        <f t="shared" si="26"/>
        <v>-4.6051701859880909</v>
      </c>
    </row>
    <row r="527" spans="1:17" hidden="1" x14ac:dyDescent="0.3">
      <c r="A527">
        <v>526</v>
      </c>
      <c r="B527">
        <v>1147064</v>
      </c>
      <c r="C527" t="s">
        <v>1058</v>
      </c>
      <c r="D527" t="s">
        <v>1059</v>
      </c>
      <c r="E527">
        <v>20</v>
      </c>
      <c r="F527">
        <v>3106</v>
      </c>
      <c r="G527">
        <v>31</v>
      </c>
      <c r="H527">
        <v>13</v>
      </c>
      <c r="I527">
        <v>4</v>
      </c>
      <c r="J527" t="s">
        <v>23</v>
      </c>
      <c r="K527">
        <v>0.8</v>
      </c>
      <c r="L527">
        <v>1</v>
      </c>
      <c r="M527" t="s">
        <v>20</v>
      </c>
      <c r="N527">
        <f t="shared" si="24"/>
        <v>2</v>
      </c>
      <c r="O527">
        <v>2017</v>
      </c>
      <c r="P527">
        <f t="shared" si="25"/>
        <v>8.0410910037086332</v>
      </c>
      <c r="Q527">
        <f t="shared" si="26"/>
        <v>2.996232148595642</v>
      </c>
    </row>
    <row r="528" spans="1:17" hidden="1" x14ac:dyDescent="0.3">
      <c r="A528">
        <v>527</v>
      </c>
      <c r="B528">
        <v>1031626</v>
      </c>
      <c r="C528" t="s">
        <v>1060</v>
      </c>
      <c r="D528" t="s">
        <v>1061</v>
      </c>
      <c r="E528">
        <v>20</v>
      </c>
      <c r="F528">
        <v>3086</v>
      </c>
      <c r="G528">
        <v>17</v>
      </c>
      <c r="H528">
        <v>73</v>
      </c>
      <c r="I528">
        <v>4</v>
      </c>
      <c r="J528" t="s">
        <v>23</v>
      </c>
      <c r="K528">
        <v>0.8</v>
      </c>
      <c r="L528">
        <v>7.5</v>
      </c>
      <c r="M528" t="s">
        <v>20</v>
      </c>
      <c r="N528">
        <f t="shared" si="24"/>
        <v>2</v>
      </c>
      <c r="O528">
        <v>2017</v>
      </c>
      <c r="P528">
        <f t="shared" si="25"/>
        <v>8.034631032923107</v>
      </c>
      <c r="Q528">
        <f t="shared" si="26"/>
        <v>2.996232148595642</v>
      </c>
    </row>
    <row r="529" spans="1:17" hidden="1" x14ac:dyDescent="0.3">
      <c r="A529">
        <v>528</v>
      </c>
      <c r="B529">
        <v>1027276</v>
      </c>
      <c r="C529" t="s">
        <v>1062</v>
      </c>
      <c r="D529" t="s">
        <v>1063</v>
      </c>
      <c r="E529">
        <v>90</v>
      </c>
      <c r="F529">
        <v>3073</v>
      </c>
      <c r="G529">
        <v>27</v>
      </c>
      <c r="H529">
        <v>13</v>
      </c>
      <c r="I529">
        <v>2</v>
      </c>
      <c r="J529" t="s">
        <v>32</v>
      </c>
      <c r="K529">
        <v>0.8</v>
      </c>
      <c r="L529">
        <v>1.5</v>
      </c>
      <c r="M529" t="s">
        <v>20</v>
      </c>
      <c r="N529">
        <f t="shared" si="24"/>
        <v>2</v>
      </c>
      <c r="O529">
        <v>2017</v>
      </c>
      <c r="P529">
        <f t="shared" si="25"/>
        <v>8.030409562130485</v>
      </c>
      <c r="Q529">
        <f t="shared" si="26"/>
        <v>4.4999207752689943</v>
      </c>
    </row>
    <row r="530" spans="1:17" x14ac:dyDescent="0.3">
      <c r="A530">
        <v>529</v>
      </c>
      <c r="B530">
        <v>811452</v>
      </c>
      <c r="C530" t="s">
        <v>1064</v>
      </c>
      <c r="D530" t="s">
        <v>1065</v>
      </c>
      <c r="E530">
        <v>0</v>
      </c>
      <c r="F530">
        <v>3033</v>
      </c>
      <c r="G530">
        <v>91</v>
      </c>
      <c r="H530">
        <v>9</v>
      </c>
      <c r="I530">
        <v>1</v>
      </c>
      <c r="J530" t="s">
        <v>13</v>
      </c>
      <c r="K530">
        <v>0.8</v>
      </c>
      <c r="L530">
        <v>1</v>
      </c>
      <c r="M530" t="s">
        <v>14</v>
      </c>
      <c r="N530">
        <f t="shared" si="24"/>
        <v>1</v>
      </c>
      <c r="O530">
        <v>2016</v>
      </c>
      <c r="P530">
        <f t="shared" si="25"/>
        <v>8.0173075076885816</v>
      </c>
      <c r="Q530">
        <f t="shared" si="26"/>
        <v>-4.6051701859880909</v>
      </c>
    </row>
    <row r="531" spans="1:17" hidden="1" x14ac:dyDescent="0.3">
      <c r="A531">
        <v>530</v>
      </c>
      <c r="B531">
        <v>14571</v>
      </c>
      <c r="C531" t="s">
        <v>1066</v>
      </c>
      <c r="D531" t="s">
        <v>1067</v>
      </c>
      <c r="E531">
        <v>50</v>
      </c>
      <c r="F531">
        <v>3026</v>
      </c>
      <c r="G531">
        <v>60</v>
      </c>
      <c r="H531">
        <v>67</v>
      </c>
      <c r="I531">
        <v>4</v>
      </c>
      <c r="J531" t="s">
        <v>23</v>
      </c>
      <c r="K531">
        <v>0.8</v>
      </c>
      <c r="L531">
        <v>7</v>
      </c>
      <c r="M531" t="s">
        <v>20</v>
      </c>
      <c r="N531">
        <f t="shared" si="24"/>
        <v>2</v>
      </c>
      <c r="O531">
        <v>2012</v>
      </c>
      <c r="P531">
        <f t="shared" si="25"/>
        <v>8.0149968943483021</v>
      </c>
      <c r="Q531">
        <f t="shared" si="26"/>
        <v>3.9122229854308124</v>
      </c>
    </row>
    <row r="532" spans="1:17" hidden="1" x14ac:dyDescent="0.3">
      <c r="A532">
        <v>531</v>
      </c>
      <c r="B532">
        <v>494078</v>
      </c>
      <c r="C532" t="s">
        <v>1068</v>
      </c>
      <c r="D532" t="s">
        <v>1069</v>
      </c>
      <c r="E532">
        <v>195</v>
      </c>
      <c r="F532">
        <v>3015</v>
      </c>
      <c r="G532">
        <v>30</v>
      </c>
      <c r="H532">
        <v>19</v>
      </c>
      <c r="I532">
        <v>4</v>
      </c>
      <c r="J532" t="s">
        <v>23</v>
      </c>
      <c r="K532">
        <v>0.8</v>
      </c>
      <c r="L532">
        <v>2.5</v>
      </c>
      <c r="M532" t="s">
        <v>20</v>
      </c>
      <c r="N532">
        <f t="shared" si="24"/>
        <v>2</v>
      </c>
      <c r="O532">
        <v>2015</v>
      </c>
      <c r="P532">
        <f t="shared" si="25"/>
        <v>8.0113551091612862</v>
      </c>
      <c r="Q532">
        <f t="shared" si="26"/>
        <v>5.273050839300149</v>
      </c>
    </row>
    <row r="533" spans="1:17" hidden="1" x14ac:dyDescent="0.3">
      <c r="A533">
        <v>532</v>
      </c>
      <c r="B533">
        <v>957422</v>
      </c>
      <c r="C533" t="s">
        <v>1070</v>
      </c>
      <c r="D533" t="s">
        <v>1071</v>
      </c>
      <c r="E533">
        <v>65</v>
      </c>
      <c r="F533">
        <v>3012</v>
      </c>
      <c r="G533">
        <v>260</v>
      </c>
      <c r="H533">
        <v>330</v>
      </c>
      <c r="I533">
        <v>4</v>
      </c>
      <c r="J533" t="s">
        <v>23</v>
      </c>
      <c r="K533">
        <v>0.8</v>
      </c>
      <c r="L533">
        <v>32.5</v>
      </c>
      <c r="M533" t="s">
        <v>20</v>
      </c>
      <c r="N533">
        <f t="shared" si="24"/>
        <v>2</v>
      </c>
      <c r="O533">
        <v>2016</v>
      </c>
      <c r="P533">
        <f t="shared" si="25"/>
        <v>8.0103595889197834</v>
      </c>
      <c r="Q533">
        <f t="shared" si="26"/>
        <v>4.1745411042163774</v>
      </c>
    </row>
    <row r="534" spans="1:17" hidden="1" x14ac:dyDescent="0.3">
      <c r="A534">
        <v>533</v>
      </c>
      <c r="B534">
        <v>412952</v>
      </c>
      <c r="C534" t="s">
        <v>1072</v>
      </c>
      <c r="D534" t="s">
        <v>1073</v>
      </c>
      <c r="E534">
        <v>50</v>
      </c>
      <c r="F534">
        <v>3011</v>
      </c>
      <c r="G534">
        <v>57</v>
      </c>
      <c r="H534">
        <v>10</v>
      </c>
      <c r="I534">
        <v>4</v>
      </c>
      <c r="J534" t="s">
        <v>23</v>
      </c>
      <c r="K534">
        <v>0.8</v>
      </c>
      <c r="L534">
        <v>1</v>
      </c>
      <c r="M534" t="s">
        <v>20</v>
      </c>
      <c r="N534">
        <f t="shared" si="24"/>
        <v>2</v>
      </c>
      <c r="O534">
        <v>2015</v>
      </c>
      <c r="P534">
        <f t="shared" si="25"/>
        <v>8.0100275284817339</v>
      </c>
      <c r="Q534">
        <f t="shared" si="26"/>
        <v>3.9122229854308124</v>
      </c>
    </row>
    <row r="535" spans="1:17" hidden="1" x14ac:dyDescent="0.3">
      <c r="A535">
        <v>534</v>
      </c>
      <c r="B535">
        <v>747650</v>
      </c>
      <c r="C535" t="s">
        <v>1074</v>
      </c>
      <c r="D535" t="s">
        <v>1075</v>
      </c>
      <c r="E535">
        <v>20</v>
      </c>
      <c r="F535">
        <v>2985</v>
      </c>
      <c r="G535">
        <v>40</v>
      </c>
      <c r="H535">
        <v>27</v>
      </c>
      <c r="I535">
        <v>4</v>
      </c>
      <c r="J535" t="s">
        <v>23</v>
      </c>
      <c r="K535">
        <v>0.8</v>
      </c>
      <c r="L535">
        <v>1.5</v>
      </c>
      <c r="M535" t="s">
        <v>20</v>
      </c>
      <c r="N535">
        <f t="shared" si="24"/>
        <v>2</v>
      </c>
      <c r="O535">
        <v>2016</v>
      </c>
      <c r="P535">
        <f t="shared" si="25"/>
        <v>8.0013550258267028</v>
      </c>
      <c r="Q535">
        <f t="shared" si="26"/>
        <v>2.996232148595642</v>
      </c>
    </row>
    <row r="536" spans="1:17" hidden="1" x14ac:dyDescent="0.3">
      <c r="A536">
        <v>535</v>
      </c>
      <c r="B536">
        <v>452684</v>
      </c>
      <c r="C536" t="s">
        <v>1076</v>
      </c>
      <c r="D536" t="s">
        <v>1077</v>
      </c>
      <c r="E536">
        <v>100</v>
      </c>
      <c r="F536">
        <v>2971</v>
      </c>
      <c r="G536">
        <v>285</v>
      </c>
      <c r="H536">
        <v>28</v>
      </c>
      <c r="I536">
        <v>2</v>
      </c>
      <c r="J536" t="s">
        <v>32</v>
      </c>
      <c r="K536">
        <v>0.8</v>
      </c>
      <c r="L536">
        <v>3</v>
      </c>
      <c r="M536" t="s">
        <v>20</v>
      </c>
      <c r="N536">
        <f t="shared" si="24"/>
        <v>2</v>
      </c>
      <c r="O536">
        <v>2015</v>
      </c>
      <c r="P536">
        <f t="shared" si="25"/>
        <v>7.9966538754626075</v>
      </c>
      <c r="Q536">
        <f t="shared" si="26"/>
        <v>4.6052701809884251</v>
      </c>
    </row>
    <row r="537" spans="1:17" x14ac:dyDescent="0.3">
      <c r="A537">
        <v>536</v>
      </c>
      <c r="B537">
        <v>1149334</v>
      </c>
      <c r="C537" t="s">
        <v>1078</v>
      </c>
      <c r="D537" t="s">
        <v>1079</v>
      </c>
      <c r="E537">
        <v>40</v>
      </c>
      <c r="F537">
        <v>2965</v>
      </c>
      <c r="G537">
        <v>17</v>
      </c>
      <c r="H537">
        <v>30</v>
      </c>
      <c r="I537">
        <v>1</v>
      </c>
      <c r="J537" t="s">
        <v>13</v>
      </c>
      <c r="K537">
        <v>0.8</v>
      </c>
      <c r="L537">
        <v>2</v>
      </c>
      <c r="M537" t="s">
        <v>20</v>
      </c>
      <c r="N537">
        <f t="shared" si="24"/>
        <v>2</v>
      </c>
      <c r="O537">
        <v>2017</v>
      </c>
      <c r="P537">
        <f t="shared" si="25"/>
        <v>7.9946323114318254</v>
      </c>
      <c r="Q537">
        <f t="shared" si="26"/>
        <v>3.6891294228691436</v>
      </c>
    </row>
    <row r="538" spans="1:17" hidden="1" x14ac:dyDescent="0.3">
      <c r="A538">
        <v>537</v>
      </c>
      <c r="B538">
        <v>714678</v>
      </c>
      <c r="C538" t="s">
        <v>1080</v>
      </c>
      <c r="D538" t="s">
        <v>1081</v>
      </c>
      <c r="E538">
        <v>20</v>
      </c>
      <c r="F538">
        <v>2964</v>
      </c>
      <c r="G538">
        <v>8</v>
      </c>
      <c r="H538">
        <v>9</v>
      </c>
      <c r="I538">
        <v>4</v>
      </c>
      <c r="J538" t="s">
        <v>23</v>
      </c>
      <c r="K538">
        <v>0.8</v>
      </c>
      <c r="L538">
        <v>1.5</v>
      </c>
      <c r="M538" t="s">
        <v>20</v>
      </c>
      <c r="N538">
        <f t="shared" si="24"/>
        <v>2</v>
      </c>
      <c r="O538">
        <v>2016</v>
      </c>
      <c r="P538">
        <f t="shared" si="25"/>
        <v>7.9942949864159774</v>
      </c>
      <c r="Q538">
        <f t="shared" si="26"/>
        <v>2.996232148595642</v>
      </c>
    </row>
    <row r="539" spans="1:17" hidden="1" x14ac:dyDescent="0.3">
      <c r="A539">
        <v>538</v>
      </c>
      <c r="B539">
        <v>531290</v>
      </c>
      <c r="C539" t="s">
        <v>1082</v>
      </c>
      <c r="D539" t="s">
        <v>1083</v>
      </c>
      <c r="E539">
        <v>30</v>
      </c>
      <c r="F539">
        <v>2919</v>
      </c>
      <c r="G539">
        <v>136</v>
      </c>
      <c r="H539">
        <v>70</v>
      </c>
      <c r="I539">
        <v>4</v>
      </c>
      <c r="J539" t="s">
        <v>23</v>
      </c>
      <c r="K539">
        <v>0.8</v>
      </c>
      <c r="L539">
        <v>7</v>
      </c>
      <c r="M539" t="s">
        <v>20</v>
      </c>
      <c r="N539">
        <f t="shared" si="24"/>
        <v>2</v>
      </c>
      <c r="O539">
        <v>2015</v>
      </c>
      <c r="P539">
        <f t="shared" si="25"/>
        <v>7.978996370854115</v>
      </c>
      <c r="Q539">
        <f t="shared" si="26"/>
        <v>3.4015306594522756</v>
      </c>
    </row>
    <row r="540" spans="1:17" x14ac:dyDescent="0.3">
      <c r="A540">
        <v>539</v>
      </c>
      <c r="B540">
        <v>782192</v>
      </c>
      <c r="C540" t="s">
        <v>1084</v>
      </c>
      <c r="D540" t="s">
        <v>1085</v>
      </c>
      <c r="E540">
        <v>200</v>
      </c>
      <c r="F540">
        <v>2918</v>
      </c>
      <c r="G540">
        <v>16</v>
      </c>
      <c r="H540">
        <v>17</v>
      </c>
      <c r="I540">
        <v>1</v>
      </c>
      <c r="J540" t="s">
        <v>13</v>
      </c>
      <c r="K540">
        <v>0.8</v>
      </c>
      <c r="L540">
        <v>1</v>
      </c>
      <c r="M540" t="s">
        <v>20</v>
      </c>
      <c r="N540">
        <f t="shared" si="24"/>
        <v>2</v>
      </c>
      <c r="O540">
        <v>2016</v>
      </c>
      <c r="P540">
        <f t="shared" si="25"/>
        <v>7.9786537290827306</v>
      </c>
      <c r="Q540">
        <f t="shared" si="26"/>
        <v>5.2983673652980787</v>
      </c>
    </row>
    <row r="541" spans="1:17" hidden="1" x14ac:dyDescent="0.3">
      <c r="A541">
        <v>540</v>
      </c>
      <c r="B541">
        <v>419318</v>
      </c>
      <c r="C541" t="s">
        <v>1086</v>
      </c>
      <c r="D541" t="s">
        <v>1087</v>
      </c>
      <c r="E541">
        <v>100</v>
      </c>
      <c r="F541">
        <v>2912</v>
      </c>
      <c r="G541">
        <v>309</v>
      </c>
      <c r="H541">
        <v>85</v>
      </c>
      <c r="I541">
        <v>4</v>
      </c>
      <c r="J541" t="s">
        <v>23</v>
      </c>
      <c r="K541">
        <v>0.8</v>
      </c>
      <c r="L541">
        <v>6</v>
      </c>
      <c r="M541" t="s">
        <v>20</v>
      </c>
      <c r="N541">
        <f t="shared" si="24"/>
        <v>2</v>
      </c>
      <c r="O541">
        <v>2015</v>
      </c>
      <c r="P541">
        <f t="shared" si="25"/>
        <v>7.9765954093165767</v>
      </c>
      <c r="Q541">
        <f t="shared" si="26"/>
        <v>4.6052701809884251</v>
      </c>
    </row>
    <row r="542" spans="1:17" hidden="1" x14ac:dyDescent="0.3">
      <c r="A542">
        <v>541</v>
      </c>
      <c r="B542">
        <v>473338</v>
      </c>
      <c r="C542" t="s">
        <v>1088</v>
      </c>
      <c r="D542" t="s">
        <v>1089</v>
      </c>
      <c r="E542">
        <v>95</v>
      </c>
      <c r="F542">
        <v>2888</v>
      </c>
      <c r="G542">
        <v>26</v>
      </c>
      <c r="H542">
        <v>24</v>
      </c>
      <c r="I542">
        <v>4</v>
      </c>
      <c r="J542" t="s">
        <v>23</v>
      </c>
      <c r="K542">
        <v>0.8</v>
      </c>
      <c r="L542">
        <v>2.5</v>
      </c>
      <c r="M542" t="s">
        <v>20</v>
      </c>
      <c r="N542">
        <f t="shared" si="24"/>
        <v>2</v>
      </c>
      <c r="O542">
        <v>2015</v>
      </c>
      <c r="P542">
        <f t="shared" si="25"/>
        <v>7.9683195000127167</v>
      </c>
      <c r="Q542">
        <f t="shared" si="26"/>
        <v>4.5539821492186583</v>
      </c>
    </row>
    <row r="543" spans="1:17" x14ac:dyDescent="0.3">
      <c r="A543">
        <v>542</v>
      </c>
      <c r="B543">
        <v>636418</v>
      </c>
      <c r="C543" t="s">
        <v>1090</v>
      </c>
      <c r="D543" t="s">
        <v>1091</v>
      </c>
      <c r="E543">
        <v>195</v>
      </c>
      <c r="F543">
        <v>2875</v>
      </c>
      <c r="G543">
        <v>20</v>
      </c>
      <c r="H543">
        <v>36</v>
      </c>
      <c r="I543">
        <v>1</v>
      </c>
      <c r="J543" t="s">
        <v>13</v>
      </c>
      <c r="K543">
        <v>0.8</v>
      </c>
      <c r="L543">
        <v>4.5</v>
      </c>
      <c r="M543" t="s">
        <v>20</v>
      </c>
      <c r="N543">
        <f t="shared" si="24"/>
        <v>2</v>
      </c>
      <c r="O543">
        <v>2015</v>
      </c>
      <c r="P543">
        <f t="shared" si="25"/>
        <v>7.9638079532314512</v>
      </c>
      <c r="Q543">
        <f t="shared" si="26"/>
        <v>5.273050839300149</v>
      </c>
    </row>
    <row r="544" spans="1:17" x14ac:dyDescent="0.3">
      <c r="A544">
        <v>543</v>
      </c>
      <c r="B544">
        <v>1090788</v>
      </c>
      <c r="C544" t="s">
        <v>1092</v>
      </c>
      <c r="D544" t="s">
        <v>1093</v>
      </c>
      <c r="E544">
        <v>40</v>
      </c>
      <c r="F544">
        <v>2865</v>
      </c>
      <c r="G544">
        <v>95</v>
      </c>
      <c r="H544">
        <v>32</v>
      </c>
      <c r="I544">
        <v>1</v>
      </c>
      <c r="J544" t="s">
        <v>13</v>
      </c>
      <c r="K544">
        <v>0.8</v>
      </c>
      <c r="L544">
        <v>4</v>
      </c>
      <c r="M544" t="s">
        <v>20</v>
      </c>
      <c r="N544">
        <f t="shared" si="24"/>
        <v>2</v>
      </c>
      <c r="O544">
        <v>2017</v>
      </c>
      <c r="P544">
        <f t="shared" si="25"/>
        <v>7.9603236291488395</v>
      </c>
      <c r="Q544">
        <f t="shared" si="26"/>
        <v>3.6891294228691436</v>
      </c>
    </row>
    <row r="545" spans="1:17" hidden="1" x14ac:dyDescent="0.3">
      <c r="A545">
        <v>544</v>
      </c>
      <c r="B545">
        <v>954948</v>
      </c>
      <c r="C545" t="s">
        <v>1094</v>
      </c>
      <c r="D545" t="s">
        <v>1095</v>
      </c>
      <c r="E545">
        <v>0</v>
      </c>
      <c r="F545">
        <v>2859</v>
      </c>
      <c r="G545">
        <v>42</v>
      </c>
      <c r="H545">
        <v>17</v>
      </c>
      <c r="I545">
        <v>4</v>
      </c>
      <c r="J545" t="s">
        <v>23</v>
      </c>
      <c r="K545">
        <v>0.8</v>
      </c>
      <c r="L545">
        <v>0.73333333000000001</v>
      </c>
      <c r="M545" t="s">
        <v>14</v>
      </c>
      <c r="N545">
        <f t="shared" si="24"/>
        <v>1</v>
      </c>
      <c r="O545">
        <v>2016</v>
      </c>
      <c r="P545">
        <f t="shared" si="25"/>
        <v>7.9582271923223118</v>
      </c>
      <c r="Q545">
        <f t="shared" si="26"/>
        <v>-4.6051701859880909</v>
      </c>
    </row>
    <row r="546" spans="1:17" hidden="1" x14ac:dyDescent="0.3">
      <c r="A546">
        <v>545</v>
      </c>
      <c r="B546">
        <v>1199780</v>
      </c>
      <c r="C546" t="s">
        <v>1096</v>
      </c>
      <c r="D546" t="s">
        <v>1097</v>
      </c>
      <c r="E546">
        <v>20</v>
      </c>
      <c r="F546">
        <v>2853</v>
      </c>
      <c r="G546">
        <v>47</v>
      </c>
      <c r="H546">
        <v>16</v>
      </c>
      <c r="I546">
        <v>4</v>
      </c>
      <c r="J546" t="s">
        <v>23</v>
      </c>
      <c r="K546">
        <v>0.14000000000000001</v>
      </c>
      <c r="L546">
        <v>1.5</v>
      </c>
      <c r="M546" t="s">
        <v>20</v>
      </c>
      <c r="N546">
        <f t="shared" si="24"/>
        <v>2</v>
      </c>
      <c r="O546">
        <v>2017</v>
      </c>
      <c r="P546">
        <f t="shared" si="25"/>
        <v>7.9561263512135003</v>
      </c>
      <c r="Q546">
        <f t="shared" si="26"/>
        <v>2.996232148595642</v>
      </c>
    </row>
    <row r="547" spans="1:17" hidden="1" x14ac:dyDescent="0.3">
      <c r="A547">
        <v>546</v>
      </c>
      <c r="B547">
        <v>106156</v>
      </c>
      <c r="C547" t="s">
        <v>1098</v>
      </c>
      <c r="D547" t="s">
        <v>1099</v>
      </c>
      <c r="E547">
        <v>120</v>
      </c>
      <c r="F547">
        <v>2837</v>
      </c>
      <c r="G547">
        <v>68</v>
      </c>
      <c r="H547">
        <v>49</v>
      </c>
      <c r="I547">
        <v>4</v>
      </c>
      <c r="J547" t="s">
        <v>23</v>
      </c>
      <c r="K547">
        <v>0.14000000000000001</v>
      </c>
      <c r="L547">
        <v>7</v>
      </c>
      <c r="M547" t="s">
        <v>20</v>
      </c>
      <c r="N547">
        <f t="shared" si="24"/>
        <v>2</v>
      </c>
      <c r="O547">
        <v>2013</v>
      </c>
      <c r="P547">
        <f t="shared" si="25"/>
        <v>7.9505024348088513</v>
      </c>
      <c r="Q547">
        <f t="shared" si="26"/>
        <v>4.7875750726433504</v>
      </c>
    </row>
    <row r="548" spans="1:17" hidden="1" x14ac:dyDescent="0.3">
      <c r="A548">
        <v>547</v>
      </c>
      <c r="B548">
        <v>348920</v>
      </c>
      <c r="C548" t="s">
        <v>1100</v>
      </c>
      <c r="D548" t="s">
        <v>1101</v>
      </c>
      <c r="E548">
        <v>95</v>
      </c>
      <c r="F548">
        <v>2814</v>
      </c>
      <c r="G548">
        <v>14</v>
      </c>
      <c r="H548">
        <v>39</v>
      </c>
      <c r="I548">
        <v>4</v>
      </c>
      <c r="J548" t="s">
        <v>23</v>
      </c>
      <c r="K548">
        <v>0.17</v>
      </c>
      <c r="L548">
        <v>2</v>
      </c>
      <c r="M548" t="s">
        <v>20</v>
      </c>
      <c r="N548">
        <f t="shared" si="24"/>
        <v>2</v>
      </c>
      <c r="O548">
        <v>2014</v>
      </c>
      <c r="P548">
        <f t="shared" si="25"/>
        <v>7.9423622376743346</v>
      </c>
      <c r="Q548">
        <f t="shared" si="26"/>
        <v>4.5539821492186583</v>
      </c>
    </row>
    <row r="549" spans="1:17" hidden="1" x14ac:dyDescent="0.3">
      <c r="A549">
        <v>548</v>
      </c>
      <c r="B549">
        <v>844458</v>
      </c>
      <c r="C549" t="s">
        <v>1102</v>
      </c>
      <c r="D549" t="s">
        <v>1103</v>
      </c>
      <c r="E549">
        <v>140</v>
      </c>
      <c r="F549">
        <v>2814</v>
      </c>
      <c r="G549">
        <v>107</v>
      </c>
      <c r="H549">
        <v>35</v>
      </c>
      <c r="I549">
        <v>2</v>
      </c>
      <c r="J549" t="s">
        <v>32</v>
      </c>
      <c r="K549">
        <v>0.47</v>
      </c>
      <c r="L549">
        <v>2</v>
      </c>
      <c r="M549" t="s">
        <v>20</v>
      </c>
      <c r="N549">
        <f t="shared" si="24"/>
        <v>2</v>
      </c>
      <c r="O549">
        <v>2016</v>
      </c>
      <c r="P549">
        <f t="shared" si="25"/>
        <v>7.9423622376743346</v>
      </c>
      <c r="Q549">
        <f t="shared" si="26"/>
        <v>4.941713848629834</v>
      </c>
    </row>
    <row r="550" spans="1:17" hidden="1" x14ac:dyDescent="0.3">
      <c r="A550">
        <v>549</v>
      </c>
      <c r="B550">
        <v>1052118</v>
      </c>
      <c r="C550" t="s">
        <v>1104</v>
      </c>
      <c r="D550" t="s">
        <v>1105</v>
      </c>
      <c r="E550">
        <v>195</v>
      </c>
      <c r="F550">
        <v>2804</v>
      </c>
      <c r="G550">
        <v>418</v>
      </c>
      <c r="H550">
        <v>212</v>
      </c>
      <c r="I550">
        <v>4</v>
      </c>
      <c r="J550" t="s">
        <v>23</v>
      </c>
      <c r="K550">
        <v>0.92</v>
      </c>
      <c r="L550">
        <v>37.5</v>
      </c>
      <c r="M550" t="s">
        <v>20</v>
      </c>
      <c r="N550">
        <f t="shared" si="24"/>
        <v>2</v>
      </c>
      <c r="O550">
        <v>2017</v>
      </c>
      <c r="P550">
        <f t="shared" si="25"/>
        <v>7.9388022481544809</v>
      </c>
      <c r="Q550">
        <f t="shared" si="26"/>
        <v>5.273050839300149</v>
      </c>
    </row>
    <row r="551" spans="1:17" x14ac:dyDescent="0.3">
      <c r="A551">
        <v>550</v>
      </c>
      <c r="B551">
        <v>267286</v>
      </c>
      <c r="C551" t="s">
        <v>1106</v>
      </c>
      <c r="D551" t="s">
        <v>1107</v>
      </c>
      <c r="E551">
        <v>35</v>
      </c>
      <c r="F551">
        <v>2797</v>
      </c>
      <c r="G551">
        <v>59</v>
      </c>
      <c r="H551">
        <v>10</v>
      </c>
      <c r="I551">
        <v>1</v>
      </c>
      <c r="J551" t="s">
        <v>13</v>
      </c>
      <c r="K551">
        <v>0.92</v>
      </c>
      <c r="L551">
        <v>1</v>
      </c>
      <c r="M551" t="s">
        <v>20</v>
      </c>
      <c r="N551">
        <f t="shared" si="24"/>
        <v>2</v>
      </c>
      <c r="O551">
        <v>2014</v>
      </c>
      <c r="P551">
        <f t="shared" si="25"/>
        <v>7.9363026932019594</v>
      </c>
      <c r="Q551">
        <f t="shared" si="26"/>
        <v>3.5556337349665741</v>
      </c>
    </row>
    <row r="552" spans="1:17" x14ac:dyDescent="0.3">
      <c r="A552">
        <v>551</v>
      </c>
      <c r="B552">
        <v>661802</v>
      </c>
      <c r="C552" t="s">
        <v>1108</v>
      </c>
      <c r="D552" t="s">
        <v>1109</v>
      </c>
      <c r="E552">
        <v>95</v>
      </c>
      <c r="F552">
        <v>2789</v>
      </c>
      <c r="G552">
        <v>243</v>
      </c>
      <c r="H552">
        <v>26</v>
      </c>
      <c r="I552">
        <v>1</v>
      </c>
      <c r="J552" t="s">
        <v>13</v>
      </c>
      <c r="K552">
        <v>0.92</v>
      </c>
      <c r="L552">
        <v>3.5</v>
      </c>
      <c r="M552" t="s">
        <v>20</v>
      </c>
      <c r="N552">
        <f t="shared" si="24"/>
        <v>2</v>
      </c>
      <c r="O552">
        <v>2015</v>
      </c>
      <c r="P552">
        <f t="shared" si="25"/>
        <v>7.933438387627489</v>
      </c>
      <c r="Q552">
        <f t="shared" si="26"/>
        <v>4.5539821492186583</v>
      </c>
    </row>
    <row r="553" spans="1:17" hidden="1" x14ac:dyDescent="0.3">
      <c r="A553">
        <v>552</v>
      </c>
      <c r="B553">
        <v>1027016</v>
      </c>
      <c r="C553" t="s">
        <v>1110</v>
      </c>
      <c r="D553" t="s">
        <v>1111</v>
      </c>
      <c r="E553">
        <v>200</v>
      </c>
      <c r="F553">
        <v>2786</v>
      </c>
      <c r="G553">
        <v>31</v>
      </c>
      <c r="H553">
        <v>20</v>
      </c>
      <c r="I553">
        <v>2</v>
      </c>
      <c r="J553" t="s">
        <v>32</v>
      </c>
      <c r="K553">
        <v>0.92</v>
      </c>
      <c r="L553">
        <v>3</v>
      </c>
      <c r="M553" t="s">
        <v>20</v>
      </c>
      <c r="N553">
        <f t="shared" si="24"/>
        <v>2</v>
      </c>
      <c r="O553">
        <v>2017</v>
      </c>
      <c r="P553">
        <f t="shared" si="25"/>
        <v>7.9323621543397511</v>
      </c>
      <c r="Q553">
        <f t="shared" si="26"/>
        <v>5.2983673652980787</v>
      </c>
    </row>
    <row r="554" spans="1:17" hidden="1" x14ac:dyDescent="0.3">
      <c r="A554">
        <v>553</v>
      </c>
      <c r="B554">
        <v>565000</v>
      </c>
      <c r="C554" t="s">
        <v>1112</v>
      </c>
      <c r="D554" t="s">
        <v>1113</v>
      </c>
      <c r="E554">
        <v>50</v>
      </c>
      <c r="F554">
        <v>2784</v>
      </c>
      <c r="G554">
        <v>221</v>
      </c>
      <c r="H554">
        <v>79</v>
      </c>
      <c r="I554">
        <v>2</v>
      </c>
      <c r="J554" t="s">
        <v>32</v>
      </c>
      <c r="K554">
        <v>0.92</v>
      </c>
      <c r="L554">
        <v>15</v>
      </c>
      <c r="M554" t="s">
        <v>20</v>
      </c>
      <c r="N554">
        <f t="shared" si="24"/>
        <v>2</v>
      </c>
      <c r="O554">
        <v>2015</v>
      </c>
      <c r="P554">
        <f t="shared" si="25"/>
        <v>7.9316440214543107</v>
      </c>
      <c r="Q554">
        <f t="shared" si="26"/>
        <v>3.9122229854308124</v>
      </c>
    </row>
    <row r="555" spans="1:17" hidden="1" x14ac:dyDescent="0.3">
      <c r="A555">
        <v>554</v>
      </c>
      <c r="B555">
        <v>284076</v>
      </c>
      <c r="C555" t="s">
        <v>1114</v>
      </c>
      <c r="D555" t="s">
        <v>1115</v>
      </c>
      <c r="E555">
        <v>20</v>
      </c>
      <c r="F555">
        <v>2784</v>
      </c>
      <c r="G555">
        <v>425</v>
      </c>
      <c r="H555">
        <v>29</v>
      </c>
      <c r="I555">
        <v>4</v>
      </c>
      <c r="J555" t="s">
        <v>23</v>
      </c>
      <c r="K555">
        <v>0.92</v>
      </c>
      <c r="L555">
        <v>3.5</v>
      </c>
      <c r="M555" t="s">
        <v>20</v>
      </c>
      <c r="N555">
        <f t="shared" si="24"/>
        <v>2</v>
      </c>
      <c r="O555">
        <v>2014</v>
      </c>
      <c r="P555">
        <f t="shared" si="25"/>
        <v>7.9316440214543107</v>
      </c>
      <c r="Q555">
        <f t="shared" si="26"/>
        <v>2.996232148595642</v>
      </c>
    </row>
    <row r="556" spans="1:17" x14ac:dyDescent="0.3">
      <c r="A556">
        <v>555</v>
      </c>
      <c r="B556">
        <v>1034636</v>
      </c>
      <c r="C556" t="s">
        <v>1116</v>
      </c>
      <c r="D556" t="s">
        <v>1117</v>
      </c>
      <c r="E556">
        <v>200</v>
      </c>
      <c r="F556">
        <v>2783</v>
      </c>
      <c r="G556">
        <v>9</v>
      </c>
      <c r="H556">
        <v>21</v>
      </c>
      <c r="I556">
        <v>1</v>
      </c>
      <c r="J556" t="s">
        <v>13</v>
      </c>
      <c r="K556">
        <v>0.92</v>
      </c>
      <c r="L556">
        <v>1.5</v>
      </c>
      <c r="M556" t="s">
        <v>20</v>
      </c>
      <c r="N556">
        <f t="shared" si="24"/>
        <v>2</v>
      </c>
      <c r="O556">
        <v>2016</v>
      </c>
      <c r="P556">
        <f t="shared" si="25"/>
        <v>7.931284761525891</v>
      </c>
      <c r="Q556">
        <f t="shared" si="26"/>
        <v>5.2983673652980787</v>
      </c>
    </row>
    <row r="557" spans="1:17" hidden="1" x14ac:dyDescent="0.3">
      <c r="A557">
        <v>556</v>
      </c>
      <c r="B557">
        <v>1089744</v>
      </c>
      <c r="C557" t="s">
        <v>1118</v>
      </c>
      <c r="D557" t="s">
        <v>1119</v>
      </c>
      <c r="E557">
        <v>40</v>
      </c>
      <c r="F557">
        <v>2780</v>
      </c>
      <c r="G557">
        <v>94</v>
      </c>
      <c r="H557">
        <v>29</v>
      </c>
      <c r="I557">
        <v>4</v>
      </c>
      <c r="J557" t="s">
        <v>23</v>
      </c>
      <c r="K557">
        <v>0.92</v>
      </c>
      <c r="L557">
        <v>3</v>
      </c>
      <c r="M557" t="s">
        <v>20</v>
      </c>
      <c r="N557">
        <f t="shared" si="24"/>
        <v>2</v>
      </c>
      <c r="O557">
        <v>2017</v>
      </c>
      <c r="P557">
        <f t="shared" si="25"/>
        <v>7.9302062066846828</v>
      </c>
      <c r="Q557">
        <f t="shared" si="26"/>
        <v>3.6891294228691436</v>
      </c>
    </row>
    <row r="558" spans="1:17" hidden="1" x14ac:dyDescent="0.3">
      <c r="A558">
        <v>557</v>
      </c>
      <c r="B558">
        <v>542254</v>
      </c>
      <c r="C558" t="s">
        <v>1120</v>
      </c>
      <c r="D558" t="s">
        <v>1121</v>
      </c>
      <c r="E558">
        <v>100</v>
      </c>
      <c r="F558">
        <v>2760</v>
      </c>
      <c r="G558">
        <v>76</v>
      </c>
      <c r="H558">
        <v>26</v>
      </c>
      <c r="I558">
        <v>4</v>
      </c>
      <c r="J558" t="s">
        <v>23</v>
      </c>
      <c r="K558">
        <v>0.92</v>
      </c>
      <c r="L558">
        <v>3.5</v>
      </c>
      <c r="M558" t="s">
        <v>20</v>
      </c>
      <c r="N558">
        <f t="shared" si="24"/>
        <v>2</v>
      </c>
      <c r="O558">
        <v>2015</v>
      </c>
      <c r="P558">
        <f t="shared" si="25"/>
        <v>7.9229859587111955</v>
      </c>
      <c r="Q558">
        <f t="shared" si="26"/>
        <v>4.6052701809884251</v>
      </c>
    </row>
    <row r="559" spans="1:17" hidden="1" x14ac:dyDescent="0.3">
      <c r="A559">
        <v>558</v>
      </c>
      <c r="B559">
        <v>1103954</v>
      </c>
      <c r="C559" t="s">
        <v>1122</v>
      </c>
      <c r="D559" t="s">
        <v>1123</v>
      </c>
      <c r="E559">
        <v>20</v>
      </c>
      <c r="F559">
        <v>2760</v>
      </c>
      <c r="G559">
        <v>52</v>
      </c>
      <c r="H559">
        <v>34</v>
      </c>
      <c r="I559">
        <v>4</v>
      </c>
      <c r="J559" t="s">
        <v>23</v>
      </c>
      <c r="K559">
        <v>0.11</v>
      </c>
      <c r="L559">
        <v>1</v>
      </c>
      <c r="M559" t="s">
        <v>20</v>
      </c>
      <c r="N559">
        <f t="shared" si="24"/>
        <v>2</v>
      </c>
      <c r="O559">
        <v>2017</v>
      </c>
      <c r="P559">
        <f t="shared" si="25"/>
        <v>7.9229859587111955</v>
      </c>
      <c r="Q559">
        <f t="shared" si="26"/>
        <v>2.996232148595642</v>
      </c>
    </row>
    <row r="560" spans="1:17" x14ac:dyDescent="0.3">
      <c r="A560">
        <v>559</v>
      </c>
      <c r="B560">
        <v>753940</v>
      </c>
      <c r="C560" t="s">
        <v>1124</v>
      </c>
      <c r="D560" t="s">
        <v>1125</v>
      </c>
      <c r="E560">
        <v>35</v>
      </c>
      <c r="F560">
        <v>2755</v>
      </c>
      <c r="G560">
        <v>57</v>
      </c>
      <c r="H560">
        <v>179</v>
      </c>
      <c r="I560">
        <v>1</v>
      </c>
      <c r="J560" t="s">
        <v>13</v>
      </c>
      <c r="K560">
        <v>0.35</v>
      </c>
      <c r="L560">
        <v>17.5</v>
      </c>
      <c r="M560" t="s">
        <v>20</v>
      </c>
      <c r="N560">
        <f t="shared" si="24"/>
        <v>2</v>
      </c>
      <c r="O560">
        <v>2016</v>
      </c>
      <c r="P560">
        <f t="shared" si="25"/>
        <v>7.9211727215870145</v>
      </c>
      <c r="Q560">
        <f t="shared" si="26"/>
        <v>3.5556337349665741</v>
      </c>
    </row>
    <row r="561" spans="1:21" x14ac:dyDescent="0.3">
      <c r="A561">
        <v>560</v>
      </c>
      <c r="B561">
        <v>577796</v>
      </c>
      <c r="C561" t="s">
        <v>1126</v>
      </c>
      <c r="D561" t="s">
        <v>1127</v>
      </c>
      <c r="E561">
        <v>25</v>
      </c>
      <c r="F561">
        <v>2753</v>
      </c>
      <c r="G561">
        <v>10</v>
      </c>
      <c r="H561">
        <v>18</v>
      </c>
      <c r="I561">
        <v>1</v>
      </c>
      <c r="J561" t="s">
        <v>13</v>
      </c>
      <c r="K561">
        <v>0.64</v>
      </c>
      <c r="L561">
        <v>2</v>
      </c>
      <c r="M561" t="s">
        <v>20</v>
      </c>
      <c r="N561">
        <f t="shared" si="24"/>
        <v>2</v>
      </c>
      <c r="O561">
        <v>2015</v>
      </c>
      <c r="P561">
        <f t="shared" si="25"/>
        <v>7.920446505142607</v>
      </c>
      <c r="Q561">
        <f t="shared" si="26"/>
        <v>3.2192757448895279</v>
      </c>
    </row>
    <row r="562" spans="1:21" hidden="1" x14ac:dyDescent="0.3">
      <c r="A562">
        <v>561</v>
      </c>
      <c r="B562">
        <v>690788</v>
      </c>
      <c r="C562" t="s">
        <v>1128</v>
      </c>
      <c r="D562" t="s">
        <v>1129</v>
      </c>
      <c r="E562">
        <v>20</v>
      </c>
      <c r="F562">
        <v>2749</v>
      </c>
      <c r="G562">
        <v>62</v>
      </c>
      <c r="H562">
        <v>7</v>
      </c>
      <c r="I562">
        <v>2</v>
      </c>
      <c r="J562" t="s">
        <v>32</v>
      </c>
      <c r="K562">
        <v>0.66</v>
      </c>
      <c r="L562">
        <v>0.68333332999999996</v>
      </c>
      <c r="M562" t="s">
        <v>20</v>
      </c>
      <c r="N562">
        <f t="shared" si="24"/>
        <v>2</v>
      </c>
      <c r="O562">
        <v>2015</v>
      </c>
      <c r="P562">
        <f t="shared" si="25"/>
        <v>7.9189924881652454</v>
      </c>
      <c r="Q562">
        <f t="shared" si="26"/>
        <v>2.996232148595642</v>
      </c>
    </row>
    <row r="563" spans="1:21" hidden="1" x14ac:dyDescent="0.3">
      <c r="A563">
        <v>562</v>
      </c>
      <c r="B563">
        <v>745468</v>
      </c>
      <c r="C563" t="s">
        <v>1130</v>
      </c>
      <c r="D563" t="s">
        <v>1131</v>
      </c>
      <c r="E563">
        <v>95</v>
      </c>
      <c r="F563">
        <v>2743</v>
      </c>
      <c r="G563">
        <v>589</v>
      </c>
      <c r="H563">
        <v>61</v>
      </c>
      <c r="I563">
        <v>4</v>
      </c>
      <c r="J563" t="s">
        <v>23</v>
      </c>
      <c r="K563">
        <v>0.51</v>
      </c>
      <c r="L563">
        <v>14.5</v>
      </c>
      <c r="M563" t="s">
        <v>20</v>
      </c>
      <c r="N563">
        <f t="shared" si="24"/>
        <v>2</v>
      </c>
      <c r="O563">
        <v>2016</v>
      </c>
      <c r="P563">
        <f t="shared" si="25"/>
        <v>7.9168074909376029</v>
      </c>
      <c r="Q563">
        <f t="shared" si="26"/>
        <v>4.5539821492186583</v>
      </c>
    </row>
    <row r="564" spans="1:21" hidden="1" x14ac:dyDescent="0.3">
      <c r="A564">
        <v>563</v>
      </c>
      <c r="B564">
        <v>37684</v>
      </c>
      <c r="C564" t="s">
        <v>1132</v>
      </c>
      <c r="D564" t="s">
        <v>1133</v>
      </c>
      <c r="E564">
        <v>75</v>
      </c>
      <c r="F564">
        <v>2721</v>
      </c>
      <c r="G564">
        <v>96</v>
      </c>
      <c r="H564">
        <v>44</v>
      </c>
      <c r="I564">
        <v>2</v>
      </c>
      <c r="J564" t="s">
        <v>32</v>
      </c>
      <c r="K564">
        <v>0.76</v>
      </c>
      <c r="L564">
        <v>5.5</v>
      </c>
      <c r="M564" t="s">
        <v>20</v>
      </c>
      <c r="N564">
        <f t="shared" si="24"/>
        <v>2</v>
      </c>
      <c r="O564">
        <v>2013</v>
      </c>
      <c r="P564">
        <f t="shared" si="25"/>
        <v>7.9087547387832462</v>
      </c>
      <c r="Q564">
        <f t="shared" si="26"/>
        <v>4.3176214379815452</v>
      </c>
    </row>
    <row r="565" spans="1:21" ht="15" thickBot="1" x14ac:dyDescent="0.35">
      <c r="A565">
        <v>564</v>
      </c>
      <c r="B565">
        <v>531360</v>
      </c>
      <c r="C565" t="s">
        <v>1134</v>
      </c>
      <c r="D565" t="s">
        <v>1135</v>
      </c>
      <c r="E565">
        <v>175</v>
      </c>
      <c r="F565">
        <v>2706</v>
      </c>
      <c r="G565">
        <v>179</v>
      </c>
      <c r="H565">
        <v>103</v>
      </c>
      <c r="I565">
        <v>1</v>
      </c>
      <c r="J565" t="s">
        <v>13</v>
      </c>
      <c r="K565">
        <v>0.37</v>
      </c>
      <c r="L565">
        <v>13</v>
      </c>
      <c r="M565" t="s">
        <v>20</v>
      </c>
      <c r="N565">
        <f t="shared" si="24"/>
        <v>2</v>
      </c>
      <c r="O565">
        <v>2015</v>
      </c>
      <c r="P565">
        <f t="shared" si="25"/>
        <v>7.9032268087307331</v>
      </c>
      <c r="Q565">
        <f t="shared" si="26"/>
        <v>5.1648431151480656</v>
      </c>
    </row>
    <row r="566" spans="1:21" ht="15" hidden="1" thickBot="1" x14ac:dyDescent="0.35">
      <c r="A566">
        <v>565</v>
      </c>
      <c r="B566">
        <v>56513</v>
      </c>
      <c r="C566" t="s">
        <v>1136</v>
      </c>
      <c r="D566" t="s">
        <v>1137</v>
      </c>
      <c r="E566">
        <v>200</v>
      </c>
      <c r="F566">
        <v>2698</v>
      </c>
      <c r="G566">
        <v>29</v>
      </c>
      <c r="H566">
        <v>57</v>
      </c>
      <c r="I566">
        <v>4</v>
      </c>
      <c r="J566" t="s">
        <v>23</v>
      </c>
      <c r="K566">
        <v>0.72</v>
      </c>
      <c r="L566">
        <v>8</v>
      </c>
      <c r="M566" t="s">
        <v>20</v>
      </c>
      <c r="N566">
        <f t="shared" si="24"/>
        <v>2</v>
      </c>
      <c r="O566">
        <v>2013</v>
      </c>
      <c r="P566">
        <f t="shared" si="25"/>
        <v>7.9002660367677011</v>
      </c>
      <c r="Q566">
        <f t="shared" si="26"/>
        <v>5.2983673652980787</v>
      </c>
    </row>
    <row r="567" spans="1:21" ht="15" hidden="1" thickBot="1" x14ac:dyDescent="0.35">
      <c r="A567">
        <v>566</v>
      </c>
      <c r="B567">
        <v>50587</v>
      </c>
      <c r="C567" t="s">
        <v>1138</v>
      </c>
      <c r="D567" t="s">
        <v>1139</v>
      </c>
      <c r="E567">
        <v>75</v>
      </c>
      <c r="F567">
        <v>2697</v>
      </c>
      <c r="G567">
        <v>64</v>
      </c>
      <c r="H567">
        <v>82</v>
      </c>
      <c r="I567">
        <v>4</v>
      </c>
      <c r="J567" t="s">
        <v>23</v>
      </c>
      <c r="K567">
        <v>0.34</v>
      </c>
      <c r="L567">
        <v>11.5</v>
      </c>
      <c r="M567" t="s">
        <v>20</v>
      </c>
      <c r="N567">
        <f t="shared" si="24"/>
        <v>2</v>
      </c>
      <c r="O567">
        <v>2013</v>
      </c>
      <c r="P567">
        <f t="shared" si="25"/>
        <v>7.89989532313973</v>
      </c>
      <c r="Q567">
        <f t="shared" si="26"/>
        <v>4.3176214379815452</v>
      </c>
    </row>
    <row r="568" spans="1:21" x14ac:dyDescent="0.3">
      <c r="A568">
        <v>567</v>
      </c>
      <c r="B568">
        <v>1042110</v>
      </c>
      <c r="C568" t="s">
        <v>1140</v>
      </c>
      <c r="D568" t="s">
        <v>1141</v>
      </c>
      <c r="E568">
        <v>200</v>
      </c>
      <c r="F568">
        <v>2687</v>
      </c>
      <c r="G568">
        <v>331</v>
      </c>
      <c r="H568">
        <v>138</v>
      </c>
      <c r="I568">
        <v>1</v>
      </c>
      <c r="J568" t="s">
        <v>13</v>
      </c>
      <c r="K568">
        <v>0.68</v>
      </c>
      <c r="L568">
        <v>25.5</v>
      </c>
      <c r="M568" t="s">
        <v>20</v>
      </c>
      <c r="N568">
        <f t="shared" si="24"/>
        <v>2</v>
      </c>
      <c r="O568">
        <v>2017</v>
      </c>
      <c r="P568">
        <f t="shared" si="25"/>
        <v>7.8961806086154915</v>
      </c>
      <c r="Q568">
        <f t="shared" si="26"/>
        <v>5.2983673652980787</v>
      </c>
      <c r="S568" s="2"/>
      <c r="T568" s="2"/>
      <c r="U568" s="2"/>
    </row>
    <row r="569" spans="1:21" x14ac:dyDescent="0.3">
      <c r="A569">
        <v>568</v>
      </c>
      <c r="B569">
        <v>1094964</v>
      </c>
      <c r="C569" t="s">
        <v>1142</v>
      </c>
      <c r="D569" t="s">
        <v>1143</v>
      </c>
      <c r="E569">
        <v>50</v>
      </c>
      <c r="F569">
        <v>2669</v>
      </c>
      <c r="G569">
        <v>112</v>
      </c>
      <c r="H569">
        <v>72</v>
      </c>
      <c r="I569">
        <v>1</v>
      </c>
      <c r="J569" t="s">
        <v>13</v>
      </c>
      <c r="K569">
        <v>0.65</v>
      </c>
      <c r="L569">
        <v>5.5</v>
      </c>
      <c r="M569" t="s">
        <v>20</v>
      </c>
      <c r="N569">
        <f t="shared" si="24"/>
        <v>2</v>
      </c>
      <c r="O569">
        <v>2017</v>
      </c>
      <c r="P569">
        <f t="shared" si="25"/>
        <v>7.8894591494045239</v>
      </c>
      <c r="Q569">
        <f t="shared" si="26"/>
        <v>3.9122229854308124</v>
      </c>
    </row>
    <row r="570" spans="1:21" x14ac:dyDescent="0.3">
      <c r="A570">
        <v>569</v>
      </c>
      <c r="B570">
        <v>876544</v>
      </c>
      <c r="C570" t="s">
        <v>1144</v>
      </c>
      <c r="D570" t="s">
        <v>1145</v>
      </c>
      <c r="E570">
        <v>20</v>
      </c>
      <c r="F570">
        <v>2660</v>
      </c>
      <c r="G570">
        <v>276</v>
      </c>
      <c r="H570">
        <v>16</v>
      </c>
      <c r="I570">
        <v>1</v>
      </c>
      <c r="J570" t="s">
        <v>13</v>
      </c>
      <c r="K570">
        <v>0.36</v>
      </c>
      <c r="L570">
        <v>1.5</v>
      </c>
      <c r="M570" t="s">
        <v>20</v>
      </c>
      <c r="N570">
        <f t="shared" si="24"/>
        <v>2</v>
      </c>
      <c r="O570">
        <v>2016</v>
      </c>
      <c r="P570">
        <f t="shared" si="25"/>
        <v>7.886081401775745</v>
      </c>
      <c r="Q570">
        <f t="shared" si="26"/>
        <v>2.996232148595642</v>
      </c>
    </row>
    <row r="571" spans="1:21" hidden="1" x14ac:dyDescent="0.3">
      <c r="A571">
        <v>570</v>
      </c>
      <c r="B571">
        <v>650328</v>
      </c>
      <c r="C571" t="s">
        <v>1146</v>
      </c>
      <c r="D571" t="s">
        <v>1147</v>
      </c>
      <c r="E571">
        <v>120</v>
      </c>
      <c r="F571">
        <v>2652</v>
      </c>
      <c r="G571">
        <v>33</v>
      </c>
      <c r="H571">
        <v>40</v>
      </c>
      <c r="I571">
        <v>4</v>
      </c>
      <c r="J571" t="s">
        <v>23</v>
      </c>
      <c r="K571">
        <v>0.83</v>
      </c>
      <c r="L571">
        <v>3.5</v>
      </c>
      <c r="M571" t="s">
        <v>20</v>
      </c>
      <c r="N571">
        <f t="shared" si="24"/>
        <v>2</v>
      </c>
      <c r="O571">
        <v>2016</v>
      </c>
      <c r="P571">
        <f t="shared" si="25"/>
        <v>7.8830693513057533</v>
      </c>
      <c r="Q571">
        <f t="shared" si="26"/>
        <v>4.7875750726433504</v>
      </c>
    </row>
    <row r="572" spans="1:21" x14ac:dyDescent="0.3">
      <c r="A572">
        <v>571</v>
      </c>
      <c r="B572">
        <v>570848</v>
      </c>
      <c r="C572" t="s">
        <v>1148</v>
      </c>
      <c r="D572" t="s">
        <v>1149</v>
      </c>
      <c r="E572">
        <v>40</v>
      </c>
      <c r="F572">
        <v>2650</v>
      </c>
      <c r="G572">
        <v>19</v>
      </c>
      <c r="H572">
        <v>39</v>
      </c>
      <c r="I572">
        <v>1</v>
      </c>
      <c r="J572" t="s">
        <v>13</v>
      </c>
      <c r="K572">
        <v>0.11</v>
      </c>
      <c r="L572">
        <v>2</v>
      </c>
      <c r="M572" t="s">
        <v>20</v>
      </c>
      <c r="N572">
        <f t="shared" si="24"/>
        <v>2</v>
      </c>
      <c r="O572">
        <v>2015</v>
      </c>
      <c r="P572">
        <f t="shared" si="25"/>
        <v>7.8823149189802679</v>
      </c>
      <c r="Q572">
        <f t="shared" si="26"/>
        <v>3.6891294228691436</v>
      </c>
    </row>
    <row r="573" spans="1:21" hidden="1" x14ac:dyDescent="0.3">
      <c r="A573">
        <v>572</v>
      </c>
      <c r="B573">
        <v>459922</v>
      </c>
      <c r="C573" t="s">
        <v>1150</v>
      </c>
      <c r="D573" t="s">
        <v>1151</v>
      </c>
      <c r="E573">
        <v>20</v>
      </c>
      <c r="F573">
        <v>2650</v>
      </c>
      <c r="G573">
        <v>61</v>
      </c>
      <c r="H573">
        <v>304</v>
      </c>
      <c r="I573">
        <v>4</v>
      </c>
      <c r="J573" t="s">
        <v>23</v>
      </c>
      <c r="K573">
        <v>0.93</v>
      </c>
      <c r="L573">
        <v>15.5</v>
      </c>
      <c r="M573" t="s">
        <v>20</v>
      </c>
      <c r="N573">
        <f t="shared" si="24"/>
        <v>2</v>
      </c>
      <c r="O573">
        <v>2015</v>
      </c>
      <c r="P573">
        <f t="shared" si="25"/>
        <v>7.8823149189802679</v>
      </c>
      <c r="Q573">
        <f t="shared" si="26"/>
        <v>2.996232148595642</v>
      </c>
    </row>
    <row r="574" spans="1:21" hidden="1" x14ac:dyDescent="0.3">
      <c r="A574">
        <v>573</v>
      </c>
      <c r="B574">
        <v>1207382</v>
      </c>
      <c r="C574" t="s">
        <v>1152</v>
      </c>
      <c r="D574" t="s">
        <v>1153</v>
      </c>
      <c r="E574">
        <v>0</v>
      </c>
      <c r="F574">
        <v>2649</v>
      </c>
      <c r="G574">
        <v>16</v>
      </c>
      <c r="H574">
        <v>7</v>
      </c>
      <c r="I574">
        <v>4</v>
      </c>
      <c r="J574" t="s">
        <v>23</v>
      </c>
      <c r="K574">
        <v>0.55000000000000004</v>
      </c>
      <c r="L574">
        <v>0.58333332999999998</v>
      </c>
      <c r="M574" t="s">
        <v>14</v>
      </c>
      <c r="N574">
        <f t="shared" si="24"/>
        <v>1</v>
      </c>
      <c r="O574">
        <v>2017</v>
      </c>
      <c r="P574">
        <f t="shared" si="25"/>
        <v>7.8819374892720697</v>
      </c>
      <c r="Q574">
        <f t="shared" si="26"/>
        <v>-4.6051701859880909</v>
      </c>
    </row>
    <row r="575" spans="1:21" hidden="1" x14ac:dyDescent="0.3">
      <c r="A575">
        <v>574</v>
      </c>
      <c r="B575">
        <v>767656</v>
      </c>
      <c r="C575" t="s">
        <v>1154</v>
      </c>
      <c r="D575" t="s">
        <v>1155</v>
      </c>
      <c r="E575">
        <v>20</v>
      </c>
      <c r="F575">
        <v>2643</v>
      </c>
      <c r="G575">
        <v>34</v>
      </c>
      <c r="H575">
        <v>83</v>
      </c>
      <c r="I575">
        <v>4</v>
      </c>
      <c r="J575" t="s">
        <v>23</v>
      </c>
      <c r="K575">
        <v>0.97</v>
      </c>
      <c r="L575">
        <v>9</v>
      </c>
      <c r="M575" t="s">
        <v>20</v>
      </c>
      <c r="N575">
        <f t="shared" si="24"/>
        <v>2</v>
      </c>
      <c r="O575">
        <v>2016</v>
      </c>
      <c r="P575">
        <f t="shared" si="25"/>
        <v>7.879669914604289</v>
      </c>
      <c r="Q575">
        <f t="shared" si="26"/>
        <v>2.996232148595642</v>
      </c>
    </row>
    <row r="576" spans="1:21" hidden="1" x14ac:dyDescent="0.3">
      <c r="A576">
        <v>575</v>
      </c>
      <c r="B576">
        <v>637974</v>
      </c>
      <c r="C576" t="s">
        <v>1156</v>
      </c>
      <c r="D576" t="s">
        <v>1157</v>
      </c>
      <c r="E576">
        <v>50</v>
      </c>
      <c r="F576">
        <v>2643</v>
      </c>
      <c r="G576">
        <v>56</v>
      </c>
      <c r="H576">
        <v>24</v>
      </c>
      <c r="I576">
        <v>4</v>
      </c>
      <c r="J576" t="s">
        <v>23</v>
      </c>
      <c r="K576">
        <v>0.61</v>
      </c>
      <c r="L576">
        <v>3.5</v>
      </c>
      <c r="M576" t="s">
        <v>20</v>
      </c>
      <c r="N576">
        <f t="shared" si="24"/>
        <v>2</v>
      </c>
      <c r="O576">
        <v>2016</v>
      </c>
      <c r="P576">
        <f t="shared" si="25"/>
        <v>7.879669914604289</v>
      </c>
      <c r="Q576">
        <f t="shared" si="26"/>
        <v>3.9122229854308124</v>
      </c>
    </row>
    <row r="577" spans="1:21" hidden="1" x14ac:dyDescent="0.3">
      <c r="A577">
        <v>576</v>
      </c>
      <c r="B577">
        <v>1099956</v>
      </c>
      <c r="C577" t="s">
        <v>1158</v>
      </c>
      <c r="D577" t="s">
        <v>1159</v>
      </c>
      <c r="E577">
        <v>150</v>
      </c>
      <c r="F577">
        <v>2641</v>
      </c>
      <c r="G577">
        <v>28</v>
      </c>
      <c r="H577">
        <v>15</v>
      </c>
      <c r="I577">
        <v>2</v>
      </c>
      <c r="J577" t="s">
        <v>32</v>
      </c>
      <c r="K577">
        <v>0.16</v>
      </c>
      <c r="L577">
        <v>0.65</v>
      </c>
      <c r="M577" t="s">
        <v>20</v>
      </c>
      <c r="N577">
        <f t="shared" si="24"/>
        <v>2</v>
      </c>
      <c r="O577">
        <v>2017</v>
      </c>
      <c r="P577">
        <f t="shared" si="25"/>
        <v>7.8789129122971326</v>
      </c>
      <c r="Q577">
        <f t="shared" si="26"/>
        <v>5.0107019585407988</v>
      </c>
    </row>
    <row r="578" spans="1:21" ht="15" hidden="1" thickBot="1" x14ac:dyDescent="0.35">
      <c r="A578">
        <v>577</v>
      </c>
      <c r="B578">
        <v>977474</v>
      </c>
      <c r="C578" t="s">
        <v>1160</v>
      </c>
      <c r="D578" t="s">
        <v>1161</v>
      </c>
      <c r="E578">
        <v>95</v>
      </c>
      <c r="F578">
        <v>2635</v>
      </c>
      <c r="G578">
        <v>25</v>
      </c>
      <c r="H578">
        <v>30</v>
      </c>
      <c r="I578">
        <v>4</v>
      </c>
      <c r="J578" t="s">
        <v>23</v>
      </c>
      <c r="K578">
        <v>0.3</v>
      </c>
      <c r="L578">
        <v>2</v>
      </c>
      <c r="M578" t="s">
        <v>20</v>
      </c>
      <c r="N578">
        <f t="shared" ref="N578:N641" si="27">IF(M578="Free",1,IF(M578="Paid",2,0))</f>
        <v>2</v>
      </c>
      <c r="O578">
        <v>2016</v>
      </c>
      <c r="P578">
        <f t="shared" ref="P578:P641" si="28">LN(F578)</f>
        <v>7.8766384609754629</v>
      </c>
      <c r="Q578">
        <f t="shared" ref="Q578:Q641" si="29">LN(E578+0.01)</f>
        <v>4.5539821492186583</v>
      </c>
      <c r="S578" s="1"/>
      <c r="T578" s="1"/>
      <c r="U578" s="1"/>
    </row>
    <row r="579" spans="1:21" x14ac:dyDescent="0.3">
      <c r="A579">
        <v>578</v>
      </c>
      <c r="B579">
        <v>472526</v>
      </c>
      <c r="C579" t="s">
        <v>1162</v>
      </c>
      <c r="D579" t="s">
        <v>1163</v>
      </c>
      <c r="E579">
        <v>40</v>
      </c>
      <c r="F579">
        <v>2626</v>
      </c>
      <c r="G579">
        <v>95</v>
      </c>
      <c r="H579">
        <v>135</v>
      </c>
      <c r="I579">
        <v>1</v>
      </c>
      <c r="J579" t="s">
        <v>13</v>
      </c>
      <c r="K579">
        <v>0.02</v>
      </c>
      <c r="L579">
        <v>6</v>
      </c>
      <c r="M579" t="s">
        <v>20</v>
      </c>
      <c r="N579">
        <f t="shared" si="27"/>
        <v>2</v>
      </c>
      <c r="O579">
        <v>2015</v>
      </c>
      <c r="P579">
        <f t="shared" si="28"/>
        <v>7.8732170548627414</v>
      </c>
      <c r="Q579">
        <f t="shared" si="29"/>
        <v>3.6891294228691436</v>
      </c>
    </row>
    <row r="580" spans="1:21" x14ac:dyDescent="0.3">
      <c r="A580">
        <v>579</v>
      </c>
      <c r="B580">
        <v>678142</v>
      </c>
      <c r="C580" t="s">
        <v>1164</v>
      </c>
      <c r="D580" t="s">
        <v>1165</v>
      </c>
      <c r="E580">
        <v>100</v>
      </c>
      <c r="F580">
        <v>2607</v>
      </c>
      <c r="G580">
        <v>317</v>
      </c>
      <c r="H580">
        <v>49</v>
      </c>
      <c r="I580">
        <v>1</v>
      </c>
      <c r="J580" t="s">
        <v>13</v>
      </c>
      <c r="K580">
        <v>0.15</v>
      </c>
      <c r="L580">
        <v>5</v>
      </c>
      <c r="M580" t="s">
        <v>20</v>
      </c>
      <c r="N580">
        <f t="shared" si="27"/>
        <v>2</v>
      </c>
      <c r="O580">
        <v>2015</v>
      </c>
      <c r="P580">
        <f t="shared" si="28"/>
        <v>7.8659554139335022</v>
      </c>
      <c r="Q580">
        <f t="shared" si="29"/>
        <v>4.6052701809884251</v>
      </c>
    </row>
    <row r="581" spans="1:21" hidden="1" x14ac:dyDescent="0.3">
      <c r="A581">
        <v>580</v>
      </c>
      <c r="B581">
        <v>1200530</v>
      </c>
      <c r="C581" t="s">
        <v>1166</v>
      </c>
      <c r="D581" t="s">
        <v>1167</v>
      </c>
      <c r="E581">
        <v>50</v>
      </c>
      <c r="F581">
        <v>2606</v>
      </c>
      <c r="G581">
        <v>241</v>
      </c>
      <c r="H581">
        <v>77</v>
      </c>
      <c r="I581">
        <v>4</v>
      </c>
      <c r="J581" t="s">
        <v>23</v>
      </c>
      <c r="K581">
        <v>0.34</v>
      </c>
      <c r="L581">
        <v>8</v>
      </c>
      <c r="M581" t="s">
        <v>20</v>
      </c>
      <c r="N581">
        <f t="shared" si="27"/>
        <v>2</v>
      </c>
      <c r="O581">
        <v>2017</v>
      </c>
      <c r="P581">
        <f t="shared" si="28"/>
        <v>7.8655717576847906</v>
      </c>
      <c r="Q581">
        <f t="shared" si="29"/>
        <v>3.9122229854308124</v>
      </c>
    </row>
    <row r="582" spans="1:21" hidden="1" x14ac:dyDescent="0.3">
      <c r="A582">
        <v>581</v>
      </c>
      <c r="B582">
        <v>549064</v>
      </c>
      <c r="C582" t="s">
        <v>1168</v>
      </c>
      <c r="D582" t="s">
        <v>1169</v>
      </c>
      <c r="E582">
        <v>30</v>
      </c>
      <c r="F582">
        <v>2596</v>
      </c>
      <c r="G582">
        <v>11</v>
      </c>
      <c r="H582">
        <v>39</v>
      </c>
      <c r="I582">
        <v>4</v>
      </c>
      <c r="J582" t="s">
        <v>23</v>
      </c>
      <c r="K582">
        <v>0.42</v>
      </c>
      <c r="L582">
        <v>4</v>
      </c>
      <c r="M582" t="s">
        <v>20</v>
      </c>
      <c r="N582">
        <f t="shared" si="27"/>
        <v>2</v>
      </c>
      <c r="O582">
        <v>2015</v>
      </c>
      <c r="P582">
        <f t="shared" si="28"/>
        <v>7.8617270778239803</v>
      </c>
      <c r="Q582">
        <f t="shared" si="29"/>
        <v>3.4015306594522756</v>
      </c>
    </row>
    <row r="583" spans="1:21" x14ac:dyDescent="0.3">
      <c r="A583">
        <v>582</v>
      </c>
      <c r="B583">
        <v>1078208</v>
      </c>
      <c r="C583" t="s">
        <v>1170</v>
      </c>
      <c r="D583" t="s">
        <v>1171</v>
      </c>
      <c r="E583">
        <v>40</v>
      </c>
      <c r="F583">
        <v>2578</v>
      </c>
      <c r="G583">
        <v>210</v>
      </c>
      <c r="H583">
        <v>39</v>
      </c>
      <c r="I583">
        <v>1</v>
      </c>
      <c r="J583" t="s">
        <v>13</v>
      </c>
      <c r="K583">
        <v>0.18</v>
      </c>
      <c r="L583">
        <v>5.5</v>
      </c>
      <c r="M583" t="s">
        <v>20</v>
      </c>
      <c r="N583">
        <f t="shared" si="27"/>
        <v>2</v>
      </c>
      <c r="O583">
        <v>2017</v>
      </c>
      <c r="P583">
        <f t="shared" si="28"/>
        <v>7.8547691834991324</v>
      </c>
      <c r="Q583">
        <f t="shared" si="29"/>
        <v>3.6891294228691436</v>
      </c>
    </row>
    <row r="584" spans="1:21" hidden="1" x14ac:dyDescent="0.3">
      <c r="A584">
        <v>583</v>
      </c>
      <c r="B584">
        <v>889438</v>
      </c>
      <c r="C584" t="s">
        <v>1172</v>
      </c>
      <c r="D584" t="s">
        <v>1173</v>
      </c>
      <c r="E584">
        <v>50</v>
      </c>
      <c r="F584">
        <v>2577</v>
      </c>
      <c r="G584">
        <v>529</v>
      </c>
      <c r="H584">
        <v>64</v>
      </c>
      <c r="I584">
        <v>4</v>
      </c>
      <c r="J584" t="s">
        <v>23</v>
      </c>
      <c r="K584">
        <v>0.77</v>
      </c>
      <c r="L584">
        <v>4.5</v>
      </c>
      <c r="M584" t="s">
        <v>20</v>
      </c>
      <c r="N584">
        <f t="shared" si="27"/>
        <v>2</v>
      </c>
      <c r="O584">
        <v>2016</v>
      </c>
      <c r="P584">
        <f t="shared" si="28"/>
        <v>7.8543812106523649</v>
      </c>
      <c r="Q584">
        <f t="shared" si="29"/>
        <v>3.9122229854308124</v>
      </c>
    </row>
    <row r="585" spans="1:21" hidden="1" x14ac:dyDescent="0.3">
      <c r="A585">
        <v>584</v>
      </c>
      <c r="B585">
        <v>537282</v>
      </c>
      <c r="C585" t="s">
        <v>1174</v>
      </c>
      <c r="D585" t="s">
        <v>1175</v>
      </c>
      <c r="E585">
        <v>45</v>
      </c>
      <c r="F585">
        <v>2573</v>
      </c>
      <c r="G585">
        <v>103</v>
      </c>
      <c r="H585">
        <v>46</v>
      </c>
      <c r="I585">
        <v>2</v>
      </c>
      <c r="J585" t="s">
        <v>32</v>
      </c>
      <c r="K585">
        <v>0.34</v>
      </c>
      <c r="L585">
        <v>5.5</v>
      </c>
      <c r="M585" t="s">
        <v>20</v>
      </c>
      <c r="N585">
        <f t="shared" si="27"/>
        <v>2</v>
      </c>
      <c r="O585">
        <v>2015</v>
      </c>
      <c r="P585">
        <f t="shared" si="28"/>
        <v>7.8528278122817445</v>
      </c>
      <c r="Q585">
        <f t="shared" si="29"/>
        <v>3.8068846873048412</v>
      </c>
    </row>
    <row r="586" spans="1:21" hidden="1" x14ac:dyDescent="0.3">
      <c r="A586">
        <v>585</v>
      </c>
      <c r="B586">
        <v>1259422</v>
      </c>
      <c r="C586" t="s">
        <v>1176</v>
      </c>
      <c r="D586" t="s">
        <v>1177</v>
      </c>
      <c r="E586">
        <v>65</v>
      </c>
      <c r="F586">
        <v>2570</v>
      </c>
      <c r="G586">
        <v>17</v>
      </c>
      <c r="H586">
        <v>87</v>
      </c>
      <c r="I586">
        <v>4</v>
      </c>
      <c r="J586" t="s">
        <v>23</v>
      </c>
      <c r="K586">
        <v>0.66</v>
      </c>
      <c r="L586">
        <v>5</v>
      </c>
      <c r="M586" t="s">
        <v>20</v>
      </c>
      <c r="N586">
        <f t="shared" si="27"/>
        <v>2</v>
      </c>
      <c r="O586">
        <v>2017</v>
      </c>
      <c r="P586">
        <f t="shared" si="28"/>
        <v>7.8516611778892651</v>
      </c>
      <c r="Q586">
        <f t="shared" si="29"/>
        <v>4.1745411042163774</v>
      </c>
    </row>
    <row r="587" spans="1:21" hidden="1" x14ac:dyDescent="0.3">
      <c r="A587">
        <v>586</v>
      </c>
      <c r="B587">
        <v>212398</v>
      </c>
      <c r="C587" t="s">
        <v>1178</v>
      </c>
      <c r="D587" t="s">
        <v>1179</v>
      </c>
      <c r="E587">
        <v>55</v>
      </c>
      <c r="F587">
        <v>2565</v>
      </c>
      <c r="G587">
        <v>32</v>
      </c>
      <c r="H587">
        <v>41</v>
      </c>
      <c r="I587">
        <v>4</v>
      </c>
      <c r="J587" t="s">
        <v>23</v>
      </c>
      <c r="K587">
        <v>0.55000000000000004</v>
      </c>
      <c r="L587">
        <v>3</v>
      </c>
      <c r="M587" t="s">
        <v>20</v>
      </c>
      <c r="N587">
        <f t="shared" si="27"/>
        <v>2</v>
      </c>
      <c r="O587">
        <v>2014</v>
      </c>
      <c r="P587">
        <f t="shared" si="28"/>
        <v>7.8497137576048699</v>
      </c>
      <c r="Q587">
        <f t="shared" si="29"/>
        <v>4.007514986887367</v>
      </c>
    </row>
    <row r="588" spans="1:21" x14ac:dyDescent="0.3">
      <c r="A588">
        <v>587</v>
      </c>
      <c r="B588">
        <v>760306</v>
      </c>
      <c r="C588" t="s">
        <v>1180</v>
      </c>
      <c r="D588" t="s">
        <v>1181</v>
      </c>
      <c r="E588">
        <v>100</v>
      </c>
      <c r="F588">
        <v>2558</v>
      </c>
      <c r="G588">
        <v>12</v>
      </c>
      <c r="H588">
        <v>36</v>
      </c>
      <c r="I588">
        <v>1</v>
      </c>
      <c r="J588" t="s">
        <v>13</v>
      </c>
      <c r="K588">
        <v>0.91</v>
      </c>
      <c r="L588">
        <v>3</v>
      </c>
      <c r="M588" t="s">
        <v>20</v>
      </c>
      <c r="N588">
        <f t="shared" si="27"/>
        <v>2</v>
      </c>
      <c r="O588">
        <v>2016</v>
      </c>
      <c r="P588">
        <f t="shared" si="28"/>
        <v>7.8469809821387884</v>
      </c>
      <c r="Q588">
        <f t="shared" si="29"/>
        <v>4.6052701809884251</v>
      </c>
    </row>
    <row r="589" spans="1:21" hidden="1" x14ac:dyDescent="0.3">
      <c r="A589">
        <v>588</v>
      </c>
      <c r="B589">
        <v>993148</v>
      </c>
      <c r="C589" t="s">
        <v>1182</v>
      </c>
      <c r="D589" t="s">
        <v>1183</v>
      </c>
      <c r="E589">
        <v>195</v>
      </c>
      <c r="F589">
        <v>2547</v>
      </c>
      <c r="G589">
        <v>62</v>
      </c>
      <c r="H589">
        <v>18</v>
      </c>
      <c r="I589">
        <v>4</v>
      </c>
      <c r="J589" t="s">
        <v>23</v>
      </c>
      <c r="K589">
        <v>0.96</v>
      </c>
      <c r="L589">
        <v>1</v>
      </c>
      <c r="M589" t="s">
        <v>20</v>
      </c>
      <c r="N589">
        <f t="shared" si="27"/>
        <v>2</v>
      </c>
      <c r="O589">
        <v>2016</v>
      </c>
      <c r="P589">
        <f t="shared" si="28"/>
        <v>7.8426714749794568</v>
      </c>
      <c r="Q589">
        <f t="shared" si="29"/>
        <v>5.273050839300149</v>
      </c>
    </row>
    <row r="590" spans="1:21" hidden="1" x14ac:dyDescent="0.3">
      <c r="A590">
        <v>589</v>
      </c>
      <c r="B590">
        <v>802268</v>
      </c>
      <c r="C590" t="s">
        <v>1184</v>
      </c>
      <c r="D590" t="s">
        <v>1185</v>
      </c>
      <c r="E590">
        <v>20</v>
      </c>
      <c r="F590">
        <v>2532</v>
      </c>
      <c r="G590">
        <v>291</v>
      </c>
      <c r="H590">
        <v>30</v>
      </c>
      <c r="I590">
        <v>4</v>
      </c>
      <c r="J590" t="s">
        <v>23</v>
      </c>
      <c r="K590">
        <v>0.96</v>
      </c>
      <c r="L590">
        <v>1</v>
      </c>
      <c r="M590" t="s">
        <v>20</v>
      </c>
      <c r="N590">
        <f t="shared" si="27"/>
        <v>2</v>
      </c>
      <c r="O590">
        <v>2016</v>
      </c>
      <c r="P590">
        <f t="shared" si="28"/>
        <v>7.8367647832640666</v>
      </c>
      <c r="Q590">
        <f t="shared" si="29"/>
        <v>2.996232148595642</v>
      </c>
    </row>
    <row r="591" spans="1:21" hidden="1" x14ac:dyDescent="0.3">
      <c r="A591">
        <v>590</v>
      </c>
      <c r="B591">
        <v>255878</v>
      </c>
      <c r="C591" t="s">
        <v>1186</v>
      </c>
      <c r="D591" t="s">
        <v>1187</v>
      </c>
      <c r="E591">
        <v>20</v>
      </c>
      <c r="F591">
        <v>2528</v>
      </c>
      <c r="G591">
        <v>15</v>
      </c>
      <c r="H591">
        <v>30</v>
      </c>
      <c r="I591">
        <v>4</v>
      </c>
      <c r="J591" t="s">
        <v>23</v>
      </c>
      <c r="K591">
        <v>0.96</v>
      </c>
      <c r="L591">
        <v>2</v>
      </c>
      <c r="M591" t="s">
        <v>20</v>
      </c>
      <c r="N591">
        <f t="shared" si="27"/>
        <v>2</v>
      </c>
      <c r="O591">
        <v>2014</v>
      </c>
      <c r="P591">
        <f t="shared" si="28"/>
        <v>7.8351837552667485</v>
      </c>
      <c r="Q591">
        <f t="shared" si="29"/>
        <v>2.996232148595642</v>
      </c>
    </row>
    <row r="592" spans="1:21" hidden="1" x14ac:dyDescent="0.3">
      <c r="A592">
        <v>591</v>
      </c>
      <c r="B592">
        <v>372518</v>
      </c>
      <c r="C592" t="s">
        <v>1188</v>
      </c>
      <c r="D592" t="s">
        <v>1189</v>
      </c>
      <c r="E592">
        <v>195</v>
      </c>
      <c r="F592">
        <v>2526</v>
      </c>
      <c r="G592">
        <v>185</v>
      </c>
      <c r="H592">
        <v>24</v>
      </c>
      <c r="I592">
        <v>2</v>
      </c>
      <c r="J592" t="s">
        <v>32</v>
      </c>
      <c r="K592">
        <v>0.96</v>
      </c>
      <c r="L592">
        <v>5</v>
      </c>
      <c r="M592" t="s">
        <v>20</v>
      </c>
      <c r="N592">
        <f t="shared" si="27"/>
        <v>2</v>
      </c>
      <c r="O592">
        <v>2014</v>
      </c>
      <c r="P592">
        <f t="shared" si="28"/>
        <v>7.8343923029104365</v>
      </c>
      <c r="Q592">
        <f t="shared" si="29"/>
        <v>5.273050839300149</v>
      </c>
    </row>
    <row r="593" spans="1:17" hidden="1" x14ac:dyDescent="0.3">
      <c r="A593">
        <v>592</v>
      </c>
      <c r="B593">
        <v>69414</v>
      </c>
      <c r="C593" t="s">
        <v>1190</v>
      </c>
      <c r="D593" t="s">
        <v>1191</v>
      </c>
      <c r="E593">
        <v>20</v>
      </c>
      <c r="F593">
        <v>2520</v>
      </c>
      <c r="G593">
        <v>183</v>
      </c>
      <c r="H593">
        <v>34</v>
      </c>
      <c r="I593">
        <v>4</v>
      </c>
      <c r="J593" t="s">
        <v>23</v>
      </c>
      <c r="K593">
        <v>0.96</v>
      </c>
      <c r="L593">
        <v>1.5</v>
      </c>
      <c r="M593" t="s">
        <v>20</v>
      </c>
      <c r="N593">
        <f t="shared" si="27"/>
        <v>2</v>
      </c>
      <c r="O593">
        <v>2013</v>
      </c>
      <c r="P593">
        <f t="shared" si="28"/>
        <v>7.8320141805054693</v>
      </c>
      <c r="Q593">
        <f t="shared" si="29"/>
        <v>2.996232148595642</v>
      </c>
    </row>
    <row r="594" spans="1:17" hidden="1" x14ac:dyDescent="0.3">
      <c r="A594">
        <v>593</v>
      </c>
      <c r="B594">
        <v>1124280</v>
      </c>
      <c r="C594" t="s">
        <v>1192</v>
      </c>
      <c r="D594" t="s">
        <v>1193</v>
      </c>
      <c r="E594">
        <v>20</v>
      </c>
      <c r="F594">
        <v>2510</v>
      </c>
      <c r="G594">
        <v>21</v>
      </c>
      <c r="H594">
        <v>23</v>
      </c>
      <c r="I594">
        <v>4</v>
      </c>
      <c r="J594" t="s">
        <v>23</v>
      </c>
      <c r="K594">
        <v>0.96</v>
      </c>
      <c r="L594">
        <v>1.5</v>
      </c>
      <c r="M594" t="s">
        <v>20</v>
      </c>
      <c r="N594">
        <f t="shared" si="27"/>
        <v>2</v>
      </c>
      <c r="O594">
        <v>2017</v>
      </c>
      <c r="P594">
        <f t="shared" si="28"/>
        <v>7.8280380321258294</v>
      </c>
      <c r="Q594">
        <f t="shared" si="29"/>
        <v>2.996232148595642</v>
      </c>
    </row>
    <row r="595" spans="1:17" hidden="1" x14ac:dyDescent="0.3">
      <c r="A595">
        <v>594</v>
      </c>
      <c r="B595">
        <v>186096</v>
      </c>
      <c r="C595" t="s">
        <v>1194</v>
      </c>
      <c r="D595" t="s">
        <v>1195</v>
      </c>
      <c r="E595">
        <v>195</v>
      </c>
      <c r="F595">
        <v>2497</v>
      </c>
      <c r="G595">
        <v>98</v>
      </c>
      <c r="H595">
        <v>154</v>
      </c>
      <c r="I595">
        <v>2</v>
      </c>
      <c r="J595" t="s">
        <v>32</v>
      </c>
      <c r="K595">
        <v>0.96</v>
      </c>
      <c r="L595">
        <v>26</v>
      </c>
      <c r="M595" t="s">
        <v>20</v>
      </c>
      <c r="N595">
        <f t="shared" si="27"/>
        <v>2</v>
      </c>
      <c r="O595">
        <v>2014</v>
      </c>
      <c r="P595">
        <f t="shared" si="28"/>
        <v>7.8228452902797736</v>
      </c>
      <c r="Q595">
        <f t="shared" si="29"/>
        <v>5.273050839300149</v>
      </c>
    </row>
    <row r="596" spans="1:17" hidden="1" x14ac:dyDescent="0.3">
      <c r="A596">
        <v>595</v>
      </c>
      <c r="B596">
        <v>572268</v>
      </c>
      <c r="C596" t="s">
        <v>1196</v>
      </c>
      <c r="D596" t="s">
        <v>1197</v>
      </c>
      <c r="E596">
        <v>50</v>
      </c>
      <c r="F596">
        <v>2494</v>
      </c>
      <c r="G596">
        <v>303</v>
      </c>
      <c r="H596">
        <v>40</v>
      </c>
      <c r="I596">
        <v>4</v>
      </c>
      <c r="J596" t="s">
        <v>23</v>
      </c>
      <c r="K596">
        <v>0.96</v>
      </c>
      <c r="L596">
        <v>4.5</v>
      </c>
      <c r="M596" t="s">
        <v>20</v>
      </c>
      <c r="N596">
        <f t="shared" si="27"/>
        <v>2</v>
      </c>
      <c r="O596">
        <v>2016</v>
      </c>
      <c r="P596">
        <f t="shared" si="28"/>
        <v>7.8216431262399819</v>
      </c>
      <c r="Q596">
        <f t="shared" si="29"/>
        <v>3.9122229854308124</v>
      </c>
    </row>
    <row r="597" spans="1:17" hidden="1" x14ac:dyDescent="0.3">
      <c r="A597">
        <v>596</v>
      </c>
      <c r="B597">
        <v>380092</v>
      </c>
      <c r="C597" t="s">
        <v>1198</v>
      </c>
      <c r="D597" t="s">
        <v>1199</v>
      </c>
      <c r="E597">
        <v>40</v>
      </c>
      <c r="F597">
        <v>2472</v>
      </c>
      <c r="G597">
        <v>139</v>
      </c>
      <c r="H597">
        <v>31</v>
      </c>
      <c r="I597">
        <v>2</v>
      </c>
      <c r="J597" t="s">
        <v>32</v>
      </c>
      <c r="K597">
        <v>0.96</v>
      </c>
      <c r="L597">
        <v>4</v>
      </c>
      <c r="M597" t="s">
        <v>20</v>
      </c>
      <c r="N597">
        <f t="shared" si="27"/>
        <v>2</v>
      </c>
      <c r="O597">
        <v>2015</v>
      </c>
      <c r="P597">
        <f t="shared" si="28"/>
        <v>7.8127828185775812</v>
      </c>
      <c r="Q597">
        <f t="shared" si="29"/>
        <v>3.6891294228691436</v>
      </c>
    </row>
    <row r="598" spans="1:17" hidden="1" x14ac:dyDescent="0.3">
      <c r="A598">
        <v>597</v>
      </c>
      <c r="B598">
        <v>654832</v>
      </c>
      <c r="C598" t="s">
        <v>1200</v>
      </c>
      <c r="D598" t="s">
        <v>1201</v>
      </c>
      <c r="E598">
        <v>45</v>
      </c>
      <c r="F598">
        <v>2472</v>
      </c>
      <c r="G598">
        <v>41</v>
      </c>
      <c r="H598">
        <v>8</v>
      </c>
      <c r="I598">
        <v>2</v>
      </c>
      <c r="J598" t="s">
        <v>32</v>
      </c>
      <c r="K598">
        <v>0.96</v>
      </c>
      <c r="L598">
        <v>1</v>
      </c>
      <c r="M598" t="s">
        <v>20</v>
      </c>
      <c r="N598">
        <f t="shared" si="27"/>
        <v>2</v>
      </c>
      <c r="O598">
        <v>2015</v>
      </c>
      <c r="P598">
        <f t="shared" si="28"/>
        <v>7.8127828185775812</v>
      </c>
      <c r="Q598">
        <f t="shared" si="29"/>
        <v>3.8068846873048412</v>
      </c>
    </row>
    <row r="599" spans="1:17" hidden="1" x14ac:dyDescent="0.3">
      <c r="A599">
        <v>598</v>
      </c>
      <c r="B599">
        <v>617886</v>
      </c>
      <c r="C599" t="s">
        <v>1202</v>
      </c>
      <c r="D599" t="s">
        <v>1203</v>
      </c>
      <c r="E599">
        <v>35</v>
      </c>
      <c r="F599">
        <v>2470</v>
      </c>
      <c r="G599">
        <v>24</v>
      </c>
      <c r="H599">
        <v>19</v>
      </c>
      <c r="I599">
        <v>4</v>
      </c>
      <c r="J599" t="s">
        <v>23</v>
      </c>
      <c r="K599">
        <v>0.96</v>
      </c>
      <c r="L599">
        <v>2.5</v>
      </c>
      <c r="M599" t="s">
        <v>20</v>
      </c>
      <c r="N599">
        <f t="shared" si="27"/>
        <v>2</v>
      </c>
      <c r="O599">
        <v>2015</v>
      </c>
      <c r="P599">
        <f t="shared" si="28"/>
        <v>7.8119734296220225</v>
      </c>
      <c r="Q599">
        <f t="shared" si="29"/>
        <v>3.5556337349665741</v>
      </c>
    </row>
    <row r="600" spans="1:17" hidden="1" x14ac:dyDescent="0.3">
      <c r="A600">
        <v>599</v>
      </c>
      <c r="B600">
        <v>1134456</v>
      </c>
      <c r="C600" t="s">
        <v>1204</v>
      </c>
      <c r="D600" t="s">
        <v>1205</v>
      </c>
      <c r="E600">
        <v>0</v>
      </c>
      <c r="F600">
        <v>2464</v>
      </c>
      <c r="G600">
        <v>17</v>
      </c>
      <c r="H600">
        <v>9</v>
      </c>
      <c r="I600">
        <v>4</v>
      </c>
      <c r="J600" t="s">
        <v>23</v>
      </c>
      <c r="K600">
        <v>0.96</v>
      </c>
      <c r="L600">
        <v>0.73333333000000001</v>
      </c>
      <c r="M600" t="s">
        <v>14</v>
      </c>
      <c r="N600">
        <f t="shared" si="27"/>
        <v>1</v>
      </c>
      <c r="O600">
        <v>2017</v>
      </c>
      <c r="P600">
        <f t="shared" si="28"/>
        <v>7.8095413246534102</v>
      </c>
      <c r="Q600">
        <f t="shared" si="29"/>
        <v>-4.6051701859880909</v>
      </c>
    </row>
    <row r="601" spans="1:17" hidden="1" x14ac:dyDescent="0.3">
      <c r="A601">
        <v>600</v>
      </c>
      <c r="B601">
        <v>18448</v>
      </c>
      <c r="C601" t="s">
        <v>1206</v>
      </c>
      <c r="D601" t="s">
        <v>1207</v>
      </c>
      <c r="E601">
        <v>50</v>
      </c>
      <c r="F601">
        <v>2459</v>
      </c>
      <c r="G601">
        <v>107</v>
      </c>
      <c r="H601">
        <v>101</v>
      </c>
      <c r="I601">
        <v>4</v>
      </c>
      <c r="J601" t="s">
        <v>23</v>
      </c>
      <c r="K601">
        <v>0.96</v>
      </c>
      <c r="L601">
        <v>8</v>
      </c>
      <c r="M601" t="s">
        <v>20</v>
      </c>
      <c r="N601">
        <f t="shared" si="27"/>
        <v>2</v>
      </c>
      <c r="O601">
        <v>2012</v>
      </c>
      <c r="P601">
        <f t="shared" si="28"/>
        <v>7.8075100422161929</v>
      </c>
      <c r="Q601">
        <f t="shared" si="29"/>
        <v>3.9122229854308124</v>
      </c>
    </row>
    <row r="602" spans="1:17" x14ac:dyDescent="0.3">
      <c r="A602">
        <v>601</v>
      </c>
      <c r="B602">
        <v>856968</v>
      </c>
      <c r="C602" t="s">
        <v>325</v>
      </c>
      <c r="D602" t="s">
        <v>1208</v>
      </c>
      <c r="E602">
        <v>0</v>
      </c>
      <c r="F602">
        <v>2437</v>
      </c>
      <c r="G602">
        <v>137</v>
      </c>
      <c r="H602">
        <v>10</v>
      </c>
      <c r="I602">
        <v>1</v>
      </c>
      <c r="J602" t="s">
        <v>13</v>
      </c>
      <c r="K602">
        <v>0.96</v>
      </c>
      <c r="L602">
        <v>0.56666667000000004</v>
      </c>
      <c r="M602" t="s">
        <v>14</v>
      </c>
      <c r="N602">
        <f t="shared" si="27"/>
        <v>1</v>
      </c>
      <c r="O602">
        <v>2016</v>
      </c>
      <c r="P602">
        <f t="shared" si="28"/>
        <v>7.7985230536252059</v>
      </c>
      <c r="Q602">
        <f t="shared" si="29"/>
        <v>-4.6051701859880909</v>
      </c>
    </row>
    <row r="603" spans="1:17" hidden="1" x14ac:dyDescent="0.3">
      <c r="A603">
        <v>602</v>
      </c>
      <c r="B603">
        <v>977470</v>
      </c>
      <c r="C603" t="s">
        <v>1209</v>
      </c>
      <c r="D603" t="s">
        <v>1210</v>
      </c>
      <c r="E603">
        <v>95</v>
      </c>
      <c r="F603">
        <v>2430</v>
      </c>
      <c r="G603">
        <v>15</v>
      </c>
      <c r="H603">
        <v>36</v>
      </c>
      <c r="I603">
        <v>4</v>
      </c>
      <c r="J603" t="s">
        <v>23</v>
      </c>
      <c r="K603">
        <v>0.96</v>
      </c>
      <c r="L603">
        <v>2</v>
      </c>
      <c r="M603" t="s">
        <v>20</v>
      </c>
      <c r="N603">
        <f t="shared" si="27"/>
        <v>2</v>
      </c>
      <c r="O603">
        <v>2016</v>
      </c>
      <c r="P603">
        <f t="shared" si="28"/>
        <v>7.7956465363345941</v>
      </c>
      <c r="Q603">
        <f t="shared" si="29"/>
        <v>4.5539821492186583</v>
      </c>
    </row>
    <row r="604" spans="1:17" x14ac:dyDescent="0.3">
      <c r="A604">
        <v>603</v>
      </c>
      <c r="B604">
        <v>679158</v>
      </c>
      <c r="C604" t="s">
        <v>1211</v>
      </c>
      <c r="D604" t="s">
        <v>1212</v>
      </c>
      <c r="E604">
        <v>200</v>
      </c>
      <c r="F604">
        <v>2421</v>
      </c>
      <c r="G604">
        <v>6</v>
      </c>
      <c r="H604">
        <v>28</v>
      </c>
      <c r="I604">
        <v>1</v>
      </c>
      <c r="J604" t="s">
        <v>13</v>
      </c>
      <c r="K604">
        <v>0.96</v>
      </c>
      <c r="L604">
        <v>3</v>
      </c>
      <c r="M604" t="s">
        <v>20</v>
      </c>
      <c r="N604">
        <f t="shared" si="27"/>
        <v>2</v>
      </c>
      <c r="O604">
        <v>2015</v>
      </c>
      <c r="P604">
        <f t="shared" si="28"/>
        <v>7.7919359569380582</v>
      </c>
      <c r="Q604">
        <f t="shared" si="29"/>
        <v>5.2983673652980787</v>
      </c>
    </row>
    <row r="605" spans="1:17" hidden="1" x14ac:dyDescent="0.3">
      <c r="A605">
        <v>604</v>
      </c>
      <c r="B605">
        <v>945320</v>
      </c>
      <c r="C605" t="s">
        <v>1213</v>
      </c>
      <c r="D605" t="s">
        <v>1214</v>
      </c>
      <c r="E605">
        <v>100</v>
      </c>
      <c r="F605">
        <v>2412</v>
      </c>
      <c r="G605">
        <v>116</v>
      </c>
      <c r="H605">
        <v>28</v>
      </c>
      <c r="I605">
        <v>4</v>
      </c>
      <c r="J605" t="s">
        <v>23</v>
      </c>
      <c r="K605">
        <v>0.96</v>
      </c>
      <c r="L605">
        <v>2.5</v>
      </c>
      <c r="M605" t="s">
        <v>20</v>
      </c>
      <c r="N605">
        <f t="shared" si="27"/>
        <v>2</v>
      </c>
      <c r="O605">
        <v>2016</v>
      </c>
      <c r="P605">
        <f t="shared" si="28"/>
        <v>7.7882115578470756</v>
      </c>
      <c r="Q605">
        <f t="shared" si="29"/>
        <v>4.6052701809884251</v>
      </c>
    </row>
    <row r="606" spans="1:17" hidden="1" x14ac:dyDescent="0.3">
      <c r="A606">
        <v>605</v>
      </c>
      <c r="B606">
        <v>436210</v>
      </c>
      <c r="C606" t="s">
        <v>1215</v>
      </c>
      <c r="D606" t="s">
        <v>1216</v>
      </c>
      <c r="E606">
        <v>45</v>
      </c>
      <c r="F606">
        <v>2409</v>
      </c>
      <c r="G606">
        <v>90</v>
      </c>
      <c r="H606">
        <v>19</v>
      </c>
      <c r="I606">
        <v>4</v>
      </c>
      <c r="J606" t="s">
        <v>23</v>
      </c>
      <c r="K606">
        <v>0.96</v>
      </c>
      <c r="L606">
        <v>2.5</v>
      </c>
      <c r="M606" t="s">
        <v>20</v>
      </c>
      <c r="N606">
        <f t="shared" si="27"/>
        <v>2</v>
      </c>
      <c r="O606">
        <v>2015</v>
      </c>
      <c r="P606">
        <f t="shared" si="28"/>
        <v>7.7869670026148716</v>
      </c>
      <c r="Q606">
        <f t="shared" si="29"/>
        <v>3.8068846873048412</v>
      </c>
    </row>
    <row r="607" spans="1:17" x14ac:dyDescent="0.3">
      <c r="A607">
        <v>606</v>
      </c>
      <c r="B607">
        <v>313484</v>
      </c>
      <c r="C607" t="s">
        <v>1217</v>
      </c>
      <c r="D607" t="s">
        <v>1218</v>
      </c>
      <c r="E607">
        <v>20</v>
      </c>
      <c r="F607">
        <v>2402</v>
      </c>
      <c r="G607">
        <v>26</v>
      </c>
      <c r="H607">
        <v>23</v>
      </c>
      <c r="I607">
        <v>1</v>
      </c>
      <c r="J607" t="s">
        <v>13</v>
      </c>
      <c r="K607">
        <v>0.96</v>
      </c>
      <c r="L607">
        <v>2</v>
      </c>
      <c r="M607" t="s">
        <v>20</v>
      </c>
      <c r="N607">
        <f t="shared" si="27"/>
        <v>2</v>
      </c>
      <c r="O607">
        <v>2014</v>
      </c>
      <c r="P607">
        <f t="shared" si="28"/>
        <v>7.7840570026399289</v>
      </c>
      <c r="Q607">
        <f t="shared" si="29"/>
        <v>2.996232148595642</v>
      </c>
    </row>
    <row r="608" spans="1:17" x14ac:dyDescent="0.3">
      <c r="A608">
        <v>607</v>
      </c>
      <c r="B608">
        <v>1110756</v>
      </c>
      <c r="C608" t="s">
        <v>1219</v>
      </c>
      <c r="D608" t="s">
        <v>1220</v>
      </c>
      <c r="E608">
        <v>20</v>
      </c>
      <c r="F608">
        <v>2401</v>
      </c>
      <c r="G608">
        <v>15</v>
      </c>
      <c r="H608">
        <v>27</v>
      </c>
      <c r="I608">
        <v>1</v>
      </c>
      <c r="J608" t="s">
        <v>13</v>
      </c>
      <c r="K608">
        <v>0.96</v>
      </c>
      <c r="L608">
        <v>3</v>
      </c>
      <c r="M608" t="s">
        <v>20</v>
      </c>
      <c r="N608">
        <f t="shared" si="27"/>
        <v>2</v>
      </c>
      <c r="O608">
        <v>2017</v>
      </c>
      <c r="P608">
        <f t="shared" si="28"/>
        <v>7.7836405962212529</v>
      </c>
      <c r="Q608">
        <f t="shared" si="29"/>
        <v>2.996232148595642</v>
      </c>
    </row>
    <row r="609" spans="1:17" hidden="1" x14ac:dyDescent="0.3">
      <c r="A609">
        <v>608</v>
      </c>
      <c r="B609">
        <v>1019276</v>
      </c>
      <c r="C609" t="s">
        <v>1221</v>
      </c>
      <c r="D609" t="s">
        <v>1222</v>
      </c>
      <c r="E609">
        <v>200</v>
      </c>
      <c r="F609">
        <v>2390</v>
      </c>
      <c r="G609">
        <v>497</v>
      </c>
      <c r="H609">
        <v>82</v>
      </c>
      <c r="I609">
        <v>4</v>
      </c>
      <c r="J609" t="s">
        <v>23</v>
      </c>
      <c r="K609">
        <v>0.96</v>
      </c>
      <c r="L609">
        <v>9</v>
      </c>
      <c r="M609" t="s">
        <v>20</v>
      </c>
      <c r="N609">
        <f t="shared" si="27"/>
        <v>2</v>
      </c>
      <c r="O609">
        <v>2016</v>
      </c>
      <c r="P609">
        <f t="shared" si="28"/>
        <v>7.779048644925556</v>
      </c>
      <c r="Q609">
        <f t="shared" si="29"/>
        <v>5.2983673652980787</v>
      </c>
    </row>
    <row r="610" spans="1:17" hidden="1" x14ac:dyDescent="0.3">
      <c r="A610">
        <v>609</v>
      </c>
      <c r="B610">
        <v>628876</v>
      </c>
      <c r="C610" t="s">
        <v>1223</v>
      </c>
      <c r="D610" t="s">
        <v>1224</v>
      </c>
      <c r="E610">
        <v>20</v>
      </c>
      <c r="F610">
        <v>2389</v>
      </c>
      <c r="G610">
        <v>7</v>
      </c>
      <c r="H610">
        <v>20</v>
      </c>
      <c r="I610">
        <v>4</v>
      </c>
      <c r="J610" t="s">
        <v>23</v>
      </c>
      <c r="K610">
        <v>0.96</v>
      </c>
      <c r="L610">
        <v>2</v>
      </c>
      <c r="M610" t="s">
        <v>20</v>
      </c>
      <c r="N610">
        <f t="shared" si="27"/>
        <v>2</v>
      </c>
      <c r="O610">
        <v>2015</v>
      </c>
      <c r="P610">
        <f t="shared" si="28"/>
        <v>7.7786301473258099</v>
      </c>
      <c r="Q610">
        <f t="shared" si="29"/>
        <v>2.996232148595642</v>
      </c>
    </row>
    <row r="611" spans="1:17" x14ac:dyDescent="0.3">
      <c r="A611">
        <v>610</v>
      </c>
      <c r="B611">
        <v>56585</v>
      </c>
      <c r="C611" t="s">
        <v>1225</v>
      </c>
      <c r="D611" t="s">
        <v>1226</v>
      </c>
      <c r="E611">
        <v>20</v>
      </c>
      <c r="F611">
        <v>2388</v>
      </c>
      <c r="G611">
        <v>139</v>
      </c>
      <c r="H611">
        <v>12</v>
      </c>
      <c r="I611">
        <v>1</v>
      </c>
      <c r="J611" t="s">
        <v>13</v>
      </c>
      <c r="K611">
        <v>0.96</v>
      </c>
      <c r="L611">
        <v>1</v>
      </c>
      <c r="M611" t="s">
        <v>20</v>
      </c>
      <c r="N611">
        <f t="shared" si="27"/>
        <v>2</v>
      </c>
      <c r="O611">
        <v>2013</v>
      </c>
      <c r="P611">
        <f t="shared" si="28"/>
        <v>7.7782114745124931</v>
      </c>
      <c r="Q611">
        <f t="shared" si="29"/>
        <v>2.996232148595642</v>
      </c>
    </row>
    <row r="612" spans="1:17" hidden="1" x14ac:dyDescent="0.3">
      <c r="A612">
        <v>611</v>
      </c>
      <c r="B612">
        <v>547298</v>
      </c>
      <c r="C612" t="s">
        <v>1227</v>
      </c>
      <c r="D612" t="s">
        <v>1228</v>
      </c>
      <c r="E612">
        <v>20</v>
      </c>
      <c r="F612">
        <v>2382</v>
      </c>
      <c r="G612">
        <v>22</v>
      </c>
      <c r="H612">
        <v>16</v>
      </c>
      <c r="I612">
        <v>4</v>
      </c>
      <c r="J612" t="s">
        <v>23</v>
      </c>
      <c r="K612">
        <v>0.96</v>
      </c>
      <c r="L612">
        <v>1.5</v>
      </c>
      <c r="M612" t="s">
        <v>20</v>
      </c>
      <c r="N612">
        <f t="shared" si="27"/>
        <v>2</v>
      </c>
      <c r="O612">
        <v>2015</v>
      </c>
      <c r="P612">
        <f t="shared" si="28"/>
        <v>7.7756957499152453</v>
      </c>
      <c r="Q612">
        <f t="shared" si="29"/>
        <v>2.996232148595642</v>
      </c>
    </row>
    <row r="613" spans="1:17" x14ac:dyDescent="0.3">
      <c r="A613">
        <v>612</v>
      </c>
      <c r="B613">
        <v>944886</v>
      </c>
      <c r="C613" t="s">
        <v>1229</v>
      </c>
      <c r="D613" t="s">
        <v>1230</v>
      </c>
      <c r="E613">
        <v>25</v>
      </c>
      <c r="F613">
        <v>2371</v>
      </c>
      <c r="G613">
        <v>10</v>
      </c>
      <c r="H613">
        <v>12</v>
      </c>
      <c r="I613">
        <v>1</v>
      </c>
      <c r="J613" t="s">
        <v>13</v>
      </c>
      <c r="K613">
        <v>0.96</v>
      </c>
      <c r="L613">
        <v>1</v>
      </c>
      <c r="M613" t="s">
        <v>20</v>
      </c>
      <c r="N613">
        <f t="shared" si="27"/>
        <v>2</v>
      </c>
      <c r="O613">
        <v>2016</v>
      </c>
      <c r="P613">
        <f t="shared" si="28"/>
        <v>7.7710670860654059</v>
      </c>
      <c r="Q613">
        <f t="shared" si="29"/>
        <v>3.2192757448895279</v>
      </c>
    </row>
    <row r="614" spans="1:17" hidden="1" x14ac:dyDescent="0.3">
      <c r="A614">
        <v>613</v>
      </c>
      <c r="B614">
        <v>1034520</v>
      </c>
      <c r="C614" t="s">
        <v>1231</v>
      </c>
      <c r="D614" t="s">
        <v>1232</v>
      </c>
      <c r="E614">
        <v>95</v>
      </c>
      <c r="F614">
        <v>2362</v>
      </c>
      <c r="G614">
        <v>4</v>
      </c>
      <c r="H614">
        <v>13</v>
      </c>
      <c r="I614">
        <v>4</v>
      </c>
      <c r="J614" t="s">
        <v>23</v>
      </c>
      <c r="K614">
        <v>0.96</v>
      </c>
      <c r="L614">
        <v>1</v>
      </c>
      <c r="M614" t="s">
        <v>20</v>
      </c>
      <c r="N614">
        <f t="shared" si="27"/>
        <v>2</v>
      </c>
      <c r="O614">
        <v>2017</v>
      </c>
      <c r="P614">
        <f t="shared" si="28"/>
        <v>7.7672639967573076</v>
      </c>
      <c r="Q614">
        <f t="shared" si="29"/>
        <v>4.5539821492186583</v>
      </c>
    </row>
    <row r="615" spans="1:17" hidden="1" x14ac:dyDescent="0.3">
      <c r="A615">
        <v>614</v>
      </c>
      <c r="B615">
        <v>761770</v>
      </c>
      <c r="C615" t="s">
        <v>1233</v>
      </c>
      <c r="D615" t="s">
        <v>1234</v>
      </c>
      <c r="E615">
        <v>100</v>
      </c>
      <c r="F615">
        <v>2360</v>
      </c>
      <c r="G615">
        <v>12</v>
      </c>
      <c r="H615">
        <v>49</v>
      </c>
      <c r="I615">
        <v>2</v>
      </c>
      <c r="J615" t="s">
        <v>32</v>
      </c>
      <c r="K615">
        <v>0.96</v>
      </c>
      <c r="L615">
        <v>3.5</v>
      </c>
      <c r="M615" t="s">
        <v>20</v>
      </c>
      <c r="N615">
        <f t="shared" si="27"/>
        <v>2</v>
      </c>
      <c r="O615">
        <v>2016</v>
      </c>
      <c r="P615">
        <f t="shared" si="28"/>
        <v>7.7664168980196555</v>
      </c>
      <c r="Q615">
        <f t="shared" si="29"/>
        <v>4.6052701809884251</v>
      </c>
    </row>
    <row r="616" spans="1:17" hidden="1" x14ac:dyDescent="0.3">
      <c r="A616">
        <v>615</v>
      </c>
      <c r="B616">
        <v>30261</v>
      </c>
      <c r="C616" t="s">
        <v>1235</v>
      </c>
      <c r="D616" t="s">
        <v>1236</v>
      </c>
      <c r="E616">
        <v>200</v>
      </c>
      <c r="F616">
        <v>2355</v>
      </c>
      <c r="G616">
        <v>143</v>
      </c>
      <c r="H616">
        <v>215</v>
      </c>
      <c r="I616">
        <v>4</v>
      </c>
      <c r="J616" t="s">
        <v>23</v>
      </c>
      <c r="K616">
        <v>0.96</v>
      </c>
      <c r="L616">
        <v>7</v>
      </c>
      <c r="M616" t="s">
        <v>20</v>
      </c>
      <c r="N616">
        <f t="shared" si="27"/>
        <v>2</v>
      </c>
      <c r="O616">
        <v>2012</v>
      </c>
      <c r="P616">
        <f t="shared" si="28"/>
        <v>7.7642960064505182</v>
      </c>
      <c r="Q616">
        <f t="shared" si="29"/>
        <v>5.2983673652980787</v>
      </c>
    </row>
    <row r="617" spans="1:17" hidden="1" x14ac:dyDescent="0.3">
      <c r="A617">
        <v>616</v>
      </c>
      <c r="B617">
        <v>926206</v>
      </c>
      <c r="C617" t="s">
        <v>1237</v>
      </c>
      <c r="D617" t="s">
        <v>1238</v>
      </c>
      <c r="E617">
        <v>195</v>
      </c>
      <c r="F617">
        <v>2354</v>
      </c>
      <c r="G617">
        <v>16</v>
      </c>
      <c r="H617">
        <v>45</v>
      </c>
      <c r="I617">
        <v>4</v>
      </c>
      <c r="J617" t="s">
        <v>23</v>
      </c>
      <c r="K617">
        <v>0.96</v>
      </c>
      <c r="L617">
        <v>4</v>
      </c>
      <c r="M617" t="s">
        <v>20</v>
      </c>
      <c r="N617">
        <f t="shared" si="27"/>
        <v>2</v>
      </c>
      <c r="O617">
        <v>2016</v>
      </c>
      <c r="P617">
        <f t="shared" si="28"/>
        <v>7.7638712878202218</v>
      </c>
      <c r="Q617">
        <f t="shared" si="29"/>
        <v>5.273050839300149</v>
      </c>
    </row>
    <row r="618" spans="1:17" hidden="1" x14ac:dyDescent="0.3">
      <c r="A618">
        <v>617</v>
      </c>
      <c r="B618">
        <v>399228</v>
      </c>
      <c r="C618" t="s">
        <v>1239</v>
      </c>
      <c r="D618" t="s">
        <v>1240</v>
      </c>
      <c r="E618">
        <v>200</v>
      </c>
      <c r="F618">
        <v>2353</v>
      </c>
      <c r="G618">
        <v>47</v>
      </c>
      <c r="H618">
        <v>91</v>
      </c>
      <c r="I618">
        <v>4</v>
      </c>
      <c r="J618" t="s">
        <v>23</v>
      </c>
      <c r="K618">
        <v>0.96</v>
      </c>
      <c r="L618">
        <v>10</v>
      </c>
      <c r="M618" t="s">
        <v>20</v>
      </c>
      <c r="N618">
        <f t="shared" si="27"/>
        <v>2</v>
      </c>
      <c r="O618">
        <v>2015</v>
      </c>
      <c r="P618">
        <f t="shared" si="28"/>
        <v>7.7634463887273624</v>
      </c>
      <c r="Q618">
        <f t="shared" si="29"/>
        <v>5.2983673652980787</v>
      </c>
    </row>
    <row r="619" spans="1:17" hidden="1" x14ac:dyDescent="0.3">
      <c r="A619">
        <v>618</v>
      </c>
      <c r="B619">
        <v>398456</v>
      </c>
      <c r="C619" t="s">
        <v>1241</v>
      </c>
      <c r="D619" t="s">
        <v>1242</v>
      </c>
      <c r="E619">
        <v>50</v>
      </c>
      <c r="F619">
        <v>2351</v>
      </c>
      <c r="G619">
        <v>302</v>
      </c>
      <c r="H619">
        <v>16</v>
      </c>
      <c r="I619">
        <v>4</v>
      </c>
      <c r="J619" t="s">
        <v>23</v>
      </c>
      <c r="K619">
        <v>0.96</v>
      </c>
      <c r="L619">
        <v>2.5</v>
      </c>
      <c r="M619" t="s">
        <v>20</v>
      </c>
      <c r="N619">
        <f t="shared" si="27"/>
        <v>2</v>
      </c>
      <c r="O619">
        <v>2015</v>
      </c>
      <c r="P619">
        <f t="shared" si="28"/>
        <v>7.7625960485400691</v>
      </c>
      <c r="Q619">
        <f t="shared" si="29"/>
        <v>3.9122229854308124</v>
      </c>
    </row>
    <row r="620" spans="1:17" hidden="1" x14ac:dyDescent="0.3">
      <c r="A620">
        <v>619</v>
      </c>
      <c r="B620">
        <v>977516</v>
      </c>
      <c r="C620" t="s">
        <v>1243</v>
      </c>
      <c r="D620" t="s">
        <v>1244</v>
      </c>
      <c r="E620">
        <v>150</v>
      </c>
      <c r="F620">
        <v>2346</v>
      </c>
      <c r="G620">
        <v>10</v>
      </c>
      <c r="H620">
        <v>65</v>
      </c>
      <c r="I620">
        <v>4</v>
      </c>
      <c r="J620" t="s">
        <v>23</v>
      </c>
      <c r="K620">
        <v>0.2</v>
      </c>
      <c r="L620">
        <v>4.5</v>
      </c>
      <c r="M620" t="s">
        <v>20</v>
      </c>
      <c r="N620">
        <f t="shared" si="27"/>
        <v>2</v>
      </c>
      <c r="O620">
        <v>2016</v>
      </c>
      <c r="P620">
        <f t="shared" si="28"/>
        <v>7.7604670292134204</v>
      </c>
      <c r="Q620">
        <f t="shared" si="29"/>
        <v>5.0107019585407988</v>
      </c>
    </row>
    <row r="621" spans="1:17" hidden="1" x14ac:dyDescent="0.3">
      <c r="A621">
        <v>620</v>
      </c>
      <c r="B621">
        <v>1045862</v>
      </c>
      <c r="C621" t="s">
        <v>1245</v>
      </c>
      <c r="D621" t="s">
        <v>1246</v>
      </c>
      <c r="E621">
        <v>30</v>
      </c>
      <c r="F621">
        <v>2342</v>
      </c>
      <c r="G621">
        <v>15</v>
      </c>
      <c r="H621">
        <v>19</v>
      </c>
      <c r="I621">
        <v>4</v>
      </c>
      <c r="J621" t="s">
        <v>23</v>
      </c>
      <c r="K621">
        <v>0.47</v>
      </c>
      <c r="L621">
        <v>4.5</v>
      </c>
      <c r="M621" t="s">
        <v>20</v>
      </c>
      <c r="N621">
        <f t="shared" si="27"/>
        <v>2</v>
      </c>
      <c r="O621">
        <v>2016</v>
      </c>
      <c r="P621">
        <f t="shared" si="28"/>
        <v>7.7587605441576626</v>
      </c>
      <c r="Q621">
        <f t="shared" si="29"/>
        <v>3.4015306594522756</v>
      </c>
    </row>
    <row r="622" spans="1:17" hidden="1" x14ac:dyDescent="0.3">
      <c r="A622">
        <v>621</v>
      </c>
      <c r="B622">
        <v>549094</v>
      </c>
      <c r="C622" t="s">
        <v>1247</v>
      </c>
      <c r="D622" t="s">
        <v>1248</v>
      </c>
      <c r="E622">
        <v>20</v>
      </c>
      <c r="F622">
        <v>2335</v>
      </c>
      <c r="G622">
        <v>13</v>
      </c>
      <c r="H622">
        <v>18</v>
      </c>
      <c r="I622">
        <v>2</v>
      </c>
      <c r="J622" t="s">
        <v>32</v>
      </c>
      <c r="K622">
        <v>0.3</v>
      </c>
      <c r="L622">
        <v>1</v>
      </c>
      <c r="M622" t="s">
        <v>20</v>
      </c>
      <c r="N622">
        <f t="shared" si="27"/>
        <v>2</v>
      </c>
      <c r="O622">
        <v>2015</v>
      </c>
      <c r="P622">
        <f t="shared" si="28"/>
        <v>7.755767170102998</v>
      </c>
      <c r="Q622">
        <f t="shared" si="29"/>
        <v>2.996232148595642</v>
      </c>
    </row>
    <row r="623" spans="1:17" hidden="1" x14ac:dyDescent="0.3">
      <c r="A623">
        <v>622</v>
      </c>
      <c r="B623">
        <v>281690</v>
      </c>
      <c r="C623" t="s">
        <v>1249</v>
      </c>
      <c r="D623" t="s">
        <v>1250</v>
      </c>
      <c r="E623">
        <v>20</v>
      </c>
      <c r="F623">
        <v>2320</v>
      </c>
      <c r="G623">
        <v>114</v>
      </c>
      <c r="H623">
        <v>43</v>
      </c>
      <c r="I623">
        <v>4</v>
      </c>
      <c r="J623" t="s">
        <v>23</v>
      </c>
      <c r="K623">
        <v>0.76</v>
      </c>
      <c r="L623">
        <v>6</v>
      </c>
      <c r="M623" t="s">
        <v>20</v>
      </c>
      <c r="N623">
        <f t="shared" si="27"/>
        <v>2</v>
      </c>
      <c r="O623">
        <v>2014</v>
      </c>
      <c r="P623">
        <f t="shared" si="28"/>
        <v>7.7493224646603558</v>
      </c>
      <c r="Q623">
        <f t="shared" si="29"/>
        <v>2.996232148595642</v>
      </c>
    </row>
    <row r="624" spans="1:17" x14ac:dyDescent="0.3">
      <c r="A624">
        <v>623</v>
      </c>
      <c r="B624">
        <v>739770</v>
      </c>
      <c r="C624" t="s">
        <v>1251</v>
      </c>
      <c r="D624" t="s">
        <v>1252</v>
      </c>
      <c r="E624">
        <v>20</v>
      </c>
      <c r="F624">
        <v>2314</v>
      </c>
      <c r="G624">
        <v>77</v>
      </c>
      <c r="H624">
        <v>25</v>
      </c>
      <c r="I624">
        <v>1</v>
      </c>
      <c r="J624" t="s">
        <v>13</v>
      </c>
      <c r="K624">
        <v>0.47</v>
      </c>
      <c r="L624">
        <v>2</v>
      </c>
      <c r="M624" t="s">
        <v>20</v>
      </c>
      <c r="N624">
        <f t="shared" si="27"/>
        <v>2</v>
      </c>
      <c r="O624">
        <v>2016</v>
      </c>
      <c r="P624">
        <f t="shared" si="28"/>
        <v>7.7467329077536222</v>
      </c>
      <c r="Q624">
        <f t="shared" si="29"/>
        <v>2.996232148595642</v>
      </c>
    </row>
    <row r="625" spans="1:17" hidden="1" x14ac:dyDescent="0.3">
      <c r="A625">
        <v>624</v>
      </c>
      <c r="B625">
        <v>361620</v>
      </c>
      <c r="C625" t="s">
        <v>1253</v>
      </c>
      <c r="D625" t="s">
        <v>1254</v>
      </c>
      <c r="E625">
        <v>200</v>
      </c>
      <c r="F625">
        <v>2311</v>
      </c>
      <c r="G625">
        <v>8</v>
      </c>
      <c r="H625">
        <v>44</v>
      </c>
      <c r="I625">
        <v>4</v>
      </c>
      <c r="J625" t="s">
        <v>23</v>
      </c>
      <c r="K625">
        <v>0.93</v>
      </c>
      <c r="L625">
        <v>1.5</v>
      </c>
      <c r="M625" t="s">
        <v>20</v>
      </c>
      <c r="N625">
        <f t="shared" si="27"/>
        <v>2</v>
      </c>
      <c r="O625">
        <v>2014</v>
      </c>
      <c r="P625">
        <f t="shared" si="28"/>
        <v>7.7454356102743809</v>
      </c>
      <c r="Q625">
        <f t="shared" si="29"/>
        <v>5.2983673652980787</v>
      </c>
    </row>
    <row r="626" spans="1:17" hidden="1" x14ac:dyDescent="0.3">
      <c r="A626">
        <v>625</v>
      </c>
      <c r="B626">
        <v>407796</v>
      </c>
      <c r="C626" t="s">
        <v>1255</v>
      </c>
      <c r="D626" t="s">
        <v>1256</v>
      </c>
      <c r="E626">
        <v>20</v>
      </c>
      <c r="F626">
        <v>2306</v>
      </c>
      <c r="G626">
        <v>3</v>
      </c>
      <c r="H626">
        <v>24</v>
      </c>
      <c r="I626">
        <v>4</v>
      </c>
      <c r="J626" t="s">
        <v>23</v>
      </c>
      <c r="K626">
        <v>0.93</v>
      </c>
      <c r="L626">
        <v>1</v>
      </c>
      <c r="M626" t="s">
        <v>20</v>
      </c>
      <c r="N626">
        <f t="shared" si="27"/>
        <v>2</v>
      </c>
      <c r="O626">
        <v>2015</v>
      </c>
      <c r="P626">
        <f t="shared" si="28"/>
        <v>7.7432697008290043</v>
      </c>
      <c r="Q626">
        <f t="shared" si="29"/>
        <v>2.996232148595642</v>
      </c>
    </row>
    <row r="627" spans="1:17" x14ac:dyDescent="0.3">
      <c r="A627">
        <v>626</v>
      </c>
      <c r="B627">
        <v>545524</v>
      </c>
      <c r="C627" t="s">
        <v>1257</v>
      </c>
      <c r="D627" t="s">
        <v>1258</v>
      </c>
      <c r="E627">
        <v>20</v>
      </c>
      <c r="F627">
        <v>2299</v>
      </c>
      <c r="G627">
        <v>11</v>
      </c>
      <c r="H627">
        <v>22</v>
      </c>
      <c r="I627">
        <v>1</v>
      </c>
      <c r="J627" t="s">
        <v>13</v>
      </c>
      <c r="K627">
        <v>0.93</v>
      </c>
      <c r="L627">
        <v>2</v>
      </c>
      <c r="M627" t="s">
        <v>20</v>
      </c>
      <c r="N627">
        <f t="shared" si="27"/>
        <v>2</v>
      </c>
      <c r="O627">
        <v>2015</v>
      </c>
      <c r="P627">
        <f t="shared" si="28"/>
        <v>7.7402295247631816</v>
      </c>
      <c r="Q627">
        <f t="shared" si="29"/>
        <v>2.996232148595642</v>
      </c>
    </row>
    <row r="628" spans="1:17" hidden="1" x14ac:dyDescent="0.3">
      <c r="A628">
        <v>627</v>
      </c>
      <c r="B628">
        <v>859422</v>
      </c>
      <c r="C628" t="s">
        <v>1259</v>
      </c>
      <c r="D628" t="s">
        <v>1260</v>
      </c>
      <c r="E628">
        <v>40</v>
      </c>
      <c r="F628">
        <v>2296</v>
      </c>
      <c r="G628">
        <v>28</v>
      </c>
      <c r="H628">
        <v>14</v>
      </c>
      <c r="I628">
        <v>4</v>
      </c>
      <c r="J628" t="s">
        <v>23</v>
      </c>
      <c r="K628">
        <v>0.93</v>
      </c>
      <c r="L628">
        <v>1.5</v>
      </c>
      <c r="M628" t="s">
        <v>20</v>
      </c>
      <c r="N628">
        <f t="shared" si="27"/>
        <v>2</v>
      </c>
      <c r="O628">
        <v>2016</v>
      </c>
      <c r="P628">
        <f t="shared" si="28"/>
        <v>7.7389237574394567</v>
      </c>
      <c r="Q628">
        <f t="shared" si="29"/>
        <v>3.6891294228691436</v>
      </c>
    </row>
    <row r="629" spans="1:17" hidden="1" x14ac:dyDescent="0.3">
      <c r="A629">
        <v>628</v>
      </c>
      <c r="B629">
        <v>450068</v>
      </c>
      <c r="C629" t="s">
        <v>1261</v>
      </c>
      <c r="D629" t="s">
        <v>1262</v>
      </c>
      <c r="E629">
        <v>20</v>
      </c>
      <c r="F629">
        <v>2281</v>
      </c>
      <c r="G629">
        <v>32</v>
      </c>
      <c r="H629">
        <v>21</v>
      </c>
      <c r="I629">
        <v>4</v>
      </c>
      <c r="J629" t="s">
        <v>23</v>
      </c>
      <c r="K629">
        <v>0.93</v>
      </c>
      <c r="L629">
        <v>1.5</v>
      </c>
      <c r="M629" t="s">
        <v>20</v>
      </c>
      <c r="N629">
        <f t="shared" si="27"/>
        <v>2</v>
      </c>
      <c r="O629">
        <v>2015</v>
      </c>
      <c r="P629">
        <f t="shared" si="28"/>
        <v>7.7323692222843876</v>
      </c>
      <c r="Q629">
        <f t="shared" si="29"/>
        <v>2.996232148595642</v>
      </c>
    </row>
    <row r="630" spans="1:17" x14ac:dyDescent="0.3">
      <c r="A630">
        <v>629</v>
      </c>
      <c r="B630">
        <v>1208638</v>
      </c>
      <c r="C630" t="s">
        <v>1263</v>
      </c>
      <c r="D630" t="s">
        <v>1264</v>
      </c>
      <c r="E630">
        <v>160</v>
      </c>
      <c r="F630">
        <v>2273</v>
      </c>
      <c r="G630">
        <v>288</v>
      </c>
      <c r="H630">
        <v>142</v>
      </c>
      <c r="I630">
        <v>1</v>
      </c>
      <c r="J630" t="s">
        <v>13</v>
      </c>
      <c r="K630">
        <v>0.93</v>
      </c>
      <c r="L630">
        <v>8</v>
      </c>
      <c r="M630" t="s">
        <v>20</v>
      </c>
      <c r="N630">
        <f t="shared" si="27"/>
        <v>2</v>
      </c>
      <c r="O630">
        <v>2017</v>
      </c>
      <c r="P630">
        <f t="shared" si="28"/>
        <v>7.7288558238525429</v>
      </c>
      <c r="Q630">
        <f t="shared" si="29"/>
        <v>5.075236313280783</v>
      </c>
    </row>
    <row r="631" spans="1:17" hidden="1" x14ac:dyDescent="0.3">
      <c r="A631">
        <v>630</v>
      </c>
      <c r="B631">
        <v>857162</v>
      </c>
      <c r="C631" t="s">
        <v>1265</v>
      </c>
      <c r="D631" t="s">
        <v>1266</v>
      </c>
      <c r="E631">
        <v>60</v>
      </c>
      <c r="F631">
        <v>2273</v>
      </c>
      <c r="G631">
        <v>384</v>
      </c>
      <c r="H631">
        <v>91</v>
      </c>
      <c r="I631">
        <v>4</v>
      </c>
      <c r="J631" t="s">
        <v>23</v>
      </c>
      <c r="K631">
        <v>0.93</v>
      </c>
      <c r="L631">
        <v>16.5</v>
      </c>
      <c r="M631" t="s">
        <v>20</v>
      </c>
      <c r="N631">
        <f t="shared" si="27"/>
        <v>2</v>
      </c>
      <c r="O631">
        <v>2016</v>
      </c>
      <c r="P631">
        <f t="shared" si="28"/>
        <v>7.7288558238525429</v>
      </c>
      <c r="Q631">
        <f t="shared" si="29"/>
        <v>4.0945112150014218</v>
      </c>
    </row>
    <row r="632" spans="1:17" hidden="1" x14ac:dyDescent="0.3">
      <c r="A632">
        <v>631</v>
      </c>
      <c r="B632">
        <v>339086</v>
      </c>
      <c r="C632" t="s">
        <v>1267</v>
      </c>
      <c r="D632" t="s">
        <v>1268</v>
      </c>
      <c r="E632">
        <v>60</v>
      </c>
      <c r="F632">
        <v>2267</v>
      </c>
      <c r="G632">
        <v>17</v>
      </c>
      <c r="H632">
        <v>29</v>
      </c>
      <c r="I632">
        <v>4</v>
      </c>
      <c r="J632" t="s">
        <v>23</v>
      </c>
      <c r="K632">
        <v>0.93</v>
      </c>
      <c r="L632">
        <v>1.5</v>
      </c>
      <c r="M632" t="s">
        <v>20</v>
      </c>
      <c r="N632">
        <f t="shared" si="27"/>
        <v>2</v>
      </c>
      <c r="O632">
        <v>2015</v>
      </c>
      <c r="P632">
        <f t="shared" si="28"/>
        <v>7.726212650507529</v>
      </c>
      <c r="Q632">
        <f t="shared" si="29"/>
        <v>4.0945112150014218</v>
      </c>
    </row>
    <row r="633" spans="1:17" hidden="1" x14ac:dyDescent="0.3">
      <c r="A633">
        <v>632</v>
      </c>
      <c r="B633">
        <v>856526</v>
      </c>
      <c r="C633" t="s">
        <v>1269</v>
      </c>
      <c r="D633" t="s">
        <v>1270</v>
      </c>
      <c r="E633">
        <v>40</v>
      </c>
      <c r="F633">
        <v>2244</v>
      </c>
      <c r="G633">
        <v>365</v>
      </c>
      <c r="H633">
        <v>168</v>
      </c>
      <c r="I633">
        <v>2</v>
      </c>
      <c r="J633" t="s">
        <v>32</v>
      </c>
      <c r="K633">
        <v>0.93</v>
      </c>
      <c r="L633">
        <v>10</v>
      </c>
      <c r="M633" t="s">
        <v>20</v>
      </c>
      <c r="N633">
        <f t="shared" si="27"/>
        <v>2</v>
      </c>
      <c r="O633">
        <v>2016</v>
      </c>
      <c r="P633">
        <f t="shared" si="28"/>
        <v>7.7160152666425867</v>
      </c>
      <c r="Q633">
        <f t="shared" si="29"/>
        <v>3.6891294228691436</v>
      </c>
    </row>
    <row r="634" spans="1:17" hidden="1" x14ac:dyDescent="0.3">
      <c r="A634">
        <v>633</v>
      </c>
      <c r="B634">
        <v>834600</v>
      </c>
      <c r="C634" t="s">
        <v>1271</v>
      </c>
      <c r="D634" t="s">
        <v>1272</v>
      </c>
      <c r="E634">
        <v>20</v>
      </c>
      <c r="F634">
        <v>2243</v>
      </c>
      <c r="G634">
        <v>27</v>
      </c>
      <c r="H634">
        <v>97</v>
      </c>
      <c r="I634">
        <v>4</v>
      </c>
      <c r="J634" t="s">
        <v>23</v>
      </c>
      <c r="K634">
        <v>0.93</v>
      </c>
      <c r="L634">
        <v>7</v>
      </c>
      <c r="M634" t="s">
        <v>20</v>
      </c>
      <c r="N634">
        <f t="shared" si="27"/>
        <v>2</v>
      </c>
      <c r="O634">
        <v>2016</v>
      </c>
      <c r="P634">
        <f t="shared" si="28"/>
        <v>7.715569534520208</v>
      </c>
      <c r="Q634">
        <f t="shared" si="29"/>
        <v>2.996232148595642</v>
      </c>
    </row>
    <row r="635" spans="1:17" hidden="1" x14ac:dyDescent="0.3">
      <c r="A635">
        <v>634</v>
      </c>
      <c r="B635">
        <v>654422</v>
      </c>
      <c r="C635" t="s">
        <v>1273</v>
      </c>
      <c r="D635" t="s">
        <v>1274</v>
      </c>
      <c r="E635">
        <v>20</v>
      </c>
      <c r="F635">
        <v>2238</v>
      </c>
      <c r="G635">
        <v>65</v>
      </c>
      <c r="H635">
        <v>12</v>
      </c>
      <c r="I635">
        <v>4</v>
      </c>
      <c r="J635" t="s">
        <v>23</v>
      </c>
      <c r="K635">
        <v>0.93</v>
      </c>
      <c r="L635">
        <v>1</v>
      </c>
      <c r="M635" t="s">
        <v>20</v>
      </c>
      <c r="N635">
        <f t="shared" si="27"/>
        <v>2</v>
      </c>
      <c r="O635">
        <v>2015</v>
      </c>
      <c r="P635">
        <f t="shared" si="28"/>
        <v>7.7133378888718704</v>
      </c>
      <c r="Q635">
        <f t="shared" si="29"/>
        <v>2.996232148595642</v>
      </c>
    </row>
    <row r="636" spans="1:17" hidden="1" x14ac:dyDescent="0.3">
      <c r="A636">
        <v>635</v>
      </c>
      <c r="B636">
        <v>875194</v>
      </c>
      <c r="C636" t="s">
        <v>1275</v>
      </c>
      <c r="D636" t="s">
        <v>1276</v>
      </c>
      <c r="E636">
        <v>100</v>
      </c>
      <c r="F636">
        <v>2234</v>
      </c>
      <c r="G636">
        <v>253</v>
      </c>
      <c r="H636">
        <v>115</v>
      </c>
      <c r="I636">
        <v>4</v>
      </c>
      <c r="J636" t="s">
        <v>23</v>
      </c>
      <c r="K636">
        <v>0.93</v>
      </c>
      <c r="L636">
        <v>11.5</v>
      </c>
      <c r="M636" t="s">
        <v>20</v>
      </c>
      <c r="N636">
        <f t="shared" si="27"/>
        <v>2</v>
      </c>
      <c r="O636">
        <v>2016</v>
      </c>
      <c r="P636">
        <f t="shared" si="28"/>
        <v>7.7115489796291463</v>
      </c>
      <c r="Q636">
        <f t="shared" si="29"/>
        <v>4.6052701809884251</v>
      </c>
    </row>
    <row r="637" spans="1:17" hidden="1" x14ac:dyDescent="0.3">
      <c r="A637">
        <v>636</v>
      </c>
      <c r="B637">
        <v>738360</v>
      </c>
      <c r="C637" t="s">
        <v>1277</v>
      </c>
      <c r="D637" t="s">
        <v>1278</v>
      </c>
      <c r="E637">
        <v>20</v>
      </c>
      <c r="F637">
        <v>2227</v>
      </c>
      <c r="G637">
        <v>44</v>
      </c>
      <c r="H637">
        <v>26</v>
      </c>
      <c r="I637">
        <v>4</v>
      </c>
      <c r="J637" t="s">
        <v>23</v>
      </c>
      <c r="K637">
        <v>0.93</v>
      </c>
      <c r="L637">
        <v>1.5</v>
      </c>
      <c r="M637" t="s">
        <v>20</v>
      </c>
      <c r="N637">
        <f t="shared" si="27"/>
        <v>2</v>
      </c>
      <c r="O637">
        <v>2016</v>
      </c>
      <c r="P637">
        <f t="shared" si="28"/>
        <v>7.7084106672573673</v>
      </c>
      <c r="Q637">
        <f t="shared" si="29"/>
        <v>2.996232148595642</v>
      </c>
    </row>
    <row r="638" spans="1:17" hidden="1" x14ac:dyDescent="0.3">
      <c r="A638">
        <v>637</v>
      </c>
      <c r="B638">
        <v>1172166</v>
      </c>
      <c r="C638" t="s">
        <v>1279</v>
      </c>
      <c r="D638" t="s">
        <v>1280</v>
      </c>
      <c r="E638">
        <v>195</v>
      </c>
      <c r="F638">
        <v>2225</v>
      </c>
      <c r="G638">
        <v>14</v>
      </c>
      <c r="H638">
        <v>64</v>
      </c>
      <c r="I638">
        <v>4</v>
      </c>
      <c r="J638" t="s">
        <v>23</v>
      </c>
      <c r="K638">
        <v>0.93</v>
      </c>
      <c r="L638">
        <v>6.5</v>
      </c>
      <c r="M638" t="s">
        <v>20</v>
      </c>
      <c r="N638">
        <f t="shared" si="27"/>
        <v>2</v>
      </c>
      <c r="O638">
        <v>2017</v>
      </c>
      <c r="P638">
        <f t="shared" si="28"/>
        <v>7.7075121946003406</v>
      </c>
      <c r="Q638">
        <f t="shared" si="29"/>
        <v>5.273050839300149</v>
      </c>
    </row>
    <row r="639" spans="1:17" hidden="1" x14ac:dyDescent="0.3">
      <c r="A639">
        <v>638</v>
      </c>
      <c r="B639">
        <v>791414</v>
      </c>
      <c r="C639" t="s">
        <v>1281</v>
      </c>
      <c r="D639" t="s">
        <v>1282</v>
      </c>
      <c r="E639">
        <v>55</v>
      </c>
      <c r="F639">
        <v>2215</v>
      </c>
      <c r="G639">
        <v>223</v>
      </c>
      <c r="H639">
        <v>74</v>
      </c>
      <c r="I639">
        <v>4</v>
      </c>
      <c r="J639" t="s">
        <v>23</v>
      </c>
      <c r="K639">
        <v>0.93</v>
      </c>
      <c r="L639">
        <v>5</v>
      </c>
      <c r="M639" t="s">
        <v>20</v>
      </c>
      <c r="N639">
        <f t="shared" si="27"/>
        <v>2</v>
      </c>
      <c r="O639">
        <v>2016</v>
      </c>
      <c r="P639">
        <f t="shared" si="28"/>
        <v>7.7030076824792362</v>
      </c>
      <c r="Q639">
        <f t="shared" si="29"/>
        <v>4.007514986887367</v>
      </c>
    </row>
    <row r="640" spans="1:17" hidden="1" x14ac:dyDescent="0.3">
      <c r="A640">
        <v>639</v>
      </c>
      <c r="B640">
        <v>1122224</v>
      </c>
      <c r="C640" t="s">
        <v>1283</v>
      </c>
      <c r="D640" t="s">
        <v>1284</v>
      </c>
      <c r="E640">
        <v>0</v>
      </c>
      <c r="F640">
        <v>2214</v>
      </c>
      <c r="G640">
        <v>20</v>
      </c>
      <c r="H640">
        <v>23</v>
      </c>
      <c r="I640">
        <v>4</v>
      </c>
      <c r="J640" t="s">
        <v>23</v>
      </c>
      <c r="K640">
        <v>0.93</v>
      </c>
      <c r="L640">
        <v>2</v>
      </c>
      <c r="M640" t="s">
        <v>14</v>
      </c>
      <c r="N640">
        <f t="shared" si="27"/>
        <v>1</v>
      </c>
      <c r="O640">
        <v>2017</v>
      </c>
      <c r="P640">
        <f t="shared" si="28"/>
        <v>7.7025561132685825</v>
      </c>
      <c r="Q640">
        <f t="shared" si="29"/>
        <v>-4.6051701859880909</v>
      </c>
    </row>
    <row r="641" spans="1:17" hidden="1" x14ac:dyDescent="0.3">
      <c r="A641">
        <v>640</v>
      </c>
      <c r="B641">
        <v>1062686</v>
      </c>
      <c r="C641" t="s">
        <v>1285</v>
      </c>
      <c r="D641" t="s">
        <v>1286</v>
      </c>
      <c r="E641">
        <v>20</v>
      </c>
      <c r="F641">
        <v>2204</v>
      </c>
      <c r="G641">
        <v>6</v>
      </c>
      <c r="H641">
        <v>97</v>
      </c>
      <c r="I641">
        <v>4</v>
      </c>
      <c r="J641" t="s">
        <v>23</v>
      </c>
      <c r="K641">
        <v>0.93</v>
      </c>
      <c r="L641">
        <v>9</v>
      </c>
      <c r="M641" t="s">
        <v>20</v>
      </c>
      <c r="N641">
        <f t="shared" si="27"/>
        <v>2</v>
      </c>
      <c r="O641">
        <v>2017</v>
      </c>
      <c r="P641">
        <f t="shared" si="28"/>
        <v>7.6980291702728048</v>
      </c>
      <c r="Q641">
        <f t="shared" si="29"/>
        <v>2.996232148595642</v>
      </c>
    </row>
    <row r="642" spans="1:17" hidden="1" x14ac:dyDescent="0.3">
      <c r="A642">
        <v>641</v>
      </c>
      <c r="B642">
        <v>737758</v>
      </c>
      <c r="C642" t="s">
        <v>1287</v>
      </c>
      <c r="D642" t="s">
        <v>1288</v>
      </c>
      <c r="E642">
        <v>30</v>
      </c>
      <c r="F642">
        <v>2200</v>
      </c>
      <c r="G642">
        <v>25</v>
      </c>
      <c r="H642">
        <v>12</v>
      </c>
      <c r="I642">
        <v>4</v>
      </c>
      <c r="J642" t="s">
        <v>23</v>
      </c>
      <c r="K642">
        <v>0.93</v>
      </c>
      <c r="L642">
        <v>1</v>
      </c>
      <c r="M642" t="s">
        <v>20</v>
      </c>
      <c r="N642">
        <f t="shared" ref="N642:N705" si="30">IF(M642="Free",1,IF(M642="Paid",2,0))</f>
        <v>2</v>
      </c>
      <c r="O642">
        <v>2016</v>
      </c>
      <c r="P642">
        <f t="shared" ref="P642:P705" si="31">LN(F642)</f>
        <v>7.696212639346407</v>
      </c>
      <c r="Q642">
        <f t="shared" ref="Q642:Q705" si="32">LN(E642+0.01)</f>
        <v>3.4015306594522756</v>
      </c>
    </row>
    <row r="643" spans="1:17" x14ac:dyDescent="0.3">
      <c r="A643">
        <v>642</v>
      </c>
      <c r="B643">
        <v>744618</v>
      </c>
      <c r="C643" t="s">
        <v>1289</v>
      </c>
      <c r="D643" t="s">
        <v>1290</v>
      </c>
      <c r="E643">
        <v>25</v>
      </c>
      <c r="F643">
        <v>2197</v>
      </c>
      <c r="G643">
        <v>9</v>
      </c>
      <c r="H643">
        <v>12</v>
      </c>
      <c r="I643">
        <v>1</v>
      </c>
      <c r="J643" t="s">
        <v>13</v>
      </c>
      <c r="K643">
        <v>0.93</v>
      </c>
      <c r="L643">
        <v>1.5</v>
      </c>
      <c r="M643" t="s">
        <v>20</v>
      </c>
      <c r="N643">
        <f t="shared" si="30"/>
        <v>2</v>
      </c>
      <c r="O643">
        <v>2016</v>
      </c>
      <c r="P643">
        <f t="shared" si="31"/>
        <v>7.6948480723846098</v>
      </c>
      <c r="Q643">
        <f t="shared" si="32"/>
        <v>3.2192757448895279</v>
      </c>
    </row>
    <row r="644" spans="1:17" hidden="1" x14ac:dyDescent="0.3">
      <c r="A644">
        <v>643</v>
      </c>
      <c r="B644">
        <v>782194</v>
      </c>
      <c r="C644" t="s">
        <v>1291</v>
      </c>
      <c r="D644" t="s">
        <v>1292</v>
      </c>
      <c r="E644">
        <v>100</v>
      </c>
      <c r="F644">
        <v>2195</v>
      </c>
      <c r="G644">
        <v>10</v>
      </c>
      <c r="H644">
        <v>35</v>
      </c>
      <c r="I644">
        <v>4</v>
      </c>
      <c r="J644" t="s">
        <v>23</v>
      </c>
      <c r="K644">
        <v>0.93</v>
      </c>
      <c r="L644">
        <v>3.5</v>
      </c>
      <c r="M644" t="s">
        <v>20</v>
      </c>
      <c r="N644">
        <f t="shared" si="30"/>
        <v>2</v>
      </c>
      <c r="O644">
        <v>2016</v>
      </c>
      <c r="P644">
        <f t="shared" si="31"/>
        <v>7.693937325509272</v>
      </c>
      <c r="Q644">
        <f t="shared" si="32"/>
        <v>4.6052701809884251</v>
      </c>
    </row>
    <row r="645" spans="1:17" hidden="1" x14ac:dyDescent="0.3">
      <c r="A645">
        <v>644</v>
      </c>
      <c r="B645">
        <v>380582</v>
      </c>
      <c r="C645" t="s">
        <v>1293</v>
      </c>
      <c r="D645" t="s">
        <v>1294</v>
      </c>
      <c r="E645">
        <v>95</v>
      </c>
      <c r="F645">
        <v>2185</v>
      </c>
      <c r="G645">
        <v>283</v>
      </c>
      <c r="H645">
        <v>45</v>
      </c>
      <c r="I645">
        <v>4</v>
      </c>
      <c r="J645" t="s">
        <v>23</v>
      </c>
      <c r="K645">
        <v>0.93</v>
      </c>
      <c r="L645">
        <v>3.5</v>
      </c>
      <c r="M645" t="s">
        <v>20</v>
      </c>
      <c r="N645">
        <f t="shared" si="30"/>
        <v>2</v>
      </c>
      <c r="O645">
        <v>2015</v>
      </c>
      <c r="P645">
        <f t="shared" si="31"/>
        <v>7.6893711075296904</v>
      </c>
      <c r="Q645">
        <f t="shared" si="32"/>
        <v>4.5539821492186583</v>
      </c>
    </row>
    <row r="646" spans="1:17" hidden="1" x14ac:dyDescent="0.3">
      <c r="A646">
        <v>645</v>
      </c>
      <c r="B646">
        <v>1148342</v>
      </c>
      <c r="C646" t="s">
        <v>1295</v>
      </c>
      <c r="D646" t="s">
        <v>1296</v>
      </c>
      <c r="E646">
        <v>80</v>
      </c>
      <c r="F646">
        <v>2184</v>
      </c>
      <c r="G646">
        <v>15</v>
      </c>
      <c r="H646">
        <v>24</v>
      </c>
      <c r="I646">
        <v>2</v>
      </c>
      <c r="J646" t="s">
        <v>32</v>
      </c>
      <c r="K646">
        <v>0.93</v>
      </c>
      <c r="L646">
        <v>3</v>
      </c>
      <c r="M646" t="s">
        <v>20</v>
      </c>
      <c r="N646">
        <f t="shared" si="30"/>
        <v>2</v>
      </c>
      <c r="O646">
        <v>2017</v>
      </c>
      <c r="P646">
        <f t="shared" si="31"/>
        <v>7.6889133368647959</v>
      </c>
      <c r="Q646">
        <f t="shared" si="32"/>
        <v>4.3821516268620329</v>
      </c>
    </row>
    <row r="647" spans="1:17" hidden="1" x14ac:dyDescent="0.3">
      <c r="A647">
        <v>646</v>
      </c>
      <c r="B647">
        <v>780058</v>
      </c>
      <c r="C647" t="s">
        <v>1297</v>
      </c>
      <c r="D647" t="s">
        <v>1298</v>
      </c>
      <c r="E647">
        <v>25</v>
      </c>
      <c r="F647">
        <v>2178</v>
      </c>
      <c r="G647">
        <v>22</v>
      </c>
      <c r="H647">
        <v>19</v>
      </c>
      <c r="I647">
        <v>4</v>
      </c>
      <c r="J647" t="s">
        <v>23</v>
      </c>
      <c r="K647">
        <v>0.93</v>
      </c>
      <c r="L647">
        <v>1.5</v>
      </c>
      <c r="M647" t="s">
        <v>20</v>
      </c>
      <c r="N647">
        <f t="shared" si="30"/>
        <v>2</v>
      </c>
      <c r="O647">
        <v>2016</v>
      </c>
      <c r="P647">
        <f t="shared" si="31"/>
        <v>7.6861623034929059</v>
      </c>
      <c r="Q647">
        <f t="shared" si="32"/>
        <v>3.2192757448895279</v>
      </c>
    </row>
    <row r="648" spans="1:17" hidden="1" x14ac:dyDescent="0.3">
      <c r="A648">
        <v>647</v>
      </c>
      <c r="B648">
        <v>510784</v>
      </c>
      <c r="C648" t="s">
        <v>1299</v>
      </c>
      <c r="D648" t="s">
        <v>1300</v>
      </c>
      <c r="E648">
        <v>20</v>
      </c>
      <c r="F648">
        <v>2177</v>
      </c>
      <c r="G648">
        <v>13</v>
      </c>
      <c r="H648">
        <v>43</v>
      </c>
      <c r="I648">
        <v>4</v>
      </c>
      <c r="J648" t="s">
        <v>23</v>
      </c>
      <c r="K648">
        <v>0.93</v>
      </c>
      <c r="L648">
        <v>4</v>
      </c>
      <c r="M648" t="s">
        <v>20</v>
      </c>
      <c r="N648">
        <f t="shared" si="30"/>
        <v>2</v>
      </c>
      <c r="O648">
        <v>2015</v>
      </c>
      <c r="P648">
        <f t="shared" si="31"/>
        <v>7.6857030612345474</v>
      </c>
      <c r="Q648">
        <f t="shared" si="32"/>
        <v>2.996232148595642</v>
      </c>
    </row>
    <row r="649" spans="1:17" hidden="1" x14ac:dyDescent="0.3">
      <c r="A649">
        <v>648</v>
      </c>
      <c r="B649">
        <v>713098</v>
      </c>
      <c r="C649" t="s">
        <v>1301</v>
      </c>
      <c r="D649" t="s">
        <v>1302</v>
      </c>
      <c r="E649">
        <v>20</v>
      </c>
      <c r="F649">
        <v>2164</v>
      </c>
      <c r="G649">
        <v>290</v>
      </c>
      <c r="H649">
        <v>70</v>
      </c>
      <c r="I649">
        <v>4</v>
      </c>
      <c r="J649" t="s">
        <v>23</v>
      </c>
      <c r="K649">
        <v>0.93</v>
      </c>
      <c r="L649">
        <v>8.5</v>
      </c>
      <c r="M649" t="s">
        <v>20</v>
      </c>
      <c r="N649">
        <f t="shared" si="30"/>
        <v>2</v>
      </c>
      <c r="O649">
        <v>2016</v>
      </c>
      <c r="P649">
        <f t="shared" si="31"/>
        <v>7.6797136399663719</v>
      </c>
      <c r="Q649">
        <f t="shared" si="32"/>
        <v>2.996232148595642</v>
      </c>
    </row>
    <row r="650" spans="1:17" x14ac:dyDescent="0.3">
      <c r="A650">
        <v>649</v>
      </c>
      <c r="B650">
        <v>783748</v>
      </c>
      <c r="C650" t="s">
        <v>1303</v>
      </c>
      <c r="D650" t="s">
        <v>1304</v>
      </c>
      <c r="E650">
        <v>20</v>
      </c>
      <c r="F650">
        <v>2160</v>
      </c>
      <c r="G650">
        <v>16</v>
      </c>
      <c r="H650">
        <v>28</v>
      </c>
      <c r="I650">
        <v>1</v>
      </c>
      <c r="J650" t="s">
        <v>13</v>
      </c>
      <c r="K650">
        <v>0.93</v>
      </c>
      <c r="L650">
        <v>4</v>
      </c>
      <c r="M650" t="s">
        <v>20</v>
      </c>
      <c r="N650">
        <f t="shared" si="30"/>
        <v>2</v>
      </c>
      <c r="O650">
        <v>2016</v>
      </c>
      <c r="P650">
        <f t="shared" si="31"/>
        <v>7.6778635006782103</v>
      </c>
      <c r="Q650">
        <f t="shared" si="32"/>
        <v>2.996232148595642</v>
      </c>
    </row>
    <row r="651" spans="1:17" x14ac:dyDescent="0.3">
      <c r="A651">
        <v>650</v>
      </c>
      <c r="B651">
        <v>388286</v>
      </c>
      <c r="C651" t="s">
        <v>1305</v>
      </c>
      <c r="D651" t="s">
        <v>1306</v>
      </c>
      <c r="E651">
        <v>50</v>
      </c>
      <c r="F651">
        <v>2152</v>
      </c>
      <c r="G651">
        <v>19</v>
      </c>
      <c r="H651">
        <v>15</v>
      </c>
      <c r="I651">
        <v>1</v>
      </c>
      <c r="J651" t="s">
        <v>13</v>
      </c>
      <c r="K651">
        <v>0.93</v>
      </c>
      <c r="L651">
        <v>2.5</v>
      </c>
      <c r="M651" t="s">
        <v>20</v>
      </c>
      <c r="N651">
        <f t="shared" si="30"/>
        <v>2</v>
      </c>
      <c r="O651">
        <v>2015</v>
      </c>
      <c r="P651">
        <f t="shared" si="31"/>
        <v>7.6741529212816753</v>
      </c>
      <c r="Q651">
        <f t="shared" si="32"/>
        <v>3.9122229854308124</v>
      </c>
    </row>
    <row r="652" spans="1:17" x14ac:dyDescent="0.3">
      <c r="A652">
        <v>651</v>
      </c>
      <c r="B652">
        <v>1241254</v>
      </c>
      <c r="C652" t="s">
        <v>1307</v>
      </c>
      <c r="D652" t="s">
        <v>1308</v>
      </c>
      <c r="E652">
        <v>145</v>
      </c>
      <c r="F652">
        <v>2145</v>
      </c>
      <c r="G652">
        <v>166</v>
      </c>
      <c r="H652">
        <v>136</v>
      </c>
      <c r="I652">
        <v>1</v>
      </c>
      <c r="J652" t="s">
        <v>13</v>
      </c>
      <c r="K652">
        <v>0.3</v>
      </c>
      <c r="L652">
        <v>8</v>
      </c>
      <c r="M652" t="s">
        <v>20</v>
      </c>
      <c r="N652">
        <f t="shared" si="30"/>
        <v>2</v>
      </c>
      <c r="O652">
        <v>2017</v>
      </c>
      <c r="P652">
        <f t="shared" si="31"/>
        <v>7.6708948313621175</v>
      </c>
      <c r="Q652">
        <f t="shared" si="32"/>
        <v>4.9768027055598036</v>
      </c>
    </row>
    <row r="653" spans="1:17" hidden="1" x14ac:dyDescent="0.3">
      <c r="A653">
        <v>652</v>
      </c>
      <c r="B653">
        <v>715516</v>
      </c>
      <c r="C653" t="s">
        <v>1309</v>
      </c>
      <c r="D653" t="s">
        <v>1310</v>
      </c>
      <c r="E653">
        <v>120</v>
      </c>
      <c r="F653">
        <v>2142</v>
      </c>
      <c r="G653">
        <v>536</v>
      </c>
      <c r="H653">
        <v>71</v>
      </c>
      <c r="I653">
        <v>4</v>
      </c>
      <c r="J653" t="s">
        <v>23</v>
      </c>
      <c r="K653">
        <v>0.99</v>
      </c>
      <c r="L653">
        <v>12</v>
      </c>
      <c r="M653" t="s">
        <v>20</v>
      </c>
      <c r="N653">
        <f t="shared" si="30"/>
        <v>2</v>
      </c>
      <c r="O653">
        <v>2016</v>
      </c>
      <c r="P653">
        <f t="shared" si="31"/>
        <v>7.6694952510076941</v>
      </c>
      <c r="Q653">
        <f t="shared" si="32"/>
        <v>4.7875750726433504</v>
      </c>
    </row>
    <row r="654" spans="1:17" hidden="1" x14ac:dyDescent="0.3">
      <c r="A654">
        <v>653</v>
      </c>
      <c r="B654">
        <v>443746</v>
      </c>
      <c r="C654" t="s">
        <v>1311</v>
      </c>
      <c r="D654" t="s">
        <v>1312</v>
      </c>
      <c r="E654">
        <v>175</v>
      </c>
      <c r="F654">
        <v>2134</v>
      </c>
      <c r="G654">
        <v>215</v>
      </c>
      <c r="H654">
        <v>55</v>
      </c>
      <c r="I654">
        <v>2</v>
      </c>
      <c r="J654" t="s">
        <v>32</v>
      </c>
      <c r="K654">
        <v>0.99</v>
      </c>
      <c r="L654">
        <v>7</v>
      </c>
      <c r="M654" t="s">
        <v>20</v>
      </c>
      <c r="N654">
        <f t="shared" si="30"/>
        <v>2</v>
      </c>
      <c r="O654">
        <v>2015</v>
      </c>
      <c r="P654">
        <f t="shared" si="31"/>
        <v>7.6657534318616989</v>
      </c>
      <c r="Q654">
        <f t="shared" si="32"/>
        <v>5.1648431151480656</v>
      </c>
    </row>
    <row r="655" spans="1:17" x14ac:dyDescent="0.3">
      <c r="A655">
        <v>654</v>
      </c>
      <c r="B655">
        <v>1079370</v>
      </c>
      <c r="C655" t="s">
        <v>1313</v>
      </c>
      <c r="D655" t="s">
        <v>1314</v>
      </c>
      <c r="E655">
        <v>20</v>
      </c>
      <c r="F655">
        <v>2104</v>
      </c>
      <c r="G655">
        <v>69</v>
      </c>
      <c r="H655">
        <v>14</v>
      </c>
      <c r="I655">
        <v>1</v>
      </c>
      <c r="J655" t="s">
        <v>13</v>
      </c>
      <c r="K655">
        <v>0.99</v>
      </c>
      <c r="L655">
        <v>1</v>
      </c>
      <c r="M655" t="s">
        <v>20</v>
      </c>
      <c r="N655">
        <f t="shared" si="30"/>
        <v>2</v>
      </c>
      <c r="O655">
        <v>2017</v>
      </c>
      <c r="P655">
        <f t="shared" si="31"/>
        <v>7.6515955738576009</v>
      </c>
      <c r="Q655">
        <f t="shared" si="32"/>
        <v>2.996232148595642</v>
      </c>
    </row>
    <row r="656" spans="1:17" x14ac:dyDescent="0.3">
      <c r="A656">
        <v>655</v>
      </c>
      <c r="B656">
        <v>771198</v>
      </c>
      <c r="C656" t="s">
        <v>1315</v>
      </c>
      <c r="D656" t="s">
        <v>1316</v>
      </c>
      <c r="E656">
        <v>60</v>
      </c>
      <c r="F656">
        <v>2097</v>
      </c>
      <c r="G656">
        <v>401</v>
      </c>
      <c r="H656">
        <v>28</v>
      </c>
      <c r="I656">
        <v>1</v>
      </c>
      <c r="J656" t="s">
        <v>13</v>
      </c>
      <c r="K656">
        <v>0.99</v>
      </c>
      <c r="L656">
        <v>5.5</v>
      </c>
      <c r="M656" t="s">
        <v>20</v>
      </c>
      <c r="N656">
        <f t="shared" si="30"/>
        <v>2</v>
      </c>
      <c r="O656">
        <v>2016</v>
      </c>
      <c r="P656">
        <f t="shared" si="31"/>
        <v>7.6482630309019202</v>
      </c>
      <c r="Q656">
        <f t="shared" si="32"/>
        <v>4.0945112150014218</v>
      </c>
    </row>
    <row r="657" spans="1:17" hidden="1" x14ac:dyDescent="0.3">
      <c r="A657">
        <v>656</v>
      </c>
      <c r="B657">
        <v>1050632</v>
      </c>
      <c r="C657" t="s">
        <v>1317</v>
      </c>
      <c r="D657" t="s">
        <v>1318</v>
      </c>
      <c r="E657">
        <v>0</v>
      </c>
      <c r="F657">
        <v>2097</v>
      </c>
      <c r="G657">
        <v>16</v>
      </c>
      <c r="H657">
        <v>10</v>
      </c>
      <c r="I657">
        <v>4</v>
      </c>
      <c r="J657" t="s">
        <v>23</v>
      </c>
      <c r="K657">
        <v>0.99</v>
      </c>
      <c r="L657">
        <v>2</v>
      </c>
      <c r="M657" t="s">
        <v>14</v>
      </c>
      <c r="N657">
        <f t="shared" si="30"/>
        <v>1</v>
      </c>
      <c r="O657">
        <v>2017</v>
      </c>
      <c r="P657">
        <f t="shared" si="31"/>
        <v>7.6482630309019202</v>
      </c>
      <c r="Q657">
        <f t="shared" si="32"/>
        <v>-4.6051701859880909</v>
      </c>
    </row>
    <row r="658" spans="1:17" hidden="1" x14ac:dyDescent="0.3">
      <c r="A658">
        <v>657</v>
      </c>
      <c r="B658">
        <v>704582</v>
      </c>
      <c r="C658" t="s">
        <v>1319</v>
      </c>
      <c r="D658" t="s">
        <v>1320</v>
      </c>
      <c r="E658">
        <v>45</v>
      </c>
      <c r="F658">
        <v>2091</v>
      </c>
      <c r="G658">
        <v>86</v>
      </c>
      <c r="H658">
        <v>29</v>
      </c>
      <c r="I658">
        <v>2</v>
      </c>
      <c r="J658" t="s">
        <v>32</v>
      </c>
      <c r="K658">
        <v>0.99</v>
      </c>
      <c r="L658">
        <v>2.5</v>
      </c>
      <c r="M658" t="s">
        <v>20</v>
      </c>
      <c r="N658">
        <f t="shared" si="30"/>
        <v>2</v>
      </c>
      <c r="O658">
        <v>2016</v>
      </c>
      <c r="P658">
        <f t="shared" si="31"/>
        <v>7.6453976994286332</v>
      </c>
      <c r="Q658">
        <f t="shared" si="32"/>
        <v>3.8068846873048412</v>
      </c>
    </row>
    <row r="659" spans="1:17" hidden="1" x14ac:dyDescent="0.3">
      <c r="A659">
        <v>658</v>
      </c>
      <c r="B659">
        <v>1021834</v>
      </c>
      <c r="C659" t="s">
        <v>1321</v>
      </c>
      <c r="D659" t="s">
        <v>1322</v>
      </c>
      <c r="E659">
        <v>95</v>
      </c>
      <c r="F659">
        <v>2086</v>
      </c>
      <c r="G659">
        <v>56</v>
      </c>
      <c r="H659">
        <v>22</v>
      </c>
      <c r="I659">
        <v>4</v>
      </c>
      <c r="J659" t="s">
        <v>23</v>
      </c>
      <c r="K659">
        <v>0.99</v>
      </c>
      <c r="L659">
        <v>1</v>
      </c>
      <c r="M659" t="s">
        <v>20</v>
      </c>
      <c r="N659">
        <f t="shared" si="30"/>
        <v>2</v>
      </c>
      <c r="O659">
        <v>2016</v>
      </c>
      <c r="P659">
        <f t="shared" si="31"/>
        <v>7.643003635560718</v>
      </c>
      <c r="Q659">
        <f t="shared" si="32"/>
        <v>4.5539821492186583</v>
      </c>
    </row>
    <row r="660" spans="1:17" hidden="1" x14ac:dyDescent="0.3">
      <c r="A660">
        <v>659</v>
      </c>
      <c r="B660">
        <v>617158</v>
      </c>
      <c r="C660" t="s">
        <v>1323</v>
      </c>
      <c r="D660" t="s">
        <v>1324</v>
      </c>
      <c r="E660">
        <v>25</v>
      </c>
      <c r="F660">
        <v>2083</v>
      </c>
      <c r="G660">
        <v>213</v>
      </c>
      <c r="H660">
        <v>23</v>
      </c>
      <c r="I660">
        <v>4</v>
      </c>
      <c r="J660" t="s">
        <v>23</v>
      </c>
      <c r="K660">
        <v>0.99</v>
      </c>
      <c r="L660">
        <v>2.5</v>
      </c>
      <c r="M660" t="s">
        <v>20</v>
      </c>
      <c r="N660">
        <f t="shared" si="30"/>
        <v>2</v>
      </c>
      <c r="O660">
        <v>2016</v>
      </c>
      <c r="P660">
        <f t="shared" si="31"/>
        <v>7.6415644412609716</v>
      </c>
      <c r="Q660">
        <f t="shared" si="32"/>
        <v>3.2192757448895279</v>
      </c>
    </row>
    <row r="661" spans="1:17" hidden="1" x14ac:dyDescent="0.3">
      <c r="A661">
        <v>660</v>
      </c>
      <c r="B661">
        <v>800148</v>
      </c>
      <c r="C661" t="s">
        <v>1325</v>
      </c>
      <c r="D661" t="s">
        <v>1326</v>
      </c>
      <c r="E661">
        <v>200</v>
      </c>
      <c r="F661">
        <v>2076</v>
      </c>
      <c r="G661">
        <v>125</v>
      </c>
      <c r="H661">
        <v>56</v>
      </c>
      <c r="I661">
        <v>2</v>
      </c>
      <c r="J661" t="s">
        <v>32</v>
      </c>
      <c r="K661">
        <v>0.99</v>
      </c>
      <c r="L661">
        <v>11</v>
      </c>
      <c r="M661" t="s">
        <v>20</v>
      </c>
      <c r="N661">
        <f t="shared" si="30"/>
        <v>2</v>
      </c>
      <c r="O661">
        <v>2016</v>
      </c>
      <c r="P661">
        <f t="shared" si="31"/>
        <v>7.6381982442857792</v>
      </c>
      <c r="Q661">
        <f t="shared" si="32"/>
        <v>5.2983673652980787</v>
      </c>
    </row>
    <row r="662" spans="1:17" x14ac:dyDescent="0.3">
      <c r="A662">
        <v>661</v>
      </c>
      <c r="B662">
        <v>1121580</v>
      </c>
      <c r="C662" t="s">
        <v>1327</v>
      </c>
      <c r="D662" t="s">
        <v>1328</v>
      </c>
      <c r="E662">
        <v>20</v>
      </c>
      <c r="F662">
        <v>2076</v>
      </c>
      <c r="G662">
        <v>8</v>
      </c>
      <c r="H662">
        <v>20</v>
      </c>
      <c r="I662">
        <v>1</v>
      </c>
      <c r="J662" t="s">
        <v>13</v>
      </c>
      <c r="K662">
        <v>0.99</v>
      </c>
      <c r="L662">
        <v>2</v>
      </c>
      <c r="M662" t="s">
        <v>20</v>
      </c>
      <c r="N662">
        <f t="shared" si="30"/>
        <v>2</v>
      </c>
      <c r="O662">
        <v>2017</v>
      </c>
      <c r="P662">
        <f t="shared" si="31"/>
        <v>7.6381982442857792</v>
      </c>
      <c r="Q662">
        <f t="shared" si="32"/>
        <v>2.996232148595642</v>
      </c>
    </row>
    <row r="663" spans="1:17" hidden="1" x14ac:dyDescent="0.3">
      <c r="A663">
        <v>662</v>
      </c>
      <c r="B663">
        <v>1124244</v>
      </c>
      <c r="C663" t="s">
        <v>1329</v>
      </c>
      <c r="D663" t="s">
        <v>1330</v>
      </c>
      <c r="E663">
        <v>20</v>
      </c>
      <c r="F663">
        <v>2074</v>
      </c>
      <c r="G663">
        <v>14</v>
      </c>
      <c r="H663">
        <v>22</v>
      </c>
      <c r="I663">
        <v>4</v>
      </c>
      <c r="J663" t="s">
        <v>23</v>
      </c>
      <c r="K663">
        <v>0.99</v>
      </c>
      <c r="L663">
        <v>1.5</v>
      </c>
      <c r="M663" t="s">
        <v>20</v>
      </c>
      <c r="N663">
        <f t="shared" si="30"/>
        <v>2</v>
      </c>
      <c r="O663">
        <v>2017</v>
      </c>
      <c r="P663">
        <f t="shared" si="31"/>
        <v>7.6372343887894729</v>
      </c>
      <c r="Q663">
        <f t="shared" si="32"/>
        <v>2.996232148595642</v>
      </c>
    </row>
    <row r="664" spans="1:17" x14ac:dyDescent="0.3">
      <c r="A664">
        <v>663</v>
      </c>
      <c r="B664">
        <v>228934</v>
      </c>
      <c r="C664" t="s">
        <v>1331</v>
      </c>
      <c r="D664" t="s">
        <v>1332</v>
      </c>
      <c r="E664">
        <v>95</v>
      </c>
      <c r="F664">
        <v>2073</v>
      </c>
      <c r="G664">
        <v>24</v>
      </c>
      <c r="H664">
        <v>16</v>
      </c>
      <c r="I664">
        <v>1</v>
      </c>
      <c r="J664" t="s">
        <v>13</v>
      </c>
      <c r="K664">
        <v>0.99</v>
      </c>
      <c r="L664">
        <v>2</v>
      </c>
      <c r="M664" t="s">
        <v>20</v>
      </c>
      <c r="N664">
        <f t="shared" si="30"/>
        <v>2</v>
      </c>
      <c r="O664">
        <v>2015</v>
      </c>
      <c r="P664">
        <f t="shared" si="31"/>
        <v>7.6367521124357793</v>
      </c>
      <c r="Q664">
        <f t="shared" si="32"/>
        <v>4.5539821492186583</v>
      </c>
    </row>
    <row r="665" spans="1:17" hidden="1" x14ac:dyDescent="0.3">
      <c r="A665">
        <v>664</v>
      </c>
      <c r="B665">
        <v>624578</v>
      </c>
      <c r="C665" t="s">
        <v>1333</v>
      </c>
      <c r="D665" t="s">
        <v>1334</v>
      </c>
      <c r="E665">
        <v>75</v>
      </c>
      <c r="F665">
        <v>2071</v>
      </c>
      <c r="G665">
        <v>57</v>
      </c>
      <c r="H665">
        <v>14</v>
      </c>
      <c r="I665">
        <v>4</v>
      </c>
      <c r="J665" t="s">
        <v>23</v>
      </c>
      <c r="K665">
        <v>0.99</v>
      </c>
      <c r="L665">
        <v>1.5</v>
      </c>
      <c r="M665" t="s">
        <v>20</v>
      </c>
      <c r="N665">
        <f t="shared" si="30"/>
        <v>2</v>
      </c>
      <c r="O665">
        <v>2015</v>
      </c>
      <c r="P665">
        <f t="shared" si="31"/>
        <v>7.6357868613955846</v>
      </c>
      <c r="Q665">
        <f t="shared" si="32"/>
        <v>4.3176214379815452</v>
      </c>
    </row>
    <row r="666" spans="1:17" hidden="1" x14ac:dyDescent="0.3">
      <c r="A666">
        <v>665</v>
      </c>
      <c r="B666">
        <v>1145206</v>
      </c>
      <c r="C666" t="s">
        <v>1335</v>
      </c>
      <c r="D666" t="s">
        <v>1336</v>
      </c>
      <c r="E666">
        <v>150</v>
      </c>
      <c r="F666">
        <v>2063</v>
      </c>
      <c r="G666">
        <v>18</v>
      </c>
      <c r="H666">
        <v>12</v>
      </c>
      <c r="I666">
        <v>2</v>
      </c>
      <c r="J666" t="s">
        <v>32</v>
      </c>
      <c r="K666">
        <v>0.99</v>
      </c>
      <c r="L666">
        <v>1</v>
      </c>
      <c r="M666" t="s">
        <v>20</v>
      </c>
      <c r="N666">
        <f t="shared" si="30"/>
        <v>2</v>
      </c>
      <c r="O666">
        <v>2017</v>
      </c>
      <c r="P666">
        <f t="shared" si="31"/>
        <v>7.6319165130712516</v>
      </c>
      <c r="Q666">
        <f t="shared" si="32"/>
        <v>5.0107019585407988</v>
      </c>
    </row>
    <row r="667" spans="1:17" x14ac:dyDescent="0.3">
      <c r="A667">
        <v>666</v>
      </c>
      <c r="B667">
        <v>954036</v>
      </c>
      <c r="C667" t="s">
        <v>1337</v>
      </c>
      <c r="D667" t="s">
        <v>1338</v>
      </c>
      <c r="E667">
        <v>45</v>
      </c>
      <c r="F667">
        <v>2052</v>
      </c>
      <c r="G667">
        <v>18</v>
      </c>
      <c r="H667">
        <v>8</v>
      </c>
      <c r="I667">
        <v>1</v>
      </c>
      <c r="J667" t="s">
        <v>13</v>
      </c>
      <c r="K667">
        <v>0.99</v>
      </c>
      <c r="L667">
        <v>0.55000000000000004</v>
      </c>
      <c r="M667" t="s">
        <v>20</v>
      </c>
      <c r="N667">
        <f t="shared" si="30"/>
        <v>2</v>
      </c>
      <c r="O667">
        <v>2016</v>
      </c>
      <c r="P667">
        <f t="shared" si="31"/>
        <v>7.6265702062906602</v>
      </c>
      <c r="Q667">
        <f t="shared" si="32"/>
        <v>3.8068846873048412</v>
      </c>
    </row>
    <row r="668" spans="1:17" x14ac:dyDescent="0.3">
      <c r="A668">
        <v>667</v>
      </c>
      <c r="B668">
        <v>45941</v>
      </c>
      <c r="C668" t="s">
        <v>1339</v>
      </c>
      <c r="D668" t="s">
        <v>1340</v>
      </c>
      <c r="E668">
        <v>150</v>
      </c>
      <c r="F668">
        <v>2051</v>
      </c>
      <c r="G668">
        <v>99</v>
      </c>
      <c r="H668">
        <v>76</v>
      </c>
      <c r="I668">
        <v>1</v>
      </c>
      <c r="J668" t="s">
        <v>13</v>
      </c>
      <c r="K668">
        <v>0.99</v>
      </c>
      <c r="L668">
        <v>13</v>
      </c>
      <c r="M668" t="s">
        <v>20</v>
      </c>
      <c r="N668">
        <f t="shared" si="30"/>
        <v>2</v>
      </c>
      <c r="O668">
        <v>2013</v>
      </c>
      <c r="P668">
        <f t="shared" si="31"/>
        <v>7.6260827580723802</v>
      </c>
      <c r="Q668">
        <f t="shared" si="32"/>
        <v>5.0107019585407988</v>
      </c>
    </row>
    <row r="669" spans="1:17" hidden="1" x14ac:dyDescent="0.3">
      <c r="A669">
        <v>668</v>
      </c>
      <c r="B669">
        <v>709180</v>
      </c>
      <c r="C669" t="s">
        <v>1341</v>
      </c>
      <c r="D669" t="s">
        <v>1342</v>
      </c>
      <c r="E669">
        <v>115</v>
      </c>
      <c r="F669">
        <v>2039</v>
      </c>
      <c r="G669">
        <v>7</v>
      </c>
      <c r="H669">
        <v>19</v>
      </c>
      <c r="I669">
        <v>4</v>
      </c>
      <c r="J669" t="s">
        <v>23</v>
      </c>
      <c r="K669">
        <v>0.99</v>
      </c>
      <c r="L669">
        <v>1</v>
      </c>
      <c r="M669" t="s">
        <v>20</v>
      </c>
      <c r="N669">
        <f t="shared" si="30"/>
        <v>2</v>
      </c>
      <c r="O669">
        <v>2015</v>
      </c>
      <c r="P669">
        <f t="shared" si="31"/>
        <v>7.6202147705744547</v>
      </c>
      <c r="Q669">
        <f t="shared" si="32"/>
        <v>4.7450190811044903</v>
      </c>
    </row>
    <row r="670" spans="1:17" hidden="1" x14ac:dyDescent="0.3">
      <c r="A670">
        <v>669</v>
      </c>
      <c r="B670">
        <v>823236</v>
      </c>
      <c r="C670" t="s">
        <v>1343</v>
      </c>
      <c r="D670" t="s">
        <v>1344</v>
      </c>
      <c r="E670">
        <v>20</v>
      </c>
      <c r="F670">
        <v>2025</v>
      </c>
      <c r="G670">
        <v>16</v>
      </c>
      <c r="H670">
        <v>38</v>
      </c>
      <c r="I670">
        <v>4</v>
      </c>
      <c r="J670" t="s">
        <v>23</v>
      </c>
      <c r="K670">
        <v>0.99</v>
      </c>
      <c r="L670">
        <v>2</v>
      </c>
      <c r="M670" t="s">
        <v>20</v>
      </c>
      <c r="N670">
        <f t="shared" si="30"/>
        <v>2</v>
      </c>
      <c r="O670">
        <v>2016</v>
      </c>
      <c r="P670">
        <f t="shared" si="31"/>
        <v>7.6133249795406392</v>
      </c>
      <c r="Q670">
        <f t="shared" si="32"/>
        <v>2.996232148595642</v>
      </c>
    </row>
    <row r="671" spans="1:17" hidden="1" x14ac:dyDescent="0.3">
      <c r="A671">
        <v>670</v>
      </c>
      <c r="B671">
        <v>578900</v>
      </c>
      <c r="C671" t="s">
        <v>1345</v>
      </c>
      <c r="D671" t="s">
        <v>1346</v>
      </c>
      <c r="E671">
        <v>75</v>
      </c>
      <c r="F671">
        <v>2023</v>
      </c>
      <c r="G671">
        <v>8</v>
      </c>
      <c r="H671">
        <v>25</v>
      </c>
      <c r="I671">
        <v>4</v>
      </c>
      <c r="J671" t="s">
        <v>23</v>
      </c>
      <c r="K671">
        <v>0.99</v>
      </c>
      <c r="L671">
        <v>2</v>
      </c>
      <c r="M671" t="s">
        <v>20</v>
      </c>
      <c r="N671">
        <f t="shared" si="30"/>
        <v>2</v>
      </c>
      <c r="O671">
        <v>2015</v>
      </c>
      <c r="P671">
        <f t="shared" si="31"/>
        <v>7.6123368371677458</v>
      </c>
      <c r="Q671">
        <f t="shared" si="32"/>
        <v>4.3176214379815452</v>
      </c>
    </row>
    <row r="672" spans="1:17" x14ac:dyDescent="0.3">
      <c r="A672">
        <v>671</v>
      </c>
      <c r="B672">
        <v>854756</v>
      </c>
      <c r="C672" t="s">
        <v>1347</v>
      </c>
      <c r="D672" t="s">
        <v>1348</v>
      </c>
      <c r="E672">
        <v>55</v>
      </c>
      <c r="F672">
        <v>2012</v>
      </c>
      <c r="G672">
        <v>15</v>
      </c>
      <c r="H672">
        <v>59</v>
      </c>
      <c r="I672">
        <v>1</v>
      </c>
      <c r="J672" t="s">
        <v>13</v>
      </c>
      <c r="K672">
        <v>0.99</v>
      </c>
      <c r="L672">
        <v>3.5</v>
      </c>
      <c r="M672" t="s">
        <v>20</v>
      </c>
      <c r="N672">
        <f t="shared" si="30"/>
        <v>2</v>
      </c>
      <c r="O672">
        <v>2017</v>
      </c>
      <c r="P672">
        <f t="shared" si="31"/>
        <v>7.60688453121963</v>
      </c>
      <c r="Q672">
        <f t="shared" si="32"/>
        <v>4.007514986887367</v>
      </c>
    </row>
    <row r="673" spans="1:17" hidden="1" x14ac:dyDescent="0.3">
      <c r="A673">
        <v>672</v>
      </c>
      <c r="B673">
        <v>758208</v>
      </c>
      <c r="C673" t="s">
        <v>1349</v>
      </c>
      <c r="D673" t="s">
        <v>1350</v>
      </c>
      <c r="E673">
        <v>80</v>
      </c>
      <c r="F673">
        <v>2007</v>
      </c>
      <c r="G673">
        <v>10</v>
      </c>
      <c r="H673">
        <v>113</v>
      </c>
      <c r="I673">
        <v>4</v>
      </c>
      <c r="J673" t="s">
        <v>23</v>
      </c>
      <c r="K673">
        <v>0.99</v>
      </c>
      <c r="L673">
        <v>5.5</v>
      </c>
      <c r="M673" t="s">
        <v>20</v>
      </c>
      <c r="N673">
        <f t="shared" si="30"/>
        <v>2</v>
      </c>
      <c r="O673">
        <v>2016</v>
      </c>
      <c r="P673">
        <f t="shared" si="31"/>
        <v>7.604396348796338</v>
      </c>
      <c r="Q673">
        <f t="shared" si="32"/>
        <v>4.3821516268620329</v>
      </c>
    </row>
    <row r="674" spans="1:17" hidden="1" x14ac:dyDescent="0.3">
      <c r="A674">
        <v>673</v>
      </c>
      <c r="B674">
        <v>447136</v>
      </c>
      <c r="C674" t="s">
        <v>1351</v>
      </c>
      <c r="D674" t="s">
        <v>1352</v>
      </c>
      <c r="E674">
        <v>20</v>
      </c>
      <c r="F674">
        <v>2002</v>
      </c>
      <c r="G674">
        <v>41</v>
      </c>
      <c r="H674">
        <v>31</v>
      </c>
      <c r="I674">
        <v>2</v>
      </c>
      <c r="J674" t="s">
        <v>32</v>
      </c>
      <c r="K674">
        <v>0.99</v>
      </c>
      <c r="L674">
        <v>0.66666667000000002</v>
      </c>
      <c r="M674" t="s">
        <v>20</v>
      </c>
      <c r="N674">
        <f t="shared" si="30"/>
        <v>2</v>
      </c>
      <c r="O674">
        <v>2015</v>
      </c>
      <c r="P674">
        <f t="shared" si="31"/>
        <v>7.6019019598751658</v>
      </c>
      <c r="Q674">
        <f t="shared" si="32"/>
        <v>2.996232148595642</v>
      </c>
    </row>
    <row r="675" spans="1:17" hidden="1" x14ac:dyDescent="0.3">
      <c r="A675">
        <v>674</v>
      </c>
      <c r="B675">
        <v>997964</v>
      </c>
      <c r="C675" t="s">
        <v>1353</v>
      </c>
      <c r="D675" t="s">
        <v>1354</v>
      </c>
      <c r="E675">
        <v>195</v>
      </c>
      <c r="F675">
        <v>1995</v>
      </c>
      <c r="G675">
        <v>286</v>
      </c>
      <c r="H675">
        <v>45</v>
      </c>
      <c r="I675">
        <v>2</v>
      </c>
      <c r="J675" t="s">
        <v>32</v>
      </c>
      <c r="K675">
        <v>0.99</v>
      </c>
      <c r="L675">
        <v>6.5</v>
      </c>
      <c r="M675" t="s">
        <v>20</v>
      </c>
      <c r="N675">
        <f t="shared" si="30"/>
        <v>2</v>
      </c>
      <c r="O675">
        <v>2016</v>
      </c>
      <c r="P675">
        <f t="shared" si="31"/>
        <v>7.5983993293239642</v>
      </c>
      <c r="Q675">
        <f t="shared" si="32"/>
        <v>5.273050839300149</v>
      </c>
    </row>
    <row r="676" spans="1:17" x14ac:dyDescent="0.3">
      <c r="A676">
        <v>675</v>
      </c>
      <c r="B676">
        <v>647564</v>
      </c>
      <c r="C676" t="s">
        <v>1355</v>
      </c>
      <c r="D676" t="s">
        <v>1356</v>
      </c>
      <c r="E676">
        <v>55</v>
      </c>
      <c r="F676">
        <v>1993</v>
      </c>
      <c r="G676">
        <v>55</v>
      </c>
      <c r="H676">
        <v>26</v>
      </c>
      <c r="I676">
        <v>1</v>
      </c>
      <c r="J676" t="s">
        <v>13</v>
      </c>
      <c r="K676">
        <v>0.99</v>
      </c>
      <c r="L676">
        <v>4</v>
      </c>
      <c r="M676" t="s">
        <v>20</v>
      </c>
      <c r="N676">
        <f t="shared" si="30"/>
        <v>2</v>
      </c>
      <c r="O676">
        <v>2016</v>
      </c>
      <c r="P676">
        <f t="shared" si="31"/>
        <v>7.5973963202127948</v>
      </c>
      <c r="Q676">
        <f t="shared" si="32"/>
        <v>4.007514986887367</v>
      </c>
    </row>
    <row r="677" spans="1:17" hidden="1" x14ac:dyDescent="0.3">
      <c r="A677">
        <v>676</v>
      </c>
      <c r="B677">
        <v>405840</v>
      </c>
      <c r="C677" t="s">
        <v>1357</v>
      </c>
      <c r="D677" t="s">
        <v>1358</v>
      </c>
      <c r="E677">
        <v>100</v>
      </c>
      <c r="F677">
        <v>1975</v>
      </c>
      <c r="G677">
        <v>141</v>
      </c>
      <c r="H677">
        <v>36</v>
      </c>
      <c r="I677">
        <v>4</v>
      </c>
      <c r="J677" t="s">
        <v>23</v>
      </c>
      <c r="K677">
        <v>0.86</v>
      </c>
      <c r="L677">
        <v>3</v>
      </c>
      <c r="M677" t="s">
        <v>20</v>
      </c>
      <c r="N677">
        <f t="shared" si="30"/>
        <v>2</v>
      </c>
      <c r="O677">
        <v>2017</v>
      </c>
      <c r="P677">
        <f t="shared" si="31"/>
        <v>7.5883236773352225</v>
      </c>
      <c r="Q677">
        <f t="shared" si="32"/>
        <v>4.6052701809884251</v>
      </c>
    </row>
    <row r="678" spans="1:17" hidden="1" x14ac:dyDescent="0.3">
      <c r="A678">
        <v>677</v>
      </c>
      <c r="B678">
        <v>1004134</v>
      </c>
      <c r="C678" t="s">
        <v>1359</v>
      </c>
      <c r="D678" t="s">
        <v>1360</v>
      </c>
      <c r="E678">
        <v>150</v>
      </c>
      <c r="F678">
        <v>1967</v>
      </c>
      <c r="G678">
        <v>372</v>
      </c>
      <c r="H678">
        <v>60</v>
      </c>
      <c r="I678">
        <v>4</v>
      </c>
      <c r="J678" t="s">
        <v>23</v>
      </c>
      <c r="K678">
        <v>0.42</v>
      </c>
      <c r="L678">
        <v>9</v>
      </c>
      <c r="M678" t="s">
        <v>20</v>
      </c>
      <c r="N678">
        <f t="shared" si="30"/>
        <v>2</v>
      </c>
      <c r="O678">
        <v>2016</v>
      </c>
      <c r="P678">
        <f t="shared" si="31"/>
        <v>7.5842648183890589</v>
      </c>
      <c r="Q678">
        <f t="shared" si="32"/>
        <v>5.0107019585407988</v>
      </c>
    </row>
    <row r="679" spans="1:17" hidden="1" x14ac:dyDescent="0.3">
      <c r="A679">
        <v>678</v>
      </c>
      <c r="B679">
        <v>965870</v>
      </c>
      <c r="C679" t="s">
        <v>1361</v>
      </c>
      <c r="D679" t="s">
        <v>1362</v>
      </c>
      <c r="E679">
        <v>150</v>
      </c>
      <c r="F679">
        <v>1966</v>
      </c>
      <c r="G679">
        <v>359</v>
      </c>
      <c r="H679">
        <v>65</v>
      </c>
      <c r="I679">
        <v>4</v>
      </c>
      <c r="J679" t="s">
        <v>23</v>
      </c>
      <c r="K679">
        <v>0.13</v>
      </c>
      <c r="L679">
        <v>5</v>
      </c>
      <c r="M679" t="s">
        <v>20</v>
      </c>
      <c r="N679">
        <f t="shared" si="30"/>
        <v>2</v>
      </c>
      <c r="O679">
        <v>2016</v>
      </c>
      <c r="P679">
        <f t="shared" si="31"/>
        <v>7.5837563007071118</v>
      </c>
      <c r="Q679">
        <f t="shared" si="32"/>
        <v>5.0107019585407988</v>
      </c>
    </row>
    <row r="680" spans="1:17" hidden="1" x14ac:dyDescent="0.3">
      <c r="A680">
        <v>679</v>
      </c>
      <c r="B680">
        <v>955194</v>
      </c>
      <c r="C680" t="s">
        <v>1363</v>
      </c>
      <c r="D680" t="s">
        <v>1364</v>
      </c>
      <c r="E680">
        <v>40</v>
      </c>
      <c r="F680">
        <v>1950</v>
      </c>
      <c r="G680">
        <v>33</v>
      </c>
      <c r="H680">
        <v>16</v>
      </c>
      <c r="I680">
        <v>4</v>
      </c>
      <c r="J680" t="s">
        <v>23</v>
      </c>
      <c r="K680">
        <v>0.9</v>
      </c>
      <c r="L680">
        <v>1</v>
      </c>
      <c r="M680" t="s">
        <v>20</v>
      </c>
      <c r="N680">
        <f t="shared" si="30"/>
        <v>2</v>
      </c>
      <c r="O680">
        <v>2016</v>
      </c>
      <c r="P680">
        <f t="shared" si="31"/>
        <v>7.5755846515577927</v>
      </c>
      <c r="Q680">
        <f t="shared" si="32"/>
        <v>3.6891294228691436</v>
      </c>
    </row>
    <row r="681" spans="1:17" hidden="1" x14ac:dyDescent="0.3">
      <c r="A681">
        <v>680</v>
      </c>
      <c r="B681">
        <v>606756</v>
      </c>
      <c r="C681" t="s">
        <v>1365</v>
      </c>
      <c r="D681" t="s">
        <v>1366</v>
      </c>
      <c r="E681">
        <v>50</v>
      </c>
      <c r="F681">
        <v>1949</v>
      </c>
      <c r="G681">
        <v>149</v>
      </c>
      <c r="H681">
        <v>102</v>
      </c>
      <c r="I681">
        <v>4</v>
      </c>
      <c r="J681" t="s">
        <v>23</v>
      </c>
      <c r="K681">
        <v>0.13</v>
      </c>
      <c r="L681">
        <v>15.5</v>
      </c>
      <c r="M681" t="s">
        <v>20</v>
      </c>
      <c r="N681">
        <f t="shared" si="30"/>
        <v>2</v>
      </c>
      <c r="O681">
        <v>2015</v>
      </c>
      <c r="P681">
        <f t="shared" si="31"/>
        <v>7.5750716995075607</v>
      </c>
      <c r="Q681">
        <f t="shared" si="32"/>
        <v>3.9122229854308124</v>
      </c>
    </row>
    <row r="682" spans="1:17" hidden="1" x14ac:dyDescent="0.3">
      <c r="A682">
        <v>681</v>
      </c>
      <c r="B682">
        <v>590406</v>
      </c>
      <c r="C682" t="s">
        <v>1367</v>
      </c>
      <c r="D682" t="s">
        <v>1368</v>
      </c>
      <c r="E682">
        <v>20</v>
      </c>
      <c r="F682">
        <v>1948</v>
      </c>
      <c r="G682">
        <v>72</v>
      </c>
      <c r="H682">
        <v>45</v>
      </c>
      <c r="I682">
        <v>4</v>
      </c>
      <c r="J682" t="s">
        <v>23</v>
      </c>
      <c r="K682">
        <v>0.47</v>
      </c>
      <c r="L682">
        <v>5</v>
      </c>
      <c r="M682" t="s">
        <v>20</v>
      </c>
      <c r="N682">
        <f t="shared" si="30"/>
        <v>2</v>
      </c>
      <c r="O682">
        <v>2015</v>
      </c>
      <c r="P682">
        <f t="shared" si="31"/>
        <v>7.5745584842024805</v>
      </c>
      <c r="Q682">
        <f t="shared" si="32"/>
        <v>2.996232148595642</v>
      </c>
    </row>
    <row r="683" spans="1:17" hidden="1" x14ac:dyDescent="0.3">
      <c r="A683">
        <v>682</v>
      </c>
      <c r="B683">
        <v>688872</v>
      </c>
      <c r="C683" t="s">
        <v>1369</v>
      </c>
      <c r="D683" t="s">
        <v>1370</v>
      </c>
      <c r="E683">
        <v>75</v>
      </c>
      <c r="F683">
        <v>1945</v>
      </c>
      <c r="G683">
        <v>58</v>
      </c>
      <c r="H683">
        <v>10</v>
      </c>
      <c r="I683">
        <v>4</v>
      </c>
      <c r="J683" t="s">
        <v>23</v>
      </c>
      <c r="K683">
        <v>0.8</v>
      </c>
      <c r="L683">
        <v>1</v>
      </c>
      <c r="M683" t="s">
        <v>20</v>
      </c>
      <c r="N683">
        <f t="shared" si="30"/>
        <v>2</v>
      </c>
      <c r="O683">
        <v>2015</v>
      </c>
      <c r="P683">
        <f t="shared" si="31"/>
        <v>7.5730172560525464</v>
      </c>
      <c r="Q683">
        <f t="shared" si="32"/>
        <v>4.3176214379815452</v>
      </c>
    </row>
    <row r="684" spans="1:17" x14ac:dyDescent="0.3">
      <c r="A684">
        <v>683</v>
      </c>
      <c r="B684">
        <v>1079078</v>
      </c>
      <c r="C684" t="s">
        <v>1371</v>
      </c>
      <c r="D684" t="s">
        <v>1372</v>
      </c>
      <c r="E684">
        <v>0</v>
      </c>
      <c r="F684">
        <v>1942</v>
      </c>
      <c r="G684">
        <v>23</v>
      </c>
      <c r="H684">
        <v>48</v>
      </c>
      <c r="I684">
        <v>1</v>
      </c>
      <c r="J684" t="s">
        <v>13</v>
      </c>
      <c r="K684">
        <v>0.24</v>
      </c>
      <c r="L684">
        <v>4.5</v>
      </c>
      <c r="M684" t="s">
        <v>14</v>
      </c>
      <c r="N684">
        <f t="shared" si="30"/>
        <v>1</v>
      </c>
      <c r="O684">
        <v>2017</v>
      </c>
      <c r="P684">
        <f t="shared" si="31"/>
        <v>7.5714736488512706</v>
      </c>
      <c r="Q684">
        <f t="shared" si="32"/>
        <v>-4.6051701859880909</v>
      </c>
    </row>
    <row r="685" spans="1:17" x14ac:dyDescent="0.3">
      <c r="A685">
        <v>684</v>
      </c>
      <c r="B685">
        <v>177912</v>
      </c>
      <c r="C685" t="s">
        <v>1373</v>
      </c>
      <c r="D685" t="s">
        <v>1374</v>
      </c>
      <c r="E685">
        <v>50</v>
      </c>
      <c r="F685">
        <v>1936</v>
      </c>
      <c r="G685">
        <v>88</v>
      </c>
      <c r="H685">
        <v>53</v>
      </c>
      <c r="I685">
        <v>1</v>
      </c>
      <c r="J685" t="s">
        <v>13</v>
      </c>
      <c r="K685">
        <v>0.89</v>
      </c>
      <c r="L685">
        <v>5</v>
      </c>
      <c r="M685" t="s">
        <v>20</v>
      </c>
      <c r="N685">
        <f t="shared" si="30"/>
        <v>2</v>
      </c>
      <c r="O685">
        <v>2014</v>
      </c>
      <c r="P685">
        <f t="shared" si="31"/>
        <v>7.568379267836522</v>
      </c>
      <c r="Q685">
        <f t="shared" si="32"/>
        <v>3.9122229854308124</v>
      </c>
    </row>
    <row r="686" spans="1:17" hidden="1" x14ac:dyDescent="0.3">
      <c r="A686">
        <v>685</v>
      </c>
      <c r="B686">
        <v>1198704</v>
      </c>
      <c r="C686" t="s">
        <v>1375</v>
      </c>
      <c r="D686" t="s">
        <v>1376</v>
      </c>
      <c r="E686">
        <v>200</v>
      </c>
      <c r="F686">
        <v>1935</v>
      </c>
      <c r="G686">
        <v>17</v>
      </c>
      <c r="H686">
        <v>10</v>
      </c>
      <c r="I686">
        <v>2</v>
      </c>
      <c r="J686" t="s">
        <v>32</v>
      </c>
      <c r="K686">
        <v>0.87</v>
      </c>
      <c r="L686">
        <v>1</v>
      </c>
      <c r="M686" t="s">
        <v>20</v>
      </c>
      <c r="N686">
        <f t="shared" si="30"/>
        <v>2</v>
      </c>
      <c r="O686">
        <v>2017</v>
      </c>
      <c r="P686">
        <f t="shared" si="31"/>
        <v>7.5678626054638825</v>
      </c>
      <c r="Q686">
        <f t="shared" si="32"/>
        <v>5.2983673652980787</v>
      </c>
    </row>
    <row r="687" spans="1:17" hidden="1" x14ac:dyDescent="0.3">
      <c r="A687">
        <v>686</v>
      </c>
      <c r="B687">
        <v>563020</v>
      </c>
      <c r="C687" t="s">
        <v>1377</v>
      </c>
      <c r="D687" t="s">
        <v>1378</v>
      </c>
      <c r="E687">
        <v>40</v>
      </c>
      <c r="F687">
        <v>1926</v>
      </c>
      <c r="G687">
        <v>9</v>
      </c>
      <c r="H687">
        <v>458</v>
      </c>
      <c r="I687">
        <v>4</v>
      </c>
      <c r="J687" t="s">
        <v>23</v>
      </c>
      <c r="K687">
        <v>0.66</v>
      </c>
      <c r="L687">
        <v>22.5</v>
      </c>
      <c r="M687" t="s">
        <v>20</v>
      </c>
      <c r="N687">
        <f t="shared" si="30"/>
        <v>2</v>
      </c>
      <c r="O687">
        <v>2015</v>
      </c>
      <c r="P687">
        <f t="shared" si="31"/>
        <v>7.5632005923580712</v>
      </c>
      <c r="Q687">
        <f t="shared" si="32"/>
        <v>3.6891294228691436</v>
      </c>
    </row>
    <row r="688" spans="1:17" x14ac:dyDescent="0.3">
      <c r="A688">
        <v>687</v>
      </c>
      <c r="B688">
        <v>1134330</v>
      </c>
      <c r="C688" t="s">
        <v>1379</v>
      </c>
      <c r="D688" t="s">
        <v>1380</v>
      </c>
      <c r="E688">
        <v>70</v>
      </c>
      <c r="F688">
        <v>1925</v>
      </c>
      <c r="G688">
        <v>27</v>
      </c>
      <c r="H688">
        <v>38</v>
      </c>
      <c r="I688">
        <v>1</v>
      </c>
      <c r="J688" t="s">
        <v>13</v>
      </c>
      <c r="K688">
        <v>0.47</v>
      </c>
      <c r="L688">
        <v>2</v>
      </c>
      <c r="M688" t="s">
        <v>20</v>
      </c>
      <c r="N688">
        <f t="shared" si="30"/>
        <v>2</v>
      </c>
      <c r="O688">
        <v>2017</v>
      </c>
      <c r="P688">
        <f t="shared" si="31"/>
        <v>7.5626812467218842</v>
      </c>
      <c r="Q688">
        <f t="shared" si="32"/>
        <v>4.2486380889891064</v>
      </c>
    </row>
    <row r="689" spans="1:17" hidden="1" x14ac:dyDescent="0.3">
      <c r="A689">
        <v>688</v>
      </c>
      <c r="B689">
        <v>1051672</v>
      </c>
      <c r="C689" t="s">
        <v>1381</v>
      </c>
      <c r="D689" t="s">
        <v>1382</v>
      </c>
      <c r="E689">
        <v>25</v>
      </c>
      <c r="F689">
        <v>1908</v>
      </c>
      <c r="G689">
        <v>12</v>
      </c>
      <c r="H689">
        <v>17</v>
      </c>
      <c r="I689">
        <v>4</v>
      </c>
      <c r="J689" t="s">
        <v>23</v>
      </c>
      <c r="K689">
        <v>0.8</v>
      </c>
      <c r="L689">
        <v>1.5</v>
      </c>
      <c r="M689" t="s">
        <v>20</v>
      </c>
      <c r="N689">
        <f t="shared" si="30"/>
        <v>2</v>
      </c>
      <c r="O689">
        <v>2017</v>
      </c>
      <c r="P689">
        <f t="shared" si="31"/>
        <v>7.5538108520082314</v>
      </c>
      <c r="Q689">
        <f t="shared" si="32"/>
        <v>3.2192757448895279</v>
      </c>
    </row>
    <row r="690" spans="1:17" hidden="1" x14ac:dyDescent="0.3">
      <c r="A690">
        <v>689</v>
      </c>
      <c r="B690">
        <v>406820</v>
      </c>
      <c r="C690" t="s">
        <v>1383</v>
      </c>
      <c r="D690" t="s">
        <v>1384</v>
      </c>
      <c r="E690">
        <v>45</v>
      </c>
      <c r="F690">
        <v>1905</v>
      </c>
      <c r="G690">
        <v>228</v>
      </c>
      <c r="H690">
        <v>57</v>
      </c>
      <c r="I690">
        <v>4</v>
      </c>
      <c r="J690" t="s">
        <v>23</v>
      </c>
      <c r="K690">
        <v>0.34</v>
      </c>
      <c r="L690">
        <v>6</v>
      </c>
      <c r="M690" t="s">
        <v>20</v>
      </c>
      <c r="N690">
        <f t="shared" si="30"/>
        <v>2</v>
      </c>
      <c r="O690">
        <v>2015</v>
      </c>
      <c r="P690">
        <f t="shared" si="31"/>
        <v>7.5522372875608017</v>
      </c>
      <c r="Q690">
        <f t="shared" si="32"/>
        <v>3.8068846873048412</v>
      </c>
    </row>
    <row r="691" spans="1:17" x14ac:dyDescent="0.3">
      <c r="A691">
        <v>690</v>
      </c>
      <c r="B691">
        <v>442504</v>
      </c>
      <c r="C691" t="s">
        <v>1385</v>
      </c>
      <c r="D691" t="s">
        <v>1386</v>
      </c>
      <c r="E691">
        <v>20</v>
      </c>
      <c r="F691">
        <v>1904</v>
      </c>
      <c r="G691">
        <v>25</v>
      </c>
      <c r="H691">
        <v>17</v>
      </c>
      <c r="I691">
        <v>1</v>
      </c>
      <c r="J691" t="s">
        <v>13</v>
      </c>
      <c r="K691">
        <v>0.89</v>
      </c>
      <c r="L691">
        <v>0.7</v>
      </c>
      <c r="M691" t="s">
        <v>20</v>
      </c>
      <c r="N691">
        <f t="shared" si="30"/>
        <v>2</v>
      </c>
      <c r="O691">
        <v>2015</v>
      </c>
      <c r="P691">
        <f t="shared" si="31"/>
        <v>7.5517122153513103</v>
      </c>
      <c r="Q691">
        <f t="shared" si="32"/>
        <v>2.996232148595642</v>
      </c>
    </row>
    <row r="692" spans="1:17" hidden="1" x14ac:dyDescent="0.3">
      <c r="A692">
        <v>691</v>
      </c>
      <c r="B692">
        <v>941998</v>
      </c>
      <c r="C692" t="s">
        <v>1387</v>
      </c>
      <c r="D692" t="s">
        <v>1388</v>
      </c>
      <c r="E692">
        <v>165</v>
      </c>
      <c r="F692">
        <v>1902</v>
      </c>
      <c r="G692">
        <v>224</v>
      </c>
      <c r="H692">
        <v>47</v>
      </c>
      <c r="I692">
        <v>2</v>
      </c>
      <c r="J692" t="s">
        <v>32</v>
      </c>
      <c r="K692">
        <v>0.13</v>
      </c>
      <c r="L692">
        <v>5.5</v>
      </c>
      <c r="M692" t="s">
        <v>20</v>
      </c>
      <c r="N692">
        <f t="shared" si="30"/>
        <v>2</v>
      </c>
      <c r="O692">
        <v>2017</v>
      </c>
      <c r="P692">
        <f t="shared" si="31"/>
        <v>7.5506612431053357</v>
      </c>
      <c r="Q692">
        <f t="shared" si="32"/>
        <v>5.1060060781247136</v>
      </c>
    </row>
    <row r="693" spans="1:17" hidden="1" x14ac:dyDescent="0.3">
      <c r="A693">
        <v>692</v>
      </c>
      <c r="B693">
        <v>1011550</v>
      </c>
      <c r="C693" t="s">
        <v>1389</v>
      </c>
      <c r="D693" t="s">
        <v>1390</v>
      </c>
      <c r="E693">
        <v>20</v>
      </c>
      <c r="F693">
        <v>1898</v>
      </c>
      <c r="G693">
        <v>19</v>
      </c>
      <c r="H693">
        <v>31</v>
      </c>
      <c r="I693">
        <v>2</v>
      </c>
      <c r="J693" t="s">
        <v>32</v>
      </c>
      <c r="K693">
        <v>0.19</v>
      </c>
      <c r="L693">
        <v>4</v>
      </c>
      <c r="M693" t="s">
        <v>20</v>
      </c>
      <c r="N693">
        <f t="shared" si="30"/>
        <v>2</v>
      </c>
      <c r="O693">
        <v>2016</v>
      </c>
      <c r="P693">
        <f t="shared" si="31"/>
        <v>7.5485559791698735</v>
      </c>
      <c r="Q693">
        <f t="shared" si="32"/>
        <v>2.996232148595642</v>
      </c>
    </row>
    <row r="694" spans="1:17" x14ac:dyDescent="0.3">
      <c r="A694">
        <v>693</v>
      </c>
      <c r="B694">
        <v>911712</v>
      </c>
      <c r="C694" t="s">
        <v>1391</v>
      </c>
      <c r="D694" t="s">
        <v>1392</v>
      </c>
      <c r="E694">
        <v>20</v>
      </c>
      <c r="F694">
        <v>1894</v>
      </c>
      <c r="G694">
        <v>40</v>
      </c>
      <c r="H694">
        <v>35</v>
      </c>
      <c r="I694">
        <v>1</v>
      </c>
      <c r="J694" t="s">
        <v>13</v>
      </c>
      <c r="K694">
        <v>0.14000000000000001</v>
      </c>
      <c r="L694">
        <v>1.5</v>
      </c>
      <c r="M694" t="s">
        <v>20</v>
      </c>
      <c r="N694">
        <f t="shared" si="30"/>
        <v>2</v>
      </c>
      <c r="O694">
        <v>2016</v>
      </c>
      <c r="P694">
        <f t="shared" si="31"/>
        <v>7.5464462737460236</v>
      </c>
      <c r="Q694">
        <f t="shared" si="32"/>
        <v>2.996232148595642</v>
      </c>
    </row>
    <row r="695" spans="1:17" hidden="1" x14ac:dyDescent="0.3">
      <c r="A695">
        <v>694</v>
      </c>
      <c r="B695">
        <v>861528</v>
      </c>
      <c r="C695" t="s">
        <v>1393</v>
      </c>
      <c r="D695" t="s">
        <v>1394</v>
      </c>
      <c r="E695">
        <v>50</v>
      </c>
      <c r="F695">
        <v>1892</v>
      </c>
      <c r="G695">
        <v>147</v>
      </c>
      <c r="H695">
        <v>24</v>
      </c>
      <c r="I695">
        <v>4</v>
      </c>
      <c r="J695" t="s">
        <v>23</v>
      </c>
      <c r="K695">
        <v>0.06</v>
      </c>
      <c r="L695">
        <v>2.5</v>
      </c>
      <c r="M695" t="s">
        <v>20</v>
      </c>
      <c r="N695">
        <f t="shared" si="30"/>
        <v>2</v>
      </c>
      <c r="O695">
        <v>2016</v>
      </c>
      <c r="P695">
        <f t="shared" si="31"/>
        <v>7.5453897496118234</v>
      </c>
      <c r="Q695">
        <f t="shared" si="32"/>
        <v>3.9122229854308124</v>
      </c>
    </row>
    <row r="696" spans="1:17" x14ac:dyDescent="0.3">
      <c r="A696">
        <v>695</v>
      </c>
      <c r="B696">
        <v>745120</v>
      </c>
      <c r="C696" t="s">
        <v>1395</v>
      </c>
      <c r="D696" t="s">
        <v>1396</v>
      </c>
      <c r="E696">
        <v>200</v>
      </c>
      <c r="F696">
        <v>1874</v>
      </c>
      <c r="G696">
        <v>40</v>
      </c>
      <c r="H696">
        <v>224</v>
      </c>
      <c r="I696">
        <v>1</v>
      </c>
      <c r="J696" t="s">
        <v>13</v>
      </c>
      <c r="K696">
        <v>0.89</v>
      </c>
      <c r="L696">
        <v>44.5</v>
      </c>
      <c r="M696" t="s">
        <v>20</v>
      </c>
      <c r="N696">
        <f t="shared" si="30"/>
        <v>2</v>
      </c>
      <c r="O696">
        <v>2016</v>
      </c>
      <c r="P696">
        <f t="shared" si="31"/>
        <v>7.5358304627983674</v>
      </c>
      <c r="Q696">
        <f t="shared" si="32"/>
        <v>5.2983673652980787</v>
      </c>
    </row>
    <row r="697" spans="1:17" hidden="1" x14ac:dyDescent="0.3">
      <c r="A697">
        <v>696</v>
      </c>
      <c r="B697">
        <v>859936</v>
      </c>
      <c r="C697" t="s">
        <v>1397</v>
      </c>
      <c r="D697" t="s">
        <v>1398</v>
      </c>
      <c r="E697">
        <v>150</v>
      </c>
      <c r="F697">
        <v>1873</v>
      </c>
      <c r="G697">
        <v>360</v>
      </c>
      <c r="H697">
        <v>79</v>
      </c>
      <c r="I697">
        <v>2</v>
      </c>
      <c r="J697" t="s">
        <v>32</v>
      </c>
      <c r="K697">
        <v>0.47</v>
      </c>
      <c r="L697">
        <v>7.5</v>
      </c>
      <c r="M697" t="s">
        <v>20</v>
      </c>
      <c r="N697">
        <f t="shared" si="30"/>
        <v>2</v>
      </c>
      <c r="O697">
        <v>2016</v>
      </c>
      <c r="P697">
        <f t="shared" si="31"/>
        <v>7.5352967024440884</v>
      </c>
      <c r="Q697">
        <f t="shared" si="32"/>
        <v>5.0107019585407988</v>
      </c>
    </row>
    <row r="698" spans="1:17" hidden="1" x14ac:dyDescent="0.3">
      <c r="A698">
        <v>697</v>
      </c>
      <c r="B698">
        <v>807874</v>
      </c>
      <c r="C698" t="s">
        <v>1399</v>
      </c>
      <c r="D698" t="s">
        <v>1400</v>
      </c>
      <c r="E698">
        <v>50</v>
      </c>
      <c r="F698">
        <v>1871</v>
      </c>
      <c r="G698">
        <v>154</v>
      </c>
      <c r="H698">
        <v>60</v>
      </c>
      <c r="I698">
        <v>4</v>
      </c>
      <c r="J698" t="s">
        <v>23</v>
      </c>
      <c r="K698">
        <v>0.67</v>
      </c>
      <c r="L698">
        <v>13.5</v>
      </c>
      <c r="M698" t="s">
        <v>20</v>
      </c>
      <c r="N698">
        <f t="shared" si="30"/>
        <v>2</v>
      </c>
      <c r="O698">
        <v>2016</v>
      </c>
      <c r="P698">
        <f t="shared" si="31"/>
        <v>7.5342283262740892</v>
      </c>
      <c r="Q698">
        <f t="shared" si="32"/>
        <v>3.9122229854308124</v>
      </c>
    </row>
    <row r="699" spans="1:17" x14ac:dyDescent="0.3">
      <c r="A699">
        <v>698</v>
      </c>
      <c r="B699">
        <v>937586</v>
      </c>
      <c r="C699" t="s">
        <v>1401</v>
      </c>
      <c r="D699" t="s">
        <v>1402</v>
      </c>
      <c r="E699">
        <v>200</v>
      </c>
      <c r="F699">
        <v>1870</v>
      </c>
      <c r="G699">
        <v>193</v>
      </c>
      <c r="H699">
        <v>145</v>
      </c>
      <c r="I699">
        <v>1</v>
      </c>
      <c r="J699" t="s">
        <v>13</v>
      </c>
      <c r="K699">
        <v>0.9</v>
      </c>
      <c r="L699">
        <v>14.5</v>
      </c>
      <c r="M699" t="s">
        <v>20</v>
      </c>
      <c r="N699">
        <f t="shared" si="30"/>
        <v>2</v>
      </c>
      <c r="O699">
        <v>2016</v>
      </c>
      <c r="P699">
        <f t="shared" si="31"/>
        <v>7.5336937098486327</v>
      </c>
      <c r="Q699">
        <f t="shared" si="32"/>
        <v>5.2983673652980787</v>
      </c>
    </row>
    <row r="700" spans="1:17" hidden="1" x14ac:dyDescent="0.3">
      <c r="A700">
        <v>699</v>
      </c>
      <c r="B700">
        <v>130694</v>
      </c>
      <c r="C700" t="s">
        <v>1403</v>
      </c>
      <c r="D700" t="s">
        <v>1404</v>
      </c>
      <c r="E700">
        <v>20</v>
      </c>
      <c r="F700">
        <v>1867</v>
      </c>
      <c r="G700">
        <v>19</v>
      </c>
      <c r="H700">
        <v>8</v>
      </c>
      <c r="I700">
        <v>4</v>
      </c>
      <c r="J700" t="s">
        <v>23</v>
      </c>
      <c r="K700">
        <v>0.78</v>
      </c>
      <c r="L700">
        <v>0.61666666999999997</v>
      </c>
      <c r="M700" t="s">
        <v>20</v>
      </c>
      <c r="N700">
        <f t="shared" si="30"/>
        <v>2</v>
      </c>
      <c r="O700">
        <v>2013</v>
      </c>
      <c r="P700">
        <f t="shared" si="31"/>
        <v>7.5320881435417224</v>
      </c>
      <c r="Q700">
        <f t="shared" si="32"/>
        <v>2.996232148595642</v>
      </c>
    </row>
    <row r="701" spans="1:17" hidden="1" x14ac:dyDescent="0.3">
      <c r="A701">
        <v>700</v>
      </c>
      <c r="B701">
        <v>997916</v>
      </c>
      <c r="C701" t="s">
        <v>1405</v>
      </c>
      <c r="D701" t="s">
        <v>1406</v>
      </c>
      <c r="E701">
        <v>140</v>
      </c>
      <c r="F701">
        <v>1858</v>
      </c>
      <c r="G701">
        <v>110</v>
      </c>
      <c r="H701">
        <v>52</v>
      </c>
      <c r="I701">
        <v>4</v>
      </c>
      <c r="J701" t="s">
        <v>23</v>
      </c>
      <c r="K701">
        <v>0.3</v>
      </c>
      <c r="L701">
        <v>2.5</v>
      </c>
      <c r="M701" t="s">
        <v>20</v>
      </c>
      <c r="N701">
        <f t="shared" si="30"/>
        <v>2</v>
      </c>
      <c r="O701">
        <v>2016</v>
      </c>
      <c r="P701">
        <f t="shared" si="31"/>
        <v>7.5272559193737836</v>
      </c>
      <c r="Q701">
        <f t="shared" si="32"/>
        <v>4.941713848629834</v>
      </c>
    </row>
    <row r="702" spans="1:17" x14ac:dyDescent="0.3">
      <c r="A702">
        <v>701</v>
      </c>
      <c r="B702">
        <v>524248</v>
      </c>
      <c r="C702" t="s">
        <v>1407</v>
      </c>
      <c r="D702" t="s">
        <v>1408</v>
      </c>
      <c r="E702">
        <v>100</v>
      </c>
      <c r="F702">
        <v>1853</v>
      </c>
      <c r="G702">
        <v>34</v>
      </c>
      <c r="H702">
        <v>39</v>
      </c>
      <c r="I702">
        <v>1</v>
      </c>
      <c r="J702" t="s">
        <v>13</v>
      </c>
      <c r="K702">
        <v>0.24</v>
      </c>
      <c r="L702">
        <v>2</v>
      </c>
      <c r="M702" t="s">
        <v>20</v>
      </c>
      <c r="N702">
        <f t="shared" si="30"/>
        <v>2</v>
      </c>
      <c r="O702">
        <v>2015</v>
      </c>
      <c r="P702">
        <f t="shared" si="31"/>
        <v>7.5245612262853596</v>
      </c>
      <c r="Q702">
        <f t="shared" si="32"/>
        <v>4.6052701809884251</v>
      </c>
    </row>
    <row r="703" spans="1:17" hidden="1" x14ac:dyDescent="0.3">
      <c r="A703">
        <v>702</v>
      </c>
      <c r="B703">
        <v>904076</v>
      </c>
      <c r="C703" t="s">
        <v>1409</v>
      </c>
      <c r="D703" t="s">
        <v>1410</v>
      </c>
      <c r="E703">
        <v>200</v>
      </c>
      <c r="F703">
        <v>1849</v>
      </c>
      <c r="G703">
        <v>21</v>
      </c>
      <c r="H703">
        <v>83</v>
      </c>
      <c r="I703">
        <v>4</v>
      </c>
      <c r="J703" t="s">
        <v>23</v>
      </c>
      <c r="K703">
        <v>0.89</v>
      </c>
      <c r="L703">
        <v>3</v>
      </c>
      <c r="M703" t="s">
        <v>20</v>
      </c>
      <c r="N703">
        <f t="shared" si="30"/>
        <v>2</v>
      </c>
      <c r="O703">
        <v>2016</v>
      </c>
      <c r="P703">
        <f t="shared" si="31"/>
        <v>7.5224002313871248</v>
      </c>
      <c r="Q703">
        <f t="shared" si="32"/>
        <v>5.2983673652980787</v>
      </c>
    </row>
    <row r="704" spans="1:17" hidden="1" x14ac:dyDescent="0.3">
      <c r="A704">
        <v>703</v>
      </c>
      <c r="B704">
        <v>343816</v>
      </c>
      <c r="C704" t="s">
        <v>1411</v>
      </c>
      <c r="D704" t="s">
        <v>1412</v>
      </c>
      <c r="E704">
        <v>55</v>
      </c>
      <c r="F704">
        <v>1849</v>
      </c>
      <c r="G704">
        <v>29</v>
      </c>
      <c r="H704">
        <v>24</v>
      </c>
      <c r="I704">
        <v>4</v>
      </c>
      <c r="J704" t="s">
        <v>23</v>
      </c>
      <c r="K704">
        <v>0.89</v>
      </c>
      <c r="L704">
        <v>3</v>
      </c>
      <c r="M704" t="s">
        <v>20</v>
      </c>
      <c r="N704">
        <f t="shared" si="30"/>
        <v>2</v>
      </c>
      <c r="O704">
        <v>2014</v>
      </c>
      <c r="P704">
        <f t="shared" si="31"/>
        <v>7.5224002313871248</v>
      </c>
      <c r="Q704">
        <f t="shared" si="32"/>
        <v>4.007514986887367</v>
      </c>
    </row>
    <row r="705" spans="1:17" hidden="1" x14ac:dyDescent="0.3">
      <c r="A705">
        <v>704</v>
      </c>
      <c r="B705">
        <v>882128</v>
      </c>
      <c r="C705" t="s">
        <v>1413</v>
      </c>
      <c r="D705" t="s">
        <v>1414</v>
      </c>
      <c r="E705">
        <v>195</v>
      </c>
      <c r="F705">
        <v>1839</v>
      </c>
      <c r="G705">
        <v>91</v>
      </c>
      <c r="H705">
        <v>47</v>
      </c>
      <c r="I705">
        <v>4</v>
      </c>
      <c r="J705" t="s">
        <v>23</v>
      </c>
      <c r="K705">
        <v>0.6</v>
      </c>
      <c r="L705">
        <v>5</v>
      </c>
      <c r="M705" t="s">
        <v>20</v>
      </c>
      <c r="N705">
        <f t="shared" si="30"/>
        <v>2</v>
      </c>
      <c r="O705">
        <v>2016</v>
      </c>
      <c r="P705">
        <f t="shared" si="31"/>
        <v>7.5169772246043207</v>
      </c>
      <c r="Q705">
        <f t="shared" si="32"/>
        <v>5.273050839300149</v>
      </c>
    </row>
    <row r="706" spans="1:17" hidden="1" x14ac:dyDescent="0.3">
      <c r="A706">
        <v>705</v>
      </c>
      <c r="B706">
        <v>945336</v>
      </c>
      <c r="C706" t="s">
        <v>1415</v>
      </c>
      <c r="D706" t="s">
        <v>1416</v>
      </c>
      <c r="E706">
        <v>100</v>
      </c>
      <c r="F706">
        <v>1838</v>
      </c>
      <c r="G706">
        <v>169</v>
      </c>
      <c r="H706">
        <v>31</v>
      </c>
      <c r="I706">
        <v>4</v>
      </c>
      <c r="J706" t="s">
        <v>23</v>
      </c>
      <c r="K706">
        <v>0.36</v>
      </c>
      <c r="L706">
        <v>3</v>
      </c>
      <c r="M706" t="s">
        <v>20</v>
      </c>
      <c r="N706">
        <f t="shared" ref="N706:N769" si="33">IF(M706="Free",1,IF(M706="Paid",2,0))</f>
        <v>2</v>
      </c>
      <c r="O706">
        <v>2016</v>
      </c>
      <c r="P706">
        <f t="shared" ref="P706:P769" si="34">LN(F706)</f>
        <v>7.5164333029156323</v>
      </c>
      <c r="Q706">
        <f t="shared" ref="Q706:Q769" si="35">LN(E706+0.01)</f>
        <v>4.6052701809884251</v>
      </c>
    </row>
    <row r="707" spans="1:17" hidden="1" x14ac:dyDescent="0.3">
      <c r="A707">
        <v>706</v>
      </c>
      <c r="B707">
        <v>261148</v>
      </c>
      <c r="C707" t="s">
        <v>1417</v>
      </c>
      <c r="D707" t="s">
        <v>1418</v>
      </c>
      <c r="E707">
        <v>20</v>
      </c>
      <c r="F707">
        <v>1832</v>
      </c>
      <c r="G707">
        <v>6</v>
      </c>
      <c r="H707">
        <v>12</v>
      </c>
      <c r="I707">
        <v>4</v>
      </c>
      <c r="J707" t="s">
        <v>23</v>
      </c>
      <c r="K707">
        <v>0.17</v>
      </c>
      <c r="L707">
        <v>1.5</v>
      </c>
      <c r="M707" t="s">
        <v>20</v>
      </c>
      <c r="N707">
        <f t="shared" si="33"/>
        <v>2</v>
      </c>
      <c r="O707">
        <v>2014</v>
      </c>
      <c r="P707">
        <f t="shared" si="34"/>
        <v>7.5131635452340753</v>
      </c>
      <c r="Q707">
        <f t="shared" si="35"/>
        <v>2.996232148595642</v>
      </c>
    </row>
    <row r="708" spans="1:17" x14ac:dyDescent="0.3">
      <c r="A708">
        <v>707</v>
      </c>
      <c r="B708">
        <v>1128050</v>
      </c>
      <c r="C708" t="s">
        <v>1419</v>
      </c>
      <c r="D708" t="s">
        <v>1420</v>
      </c>
      <c r="E708">
        <v>200</v>
      </c>
      <c r="F708">
        <v>1827</v>
      </c>
      <c r="G708">
        <v>129</v>
      </c>
      <c r="H708">
        <v>66</v>
      </c>
      <c r="I708">
        <v>1</v>
      </c>
      <c r="J708" t="s">
        <v>13</v>
      </c>
      <c r="K708">
        <v>0.55000000000000004</v>
      </c>
      <c r="L708">
        <v>20.5</v>
      </c>
      <c r="M708" t="s">
        <v>20</v>
      </c>
      <c r="N708">
        <f t="shared" si="33"/>
        <v>2</v>
      </c>
      <c r="O708">
        <v>2017</v>
      </c>
      <c r="P708">
        <f t="shared" si="34"/>
        <v>7.5104305563780063</v>
      </c>
      <c r="Q708">
        <f t="shared" si="35"/>
        <v>5.2983673652980787</v>
      </c>
    </row>
    <row r="709" spans="1:17" hidden="1" x14ac:dyDescent="0.3">
      <c r="A709">
        <v>708</v>
      </c>
      <c r="B709">
        <v>1013314</v>
      </c>
      <c r="C709" t="s">
        <v>1421</v>
      </c>
      <c r="D709" t="s">
        <v>1422</v>
      </c>
      <c r="E709">
        <v>100</v>
      </c>
      <c r="F709">
        <v>1825</v>
      </c>
      <c r="G709">
        <v>17</v>
      </c>
      <c r="H709">
        <v>58</v>
      </c>
      <c r="I709">
        <v>4</v>
      </c>
      <c r="J709" t="s">
        <v>23</v>
      </c>
      <c r="K709">
        <v>0.99</v>
      </c>
      <c r="L709">
        <v>3.5</v>
      </c>
      <c r="M709" t="s">
        <v>20</v>
      </c>
      <c r="N709">
        <f t="shared" si="33"/>
        <v>2</v>
      </c>
      <c r="O709">
        <v>2016</v>
      </c>
      <c r="P709">
        <f t="shared" si="34"/>
        <v>7.509335266016592</v>
      </c>
      <c r="Q709">
        <f t="shared" si="35"/>
        <v>4.6052701809884251</v>
      </c>
    </row>
    <row r="710" spans="1:17" hidden="1" x14ac:dyDescent="0.3">
      <c r="A710">
        <v>709</v>
      </c>
      <c r="B710">
        <v>1172740</v>
      </c>
      <c r="C710" t="s">
        <v>1423</v>
      </c>
      <c r="D710" t="s">
        <v>1424</v>
      </c>
      <c r="E710">
        <v>90</v>
      </c>
      <c r="F710">
        <v>1822</v>
      </c>
      <c r="G710">
        <v>4</v>
      </c>
      <c r="H710">
        <v>25</v>
      </c>
      <c r="I710">
        <v>4</v>
      </c>
      <c r="J710" t="s">
        <v>23</v>
      </c>
      <c r="K710">
        <v>0.11</v>
      </c>
      <c r="L710">
        <v>2</v>
      </c>
      <c r="M710" t="s">
        <v>20</v>
      </c>
      <c r="N710">
        <f t="shared" si="33"/>
        <v>2</v>
      </c>
      <c r="O710">
        <v>2017</v>
      </c>
      <c r="P710">
        <f t="shared" si="34"/>
        <v>7.5076900778199036</v>
      </c>
      <c r="Q710">
        <f t="shared" si="35"/>
        <v>4.4999207752689943</v>
      </c>
    </row>
    <row r="711" spans="1:17" x14ac:dyDescent="0.3">
      <c r="A711">
        <v>710</v>
      </c>
      <c r="B711">
        <v>530092</v>
      </c>
      <c r="C711" t="s">
        <v>1425</v>
      </c>
      <c r="D711" t="s">
        <v>1426</v>
      </c>
      <c r="E711">
        <v>95</v>
      </c>
      <c r="F711">
        <v>1815</v>
      </c>
      <c r="G711">
        <v>249</v>
      </c>
      <c r="H711">
        <v>42</v>
      </c>
      <c r="I711">
        <v>1</v>
      </c>
      <c r="J711" t="s">
        <v>13</v>
      </c>
      <c r="K711">
        <v>0.75</v>
      </c>
      <c r="L711">
        <v>5</v>
      </c>
      <c r="M711" t="s">
        <v>20</v>
      </c>
      <c r="N711">
        <f t="shared" si="33"/>
        <v>2</v>
      </c>
      <c r="O711">
        <v>2015</v>
      </c>
      <c r="P711">
        <f t="shared" si="34"/>
        <v>7.503840746698951</v>
      </c>
      <c r="Q711">
        <f t="shared" si="35"/>
        <v>4.5539821492186583</v>
      </c>
    </row>
    <row r="712" spans="1:17" hidden="1" x14ac:dyDescent="0.3">
      <c r="A712">
        <v>711</v>
      </c>
      <c r="B712">
        <v>833182</v>
      </c>
      <c r="C712" t="s">
        <v>1427</v>
      </c>
      <c r="D712" t="s">
        <v>1428</v>
      </c>
      <c r="E712">
        <v>35</v>
      </c>
      <c r="F712">
        <v>1812</v>
      </c>
      <c r="G712">
        <v>112</v>
      </c>
      <c r="H712">
        <v>7</v>
      </c>
      <c r="I712">
        <v>4</v>
      </c>
      <c r="J712" t="s">
        <v>23</v>
      </c>
      <c r="K712">
        <v>1</v>
      </c>
      <c r="L712">
        <v>0.61666666999999997</v>
      </c>
      <c r="M712" t="s">
        <v>20</v>
      </c>
      <c r="N712">
        <f t="shared" si="33"/>
        <v>2</v>
      </c>
      <c r="O712">
        <v>2016</v>
      </c>
      <c r="P712">
        <f t="shared" si="34"/>
        <v>7.5021864866029242</v>
      </c>
      <c r="Q712">
        <f t="shared" si="35"/>
        <v>3.5556337349665741</v>
      </c>
    </row>
    <row r="713" spans="1:17" hidden="1" x14ac:dyDescent="0.3">
      <c r="A713">
        <v>712</v>
      </c>
      <c r="B713">
        <v>446736</v>
      </c>
      <c r="C713" t="s">
        <v>1429</v>
      </c>
      <c r="D713" t="s">
        <v>1430</v>
      </c>
      <c r="E713">
        <v>95</v>
      </c>
      <c r="F713">
        <v>1811</v>
      </c>
      <c r="G713">
        <v>118</v>
      </c>
      <c r="H713">
        <v>36</v>
      </c>
      <c r="I713">
        <v>2</v>
      </c>
      <c r="J713" t="s">
        <v>32</v>
      </c>
      <c r="K713">
        <v>0.24</v>
      </c>
      <c r="L713">
        <v>3.5</v>
      </c>
      <c r="M713" t="s">
        <v>20</v>
      </c>
      <c r="N713">
        <f t="shared" si="33"/>
        <v>2</v>
      </c>
      <c r="O713">
        <v>2015</v>
      </c>
      <c r="P713">
        <f t="shared" si="34"/>
        <v>7.5016344578834131</v>
      </c>
      <c r="Q713">
        <f t="shared" si="35"/>
        <v>4.5539821492186583</v>
      </c>
    </row>
    <row r="714" spans="1:17" hidden="1" x14ac:dyDescent="0.3">
      <c r="A714">
        <v>713</v>
      </c>
      <c r="B714">
        <v>1256136</v>
      </c>
      <c r="C714" t="s">
        <v>1431</v>
      </c>
      <c r="D714" t="s">
        <v>1432</v>
      </c>
      <c r="E714">
        <v>20</v>
      </c>
      <c r="F714">
        <v>1802</v>
      </c>
      <c r="G714">
        <v>13</v>
      </c>
      <c r="H714">
        <v>8</v>
      </c>
      <c r="I714">
        <v>4</v>
      </c>
      <c r="J714" t="s">
        <v>23</v>
      </c>
      <c r="K714">
        <v>0.79</v>
      </c>
      <c r="L714">
        <v>1</v>
      </c>
      <c r="M714" t="s">
        <v>20</v>
      </c>
      <c r="N714">
        <f t="shared" si="33"/>
        <v>2</v>
      </c>
      <c r="O714">
        <v>2017</v>
      </c>
      <c r="P714">
        <f t="shared" si="34"/>
        <v>7.4966524381682831</v>
      </c>
      <c r="Q714">
        <f t="shared" si="35"/>
        <v>2.996232148595642</v>
      </c>
    </row>
    <row r="715" spans="1:17" hidden="1" x14ac:dyDescent="0.3">
      <c r="A715">
        <v>714</v>
      </c>
      <c r="B715">
        <v>1211960</v>
      </c>
      <c r="C715" t="s">
        <v>1433</v>
      </c>
      <c r="D715" t="s">
        <v>1434</v>
      </c>
      <c r="E715">
        <v>120</v>
      </c>
      <c r="F715">
        <v>1798</v>
      </c>
      <c r="G715">
        <v>20</v>
      </c>
      <c r="H715">
        <v>24</v>
      </c>
      <c r="I715">
        <v>4</v>
      </c>
      <c r="J715" t="s">
        <v>23</v>
      </c>
      <c r="K715">
        <v>0.15</v>
      </c>
      <c r="L715">
        <v>1.5</v>
      </c>
      <c r="M715" t="s">
        <v>20</v>
      </c>
      <c r="N715">
        <f t="shared" si="33"/>
        <v>2</v>
      </c>
      <c r="O715">
        <v>2017</v>
      </c>
      <c r="P715">
        <f t="shared" si="34"/>
        <v>7.4944302150315654</v>
      </c>
      <c r="Q715">
        <f t="shared" si="35"/>
        <v>4.7875750726433504</v>
      </c>
    </row>
    <row r="716" spans="1:17" hidden="1" x14ac:dyDescent="0.3">
      <c r="A716">
        <v>715</v>
      </c>
      <c r="B716">
        <v>400280</v>
      </c>
      <c r="C716" t="s">
        <v>1435</v>
      </c>
      <c r="D716" t="s">
        <v>1436</v>
      </c>
      <c r="E716">
        <v>45</v>
      </c>
      <c r="F716">
        <v>1783</v>
      </c>
      <c r="G716">
        <v>16</v>
      </c>
      <c r="H716">
        <v>15</v>
      </c>
      <c r="I716">
        <v>4</v>
      </c>
      <c r="J716" t="s">
        <v>23</v>
      </c>
      <c r="K716">
        <v>0.71</v>
      </c>
      <c r="L716">
        <v>0.6</v>
      </c>
      <c r="M716" t="s">
        <v>20</v>
      </c>
      <c r="N716">
        <f t="shared" si="33"/>
        <v>2</v>
      </c>
      <c r="O716">
        <v>2015</v>
      </c>
      <c r="P716">
        <f t="shared" si="34"/>
        <v>7.4860526178631401</v>
      </c>
      <c r="Q716">
        <f t="shared" si="35"/>
        <v>3.8068846873048412</v>
      </c>
    </row>
    <row r="717" spans="1:17" hidden="1" x14ac:dyDescent="0.3">
      <c r="A717">
        <v>716</v>
      </c>
      <c r="B717">
        <v>413494</v>
      </c>
      <c r="C717" t="s">
        <v>1437</v>
      </c>
      <c r="D717" t="s">
        <v>1438</v>
      </c>
      <c r="E717">
        <v>25</v>
      </c>
      <c r="F717">
        <v>1780</v>
      </c>
      <c r="G717">
        <v>69</v>
      </c>
      <c r="H717">
        <v>21</v>
      </c>
      <c r="I717">
        <v>2</v>
      </c>
      <c r="J717" t="s">
        <v>32</v>
      </c>
      <c r="K717">
        <v>0.83</v>
      </c>
      <c r="L717">
        <v>1.5</v>
      </c>
      <c r="M717" t="s">
        <v>20</v>
      </c>
      <c r="N717">
        <f t="shared" si="33"/>
        <v>2</v>
      </c>
      <c r="O717">
        <v>2015</v>
      </c>
      <c r="P717">
        <f t="shared" si="34"/>
        <v>7.4843686432861309</v>
      </c>
      <c r="Q717">
        <f t="shared" si="35"/>
        <v>3.2192757448895279</v>
      </c>
    </row>
    <row r="718" spans="1:17" x14ac:dyDescent="0.3">
      <c r="A718">
        <v>717</v>
      </c>
      <c r="B718">
        <v>669346</v>
      </c>
      <c r="C718" t="s">
        <v>1439</v>
      </c>
      <c r="D718" t="s">
        <v>1440</v>
      </c>
      <c r="E718">
        <v>20</v>
      </c>
      <c r="F718">
        <v>1780</v>
      </c>
      <c r="G718">
        <v>15</v>
      </c>
      <c r="H718">
        <v>6</v>
      </c>
      <c r="I718">
        <v>1</v>
      </c>
      <c r="J718" t="s">
        <v>13</v>
      </c>
      <c r="K718">
        <v>0.7</v>
      </c>
      <c r="L718">
        <v>0.6</v>
      </c>
      <c r="M718" t="s">
        <v>20</v>
      </c>
      <c r="N718">
        <f t="shared" si="33"/>
        <v>2</v>
      </c>
      <c r="O718">
        <v>2015</v>
      </c>
      <c r="P718">
        <f t="shared" si="34"/>
        <v>7.4843686432861309</v>
      </c>
      <c r="Q718">
        <f t="shared" si="35"/>
        <v>2.996232148595642</v>
      </c>
    </row>
    <row r="719" spans="1:17" hidden="1" x14ac:dyDescent="0.3">
      <c r="A719">
        <v>718</v>
      </c>
      <c r="B719">
        <v>212394</v>
      </c>
      <c r="C719" t="s">
        <v>1441</v>
      </c>
      <c r="D719" t="s">
        <v>1442</v>
      </c>
      <c r="E719">
        <v>55</v>
      </c>
      <c r="F719">
        <v>1779</v>
      </c>
      <c r="G719">
        <v>48</v>
      </c>
      <c r="H719">
        <v>16</v>
      </c>
      <c r="I719">
        <v>4</v>
      </c>
      <c r="J719" t="s">
        <v>23</v>
      </c>
      <c r="K719">
        <v>0.18</v>
      </c>
      <c r="L719">
        <v>1</v>
      </c>
      <c r="M719" t="s">
        <v>20</v>
      </c>
      <c r="N719">
        <f t="shared" si="33"/>
        <v>2</v>
      </c>
      <c r="O719">
        <v>2014</v>
      </c>
      <c r="P719">
        <f t="shared" si="34"/>
        <v>7.4838066876658349</v>
      </c>
      <c r="Q719">
        <f t="shared" si="35"/>
        <v>4.007514986887367</v>
      </c>
    </row>
    <row r="720" spans="1:17" hidden="1" x14ac:dyDescent="0.3">
      <c r="A720">
        <v>719</v>
      </c>
      <c r="B720">
        <v>981600</v>
      </c>
      <c r="C720" t="s">
        <v>1443</v>
      </c>
      <c r="D720" t="s">
        <v>1444</v>
      </c>
      <c r="E720">
        <v>30</v>
      </c>
      <c r="F720">
        <v>1777</v>
      </c>
      <c r="G720">
        <v>35</v>
      </c>
      <c r="H720">
        <v>48</v>
      </c>
      <c r="I720">
        <v>4</v>
      </c>
      <c r="J720" t="s">
        <v>23</v>
      </c>
      <c r="K720">
        <v>0.72</v>
      </c>
      <c r="L720">
        <v>6.5</v>
      </c>
      <c r="M720" t="s">
        <v>20</v>
      </c>
      <c r="N720">
        <f t="shared" si="33"/>
        <v>2</v>
      </c>
      <c r="O720">
        <v>2017</v>
      </c>
      <c r="P720">
        <f t="shared" si="34"/>
        <v>7.482681828154651</v>
      </c>
      <c r="Q720">
        <f t="shared" si="35"/>
        <v>3.4015306594522756</v>
      </c>
    </row>
    <row r="721" spans="1:17" x14ac:dyDescent="0.3">
      <c r="A721">
        <v>720</v>
      </c>
      <c r="B721">
        <v>651032</v>
      </c>
      <c r="C721" t="s">
        <v>1445</v>
      </c>
      <c r="D721" t="s">
        <v>1446</v>
      </c>
      <c r="E721">
        <v>30</v>
      </c>
      <c r="F721">
        <v>1772</v>
      </c>
      <c r="G721">
        <v>13</v>
      </c>
      <c r="H721">
        <v>48</v>
      </c>
      <c r="I721">
        <v>1</v>
      </c>
      <c r="J721" t="s">
        <v>13</v>
      </c>
      <c r="K721">
        <v>0.76</v>
      </c>
      <c r="L721">
        <v>2.5</v>
      </c>
      <c r="M721" t="s">
        <v>20</v>
      </c>
      <c r="N721">
        <f t="shared" si="33"/>
        <v>2</v>
      </c>
      <c r="O721">
        <v>2015</v>
      </c>
      <c r="P721">
        <f t="shared" si="34"/>
        <v>7.4798641311650265</v>
      </c>
      <c r="Q721">
        <f t="shared" si="35"/>
        <v>3.4015306594522756</v>
      </c>
    </row>
    <row r="722" spans="1:17" x14ac:dyDescent="0.3">
      <c r="A722">
        <v>721</v>
      </c>
      <c r="B722">
        <v>710486</v>
      </c>
      <c r="C722" t="s">
        <v>1447</v>
      </c>
      <c r="D722" t="s">
        <v>1448</v>
      </c>
      <c r="E722">
        <v>20</v>
      </c>
      <c r="F722">
        <v>1769</v>
      </c>
      <c r="G722">
        <v>49</v>
      </c>
      <c r="H722">
        <v>7</v>
      </c>
      <c r="I722">
        <v>1</v>
      </c>
      <c r="J722" t="s">
        <v>13</v>
      </c>
      <c r="K722">
        <v>0.78</v>
      </c>
      <c r="L722">
        <v>0.58333332999999998</v>
      </c>
      <c r="M722" t="s">
        <v>20</v>
      </c>
      <c r="N722">
        <f t="shared" si="33"/>
        <v>2</v>
      </c>
      <c r="O722">
        <v>2015</v>
      </c>
      <c r="P722">
        <f t="shared" si="34"/>
        <v>7.4781696941597851</v>
      </c>
      <c r="Q722">
        <f t="shared" si="35"/>
        <v>2.996232148595642</v>
      </c>
    </row>
    <row r="723" spans="1:17" hidden="1" x14ac:dyDescent="0.3">
      <c r="A723">
        <v>722</v>
      </c>
      <c r="B723">
        <v>420982</v>
      </c>
      <c r="C723" t="s">
        <v>1449</v>
      </c>
      <c r="D723" t="s">
        <v>1450</v>
      </c>
      <c r="E723">
        <v>195</v>
      </c>
      <c r="F723">
        <v>1766</v>
      </c>
      <c r="G723">
        <v>38</v>
      </c>
      <c r="H723">
        <v>118</v>
      </c>
      <c r="I723">
        <v>4</v>
      </c>
      <c r="J723" t="s">
        <v>23</v>
      </c>
      <c r="K723">
        <v>0.78</v>
      </c>
      <c r="L723">
        <v>18.5</v>
      </c>
      <c r="M723" t="s">
        <v>20</v>
      </c>
      <c r="N723">
        <f t="shared" si="33"/>
        <v>2</v>
      </c>
      <c r="O723">
        <v>2015</v>
      </c>
      <c r="P723">
        <f t="shared" si="34"/>
        <v>7.4764723811639051</v>
      </c>
      <c r="Q723">
        <f t="shared" si="35"/>
        <v>5.273050839300149</v>
      </c>
    </row>
    <row r="724" spans="1:17" x14ac:dyDescent="0.3">
      <c r="A724">
        <v>723</v>
      </c>
      <c r="B724">
        <v>902748</v>
      </c>
      <c r="C724" t="s">
        <v>1451</v>
      </c>
      <c r="D724" t="s">
        <v>1452</v>
      </c>
      <c r="E724">
        <v>45</v>
      </c>
      <c r="F724">
        <v>1764</v>
      </c>
      <c r="G724">
        <v>33</v>
      </c>
      <c r="H724">
        <v>16</v>
      </c>
      <c r="I724">
        <v>1</v>
      </c>
      <c r="J724" t="s">
        <v>13</v>
      </c>
      <c r="K724">
        <v>0.78</v>
      </c>
      <c r="L724">
        <v>1.5</v>
      </c>
      <c r="M724" t="s">
        <v>20</v>
      </c>
      <c r="N724">
        <f t="shared" si="33"/>
        <v>2</v>
      </c>
      <c r="O724">
        <v>2016</v>
      </c>
      <c r="P724">
        <f t="shared" si="34"/>
        <v>7.4753392365667368</v>
      </c>
      <c r="Q724">
        <f t="shared" si="35"/>
        <v>3.8068846873048412</v>
      </c>
    </row>
    <row r="725" spans="1:17" hidden="1" x14ac:dyDescent="0.3">
      <c r="A725">
        <v>724</v>
      </c>
      <c r="B725">
        <v>270808</v>
      </c>
      <c r="C725" t="s">
        <v>1453</v>
      </c>
      <c r="D725" t="s">
        <v>1454</v>
      </c>
      <c r="E725">
        <v>60</v>
      </c>
      <c r="F725">
        <v>1764</v>
      </c>
      <c r="G725">
        <v>53</v>
      </c>
      <c r="H725">
        <v>28</v>
      </c>
      <c r="I725">
        <v>4</v>
      </c>
      <c r="J725" t="s">
        <v>23</v>
      </c>
      <c r="K725">
        <v>0.78</v>
      </c>
      <c r="L725">
        <v>6.5</v>
      </c>
      <c r="M725" t="s">
        <v>20</v>
      </c>
      <c r="N725">
        <f t="shared" si="33"/>
        <v>2</v>
      </c>
      <c r="O725">
        <v>2014</v>
      </c>
      <c r="P725">
        <f t="shared" si="34"/>
        <v>7.4753392365667368</v>
      </c>
      <c r="Q725">
        <f t="shared" si="35"/>
        <v>4.0945112150014218</v>
      </c>
    </row>
    <row r="726" spans="1:17" x14ac:dyDescent="0.3">
      <c r="A726">
        <v>725</v>
      </c>
      <c r="B726">
        <v>1121696</v>
      </c>
      <c r="C726" t="s">
        <v>1455</v>
      </c>
      <c r="D726" t="s">
        <v>1456</v>
      </c>
      <c r="E726">
        <v>20</v>
      </c>
      <c r="F726">
        <v>1763</v>
      </c>
      <c r="G726">
        <v>17</v>
      </c>
      <c r="H726">
        <v>30</v>
      </c>
      <c r="I726">
        <v>1</v>
      </c>
      <c r="J726" t="s">
        <v>13</v>
      </c>
      <c r="K726">
        <v>0.78</v>
      </c>
      <c r="L726">
        <v>2</v>
      </c>
      <c r="M726" t="s">
        <v>20</v>
      </c>
      <c r="N726">
        <f t="shared" si="33"/>
        <v>2</v>
      </c>
      <c r="O726">
        <v>2017</v>
      </c>
      <c r="P726">
        <f t="shared" si="34"/>
        <v>7.4747721823978699</v>
      </c>
      <c r="Q726">
        <f t="shared" si="35"/>
        <v>2.996232148595642</v>
      </c>
    </row>
    <row r="727" spans="1:17" hidden="1" x14ac:dyDescent="0.3">
      <c r="A727">
        <v>726</v>
      </c>
      <c r="B727">
        <v>17887</v>
      </c>
      <c r="C727" t="s">
        <v>1457</v>
      </c>
      <c r="D727" t="s">
        <v>1458</v>
      </c>
      <c r="E727">
        <v>25</v>
      </c>
      <c r="F727">
        <v>1758</v>
      </c>
      <c r="G727">
        <v>37</v>
      </c>
      <c r="H727">
        <v>16</v>
      </c>
      <c r="I727">
        <v>2</v>
      </c>
      <c r="J727" t="s">
        <v>32</v>
      </c>
      <c r="K727">
        <v>0.78</v>
      </c>
      <c r="L727">
        <v>3.5</v>
      </c>
      <c r="M727" t="s">
        <v>20</v>
      </c>
      <c r="N727">
        <f t="shared" si="33"/>
        <v>2</v>
      </c>
      <c r="O727">
        <v>2012</v>
      </c>
      <c r="P727">
        <f t="shared" si="34"/>
        <v>7.4719320782451222</v>
      </c>
      <c r="Q727">
        <f t="shared" si="35"/>
        <v>3.2192757448895279</v>
      </c>
    </row>
    <row r="728" spans="1:17" hidden="1" x14ac:dyDescent="0.3">
      <c r="A728">
        <v>727</v>
      </c>
      <c r="B728">
        <v>933110</v>
      </c>
      <c r="C728" t="s">
        <v>1459</v>
      </c>
      <c r="D728" t="s">
        <v>1460</v>
      </c>
      <c r="E728">
        <v>20</v>
      </c>
      <c r="F728">
        <v>1747</v>
      </c>
      <c r="G728">
        <v>13</v>
      </c>
      <c r="H728">
        <v>13</v>
      </c>
      <c r="I728">
        <v>4</v>
      </c>
      <c r="J728" t="s">
        <v>23</v>
      </c>
      <c r="K728">
        <v>0.78</v>
      </c>
      <c r="L728">
        <v>1.5</v>
      </c>
      <c r="M728" t="s">
        <v>20</v>
      </c>
      <c r="N728">
        <f t="shared" si="33"/>
        <v>2</v>
      </c>
      <c r="O728">
        <v>2016</v>
      </c>
      <c r="P728">
        <f t="shared" si="34"/>
        <v>7.4656553101340561</v>
      </c>
      <c r="Q728">
        <f t="shared" si="35"/>
        <v>2.996232148595642</v>
      </c>
    </row>
    <row r="729" spans="1:17" hidden="1" x14ac:dyDescent="0.3">
      <c r="A729">
        <v>728</v>
      </c>
      <c r="B729">
        <v>1169378</v>
      </c>
      <c r="C729" t="s">
        <v>1461</v>
      </c>
      <c r="D729" t="s">
        <v>1462</v>
      </c>
      <c r="E729">
        <v>30</v>
      </c>
      <c r="F729">
        <v>1741</v>
      </c>
      <c r="G729">
        <v>26</v>
      </c>
      <c r="H729">
        <v>87</v>
      </c>
      <c r="I729">
        <v>4</v>
      </c>
      <c r="J729" t="s">
        <v>23</v>
      </c>
      <c r="K729">
        <v>0.78</v>
      </c>
      <c r="L729">
        <v>9</v>
      </c>
      <c r="M729" t="s">
        <v>20</v>
      </c>
      <c r="N729">
        <f t="shared" si="33"/>
        <v>2</v>
      </c>
      <c r="O729">
        <v>2017</v>
      </c>
      <c r="P729">
        <f t="shared" si="34"/>
        <v>7.4622149397681889</v>
      </c>
      <c r="Q729">
        <f t="shared" si="35"/>
        <v>3.4015306594522756</v>
      </c>
    </row>
    <row r="730" spans="1:17" x14ac:dyDescent="0.3">
      <c r="A730">
        <v>729</v>
      </c>
      <c r="B730">
        <v>863954</v>
      </c>
      <c r="C730" t="s">
        <v>1463</v>
      </c>
      <c r="D730" t="s">
        <v>1464</v>
      </c>
      <c r="E730">
        <v>30</v>
      </c>
      <c r="F730">
        <v>1737</v>
      </c>
      <c r="G730">
        <v>471</v>
      </c>
      <c r="H730">
        <v>87</v>
      </c>
      <c r="I730">
        <v>1</v>
      </c>
      <c r="J730" t="s">
        <v>13</v>
      </c>
      <c r="K730">
        <v>0.78</v>
      </c>
      <c r="L730">
        <v>11.5</v>
      </c>
      <c r="M730" t="s">
        <v>20</v>
      </c>
      <c r="N730">
        <f t="shared" si="33"/>
        <v>2</v>
      </c>
      <c r="O730">
        <v>2016</v>
      </c>
      <c r="P730">
        <f t="shared" si="34"/>
        <v>7.4599147662411047</v>
      </c>
      <c r="Q730">
        <f t="shared" si="35"/>
        <v>3.4015306594522756</v>
      </c>
    </row>
    <row r="731" spans="1:17" x14ac:dyDescent="0.3">
      <c r="A731">
        <v>730</v>
      </c>
      <c r="B731">
        <v>340362</v>
      </c>
      <c r="C731" t="s">
        <v>1465</v>
      </c>
      <c r="D731" t="s">
        <v>1466</v>
      </c>
      <c r="E731">
        <v>60</v>
      </c>
      <c r="F731">
        <v>1736</v>
      </c>
      <c r="G731">
        <v>79</v>
      </c>
      <c r="H731">
        <v>47</v>
      </c>
      <c r="I731">
        <v>1</v>
      </c>
      <c r="J731" t="s">
        <v>13</v>
      </c>
      <c r="K731">
        <v>0.78</v>
      </c>
      <c r="L731">
        <v>13</v>
      </c>
      <c r="M731" t="s">
        <v>20</v>
      </c>
      <c r="N731">
        <f t="shared" si="33"/>
        <v>2</v>
      </c>
      <c r="O731">
        <v>2014</v>
      </c>
      <c r="P731">
        <f t="shared" si="34"/>
        <v>7.4593388952202959</v>
      </c>
      <c r="Q731">
        <f t="shared" si="35"/>
        <v>4.0945112150014218</v>
      </c>
    </row>
    <row r="732" spans="1:17" x14ac:dyDescent="0.3">
      <c r="A732">
        <v>731</v>
      </c>
      <c r="B732">
        <v>937134</v>
      </c>
      <c r="C732" t="s">
        <v>1467</v>
      </c>
      <c r="D732" t="s">
        <v>1468</v>
      </c>
      <c r="E732">
        <v>100</v>
      </c>
      <c r="F732">
        <v>1735</v>
      </c>
      <c r="G732">
        <v>76</v>
      </c>
      <c r="H732">
        <v>25</v>
      </c>
      <c r="I732">
        <v>1</v>
      </c>
      <c r="J732" t="s">
        <v>13</v>
      </c>
      <c r="K732">
        <v>0.78</v>
      </c>
      <c r="L732">
        <v>2.5</v>
      </c>
      <c r="M732" t="s">
        <v>20</v>
      </c>
      <c r="N732">
        <f t="shared" si="33"/>
        <v>2</v>
      </c>
      <c r="O732">
        <v>2016</v>
      </c>
      <c r="P732">
        <f t="shared" si="34"/>
        <v>7.4587626923809598</v>
      </c>
      <c r="Q732">
        <f t="shared" si="35"/>
        <v>4.6052701809884251</v>
      </c>
    </row>
    <row r="733" spans="1:17" x14ac:dyDescent="0.3">
      <c r="A733">
        <v>732</v>
      </c>
      <c r="B733">
        <v>929260</v>
      </c>
      <c r="C733" t="s">
        <v>1469</v>
      </c>
      <c r="D733" t="s">
        <v>1470</v>
      </c>
      <c r="E733">
        <v>20</v>
      </c>
      <c r="F733">
        <v>1734</v>
      </c>
      <c r="G733">
        <v>9</v>
      </c>
      <c r="H733">
        <v>13</v>
      </c>
      <c r="I733">
        <v>1</v>
      </c>
      <c r="J733" t="s">
        <v>13</v>
      </c>
      <c r="K733">
        <v>0.78</v>
      </c>
      <c r="L733">
        <v>1</v>
      </c>
      <c r="M733" t="s">
        <v>20</v>
      </c>
      <c r="N733">
        <f t="shared" si="33"/>
        <v>2</v>
      </c>
      <c r="O733">
        <v>2016</v>
      </c>
      <c r="P733">
        <f t="shared" si="34"/>
        <v>7.4581861573404868</v>
      </c>
      <c r="Q733">
        <f t="shared" si="35"/>
        <v>2.996232148595642</v>
      </c>
    </row>
    <row r="734" spans="1:17" hidden="1" x14ac:dyDescent="0.3">
      <c r="A734">
        <v>733</v>
      </c>
      <c r="B734">
        <v>1210098</v>
      </c>
      <c r="C734" t="s">
        <v>1471</v>
      </c>
      <c r="D734" t="s">
        <v>1472</v>
      </c>
      <c r="E734">
        <v>20</v>
      </c>
      <c r="F734">
        <v>1732</v>
      </c>
      <c r="G734">
        <v>15</v>
      </c>
      <c r="H734">
        <v>48</v>
      </c>
      <c r="I734">
        <v>2</v>
      </c>
      <c r="J734" t="s">
        <v>32</v>
      </c>
      <c r="K734">
        <v>0.78</v>
      </c>
      <c r="L734">
        <v>4.5</v>
      </c>
      <c r="M734" t="s">
        <v>20</v>
      </c>
      <c r="N734">
        <f t="shared" si="33"/>
        <v>2</v>
      </c>
      <c r="O734">
        <v>2017</v>
      </c>
      <c r="P734">
        <f t="shared" si="34"/>
        <v>7.4570320891223805</v>
      </c>
      <c r="Q734">
        <f t="shared" si="35"/>
        <v>2.996232148595642</v>
      </c>
    </row>
    <row r="735" spans="1:17" hidden="1" x14ac:dyDescent="0.3">
      <c r="A735">
        <v>734</v>
      </c>
      <c r="B735">
        <v>671960</v>
      </c>
      <c r="C735" t="s">
        <v>1473</v>
      </c>
      <c r="D735" t="s">
        <v>1474</v>
      </c>
      <c r="E735">
        <v>20</v>
      </c>
      <c r="F735">
        <v>1731</v>
      </c>
      <c r="G735">
        <v>90</v>
      </c>
      <c r="H735">
        <v>74</v>
      </c>
      <c r="I735">
        <v>4</v>
      </c>
      <c r="J735" t="s">
        <v>23</v>
      </c>
      <c r="K735">
        <v>0.96</v>
      </c>
      <c r="L735">
        <v>4</v>
      </c>
      <c r="M735" t="s">
        <v>20</v>
      </c>
      <c r="N735">
        <f t="shared" si="33"/>
        <v>2</v>
      </c>
      <c r="O735">
        <v>2015</v>
      </c>
      <c r="P735">
        <f t="shared" si="34"/>
        <v>7.4564545551762089</v>
      </c>
      <c r="Q735">
        <f t="shared" si="35"/>
        <v>2.996232148595642</v>
      </c>
    </row>
    <row r="736" spans="1:17" hidden="1" x14ac:dyDescent="0.3">
      <c r="A736">
        <v>735</v>
      </c>
      <c r="B736">
        <v>773824</v>
      </c>
      <c r="C736" t="s">
        <v>1475</v>
      </c>
      <c r="D736" t="s">
        <v>1476</v>
      </c>
      <c r="E736">
        <v>50</v>
      </c>
      <c r="F736">
        <v>1724</v>
      </c>
      <c r="G736">
        <v>72</v>
      </c>
      <c r="H736">
        <v>94</v>
      </c>
      <c r="I736">
        <v>4</v>
      </c>
      <c r="J736" t="s">
        <v>23</v>
      </c>
      <c r="K736">
        <v>0.72</v>
      </c>
      <c r="L736">
        <v>13</v>
      </c>
      <c r="M736" t="s">
        <v>20</v>
      </c>
      <c r="N736">
        <f t="shared" si="33"/>
        <v>2</v>
      </c>
      <c r="O736">
        <v>2016</v>
      </c>
      <c r="P736">
        <f t="shared" si="34"/>
        <v>7.4524024512236382</v>
      </c>
      <c r="Q736">
        <f t="shared" si="35"/>
        <v>3.9122229854308124</v>
      </c>
    </row>
    <row r="737" spans="1:17" x14ac:dyDescent="0.3">
      <c r="A737">
        <v>736</v>
      </c>
      <c r="B737">
        <v>947116</v>
      </c>
      <c r="C737" t="s">
        <v>1477</v>
      </c>
      <c r="D737" t="s">
        <v>1478</v>
      </c>
      <c r="E737">
        <v>20</v>
      </c>
      <c r="F737">
        <v>1723</v>
      </c>
      <c r="G737">
        <v>28</v>
      </c>
      <c r="H737">
        <v>7</v>
      </c>
      <c r="I737">
        <v>1</v>
      </c>
      <c r="J737" t="s">
        <v>13</v>
      </c>
      <c r="K737">
        <v>0.76</v>
      </c>
      <c r="L737">
        <v>1</v>
      </c>
      <c r="M737" t="s">
        <v>20</v>
      </c>
      <c r="N737">
        <f t="shared" si="33"/>
        <v>2</v>
      </c>
      <c r="O737">
        <v>2016</v>
      </c>
      <c r="P737">
        <f t="shared" si="34"/>
        <v>7.4518222365279296</v>
      </c>
      <c r="Q737">
        <f t="shared" si="35"/>
        <v>2.996232148595642</v>
      </c>
    </row>
    <row r="738" spans="1:17" hidden="1" x14ac:dyDescent="0.3">
      <c r="A738">
        <v>737</v>
      </c>
      <c r="B738">
        <v>764042</v>
      </c>
      <c r="C738" t="s">
        <v>1479</v>
      </c>
      <c r="D738" t="s">
        <v>1480</v>
      </c>
      <c r="E738">
        <v>60</v>
      </c>
      <c r="F738">
        <v>1723</v>
      </c>
      <c r="G738">
        <v>258</v>
      </c>
      <c r="H738">
        <v>60</v>
      </c>
      <c r="I738">
        <v>4</v>
      </c>
      <c r="J738" t="s">
        <v>23</v>
      </c>
      <c r="K738">
        <v>0.57999999999999996</v>
      </c>
      <c r="L738">
        <v>11</v>
      </c>
      <c r="M738" t="s">
        <v>20</v>
      </c>
      <c r="N738">
        <f t="shared" si="33"/>
        <v>2</v>
      </c>
      <c r="O738">
        <v>2016</v>
      </c>
      <c r="P738">
        <f t="shared" si="34"/>
        <v>7.4518222365279296</v>
      </c>
      <c r="Q738">
        <f t="shared" si="35"/>
        <v>4.0945112150014218</v>
      </c>
    </row>
    <row r="739" spans="1:17" hidden="1" x14ac:dyDescent="0.3">
      <c r="A739">
        <v>738</v>
      </c>
      <c r="B739">
        <v>585496</v>
      </c>
      <c r="C739" t="s">
        <v>1481</v>
      </c>
      <c r="D739" t="s">
        <v>1482</v>
      </c>
      <c r="E739">
        <v>100</v>
      </c>
      <c r="F739">
        <v>1712</v>
      </c>
      <c r="G739">
        <v>438</v>
      </c>
      <c r="H739">
        <v>49</v>
      </c>
      <c r="I739">
        <v>4</v>
      </c>
      <c r="J739" t="s">
        <v>23</v>
      </c>
      <c r="K739">
        <v>0.2</v>
      </c>
      <c r="L739">
        <v>5.5</v>
      </c>
      <c r="M739" t="s">
        <v>20</v>
      </c>
      <c r="N739">
        <f t="shared" si="33"/>
        <v>2</v>
      </c>
      <c r="O739">
        <v>2016</v>
      </c>
      <c r="P739">
        <f t="shared" si="34"/>
        <v>7.4454175567016874</v>
      </c>
      <c r="Q739">
        <f t="shared" si="35"/>
        <v>4.6052701809884251</v>
      </c>
    </row>
    <row r="740" spans="1:17" hidden="1" x14ac:dyDescent="0.3">
      <c r="A740">
        <v>739</v>
      </c>
      <c r="B740">
        <v>895040</v>
      </c>
      <c r="C740" t="s">
        <v>1483</v>
      </c>
      <c r="D740" t="s">
        <v>1484</v>
      </c>
      <c r="E740">
        <v>50</v>
      </c>
      <c r="F740">
        <v>1705</v>
      </c>
      <c r="G740">
        <v>26</v>
      </c>
      <c r="H740">
        <v>17</v>
      </c>
      <c r="I740">
        <v>4</v>
      </c>
      <c r="J740" t="s">
        <v>23</v>
      </c>
      <c r="K740">
        <v>0.88</v>
      </c>
      <c r="L740">
        <v>2</v>
      </c>
      <c r="M740" t="s">
        <v>20</v>
      </c>
      <c r="N740">
        <f t="shared" si="33"/>
        <v>2</v>
      </c>
      <c r="O740">
        <v>2016</v>
      </c>
      <c r="P740">
        <f t="shared" si="34"/>
        <v>7.4413203897176174</v>
      </c>
      <c r="Q740">
        <f t="shared" si="35"/>
        <v>3.9122229854308124</v>
      </c>
    </row>
    <row r="741" spans="1:17" x14ac:dyDescent="0.3">
      <c r="A741">
        <v>740</v>
      </c>
      <c r="B741">
        <v>1022582</v>
      </c>
      <c r="C741" t="s">
        <v>1485</v>
      </c>
      <c r="D741" t="s">
        <v>1486</v>
      </c>
      <c r="E741">
        <v>195</v>
      </c>
      <c r="F741">
        <v>1703</v>
      </c>
      <c r="G741">
        <v>292</v>
      </c>
      <c r="H741">
        <v>178</v>
      </c>
      <c r="I741">
        <v>1</v>
      </c>
      <c r="J741" t="s">
        <v>13</v>
      </c>
      <c r="K741">
        <v>0.24</v>
      </c>
      <c r="L741">
        <v>13</v>
      </c>
      <c r="M741" t="s">
        <v>20</v>
      </c>
      <c r="N741">
        <f t="shared" si="33"/>
        <v>2</v>
      </c>
      <c r="O741">
        <v>2016</v>
      </c>
      <c r="P741">
        <f t="shared" si="34"/>
        <v>7.4401466806626884</v>
      </c>
      <c r="Q741">
        <f t="shared" si="35"/>
        <v>5.273050839300149</v>
      </c>
    </row>
    <row r="742" spans="1:17" hidden="1" x14ac:dyDescent="0.3">
      <c r="A742">
        <v>741</v>
      </c>
      <c r="B742">
        <v>688874</v>
      </c>
      <c r="C742" t="s">
        <v>1487</v>
      </c>
      <c r="D742" t="s">
        <v>1488</v>
      </c>
      <c r="E742">
        <v>65</v>
      </c>
      <c r="F742">
        <v>1703</v>
      </c>
      <c r="G742">
        <v>27</v>
      </c>
      <c r="H742">
        <v>8</v>
      </c>
      <c r="I742">
        <v>4</v>
      </c>
      <c r="J742" t="s">
        <v>23</v>
      </c>
      <c r="K742">
        <v>0.14000000000000001</v>
      </c>
      <c r="L742">
        <v>1</v>
      </c>
      <c r="M742" t="s">
        <v>20</v>
      </c>
      <c r="N742">
        <f t="shared" si="33"/>
        <v>2</v>
      </c>
      <c r="O742">
        <v>2016</v>
      </c>
      <c r="P742">
        <f t="shared" si="34"/>
        <v>7.4401466806626884</v>
      </c>
      <c r="Q742">
        <f t="shared" si="35"/>
        <v>4.1745411042163774</v>
      </c>
    </row>
    <row r="743" spans="1:17" hidden="1" x14ac:dyDescent="0.3">
      <c r="A743">
        <v>742</v>
      </c>
      <c r="B743">
        <v>424864</v>
      </c>
      <c r="C743" t="s">
        <v>1489</v>
      </c>
      <c r="D743" t="s">
        <v>1490</v>
      </c>
      <c r="E743">
        <v>70</v>
      </c>
      <c r="F743">
        <v>1703</v>
      </c>
      <c r="G743">
        <v>435</v>
      </c>
      <c r="H743">
        <v>65</v>
      </c>
      <c r="I743">
        <v>4</v>
      </c>
      <c r="J743" t="s">
        <v>23</v>
      </c>
      <c r="K743">
        <v>0.62</v>
      </c>
      <c r="L743">
        <v>3</v>
      </c>
      <c r="M743" t="s">
        <v>20</v>
      </c>
      <c r="N743">
        <f t="shared" si="33"/>
        <v>2</v>
      </c>
      <c r="O743">
        <v>2016</v>
      </c>
      <c r="P743">
        <f t="shared" si="34"/>
        <v>7.4401466806626884</v>
      </c>
      <c r="Q743">
        <f t="shared" si="35"/>
        <v>4.2486380889891064</v>
      </c>
    </row>
    <row r="744" spans="1:17" hidden="1" x14ac:dyDescent="0.3">
      <c r="A744">
        <v>743</v>
      </c>
      <c r="B744">
        <v>958132</v>
      </c>
      <c r="C744" t="s">
        <v>1491</v>
      </c>
      <c r="D744" t="s">
        <v>1492</v>
      </c>
      <c r="E744">
        <v>50</v>
      </c>
      <c r="F744">
        <v>1702</v>
      </c>
      <c r="G744">
        <v>49</v>
      </c>
      <c r="H744">
        <v>78</v>
      </c>
      <c r="I744">
        <v>4</v>
      </c>
      <c r="J744" t="s">
        <v>23</v>
      </c>
      <c r="K744">
        <v>0.59</v>
      </c>
      <c r="L744">
        <v>7</v>
      </c>
      <c r="M744" t="s">
        <v>20</v>
      </c>
      <c r="N744">
        <f t="shared" si="33"/>
        <v>2</v>
      </c>
      <c r="O744">
        <v>2016</v>
      </c>
      <c r="P744">
        <f t="shared" si="34"/>
        <v>7.4395593091333199</v>
      </c>
      <c r="Q744">
        <f t="shared" si="35"/>
        <v>3.9122229854308124</v>
      </c>
    </row>
    <row r="745" spans="1:17" hidden="1" x14ac:dyDescent="0.3">
      <c r="A745">
        <v>744</v>
      </c>
      <c r="B745">
        <v>384318</v>
      </c>
      <c r="C745" t="s">
        <v>1493</v>
      </c>
      <c r="D745" t="s">
        <v>1494</v>
      </c>
      <c r="E745">
        <v>100</v>
      </c>
      <c r="F745">
        <v>1701</v>
      </c>
      <c r="G745">
        <v>125</v>
      </c>
      <c r="H745">
        <v>88</v>
      </c>
      <c r="I745">
        <v>4</v>
      </c>
      <c r="J745" t="s">
        <v>23</v>
      </c>
      <c r="K745">
        <v>0.2</v>
      </c>
      <c r="L745">
        <v>7</v>
      </c>
      <c r="M745" t="s">
        <v>20</v>
      </c>
      <c r="N745">
        <f t="shared" si="33"/>
        <v>2</v>
      </c>
      <c r="O745">
        <v>2015</v>
      </c>
      <c r="P745">
        <f t="shared" si="34"/>
        <v>7.4389715923958617</v>
      </c>
      <c r="Q745">
        <f t="shared" si="35"/>
        <v>4.6052701809884251</v>
      </c>
    </row>
    <row r="746" spans="1:17" hidden="1" x14ac:dyDescent="0.3">
      <c r="A746">
        <v>745</v>
      </c>
      <c r="B746">
        <v>722754</v>
      </c>
      <c r="C746" t="s">
        <v>1495</v>
      </c>
      <c r="D746" t="s">
        <v>1496</v>
      </c>
      <c r="E746">
        <v>60</v>
      </c>
      <c r="F746">
        <v>1699</v>
      </c>
      <c r="G746">
        <v>8</v>
      </c>
      <c r="H746">
        <v>22</v>
      </c>
      <c r="I746">
        <v>2</v>
      </c>
      <c r="J746" t="s">
        <v>32</v>
      </c>
      <c r="K746">
        <v>0.24</v>
      </c>
      <c r="L746">
        <v>2</v>
      </c>
      <c r="M746" t="s">
        <v>20</v>
      </c>
      <c r="N746">
        <f t="shared" si="33"/>
        <v>2</v>
      </c>
      <c r="O746">
        <v>2016</v>
      </c>
      <c r="P746">
        <f t="shared" si="34"/>
        <v>7.4377951216719325</v>
      </c>
      <c r="Q746">
        <f t="shared" si="35"/>
        <v>4.0945112150014218</v>
      </c>
    </row>
    <row r="747" spans="1:17" hidden="1" x14ac:dyDescent="0.3">
      <c r="A747">
        <v>746</v>
      </c>
      <c r="B747">
        <v>903140</v>
      </c>
      <c r="C747" t="s">
        <v>1497</v>
      </c>
      <c r="D747" t="s">
        <v>1498</v>
      </c>
      <c r="E747">
        <v>195</v>
      </c>
      <c r="F747">
        <v>1697</v>
      </c>
      <c r="G747">
        <v>64</v>
      </c>
      <c r="H747">
        <v>54</v>
      </c>
      <c r="I747">
        <v>4</v>
      </c>
      <c r="J747" t="s">
        <v>23</v>
      </c>
      <c r="K747">
        <v>0.64</v>
      </c>
      <c r="L747">
        <v>6</v>
      </c>
      <c r="M747" t="s">
        <v>20</v>
      </c>
      <c r="N747">
        <f t="shared" si="33"/>
        <v>2</v>
      </c>
      <c r="O747">
        <v>2016</v>
      </c>
      <c r="P747">
        <f t="shared" si="34"/>
        <v>7.4366172652342266</v>
      </c>
      <c r="Q747">
        <f t="shared" si="35"/>
        <v>5.273050839300149</v>
      </c>
    </row>
    <row r="748" spans="1:17" hidden="1" x14ac:dyDescent="0.3">
      <c r="A748">
        <v>747</v>
      </c>
      <c r="B748">
        <v>897146</v>
      </c>
      <c r="C748" t="s">
        <v>1499</v>
      </c>
      <c r="D748" t="s">
        <v>1500</v>
      </c>
      <c r="E748">
        <v>75</v>
      </c>
      <c r="F748">
        <v>1696</v>
      </c>
      <c r="G748">
        <v>193</v>
      </c>
      <c r="H748">
        <v>60</v>
      </c>
      <c r="I748">
        <v>2</v>
      </c>
      <c r="J748" t="s">
        <v>32</v>
      </c>
      <c r="K748">
        <v>0.47</v>
      </c>
      <c r="L748">
        <v>10</v>
      </c>
      <c r="M748" t="s">
        <v>20</v>
      </c>
      <c r="N748">
        <f t="shared" si="33"/>
        <v>2</v>
      </c>
      <c r="O748">
        <v>2016</v>
      </c>
      <c r="P748">
        <f t="shared" si="34"/>
        <v>7.4360278163518485</v>
      </c>
      <c r="Q748">
        <f t="shared" si="35"/>
        <v>4.3176214379815452</v>
      </c>
    </row>
    <row r="749" spans="1:17" x14ac:dyDescent="0.3">
      <c r="A749">
        <v>748</v>
      </c>
      <c r="B749">
        <v>137650</v>
      </c>
      <c r="C749" t="s">
        <v>1501</v>
      </c>
      <c r="D749" t="s">
        <v>1502</v>
      </c>
      <c r="E749">
        <v>30</v>
      </c>
      <c r="F749">
        <v>1688</v>
      </c>
      <c r="G749">
        <v>16</v>
      </c>
      <c r="H749">
        <v>29</v>
      </c>
      <c r="I749">
        <v>1</v>
      </c>
      <c r="J749" t="s">
        <v>13</v>
      </c>
      <c r="K749">
        <v>0.73</v>
      </c>
      <c r="L749">
        <v>1.5</v>
      </c>
      <c r="M749" t="s">
        <v>20</v>
      </c>
      <c r="N749">
        <f t="shared" si="33"/>
        <v>2</v>
      </c>
      <c r="O749">
        <v>2014</v>
      </c>
      <c r="P749">
        <f t="shared" si="34"/>
        <v>7.4312996751559028</v>
      </c>
      <c r="Q749">
        <f t="shared" si="35"/>
        <v>3.4015306594522756</v>
      </c>
    </row>
    <row r="750" spans="1:17" hidden="1" x14ac:dyDescent="0.3">
      <c r="A750">
        <v>749</v>
      </c>
      <c r="B750">
        <v>842058</v>
      </c>
      <c r="C750" t="s">
        <v>1503</v>
      </c>
      <c r="D750" t="s">
        <v>1504</v>
      </c>
      <c r="E750">
        <v>145</v>
      </c>
      <c r="F750">
        <v>1683</v>
      </c>
      <c r="G750">
        <v>340</v>
      </c>
      <c r="H750">
        <v>48</v>
      </c>
      <c r="I750">
        <v>4</v>
      </c>
      <c r="J750" t="s">
        <v>23</v>
      </c>
      <c r="K750">
        <v>0.1</v>
      </c>
      <c r="L750">
        <v>8</v>
      </c>
      <c r="M750" t="s">
        <v>20</v>
      </c>
      <c r="N750">
        <f t="shared" si="33"/>
        <v>2</v>
      </c>
      <c r="O750">
        <v>2016</v>
      </c>
      <c r="P750">
        <f t="shared" si="34"/>
        <v>7.428333194190806</v>
      </c>
      <c r="Q750">
        <f t="shared" si="35"/>
        <v>4.9768027055598036</v>
      </c>
    </row>
    <row r="751" spans="1:17" hidden="1" x14ac:dyDescent="0.3">
      <c r="A751">
        <v>750</v>
      </c>
      <c r="B751">
        <v>749560</v>
      </c>
      <c r="C751" t="s">
        <v>1505</v>
      </c>
      <c r="D751" t="s">
        <v>1506</v>
      </c>
      <c r="E751">
        <v>120</v>
      </c>
      <c r="F751">
        <v>1678</v>
      </c>
      <c r="G751">
        <v>34</v>
      </c>
      <c r="H751">
        <v>32</v>
      </c>
      <c r="I751">
        <v>4</v>
      </c>
      <c r="J751" t="s">
        <v>23</v>
      </c>
      <c r="K751">
        <v>0.28000000000000003</v>
      </c>
      <c r="L751">
        <v>2.5</v>
      </c>
      <c r="M751" t="s">
        <v>20</v>
      </c>
      <c r="N751">
        <f t="shared" si="33"/>
        <v>2</v>
      </c>
      <c r="O751">
        <v>2016</v>
      </c>
      <c r="P751">
        <f t="shared" si="34"/>
        <v>7.4253578870271513</v>
      </c>
      <c r="Q751">
        <f t="shared" si="35"/>
        <v>4.7875750726433504</v>
      </c>
    </row>
    <row r="752" spans="1:17" hidden="1" x14ac:dyDescent="0.3">
      <c r="A752">
        <v>751</v>
      </c>
      <c r="B752">
        <v>1198654</v>
      </c>
      <c r="C752" t="s">
        <v>1507</v>
      </c>
      <c r="D752" t="s">
        <v>1508</v>
      </c>
      <c r="E752">
        <v>200</v>
      </c>
      <c r="F752">
        <v>1673</v>
      </c>
      <c r="G752">
        <v>31</v>
      </c>
      <c r="H752">
        <v>24</v>
      </c>
      <c r="I752">
        <v>4</v>
      </c>
      <c r="J752" t="s">
        <v>23</v>
      </c>
      <c r="K752">
        <v>0.36</v>
      </c>
      <c r="L752">
        <v>3</v>
      </c>
      <c r="M752" t="s">
        <v>20</v>
      </c>
      <c r="N752">
        <f t="shared" si="33"/>
        <v>2</v>
      </c>
      <c r="O752">
        <v>2017</v>
      </c>
      <c r="P752">
        <f t="shared" si="34"/>
        <v>7.4223737009868236</v>
      </c>
      <c r="Q752">
        <f t="shared" si="35"/>
        <v>5.2983673652980787</v>
      </c>
    </row>
    <row r="753" spans="1:17" hidden="1" x14ac:dyDescent="0.3">
      <c r="A753">
        <v>752</v>
      </c>
      <c r="B753">
        <v>41356</v>
      </c>
      <c r="C753" t="s">
        <v>1509</v>
      </c>
      <c r="D753" t="s">
        <v>1510</v>
      </c>
      <c r="E753">
        <v>95</v>
      </c>
      <c r="F753">
        <v>1659</v>
      </c>
      <c r="G753">
        <v>73</v>
      </c>
      <c r="H753">
        <v>38</v>
      </c>
      <c r="I753">
        <v>2</v>
      </c>
      <c r="J753" t="s">
        <v>32</v>
      </c>
      <c r="K753">
        <v>0.66</v>
      </c>
      <c r="L753">
        <v>5.5</v>
      </c>
      <c r="M753" t="s">
        <v>20</v>
      </c>
      <c r="N753">
        <f t="shared" si="33"/>
        <v>2</v>
      </c>
      <c r="O753">
        <v>2013</v>
      </c>
      <c r="P753">
        <f t="shared" si="34"/>
        <v>7.4139702901904441</v>
      </c>
      <c r="Q753">
        <f t="shared" si="35"/>
        <v>4.5539821492186583</v>
      </c>
    </row>
    <row r="754" spans="1:17" hidden="1" x14ac:dyDescent="0.3">
      <c r="A754">
        <v>753</v>
      </c>
      <c r="B754">
        <v>711592</v>
      </c>
      <c r="C754" t="s">
        <v>1511</v>
      </c>
      <c r="D754" t="s">
        <v>1512</v>
      </c>
      <c r="E754">
        <v>50</v>
      </c>
      <c r="F754">
        <v>1658</v>
      </c>
      <c r="G754">
        <v>185</v>
      </c>
      <c r="H754">
        <v>68</v>
      </c>
      <c r="I754">
        <v>4</v>
      </c>
      <c r="J754" t="s">
        <v>23</v>
      </c>
      <c r="K754">
        <v>0.08</v>
      </c>
      <c r="L754">
        <v>16.5</v>
      </c>
      <c r="M754" t="s">
        <v>20</v>
      </c>
      <c r="N754">
        <f t="shared" si="33"/>
        <v>2</v>
      </c>
      <c r="O754">
        <v>2016</v>
      </c>
      <c r="P754">
        <f t="shared" si="34"/>
        <v>7.4133673356952405</v>
      </c>
      <c r="Q754">
        <f t="shared" si="35"/>
        <v>3.9122229854308124</v>
      </c>
    </row>
    <row r="755" spans="1:17" hidden="1" x14ac:dyDescent="0.3">
      <c r="A755">
        <v>754</v>
      </c>
      <c r="B755">
        <v>602702</v>
      </c>
      <c r="C755" t="s">
        <v>1513</v>
      </c>
      <c r="D755" t="s">
        <v>1514</v>
      </c>
      <c r="E755">
        <v>50</v>
      </c>
      <c r="F755">
        <v>1658</v>
      </c>
      <c r="G755">
        <v>72</v>
      </c>
      <c r="H755">
        <v>68</v>
      </c>
      <c r="I755">
        <v>4</v>
      </c>
      <c r="J755" t="s">
        <v>23</v>
      </c>
      <c r="K755">
        <v>0.76</v>
      </c>
      <c r="L755">
        <v>5</v>
      </c>
      <c r="M755" t="s">
        <v>20</v>
      </c>
      <c r="N755">
        <f t="shared" si="33"/>
        <v>2</v>
      </c>
      <c r="O755">
        <v>2015</v>
      </c>
      <c r="P755">
        <f t="shared" si="34"/>
        <v>7.4133673356952405</v>
      </c>
      <c r="Q755">
        <f t="shared" si="35"/>
        <v>3.9122229854308124</v>
      </c>
    </row>
    <row r="756" spans="1:17" hidden="1" x14ac:dyDescent="0.3">
      <c r="A756">
        <v>755</v>
      </c>
      <c r="B756">
        <v>589342</v>
      </c>
      <c r="C756" t="s">
        <v>1515</v>
      </c>
      <c r="D756" t="s">
        <v>1516</v>
      </c>
      <c r="E756">
        <v>25</v>
      </c>
      <c r="F756">
        <v>1655</v>
      </c>
      <c r="G756">
        <v>39</v>
      </c>
      <c r="H756">
        <v>19</v>
      </c>
      <c r="I756">
        <v>4</v>
      </c>
      <c r="J756" t="s">
        <v>23</v>
      </c>
      <c r="K756">
        <v>0.96</v>
      </c>
      <c r="L756">
        <v>1</v>
      </c>
      <c r="M756" t="s">
        <v>20</v>
      </c>
      <c r="N756">
        <f t="shared" si="33"/>
        <v>2</v>
      </c>
      <c r="O756">
        <v>2016</v>
      </c>
      <c r="P756">
        <f t="shared" si="34"/>
        <v>7.4115562878111634</v>
      </c>
      <c r="Q756">
        <f t="shared" si="35"/>
        <v>3.2192757448895279</v>
      </c>
    </row>
    <row r="757" spans="1:17" hidden="1" x14ac:dyDescent="0.3">
      <c r="A757">
        <v>756</v>
      </c>
      <c r="B757">
        <v>568524</v>
      </c>
      <c r="C757" t="s">
        <v>1517</v>
      </c>
      <c r="D757" t="s">
        <v>1518</v>
      </c>
      <c r="E757">
        <v>25</v>
      </c>
      <c r="F757">
        <v>1655</v>
      </c>
      <c r="G757">
        <v>10</v>
      </c>
      <c r="H757">
        <v>44</v>
      </c>
      <c r="I757">
        <v>4</v>
      </c>
      <c r="J757" t="s">
        <v>23</v>
      </c>
      <c r="K757">
        <v>0.5</v>
      </c>
      <c r="L757">
        <v>3</v>
      </c>
      <c r="M757" t="s">
        <v>20</v>
      </c>
      <c r="N757">
        <f t="shared" si="33"/>
        <v>2</v>
      </c>
      <c r="O757">
        <v>2015</v>
      </c>
      <c r="P757">
        <f t="shared" si="34"/>
        <v>7.4115562878111634</v>
      </c>
      <c r="Q757">
        <f t="shared" si="35"/>
        <v>3.2192757448895279</v>
      </c>
    </row>
    <row r="758" spans="1:17" hidden="1" x14ac:dyDescent="0.3">
      <c r="A758">
        <v>757</v>
      </c>
      <c r="B758">
        <v>838418</v>
      </c>
      <c r="C758" t="s">
        <v>1519</v>
      </c>
      <c r="D758" t="s">
        <v>1520</v>
      </c>
      <c r="E758">
        <v>40</v>
      </c>
      <c r="F758">
        <v>1653</v>
      </c>
      <c r="G758">
        <v>53</v>
      </c>
      <c r="H758">
        <v>14</v>
      </c>
      <c r="I758">
        <v>4</v>
      </c>
      <c r="J758" t="s">
        <v>23</v>
      </c>
      <c r="K758">
        <v>0.32</v>
      </c>
      <c r="L758">
        <v>1.5</v>
      </c>
      <c r="M758" t="s">
        <v>20</v>
      </c>
      <c r="N758">
        <f t="shared" si="33"/>
        <v>2</v>
      </c>
      <c r="O758">
        <v>2016</v>
      </c>
      <c r="P758">
        <f t="shared" si="34"/>
        <v>7.410347097821024</v>
      </c>
      <c r="Q758">
        <f t="shared" si="35"/>
        <v>3.6891294228691436</v>
      </c>
    </row>
    <row r="759" spans="1:17" x14ac:dyDescent="0.3">
      <c r="A759">
        <v>758</v>
      </c>
      <c r="B759">
        <v>1204208</v>
      </c>
      <c r="C759" t="s">
        <v>1521</v>
      </c>
      <c r="D759" t="s">
        <v>1522</v>
      </c>
      <c r="E759">
        <v>195</v>
      </c>
      <c r="F759">
        <v>1649</v>
      </c>
      <c r="G759">
        <v>34</v>
      </c>
      <c r="H759">
        <v>25</v>
      </c>
      <c r="I759">
        <v>1</v>
      </c>
      <c r="J759" t="s">
        <v>13</v>
      </c>
      <c r="K759">
        <v>0.95</v>
      </c>
      <c r="L759">
        <v>2</v>
      </c>
      <c r="M759" t="s">
        <v>20</v>
      </c>
      <c r="N759">
        <f t="shared" si="33"/>
        <v>2</v>
      </c>
      <c r="O759">
        <v>2017</v>
      </c>
      <c r="P759">
        <f t="shared" si="34"/>
        <v>7.407924322559599</v>
      </c>
      <c r="Q759">
        <f t="shared" si="35"/>
        <v>5.273050839300149</v>
      </c>
    </row>
    <row r="760" spans="1:17" x14ac:dyDescent="0.3">
      <c r="A760">
        <v>759</v>
      </c>
      <c r="B760">
        <v>842728</v>
      </c>
      <c r="C760" t="s">
        <v>1523</v>
      </c>
      <c r="D760" t="s">
        <v>1524</v>
      </c>
      <c r="E760">
        <v>195</v>
      </c>
      <c r="F760">
        <v>1645</v>
      </c>
      <c r="G760">
        <v>75</v>
      </c>
      <c r="H760">
        <v>12</v>
      </c>
      <c r="I760">
        <v>1</v>
      </c>
      <c r="J760" t="s">
        <v>13</v>
      </c>
      <c r="K760">
        <v>0.95</v>
      </c>
      <c r="L760">
        <v>1</v>
      </c>
      <c r="M760" t="s">
        <v>20</v>
      </c>
      <c r="N760">
        <f t="shared" si="33"/>
        <v>2</v>
      </c>
      <c r="O760">
        <v>2016</v>
      </c>
      <c r="P760">
        <f t="shared" si="34"/>
        <v>7.4054956631994724</v>
      </c>
      <c r="Q760">
        <f t="shared" si="35"/>
        <v>5.273050839300149</v>
      </c>
    </row>
    <row r="761" spans="1:17" x14ac:dyDescent="0.3">
      <c r="A761">
        <v>760</v>
      </c>
      <c r="B761">
        <v>631472</v>
      </c>
      <c r="C761" t="s">
        <v>1525</v>
      </c>
      <c r="D761" t="s">
        <v>1526</v>
      </c>
      <c r="E761">
        <v>65</v>
      </c>
      <c r="F761">
        <v>1640</v>
      </c>
      <c r="G761">
        <v>22</v>
      </c>
      <c r="H761">
        <v>29</v>
      </c>
      <c r="I761">
        <v>1</v>
      </c>
      <c r="J761" t="s">
        <v>13</v>
      </c>
      <c r="K761">
        <v>0.95</v>
      </c>
      <c r="L761">
        <v>2</v>
      </c>
      <c r="M761" t="s">
        <v>20</v>
      </c>
      <c r="N761">
        <f t="shared" si="33"/>
        <v>2</v>
      </c>
      <c r="O761">
        <v>2015</v>
      </c>
      <c r="P761">
        <f t="shared" si="34"/>
        <v>7.4024515208182438</v>
      </c>
      <c r="Q761">
        <f t="shared" si="35"/>
        <v>4.1745411042163774</v>
      </c>
    </row>
    <row r="762" spans="1:17" hidden="1" x14ac:dyDescent="0.3">
      <c r="A762">
        <v>761</v>
      </c>
      <c r="B762">
        <v>937206</v>
      </c>
      <c r="C762" t="s">
        <v>1527</v>
      </c>
      <c r="D762" t="s">
        <v>1528</v>
      </c>
      <c r="E762">
        <v>75</v>
      </c>
      <c r="F762">
        <v>1634</v>
      </c>
      <c r="G762">
        <v>52</v>
      </c>
      <c r="H762">
        <v>21</v>
      </c>
      <c r="I762">
        <v>4</v>
      </c>
      <c r="J762" t="s">
        <v>23</v>
      </c>
      <c r="K762">
        <v>0.95</v>
      </c>
      <c r="L762">
        <v>2.5</v>
      </c>
      <c r="M762" t="s">
        <v>20</v>
      </c>
      <c r="N762">
        <f t="shared" si="33"/>
        <v>2</v>
      </c>
      <c r="O762">
        <v>2016</v>
      </c>
      <c r="P762">
        <f t="shared" si="34"/>
        <v>7.3987862754199485</v>
      </c>
      <c r="Q762">
        <f t="shared" si="35"/>
        <v>4.3176214379815452</v>
      </c>
    </row>
    <row r="763" spans="1:17" hidden="1" x14ac:dyDescent="0.3">
      <c r="A763">
        <v>762</v>
      </c>
      <c r="B763">
        <v>369132</v>
      </c>
      <c r="C763" t="s">
        <v>1529</v>
      </c>
      <c r="D763" t="s">
        <v>1530</v>
      </c>
      <c r="E763">
        <v>145</v>
      </c>
      <c r="F763">
        <v>1628</v>
      </c>
      <c r="G763">
        <v>162</v>
      </c>
      <c r="H763">
        <v>129</v>
      </c>
      <c r="I763">
        <v>4</v>
      </c>
      <c r="J763" t="s">
        <v>23</v>
      </c>
      <c r="K763">
        <v>0.95</v>
      </c>
      <c r="L763">
        <v>18.5</v>
      </c>
      <c r="M763" t="s">
        <v>20</v>
      </c>
      <c r="N763">
        <f t="shared" si="33"/>
        <v>2</v>
      </c>
      <c r="O763">
        <v>2015</v>
      </c>
      <c r="P763">
        <f t="shared" si="34"/>
        <v>7.3951075465624854</v>
      </c>
      <c r="Q763">
        <f t="shared" si="35"/>
        <v>4.9768027055598036</v>
      </c>
    </row>
    <row r="764" spans="1:17" hidden="1" x14ac:dyDescent="0.3">
      <c r="A764">
        <v>763</v>
      </c>
      <c r="B764">
        <v>856530</v>
      </c>
      <c r="C764" t="s">
        <v>1531</v>
      </c>
      <c r="D764" t="s">
        <v>1532</v>
      </c>
      <c r="E764">
        <v>35</v>
      </c>
      <c r="F764">
        <v>1627</v>
      </c>
      <c r="G764">
        <v>38</v>
      </c>
      <c r="H764">
        <v>7</v>
      </c>
      <c r="I764">
        <v>4</v>
      </c>
      <c r="J764" t="s">
        <v>23</v>
      </c>
      <c r="K764">
        <v>0.95</v>
      </c>
      <c r="L764">
        <v>0.58333332999999998</v>
      </c>
      <c r="M764" t="s">
        <v>20</v>
      </c>
      <c r="N764">
        <f t="shared" si="33"/>
        <v>2</v>
      </c>
      <c r="O764">
        <v>2016</v>
      </c>
      <c r="P764">
        <f t="shared" si="34"/>
        <v>7.3944931072190379</v>
      </c>
      <c r="Q764">
        <f t="shared" si="35"/>
        <v>3.5556337349665741</v>
      </c>
    </row>
    <row r="765" spans="1:17" hidden="1" x14ac:dyDescent="0.3">
      <c r="A765">
        <v>764</v>
      </c>
      <c r="B765">
        <v>863976</v>
      </c>
      <c r="C765" t="s">
        <v>1533</v>
      </c>
      <c r="D765" t="s">
        <v>1534</v>
      </c>
      <c r="E765">
        <v>50</v>
      </c>
      <c r="F765">
        <v>1626</v>
      </c>
      <c r="G765">
        <v>81</v>
      </c>
      <c r="H765">
        <v>18</v>
      </c>
      <c r="I765">
        <v>4</v>
      </c>
      <c r="J765" t="s">
        <v>23</v>
      </c>
      <c r="K765">
        <v>0.95</v>
      </c>
      <c r="L765">
        <v>1.5</v>
      </c>
      <c r="M765" t="s">
        <v>20</v>
      </c>
      <c r="N765">
        <f t="shared" si="33"/>
        <v>2</v>
      </c>
      <c r="O765">
        <v>2016</v>
      </c>
      <c r="P765">
        <f t="shared" si="34"/>
        <v>7.3938782901077555</v>
      </c>
      <c r="Q765">
        <f t="shared" si="35"/>
        <v>3.9122229854308124</v>
      </c>
    </row>
    <row r="766" spans="1:17" x14ac:dyDescent="0.3">
      <c r="A766">
        <v>765</v>
      </c>
      <c r="B766">
        <v>863812</v>
      </c>
      <c r="C766" t="s">
        <v>1535</v>
      </c>
      <c r="D766" t="s">
        <v>1536</v>
      </c>
      <c r="E766">
        <v>100</v>
      </c>
      <c r="F766">
        <v>1626</v>
      </c>
      <c r="G766">
        <v>115</v>
      </c>
      <c r="H766">
        <v>78</v>
      </c>
      <c r="I766">
        <v>1</v>
      </c>
      <c r="J766" t="s">
        <v>13</v>
      </c>
      <c r="K766">
        <v>0.95</v>
      </c>
      <c r="L766">
        <v>6.5</v>
      </c>
      <c r="M766" t="s">
        <v>20</v>
      </c>
      <c r="N766">
        <f t="shared" si="33"/>
        <v>2</v>
      </c>
      <c r="O766">
        <v>2016</v>
      </c>
      <c r="P766">
        <f t="shared" si="34"/>
        <v>7.3938782901077555</v>
      </c>
      <c r="Q766">
        <f t="shared" si="35"/>
        <v>4.6052701809884251</v>
      </c>
    </row>
    <row r="767" spans="1:17" hidden="1" x14ac:dyDescent="0.3">
      <c r="A767">
        <v>766</v>
      </c>
      <c r="B767">
        <v>791610</v>
      </c>
      <c r="C767" t="s">
        <v>1537</v>
      </c>
      <c r="D767" t="s">
        <v>1538</v>
      </c>
      <c r="E767">
        <v>50</v>
      </c>
      <c r="F767">
        <v>1624</v>
      </c>
      <c r="G767">
        <v>31</v>
      </c>
      <c r="H767">
        <v>38</v>
      </c>
      <c r="I767">
        <v>2</v>
      </c>
      <c r="J767" t="s">
        <v>32</v>
      </c>
      <c r="K767">
        <v>0.95</v>
      </c>
      <c r="L767">
        <v>4</v>
      </c>
      <c r="M767" t="s">
        <v>20</v>
      </c>
      <c r="N767">
        <f t="shared" si="33"/>
        <v>2</v>
      </c>
      <c r="O767">
        <v>2016</v>
      </c>
      <c r="P767">
        <f t="shared" si="34"/>
        <v>7.3926475207216233</v>
      </c>
      <c r="Q767">
        <f t="shared" si="35"/>
        <v>3.9122229854308124</v>
      </c>
    </row>
    <row r="768" spans="1:17" hidden="1" x14ac:dyDescent="0.3">
      <c r="A768">
        <v>767</v>
      </c>
      <c r="B768">
        <v>846578</v>
      </c>
      <c r="C768" t="s">
        <v>1539</v>
      </c>
      <c r="D768" t="s">
        <v>1540</v>
      </c>
      <c r="E768">
        <v>20</v>
      </c>
      <c r="F768">
        <v>1618</v>
      </c>
      <c r="G768">
        <v>46</v>
      </c>
      <c r="H768">
        <v>20</v>
      </c>
      <c r="I768">
        <v>4</v>
      </c>
      <c r="J768" t="s">
        <v>23</v>
      </c>
      <c r="K768">
        <v>0.95</v>
      </c>
      <c r="L768">
        <v>1.5</v>
      </c>
      <c r="M768" t="s">
        <v>20</v>
      </c>
      <c r="N768">
        <f t="shared" si="33"/>
        <v>2</v>
      </c>
      <c r="O768">
        <v>2016</v>
      </c>
      <c r="P768">
        <f t="shared" si="34"/>
        <v>7.3889460976184367</v>
      </c>
      <c r="Q768">
        <f t="shared" si="35"/>
        <v>2.996232148595642</v>
      </c>
    </row>
    <row r="769" spans="1:17" hidden="1" x14ac:dyDescent="0.3">
      <c r="A769">
        <v>768</v>
      </c>
      <c r="B769">
        <v>797832</v>
      </c>
      <c r="C769" t="s">
        <v>1541</v>
      </c>
      <c r="D769" t="s">
        <v>1542</v>
      </c>
      <c r="E769">
        <v>20</v>
      </c>
      <c r="F769">
        <v>1613</v>
      </c>
      <c r="G769">
        <v>21</v>
      </c>
      <c r="H769">
        <v>20</v>
      </c>
      <c r="I769">
        <v>4</v>
      </c>
      <c r="J769" t="s">
        <v>23</v>
      </c>
      <c r="K769">
        <v>0.95</v>
      </c>
      <c r="L769">
        <v>1</v>
      </c>
      <c r="M769" t="s">
        <v>20</v>
      </c>
      <c r="N769">
        <f t="shared" si="33"/>
        <v>2</v>
      </c>
      <c r="O769">
        <v>2016</v>
      </c>
      <c r="P769">
        <f t="shared" si="34"/>
        <v>7.3858510781252091</v>
      </c>
      <c r="Q769">
        <f t="shared" si="35"/>
        <v>2.996232148595642</v>
      </c>
    </row>
    <row r="770" spans="1:17" hidden="1" x14ac:dyDescent="0.3">
      <c r="A770">
        <v>769</v>
      </c>
      <c r="B770">
        <v>896858</v>
      </c>
      <c r="C770" t="s">
        <v>1543</v>
      </c>
      <c r="D770" t="s">
        <v>1544</v>
      </c>
      <c r="E770">
        <v>100</v>
      </c>
      <c r="F770">
        <v>1611</v>
      </c>
      <c r="G770">
        <v>165</v>
      </c>
      <c r="H770">
        <v>157</v>
      </c>
      <c r="I770">
        <v>4</v>
      </c>
      <c r="J770" t="s">
        <v>23</v>
      </c>
      <c r="K770">
        <v>0.95</v>
      </c>
      <c r="L770">
        <v>12.5</v>
      </c>
      <c r="M770" t="s">
        <v>20</v>
      </c>
      <c r="N770">
        <f t="shared" ref="N770:N833" si="36">IF(M770="Free",1,IF(M770="Paid",2,0))</f>
        <v>2</v>
      </c>
      <c r="O770">
        <v>2016</v>
      </c>
      <c r="P770">
        <f t="shared" ref="P770:P833" si="37">LN(F770)</f>
        <v>7.384610383176974</v>
      </c>
      <c r="Q770">
        <f t="shared" ref="Q770:Q833" si="38">LN(E770+0.01)</f>
        <v>4.6052701809884251</v>
      </c>
    </row>
    <row r="771" spans="1:17" x14ac:dyDescent="0.3">
      <c r="A771">
        <v>770</v>
      </c>
      <c r="B771">
        <v>180547</v>
      </c>
      <c r="C771" t="s">
        <v>1545</v>
      </c>
      <c r="D771" t="s">
        <v>1546</v>
      </c>
      <c r="E771">
        <v>50</v>
      </c>
      <c r="F771">
        <v>1611</v>
      </c>
      <c r="G771">
        <v>24</v>
      </c>
      <c r="H771">
        <v>20</v>
      </c>
      <c r="I771">
        <v>1</v>
      </c>
      <c r="J771" t="s">
        <v>13</v>
      </c>
      <c r="K771">
        <v>0.95</v>
      </c>
      <c r="L771">
        <v>3.5</v>
      </c>
      <c r="M771" t="s">
        <v>20</v>
      </c>
      <c r="N771">
        <f t="shared" si="36"/>
        <v>2</v>
      </c>
      <c r="O771">
        <v>2014</v>
      </c>
      <c r="P771">
        <f t="shared" si="37"/>
        <v>7.384610383176974</v>
      </c>
      <c r="Q771">
        <f t="shared" si="38"/>
        <v>3.9122229854308124</v>
      </c>
    </row>
    <row r="772" spans="1:17" x14ac:dyDescent="0.3">
      <c r="A772">
        <v>771</v>
      </c>
      <c r="B772">
        <v>130168</v>
      </c>
      <c r="C772" t="s">
        <v>1547</v>
      </c>
      <c r="D772" t="s">
        <v>1548</v>
      </c>
      <c r="E772">
        <v>100</v>
      </c>
      <c r="F772">
        <v>1606</v>
      </c>
      <c r="G772">
        <v>28</v>
      </c>
      <c r="H772">
        <v>73</v>
      </c>
      <c r="I772">
        <v>1</v>
      </c>
      <c r="J772" t="s">
        <v>13</v>
      </c>
      <c r="K772">
        <v>0.95</v>
      </c>
      <c r="L772">
        <v>9</v>
      </c>
      <c r="M772" t="s">
        <v>20</v>
      </c>
      <c r="N772">
        <f t="shared" si="36"/>
        <v>2</v>
      </c>
      <c r="O772">
        <v>2013</v>
      </c>
      <c r="P772">
        <f t="shared" si="37"/>
        <v>7.381501894506707</v>
      </c>
      <c r="Q772">
        <f t="shared" si="38"/>
        <v>4.6052701809884251</v>
      </c>
    </row>
    <row r="773" spans="1:17" x14ac:dyDescent="0.3">
      <c r="A773">
        <v>772</v>
      </c>
      <c r="B773">
        <v>1240522</v>
      </c>
      <c r="C773" t="s">
        <v>1549</v>
      </c>
      <c r="D773" t="s">
        <v>1550</v>
      </c>
      <c r="E773">
        <v>25</v>
      </c>
      <c r="F773">
        <v>1605</v>
      </c>
      <c r="G773">
        <v>10</v>
      </c>
      <c r="H773">
        <v>32</v>
      </c>
      <c r="I773">
        <v>1</v>
      </c>
      <c r="J773" t="s">
        <v>13</v>
      </c>
      <c r="K773">
        <v>0.95</v>
      </c>
      <c r="L773">
        <v>3.5</v>
      </c>
      <c r="M773" t="s">
        <v>20</v>
      </c>
      <c r="N773">
        <f t="shared" si="36"/>
        <v>2</v>
      </c>
      <c r="O773">
        <v>2017</v>
      </c>
      <c r="P773">
        <f t="shared" si="37"/>
        <v>7.3808790355641163</v>
      </c>
      <c r="Q773">
        <f t="shared" si="38"/>
        <v>3.2192757448895279</v>
      </c>
    </row>
    <row r="774" spans="1:17" x14ac:dyDescent="0.3">
      <c r="A774">
        <v>773</v>
      </c>
      <c r="B774">
        <v>765916</v>
      </c>
      <c r="C774" t="s">
        <v>1551</v>
      </c>
      <c r="D774" t="s">
        <v>1552</v>
      </c>
      <c r="E774">
        <v>60</v>
      </c>
      <c r="F774">
        <v>1599</v>
      </c>
      <c r="G774">
        <v>26</v>
      </c>
      <c r="H774">
        <v>49</v>
      </c>
      <c r="I774">
        <v>1</v>
      </c>
      <c r="J774" t="s">
        <v>13</v>
      </c>
      <c r="K774">
        <v>0.95</v>
      </c>
      <c r="L774">
        <v>3</v>
      </c>
      <c r="M774" t="s">
        <v>20</v>
      </c>
      <c r="N774">
        <f t="shared" si="36"/>
        <v>2</v>
      </c>
      <c r="O774">
        <v>2016</v>
      </c>
      <c r="P774">
        <f t="shared" si="37"/>
        <v>7.3771337128339542</v>
      </c>
      <c r="Q774">
        <f t="shared" si="38"/>
        <v>4.0945112150014218</v>
      </c>
    </row>
    <row r="775" spans="1:17" hidden="1" x14ac:dyDescent="0.3">
      <c r="A775">
        <v>774</v>
      </c>
      <c r="B775">
        <v>987666</v>
      </c>
      <c r="C775" t="s">
        <v>1553</v>
      </c>
      <c r="D775" t="s">
        <v>1554</v>
      </c>
      <c r="E775">
        <v>50</v>
      </c>
      <c r="F775">
        <v>1591</v>
      </c>
      <c r="G775">
        <v>99</v>
      </c>
      <c r="H775">
        <v>74</v>
      </c>
      <c r="I775">
        <v>4</v>
      </c>
      <c r="J775" t="s">
        <v>23</v>
      </c>
      <c r="K775">
        <v>0.95</v>
      </c>
      <c r="L775">
        <v>9.5</v>
      </c>
      <c r="M775" t="s">
        <v>20</v>
      </c>
      <c r="N775">
        <f t="shared" si="36"/>
        <v>2</v>
      </c>
      <c r="O775">
        <v>2017</v>
      </c>
      <c r="P775">
        <f t="shared" si="37"/>
        <v>7.3721180283377867</v>
      </c>
      <c r="Q775">
        <f t="shared" si="38"/>
        <v>3.9122229854308124</v>
      </c>
    </row>
    <row r="776" spans="1:17" hidden="1" x14ac:dyDescent="0.3">
      <c r="A776">
        <v>775</v>
      </c>
      <c r="B776">
        <v>494510</v>
      </c>
      <c r="C776" t="s">
        <v>1555</v>
      </c>
      <c r="D776" t="s">
        <v>1556</v>
      </c>
      <c r="E776">
        <v>40</v>
      </c>
      <c r="F776">
        <v>1588</v>
      </c>
      <c r="G776">
        <v>8</v>
      </c>
      <c r="H776">
        <v>15</v>
      </c>
      <c r="I776">
        <v>4</v>
      </c>
      <c r="J776" t="s">
        <v>23</v>
      </c>
      <c r="K776">
        <v>0.95</v>
      </c>
      <c r="L776">
        <v>0.56666667000000004</v>
      </c>
      <c r="M776" t="s">
        <v>20</v>
      </c>
      <c r="N776">
        <f t="shared" si="36"/>
        <v>2</v>
      </c>
      <c r="O776">
        <v>2015</v>
      </c>
      <c r="P776">
        <f t="shared" si="37"/>
        <v>7.3702306418070807</v>
      </c>
      <c r="Q776">
        <f t="shared" si="38"/>
        <v>3.6891294228691436</v>
      </c>
    </row>
    <row r="777" spans="1:17" hidden="1" x14ac:dyDescent="0.3">
      <c r="A777">
        <v>776</v>
      </c>
      <c r="B777">
        <v>12975</v>
      </c>
      <c r="C777" t="s">
        <v>1557</v>
      </c>
      <c r="D777" t="s">
        <v>1558</v>
      </c>
      <c r="E777">
        <v>200</v>
      </c>
      <c r="F777">
        <v>1586</v>
      </c>
      <c r="G777">
        <v>87</v>
      </c>
      <c r="H777">
        <v>124</v>
      </c>
      <c r="I777">
        <v>4</v>
      </c>
      <c r="J777" t="s">
        <v>23</v>
      </c>
      <c r="K777">
        <v>0.95</v>
      </c>
      <c r="L777">
        <v>22</v>
      </c>
      <c r="M777" t="s">
        <v>20</v>
      </c>
      <c r="N777">
        <f t="shared" si="36"/>
        <v>2</v>
      </c>
      <c r="O777">
        <v>2013</v>
      </c>
      <c r="P777">
        <f t="shared" si="37"/>
        <v>7.368970402194793</v>
      </c>
      <c r="Q777">
        <f t="shared" si="38"/>
        <v>5.2983673652980787</v>
      </c>
    </row>
    <row r="778" spans="1:17" hidden="1" x14ac:dyDescent="0.3">
      <c r="A778">
        <v>777</v>
      </c>
      <c r="B778">
        <v>328960</v>
      </c>
      <c r="C778" t="s">
        <v>1559</v>
      </c>
      <c r="D778" t="s">
        <v>1560</v>
      </c>
      <c r="E778">
        <v>120</v>
      </c>
      <c r="F778">
        <v>1566</v>
      </c>
      <c r="G778">
        <v>29</v>
      </c>
      <c r="H778">
        <v>36</v>
      </c>
      <c r="I778">
        <v>4</v>
      </c>
      <c r="J778" t="s">
        <v>23</v>
      </c>
      <c r="K778">
        <v>0.95</v>
      </c>
      <c r="L778">
        <v>4</v>
      </c>
      <c r="M778" t="s">
        <v>20</v>
      </c>
      <c r="N778">
        <f t="shared" si="36"/>
        <v>2</v>
      </c>
      <c r="O778">
        <v>2015</v>
      </c>
      <c r="P778">
        <f t="shared" si="37"/>
        <v>7.3562798765507482</v>
      </c>
      <c r="Q778">
        <f t="shared" si="38"/>
        <v>4.7875750726433504</v>
      </c>
    </row>
    <row r="779" spans="1:17" hidden="1" x14ac:dyDescent="0.3">
      <c r="A779">
        <v>778</v>
      </c>
      <c r="B779">
        <v>970252</v>
      </c>
      <c r="C779" t="s">
        <v>1561</v>
      </c>
      <c r="D779" t="s">
        <v>1562</v>
      </c>
      <c r="E779">
        <v>45</v>
      </c>
      <c r="F779">
        <v>1562</v>
      </c>
      <c r="G779">
        <v>4</v>
      </c>
      <c r="H779">
        <v>12</v>
      </c>
      <c r="I779">
        <v>4</v>
      </c>
      <c r="J779" t="s">
        <v>23</v>
      </c>
      <c r="K779">
        <v>0.95</v>
      </c>
      <c r="L779">
        <v>1.5</v>
      </c>
      <c r="M779" t="s">
        <v>20</v>
      </c>
      <c r="N779">
        <f t="shared" si="36"/>
        <v>2</v>
      </c>
      <c r="O779">
        <v>2016</v>
      </c>
      <c r="P779">
        <f t="shared" si="37"/>
        <v>7.3537223303996315</v>
      </c>
      <c r="Q779">
        <f t="shared" si="38"/>
        <v>3.8068846873048412</v>
      </c>
    </row>
    <row r="780" spans="1:17" hidden="1" x14ac:dyDescent="0.3">
      <c r="A780">
        <v>779</v>
      </c>
      <c r="B780">
        <v>975060</v>
      </c>
      <c r="C780" t="s">
        <v>1563</v>
      </c>
      <c r="D780" t="s">
        <v>1564</v>
      </c>
      <c r="E780">
        <v>115</v>
      </c>
      <c r="F780">
        <v>1562</v>
      </c>
      <c r="G780">
        <v>42</v>
      </c>
      <c r="H780">
        <v>34</v>
      </c>
      <c r="I780">
        <v>4</v>
      </c>
      <c r="J780" t="s">
        <v>23</v>
      </c>
      <c r="K780">
        <v>0.95</v>
      </c>
      <c r="L780">
        <v>4</v>
      </c>
      <c r="M780" t="s">
        <v>20</v>
      </c>
      <c r="N780">
        <f t="shared" si="36"/>
        <v>2</v>
      </c>
      <c r="O780">
        <v>2016</v>
      </c>
      <c r="P780">
        <f t="shared" si="37"/>
        <v>7.3537223303996315</v>
      </c>
      <c r="Q780">
        <f t="shared" si="38"/>
        <v>4.7450190811044903</v>
      </c>
    </row>
    <row r="781" spans="1:17" x14ac:dyDescent="0.3">
      <c r="A781">
        <v>780</v>
      </c>
      <c r="B781">
        <v>516790</v>
      </c>
      <c r="C781" t="s">
        <v>1565</v>
      </c>
      <c r="D781" t="s">
        <v>1566</v>
      </c>
      <c r="E781">
        <v>25</v>
      </c>
      <c r="F781">
        <v>1557</v>
      </c>
      <c r="G781">
        <v>13</v>
      </c>
      <c r="H781">
        <v>74</v>
      </c>
      <c r="I781">
        <v>1</v>
      </c>
      <c r="J781" t="s">
        <v>13</v>
      </c>
      <c r="K781">
        <v>0.95</v>
      </c>
      <c r="L781">
        <v>14</v>
      </c>
      <c r="M781" t="s">
        <v>20</v>
      </c>
      <c r="N781">
        <f t="shared" si="36"/>
        <v>2</v>
      </c>
      <c r="O781">
        <v>2015</v>
      </c>
      <c r="P781">
        <f t="shared" si="37"/>
        <v>7.3505161718339984</v>
      </c>
      <c r="Q781">
        <f t="shared" si="38"/>
        <v>3.2192757448895279</v>
      </c>
    </row>
    <row r="782" spans="1:17" hidden="1" x14ac:dyDescent="0.3">
      <c r="A782">
        <v>781</v>
      </c>
      <c r="B782">
        <v>746790</v>
      </c>
      <c r="C782" t="s">
        <v>1567</v>
      </c>
      <c r="D782" t="s">
        <v>1568</v>
      </c>
      <c r="E782">
        <v>20</v>
      </c>
      <c r="F782">
        <v>1554</v>
      </c>
      <c r="G782">
        <v>30</v>
      </c>
      <c r="H782">
        <v>60</v>
      </c>
      <c r="I782">
        <v>4</v>
      </c>
      <c r="J782" t="s">
        <v>23</v>
      </c>
      <c r="K782">
        <v>0.95</v>
      </c>
      <c r="L782">
        <v>4</v>
      </c>
      <c r="M782" t="s">
        <v>20</v>
      </c>
      <c r="N782">
        <f t="shared" si="36"/>
        <v>2</v>
      </c>
      <c r="O782">
        <v>2016</v>
      </c>
      <c r="P782">
        <f t="shared" si="37"/>
        <v>7.3485875309275928</v>
      </c>
      <c r="Q782">
        <f t="shared" si="38"/>
        <v>2.996232148595642</v>
      </c>
    </row>
    <row r="783" spans="1:17" hidden="1" x14ac:dyDescent="0.3">
      <c r="A783">
        <v>782</v>
      </c>
      <c r="B783">
        <v>470412</v>
      </c>
      <c r="C783" t="s">
        <v>1569</v>
      </c>
      <c r="D783" t="s">
        <v>1570</v>
      </c>
      <c r="E783">
        <v>50</v>
      </c>
      <c r="F783">
        <v>1553</v>
      </c>
      <c r="G783">
        <v>35</v>
      </c>
      <c r="H783">
        <v>43</v>
      </c>
      <c r="I783">
        <v>4</v>
      </c>
      <c r="J783" t="s">
        <v>23</v>
      </c>
      <c r="K783">
        <v>0.95</v>
      </c>
      <c r="L783">
        <v>5.5</v>
      </c>
      <c r="M783" t="s">
        <v>20</v>
      </c>
      <c r="N783">
        <f t="shared" si="36"/>
        <v>2</v>
      </c>
      <c r="O783">
        <v>2015</v>
      </c>
      <c r="P783">
        <f t="shared" si="37"/>
        <v>7.3479438231486869</v>
      </c>
      <c r="Q783">
        <f t="shared" si="38"/>
        <v>3.9122229854308124</v>
      </c>
    </row>
    <row r="784" spans="1:17" hidden="1" x14ac:dyDescent="0.3">
      <c r="A784">
        <v>783</v>
      </c>
      <c r="B784">
        <v>287010</v>
      </c>
      <c r="C784" t="s">
        <v>1571</v>
      </c>
      <c r="D784" t="s">
        <v>1572</v>
      </c>
      <c r="E784">
        <v>55</v>
      </c>
      <c r="F784">
        <v>1552</v>
      </c>
      <c r="G784">
        <v>14</v>
      </c>
      <c r="H784">
        <v>44</v>
      </c>
      <c r="I784">
        <v>4</v>
      </c>
      <c r="J784" t="s">
        <v>23</v>
      </c>
      <c r="K784">
        <v>0.95</v>
      </c>
      <c r="L784">
        <v>3.5</v>
      </c>
      <c r="M784" t="s">
        <v>20</v>
      </c>
      <c r="N784">
        <f t="shared" si="36"/>
        <v>2</v>
      </c>
      <c r="O784">
        <v>2014</v>
      </c>
      <c r="P784">
        <f t="shared" si="37"/>
        <v>7.3472997007431644</v>
      </c>
      <c r="Q784">
        <f t="shared" si="38"/>
        <v>4.007514986887367</v>
      </c>
    </row>
    <row r="785" spans="1:17" hidden="1" x14ac:dyDescent="0.3">
      <c r="A785">
        <v>784</v>
      </c>
      <c r="B785">
        <v>650222</v>
      </c>
      <c r="C785" t="s">
        <v>1573</v>
      </c>
      <c r="D785" t="s">
        <v>1574</v>
      </c>
      <c r="E785">
        <v>30</v>
      </c>
      <c r="F785">
        <v>1551</v>
      </c>
      <c r="G785">
        <v>42</v>
      </c>
      <c r="H785">
        <v>78</v>
      </c>
      <c r="I785">
        <v>4</v>
      </c>
      <c r="J785" t="s">
        <v>23</v>
      </c>
      <c r="K785">
        <v>0.95</v>
      </c>
      <c r="L785">
        <v>7.5</v>
      </c>
      <c r="M785" t="s">
        <v>20</v>
      </c>
      <c r="N785">
        <f t="shared" si="36"/>
        <v>2</v>
      </c>
      <c r="O785">
        <v>2015</v>
      </c>
      <c r="P785">
        <f t="shared" si="37"/>
        <v>7.3466551631765391</v>
      </c>
      <c r="Q785">
        <f t="shared" si="38"/>
        <v>3.4015306594522756</v>
      </c>
    </row>
    <row r="786" spans="1:17" hidden="1" x14ac:dyDescent="0.3">
      <c r="A786">
        <v>785</v>
      </c>
      <c r="B786">
        <v>499904</v>
      </c>
      <c r="C786" t="s">
        <v>1575</v>
      </c>
      <c r="D786" t="s">
        <v>1576</v>
      </c>
      <c r="E786">
        <v>30</v>
      </c>
      <c r="F786">
        <v>1550</v>
      </c>
      <c r="G786">
        <v>15</v>
      </c>
      <c r="H786">
        <v>23</v>
      </c>
      <c r="I786">
        <v>4</v>
      </c>
      <c r="J786" t="s">
        <v>23</v>
      </c>
      <c r="K786">
        <v>0.96</v>
      </c>
      <c r="L786">
        <v>3</v>
      </c>
      <c r="M786" t="s">
        <v>20</v>
      </c>
      <c r="N786">
        <f t="shared" si="36"/>
        <v>2</v>
      </c>
      <c r="O786">
        <v>2015</v>
      </c>
      <c r="P786">
        <f t="shared" si="37"/>
        <v>7.3460102099132927</v>
      </c>
      <c r="Q786">
        <f t="shared" si="38"/>
        <v>3.4015306594522756</v>
      </c>
    </row>
    <row r="787" spans="1:17" hidden="1" x14ac:dyDescent="0.3">
      <c r="A787">
        <v>786</v>
      </c>
      <c r="B787">
        <v>564546</v>
      </c>
      <c r="C787" t="s">
        <v>1577</v>
      </c>
      <c r="D787" t="s">
        <v>1578</v>
      </c>
      <c r="E787">
        <v>50</v>
      </c>
      <c r="F787">
        <v>1550</v>
      </c>
      <c r="G787">
        <v>25</v>
      </c>
      <c r="H787">
        <v>27</v>
      </c>
      <c r="I787">
        <v>4</v>
      </c>
      <c r="J787" t="s">
        <v>23</v>
      </c>
      <c r="K787">
        <v>0.96</v>
      </c>
      <c r="L787">
        <v>1.5</v>
      </c>
      <c r="M787" t="s">
        <v>20</v>
      </c>
      <c r="N787">
        <f t="shared" si="36"/>
        <v>2</v>
      </c>
      <c r="O787">
        <v>2015</v>
      </c>
      <c r="P787">
        <f t="shared" si="37"/>
        <v>7.3460102099132927</v>
      </c>
      <c r="Q787">
        <f t="shared" si="38"/>
        <v>3.9122229854308124</v>
      </c>
    </row>
    <row r="788" spans="1:17" hidden="1" x14ac:dyDescent="0.3">
      <c r="A788">
        <v>787</v>
      </c>
      <c r="B788">
        <v>936504</v>
      </c>
      <c r="C788" t="s">
        <v>1579</v>
      </c>
      <c r="D788" t="s">
        <v>1580</v>
      </c>
      <c r="E788">
        <v>40</v>
      </c>
      <c r="F788">
        <v>1548</v>
      </c>
      <c r="G788">
        <v>30</v>
      </c>
      <c r="H788">
        <v>126</v>
      </c>
      <c r="I788">
        <v>4</v>
      </c>
      <c r="J788" t="s">
        <v>23</v>
      </c>
      <c r="K788">
        <v>0.96</v>
      </c>
      <c r="L788">
        <v>15</v>
      </c>
      <c r="M788" t="s">
        <v>20</v>
      </c>
      <c r="N788">
        <f t="shared" si="36"/>
        <v>2</v>
      </c>
      <c r="O788">
        <v>2016</v>
      </c>
      <c r="P788">
        <f t="shared" si="37"/>
        <v>7.3447190541496727</v>
      </c>
      <c r="Q788">
        <f t="shared" si="38"/>
        <v>3.6891294228691436</v>
      </c>
    </row>
    <row r="789" spans="1:17" hidden="1" x14ac:dyDescent="0.3">
      <c r="A789">
        <v>788</v>
      </c>
      <c r="B789">
        <v>904818</v>
      </c>
      <c r="C789" t="s">
        <v>1581</v>
      </c>
      <c r="D789" t="s">
        <v>1582</v>
      </c>
      <c r="E789">
        <v>50</v>
      </c>
      <c r="F789">
        <v>1547</v>
      </c>
      <c r="G789">
        <v>30</v>
      </c>
      <c r="H789">
        <v>56</v>
      </c>
      <c r="I789">
        <v>4</v>
      </c>
      <c r="J789" t="s">
        <v>23</v>
      </c>
      <c r="K789">
        <v>0.96</v>
      </c>
      <c r="L789">
        <v>8</v>
      </c>
      <c r="M789" t="s">
        <v>20</v>
      </c>
      <c r="N789">
        <f t="shared" si="36"/>
        <v>2</v>
      </c>
      <c r="O789">
        <v>2016</v>
      </c>
      <c r="P789">
        <f t="shared" si="37"/>
        <v>7.3440728505730659</v>
      </c>
      <c r="Q789">
        <f t="shared" si="38"/>
        <v>3.9122229854308124</v>
      </c>
    </row>
    <row r="790" spans="1:17" hidden="1" x14ac:dyDescent="0.3">
      <c r="A790">
        <v>789</v>
      </c>
      <c r="B790">
        <v>1116366</v>
      </c>
      <c r="C790" t="s">
        <v>1583</v>
      </c>
      <c r="D790" t="s">
        <v>1584</v>
      </c>
      <c r="E790">
        <v>0</v>
      </c>
      <c r="F790">
        <v>1544</v>
      </c>
      <c r="G790">
        <v>15</v>
      </c>
      <c r="H790">
        <v>29</v>
      </c>
      <c r="I790">
        <v>4</v>
      </c>
      <c r="J790" t="s">
        <v>23</v>
      </c>
      <c r="K790">
        <v>0.96</v>
      </c>
      <c r="L790">
        <v>1</v>
      </c>
      <c r="M790" t="s">
        <v>14</v>
      </c>
      <c r="N790">
        <f t="shared" si="36"/>
        <v>1</v>
      </c>
      <c r="O790">
        <v>2017</v>
      </c>
      <c r="P790">
        <f t="shared" si="37"/>
        <v>7.3421317305847218</v>
      </c>
      <c r="Q790">
        <f t="shared" si="38"/>
        <v>-4.6051701859880909</v>
      </c>
    </row>
    <row r="791" spans="1:17" hidden="1" x14ac:dyDescent="0.3">
      <c r="A791">
        <v>790</v>
      </c>
      <c r="B791">
        <v>505780</v>
      </c>
      <c r="C791" t="s">
        <v>1585</v>
      </c>
      <c r="D791" t="s">
        <v>1586</v>
      </c>
      <c r="E791">
        <v>45</v>
      </c>
      <c r="F791">
        <v>1540</v>
      </c>
      <c r="G791">
        <v>19</v>
      </c>
      <c r="H791">
        <v>39</v>
      </c>
      <c r="I791">
        <v>4</v>
      </c>
      <c r="J791" t="s">
        <v>23</v>
      </c>
      <c r="K791">
        <v>0.96</v>
      </c>
      <c r="L791">
        <v>3</v>
      </c>
      <c r="M791" t="s">
        <v>20</v>
      </c>
      <c r="N791">
        <f t="shared" si="36"/>
        <v>2</v>
      </c>
      <c r="O791">
        <v>2015</v>
      </c>
      <c r="P791">
        <f t="shared" si="37"/>
        <v>7.3395376954076745</v>
      </c>
      <c r="Q791">
        <f t="shared" si="38"/>
        <v>3.8068846873048412</v>
      </c>
    </row>
    <row r="792" spans="1:17" x14ac:dyDescent="0.3">
      <c r="A792">
        <v>791</v>
      </c>
      <c r="B792">
        <v>1135712</v>
      </c>
      <c r="C792" t="s">
        <v>1587</v>
      </c>
      <c r="D792" t="s">
        <v>1588</v>
      </c>
      <c r="E792">
        <v>195</v>
      </c>
      <c r="F792">
        <v>1537</v>
      </c>
      <c r="G792">
        <v>8</v>
      </c>
      <c r="H792">
        <v>29</v>
      </c>
      <c r="I792">
        <v>1</v>
      </c>
      <c r="J792" t="s">
        <v>13</v>
      </c>
      <c r="K792">
        <v>0.96</v>
      </c>
      <c r="L792">
        <v>2.5</v>
      </c>
      <c r="M792" t="s">
        <v>20</v>
      </c>
      <c r="N792">
        <f t="shared" si="36"/>
        <v>2</v>
      </c>
      <c r="O792">
        <v>2017</v>
      </c>
      <c r="P792">
        <f t="shared" si="37"/>
        <v>7.3375877435385961</v>
      </c>
      <c r="Q792">
        <f t="shared" si="38"/>
        <v>5.273050839300149</v>
      </c>
    </row>
    <row r="793" spans="1:17" x14ac:dyDescent="0.3">
      <c r="A793">
        <v>792</v>
      </c>
      <c r="B793">
        <v>417914</v>
      </c>
      <c r="C793" t="s">
        <v>1589</v>
      </c>
      <c r="D793" t="s">
        <v>1590</v>
      </c>
      <c r="E793">
        <v>55</v>
      </c>
      <c r="F793">
        <v>1534</v>
      </c>
      <c r="G793">
        <v>33</v>
      </c>
      <c r="H793">
        <v>18</v>
      </c>
      <c r="I793">
        <v>1</v>
      </c>
      <c r="J793" t="s">
        <v>13</v>
      </c>
      <c r="K793">
        <v>0.96</v>
      </c>
      <c r="L793">
        <v>1.5</v>
      </c>
      <c r="M793" t="s">
        <v>20</v>
      </c>
      <c r="N793">
        <f t="shared" si="36"/>
        <v>2</v>
      </c>
      <c r="O793">
        <v>2015</v>
      </c>
      <c r="P793">
        <f t="shared" si="37"/>
        <v>7.3356339819272014</v>
      </c>
      <c r="Q793">
        <f t="shared" si="38"/>
        <v>4.007514986887367</v>
      </c>
    </row>
    <row r="794" spans="1:17" hidden="1" x14ac:dyDescent="0.3">
      <c r="A794">
        <v>793</v>
      </c>
      <c r="B794">
        <v>253246</v>
      </c>
      <c r="C794" t="s">
        <v>1591</v>
      </c>
      <c r="D794" t="s">
        <v>1592</v>
      </c>
      <c r="E794">
        <v>75</v>
      </c>
      <c r="F794">
        <v>1532</v>
      </c>
      <c r="G794">
        <v>19</v>
      </c>
      <c r="H794">
        <v>23</v>
      </c>
      <c r="I794">
        <v>4</v>
      </c>
      <c r="J794" t="s">
        <v>23</v>
      </c>
      <c r="K794">
        <v>0.96</v>
      </c>
      <c r="L794">
        <v>2</v>
      </c>
      <c r="M794" t="s">
        <v>20</v>
      </c>
      <c r="N794">
        <f t="shared" si="36"/>
        <v>2</v>
      </c>
      <c r="O794">
        <v>2014</v>
      </c>
      <c r="P794">
        <f t="shared" si="37"/>
        <v>7.3343293503005365</v>
      </c>
      <c r="Q794">
        <f t="shared" si="38"/>
        <v>4.3176214379815452</v>
      </c>
    </row>
    <row r="795" spans="1:17" x14ac:dyDescent="0.3">
      <c r="A795">
        <v>794</v>
      </c>
      <c r="B795">
        <v>258886</v>
      </c>
      <c r="C795" t="s">
        <v>1593</v>
      </c>
      <c r="D795" t="s">
        <v>1594</v>
      </c>
      <c r="E795">
        <v>90</v>
      </c>
      <c r="F795">
        <v>1526</v>
      </c>
      <c r="G795">
        <v>72</v>
      </c>
      <c r="H795">
        <v>86</v>
      </c>
      <c r="I795">
        <v>1</v>
      </c>
      <c r="J795" t="s">
        <v>13</v>
      </c>
      <c r="K795">
        <v>0.96</v>
      </c>
      <c r="L795">
        <v>6.5</v>
      </c>
      <c r="M795" t="s">
        <v>20</v>
      </c>
      <c r="N795">
        <f t="shared" si="36"/>
        <v>2</v>
      </c>
      <c r="O795">
        <v>2015</v>
      </c>
      <c r="P795">
        <f t="shared" si="37"/>
        <v>7.3304052118444023</v>
      </c>
      <c r="Q795">
        <f t="shared" si="38"/>
        <v>4.4999207752689943</v>
      </c>
    </row>
    <row r="796" spans="1:17" hidden="1" x14ac:dyDescent="0.3">
      <c r="A796">
        <v>795</v>
      </c>
      <c r="B796">
        <v>895096</v>
      </c>
      <c r="C796" t="s">
        <v>1595</v>
      </c>
      <c r="D796" t="s">
        <v>1596</v>
      </c>
      <c r="E796">
        <v>20</v>
      </c>
      <c r="F796">
        <v>1525</v>
      </c>
      <c r="G796">
        <v>43</v>
      </c>
      <c r="H796">
        <v>65</v>
      </c>
      <c r="I796">
        <v>2</v>
      </c>
      <c r="J796" t="s">
        <v>32</v>
      </c>
      <c r="K796">
        <v>0.96</v>
      </c>
      <c r="L796">
        <v>2.5</v>
      </c>
      <c r="M796" t="s">
        <v>20</v>
      </c>
      <c r="N796">
        <f t="shared" si="36"/>
        <v>2</v>
      </c>
      <c r="O796">
        <v>2016</v>
      </c>
      <c r="P796">
        <f t="shared" si="37"/>
        <v>7.3297496890415124</v>
      </c>
      <c r="Q796">
        <f t="shared" si="38"/>
        <v>2.996232148595642</v>
      </c>
    </row>
    <row r="797" spans="1:17" hidden="1" x14ac:dyDescent="0.3">
      <c r="A797">
        <v>796</v>
      </c>
      <c r="B797">
        <v>1030440</v>
      </c>
      <c r="C797" t="s">
        <v>1597</v>
      </c>
      <c r="D797" t="s">
        <v>1598</v>
      </c>
      <c r="E797">
        <v>20</v>
      </c>
      <c r="F797">
        <v>1520</v>
      </c>
      <c r="G797">
        <v>34</v>
      </c>
      <c r="H797">
        <v>23</v>
      </c>
      <c r="I797">
        <v>2</v>
      </c>
      <c r="J797" t="s">
        <v>32</v>
      </c>
      <c r="K797">
        <v>0.96</v>
      </c>
      <c r="L797">
        <v>2</v>
      </c>
      <c r="M797" t="s">
        <v>20</v>
      </c>
      <c r="N797">
        <f t="shared" si="36"/>
        <v>2</v>
      </c>
      <c r="O797">
        <v>2017</v>
      </c>
      <c r="P797">
        <f t="shared" si="37"/>
        <v>7.3264656138403224</v>
      </c>
      <c r="Q797">
        <f t="shared" si="38"/>
        <v>2.996232148595642</v>
      </c>
    </row>
    <row r="798" spans="1:17" hidden="1" x14ac:dyDescent="0.3">
      <c r="A798">
        <v>797</v>
      </c>
      <c r="B798">
        <v>56259</v>
      </c>
      <c r="C798" t="s">
        <v>1599</v>
      </c>
      <c r="D798" t="s">
        <v>1600</v>
      </c>
      <c r="E798">
        <v>25</v>
      </c>
      <c r="F798">
        <v>1520</v>
      </c>
      <c r="G798">
        <v>21</v>
      </c>
      <c r="H798">
        <v>52</v>
      </c>
      <c r="I798">
        <v>4</v>
      </c>
      <c r="J798" t="s">
        <v>23</v>
      </c>
      <c r="K798">
        <v>0.96</v>
      </c>
      <c r="L798">
        <v>10.5</v>
      </c>
      <c r="M798" t="s">
        <v>20</v>
      </c>
      <c r="N798">
        <f t="shared" si="36"/>
        <v>2</v>
      </c>
      <c r="O798">
        <v>2013</v>
      </c>
      <c r="P798">
        <f t="shared" si="37"/>
        <v>7.3264656138403224</v>
      </c>
      <c r="Q798">
        <f t="shared" si="38"/>
        <v>3.2192757448895279</v>
      </c>
    </row>
    <row r="799" spans="1:17" x14ac:dyDescent="0.3">
      <c r="A799">
        <v>798</v>
      </c>
      <c r="B799">
        <v>1170690</v>
      </c>
      <c r="C799" t="s">
        <v>1601</v>
      </c>
      <c r="D799" t="s">
        <v>1602</v>
      </c>
      <c r="E799">
        <v>0</v>
      </c>
      <c r="F799">
        <v>1519</v>
      </c>
      <c r="G799">
        <v>28</v>
      </c>
      <c r="H799">
        <v>20</v>
      </c>
      <c r="I799">
        <v>1</v>
      </c>
      <c r="J799" t="s">
        <v>13</v>
      </c>
      <c r="K799">
        <v>0.96</v>
      </c>
      <c r="L799">
        <v>1</v>
      </c>
      <c r="M799" t="s">
        <v>14</v>
      </c>
      <c r="N799">
        <f t="shared" si="36"/>
        <v>1</v>
      </c>
      <c r="O799">
        <v>2017</v>
      </c>
      <c r="P799">
        <f t="shared" si="37"/>
        <v>7.3258075025957732</v>
      </c>
      <c r="Q799">
        <f t="shared" si="38"/>
        <v>-4.6051701859880909</v>
      </c>
    </row>
    <row r="800" spans="1:17" hidden="1" x14ac:dyDescent="0.3">
      <c r="A800">
        <v>799</v>
      </c>
      <c r="B800">
        <v>382258</v>
      </c>
      <c r="C800" t="s">
        <v>1603</v>
      </c>
      <c r="D800" t="s">
        <v>1604</v>
      </c>
      <c r="E800">
        <v>100</v>
      </c>
      <c r="F800">
        <v>1518</v>
      </c>
      <c r="G800">
        <v>55</v>
      </c>
      <c r="H800">
        <v>122</v>
      </c>
      <c r="I800">
        <v>4</v>
      </c>
      <c r="J800" t="s">
        <v>23</v>
      </c>
      <c r="K800">
        <v>0.96</v>
      </c>
      <c r="L800">
        <v>19</v>
      </c>
      <c r="M800" t="s">
        <v>20</v>
      </c>
      <c r="N800">
        <f t="shared" si="36"/>
        <v>2</v>
      </c>
      <c r="O800">
        <v>2015</v>
      </c>
      <c r="P800">
        <f t="shared" si="37"/>
        <v>7.3251489579555749</v>
      </c>
      <c r="Q800">
        <f t="shared" si="38"/>
        <v>4.6052701809884251</v>
      </c>
    </row>
    <row r="801" spans="1:17" x14ac:dyDescent="0.3">
      <c r="A801">
        <v>800</v>
      </c>
      <c r="B801">
        <v>235104</v>
      </c>
      <c r="C801" t="s">
        <v>1605</v>
      </c>
      <c r="D801" t="s">
        <v>1606</v>
      </c>
      <c r="E801">
        <v>20</v>
      </c>
      <c r="F801">
        <v>1517</v>
      </c>
      <c r="G801">
        <v>4</v>
      </c>
      <c r="H801">
        <v>12</v>
      </c>
      <c r="I801">
        <v>1</v>
      </c>
      <c r="J801" t="s">
        <v>13</v>
      </c>
      <c r="K801">
        <v>0.96</v>
      </c>
      <c r="L801">
        <v>1</v>
      </c>
      <c r="M801" t="s">
        <v>20</v>
      </c>
      <c r="N801">
        <f t="shared" si="36"/>
        <v>2</v>
      </c>
      <c r="O801">
        <v>2014</v>
      </c>
      <c r="P801">
        <f t="shared" si="37"/>
        <v>7.3244899793485319</v>
      </c>
      <c r="Q801">
        <f t="shared" si="38"/>
        <v>2.996232148595642</v>
      </c>
    </row>
    <row r="802" spans="1:17" hidden="1" x14ac:dyDescent="0.3">
      <c r="A802">
        <v>801</v>
      </c>
      <c r="B802">
        <v>936182</v>
      </c>
      <c r="C802" t="s">
        <v>1607</v>
      </c>
      <c r="D802" t="s">
        <v>1608</v>
      </c>
      <c r="E802">
        <v>50</v>
      </c>
      <c r="F802">
        <v>1515</v>
      </c>
      <c r="G802">
        <v>32</v>
      </c>
      <c r="H802">
        <v>60</v>
      </c>
      <c r="I802">
        <v>4</v>
      </c>
      <c r="J802" t="s">
        <v>23</v>
      </c>
      <c r="K802">
        <v>0.96</v>
      </c>
      <c r="L802">
        <v>7</v>
      </c>
      <c r="M802" t="s">
        <v>20</v>
      </c>
      <c r="N802">
        <f t="shared" si="36"/>
        <v>2</v>
      </c>
      <c r="O802">
        <v>2016</v>
      </c>
      <c r="P802">
        <f t="shared" si="37"/>
        <v>7.3231707179434693</v>
      </c>
      <c r="Q802">
        <f t="shared" si="38"/>
        <v>3.9122229854308124</v>
      </c>
    </row>
    <row r="803" spans="1:17" hidden="1" x14ac:dyDescent="0.3">
      <c r="A803">
        <v>802</v>
      </c>
      <c r="B803">
        <v>948440</v>
      </c>
      <c r="C803" t="s">
        <v>1609</v>
      </c>
      <c r="D803" t="s">
        <v>1610</v>
      </c>
      <c r="E803">
        <v>40</v>
      </c>
      <c r="F803">
        <v>1502</v>
      </c>
      <c r="G803">
        <v>218</v>
      </c>
      <c r="H803">
        <v>49</v>
      </c>
      <c r="I803">
        <v>4</v>
      </c>
      <c r="J803" t="s">
        <v>23</v>
      </c>
      <c r="K803">
        <v>0.96</v>
      </c>
      <c r="L803">
        <v>6</v>
      </c>
      <c r="M803" t="s">
        <v>20</v>
      </c>
      <c r="N803">
        <f t="shared" si="36"/>
        <v>2</v>
      </c>
      <c r="O803">
        <v>2016</v>
      </c>
      <c r="P803">
        <f t="shared" si="37"/>
        <v>7.3145528323240798</v>
      </c>
      <c r="Q803">
        <f t="shared" si="38"/>
        <v>3.6891294228691436</v>
      </c>
    </row>
    <row r="804" spans="1:17" x14ac:dyDescent="0.3">
      <c r="A804">
        <v>803</v>
      </c>
      <c r="B804">
        <v>978850</v>
      </c>
      <c r="C804" t="s">
        <v>1611</v>
      </c>
      <c r="D804" t="s">
        <v>1612</v>
      </c>
      <c r="E804">
        <v>50</v>
      </c>
      <c r="F804">
        <v>1496</v>
      </c>
      <c r="G804">
        <v>37</v>
      </c>
      <c r="H804">
        <v>74</v>
      </c>
      <c r="I804">
        <v>1</v>
      </c>
      <c r="J804" t="s">
        <v>13</v>
      </c>
      <c r="K804">
        <v>0.96</v>
      </c>
      <c r="L804">
        <v>7.5</v>
      </c>
      <c r="M804" t="s">
        <v>20</v>
      </c>
      <c r="N804">
        <f t="shared" si="36"/>
        <v>2</v>
      </c>
      <c r="O804">
        <v>2016</v>
      </c>
      <c r="P804">
        <f t="shared" si="37"/>
        <v>7.3105501585344221</v>
      </c>
      <c r="Q804">
        <f t="shared" si="38"/>
        <v>3.9122229854308124</v>
      </c>
    </row>
    <row r="805" spans="1:17" hidden="1" x14ac:dyDescent="0.3">
      <c r="A805">
        <v>804</v>
      </c>
      <c r="B805">
        <v>674040</v>
      </c>
      <c r="C805" t="s">
        <v>1613</v>
      </c>
      <c r="D805" t="s">
        <v>1614</v>
      </c>
      <c r="E805">
        <v>195</v>
      </c>
      <c r="F805">
        <v>1494</v>
      </c>
      <c r="G805">
        <v>23</v>
      </c>
      <c r="H805">
        <v>62</v>
      </c>
      <c r="I805">
        <v>4</v>
      </c>
      <c r="J805" t="s">
        <v>23</v>
      </c>
      <c r="K805">
        <v>0.88</v>
      </c>
      <c r="L805">
        <v>7.5</v>
      </c>
      <c r="M805" t="s">
        <v>20</v>
      </c>
      <c r="N805">
        <f t="shared" si="36"/>
        <v>2</v>
      </c>
      <c r="O805">
        <v>2015</v>
      </c>
      <c r="P805">
        <f t="shared" si="37"/>
        <v>7.3092123656927628</v>
      </c>
      <c r="Q805">
        <f t="shared" si="38"/>
        <v>5.273050839300149</v>
      </c>
    </row>
    <row r="806" spans="1:17" hidden="1" x14ac:dyDescent="0.3">
      <c r="A806">
        <v>805</v>
      </c>
      <c r="B806">
        <v>368786</v>
      </c>
      <c r="C806" t="s">
        <v>1615</v>
      </c>
      <c r="D806" t="s">
        <v>1616</v>
      </c>
      <c r="E806">
        <v>30</v>
      </c>
      <c r="F806">
        <v>1478</v>
      </c>
      <c r="G806">
        <v>18</v>
      </c>
      <c r="H806">
        <v>83</v>
      </c>
      <c r="I806">
        <v>2</v>
      </c>
      <c r="J806" t="s">
        <v>32</v>
      </c>
      <c r="K806">
        <v>0.18</v>
      </c>
      <c r="L806">
        <v>5</v>
      </c>
      <c r="M806" t="s">
        <v>20</v>
      </c>
      <c r="N806">
        <f t="shared" si="36"/>
        <v>2</v>
      </c>
      <c r="O806">
        <v>2015</v>
      </c>
      <c r="P806">
        <f t="shared" si="37"/>
        <v>7.2984451015081468</v>
      </c>
      <c r="Q806">
        <f t="shared" si="38"/>
        <v>3.4015306594522756</v>
      </c>
    </row>
    <row r="807" spans="1:17" hidden="1" x14ac:dyDescent="0.3">
      <c r="A807">
        <v>806</v>
      </c>
      <c r="B807">
        <v>1189508</v>
      </c>
      <c r="C807" t="s">
        <v>1617</v>
      </c>
      <c r="D807" t="s">
        <v>1618</v>
      </c>
      <c r="E807">
        <v>40</v>
      </c>
      <c r="F807">
        <v>1477</v>
      </c>
      <c r="G807">
        <v>17</v>
      </c>
      <c r="H807">
        <v>27</v>
      </c>
      <c r="I807">
        <v>2</v>
      </c>
      <c r="J807" t="s">
        <v>32</v>
      </c>
      <c r="K807">
        <v>0.34</v>
      </c>
      <c r="L807">
        <v>6</v>
      </c>
      <c r="M807" t="s">
        <v>20</v>
      </c>
      <c r="N807">
        <f t="shared" si="36"/>
        <v>2</v>
      </c>
      <c r="O807">
        <v>2017</v>
      </c>
      <c r="P807">
        <f t="shared" si="37"/>
        <v>7.2977682825313801</v>
      </c>
      <c r="Q807">
        <f t="shared" si="38"/>
        <v>3.6891294228691436</v>
      </c>
    </row>
    <row r="808" spans="1:17" hidden="1" x14ac:dyDescent="0.3">
      <c r="A808">
        <v>807</v>
      </c>
      <c r="B808">
        <v>652376</v>
      </c>
      <c r="C808" t="s">
        <v>1619</v>
      </c>
      <c r="D808" t="s">
        <v>1620</v>
      </c>
      <c r="E808">
        <v>20</v>
      </c>
      <c r="F808">
        <v>1476</v>
      </c>
      <c r="G808">
        <v>27</v>
      </c>
      <c r="H808">
        <v>8</v>
      </c>
      <c r="I808">
        <v>4</v>
      </c>
      <c r="J808" t="s">
        <v>23</v>
      </c>
      <c r="K808">
        <v>0.89</v>
      </c>
      <c r="L808">
        <v>0.65</v>
      </c>
      <c r="M808" t="s">
        <v>20</v>
      </c>
      <c r="N808">
        <f t="shared" si="36"/>
        <v>2</v>
      </c>
      <c r="O808">
        <v>2016</v>
      </c>
      <c r="P808">
        <f t="shared" si="37"/>
        <v>7.2970910051604179</v>
      </c>
      <c r="Q808">
        <f t="shared" si="38"/>
        <v>2.996232148595642</v>
      </c>
    </row>
    <row r="809" spans="1:17" hidden="1" x14ac:dyDescent="0.3">
      <c r="A809">
        <v>808</v>
      </c>
      <c r="B809">
        <v>991094</v>
      </c>
      <c r="C809" t="s">
        <v>1621</v>
      </c>
      <c r="D809" t="s">
        <v>1622</v>
      </c>
      <c r="E809">
        <v>195</v>
      </c>
      <c r="F809">
        <v>1472</v>
      </c>
      <c r="G809">
        <v>210</v>
      </c>
      <c r="H809">
        <v>110</v>
      </c>
      <c r="I809">
        <v>4</v>
      </c>
      <c r="J809" t="s">
        <v>23</v>
      </c>
      <c r="K809">
        <v>0.98</v>
      </c>
      <c r="L809">
        <v>13</v>
      </c>
      <c r="M809" t="s">
        <v>20</v>
      </c>
      <c r="N809">
        <f t="shared" si="36"/>
        <v>2</v>
      </c>
      <c r="O809">
        <v>2017</v>
      </c>
      <c r="P809">
        <f t="shared" si="37"/>
        <v>7.2943772992888212</v>
      </c>
      <c r="Q809">
        <f t="shared" si="38"/>
        <v>5.273050839300149</v>
      </c>
    </row>
    <row r="810" spans="1:17" hidden="1" x14ac:dyDescent="0.3">
      <c r="A810">
        <v>809</v>
      </c>
      <c r="B810">
        <v>912946</v>
      </c>
      <c r="C810" t="s">
        <v>1623</v>
      </c>
      <c r="D810" t="s">
        <v>1624</v>
      </c>
      <c r="E810">
        <v>40</v>
      </c>
      <c r="F810">
        <v>1469</v>
      </c>
      <c r="G810">
        <v>237</v>
      </c>
      <c r="H810">
        <v>120</v>
      </c>
      <c r="I810">
        <v>4</v>
      </c>
      <c r="J810" t="s">
        <v>23</v>
      </c>
      <c r="K810">
        <v>0.47</v>
      </c>
      <c r="L810">
        <v>19</v>
      </c>
      <c r="M810" t="s">
        <v>20</v>
      </c>
      <c r="N810">
        <f t="shared" si="36"/>
        <v>2</v>
      </c>
      <c r="O810">
        <v>2016</v>
      </c>
      <c r="P810">
        <f t="shared" si="37"/>
        <v>7.2923371761738771</v>
      </c>
      <c r="Q810">
        <f t="shared" si="38"/>
        <v>3.6891294228691436</v>
      </c>
    </row>
    <row r="811" spans="1:17" hidden="1" x14ac:dyDescent="0.3">
      <c r="A811">
        <v>810</v>
      </c>
      <c r="B811">
        <v>378924</v>
      </c>
      <c r="C811" t="s">
        <v>1625</v>
      </c>
      <c r="D811" t="s">
        <v>1626</v>
      </c>
      <c r="E811">
        <v>40</v>
      </c>
      <c r="F811">
        <v>1468</v>
      </c>
      <c r="G811">
        <v>54</v>
      </c>
      <c r="H811">
        <v>18</v>
      </c>
      <c r="I811">
        <v>4</v>
      </c>
      <c r="J811" t="s">
        <v>23</v>
      </c>
      <c r="K811">
        <v>0.8</v>
      </c>
      <c r="L811">
        <v>2.5</v>
      </c>
      <c r="M811" t="s">
        <v>20</v>
      </c>
      <c r="N811">
        <f t="shared" si="36"/>
        <v>2</v>
      </c>
      <c r="O811">
        <v>2015</v>
      </c>
      <c r="P811">
        <f t="shared" si="37"/>
        <v>7.2916562091744606</v>
      </c>
      <c r="Q811">
        <f t="shared" si="38"/>
        <v>3.6891294228691436</v>
      </c>
    </row>
    <row r="812" spans="1:17" x14ac:dyDescent="0.3">
      <c r="A812">
        <v>811</v>
      </c>
      <c r="B812">
        <v>19260</v>
      </c>
      <c r="C812" t="s">
        <v>1627</v>
      </c>
      <c r="D812" t="s">
        <v>1628</v>
      </c>
      <c r="E812">
        <v>20</v>
      </c>
      <c r="F812">
        <v>1463</v>
      </c>
      <c r="G812">
        <v>56</v>
      </c>
      <c r="H812">
        <v>24</v>
      </c>
      <c r="I812">
        <v>1</v>
      </c>
      <c r="J812" t="s">
        <v>13</v>
      </c>
      <c r="K812">
        <v>0.9</v>
      </c>
      <c r="L812">
        <v>1</v>
      </c>
      <c r="M812" t="s">
        <v>20</v>
      </c>
      <c r="N812">
        <f t="shared" si="36"/>
        <v>2</v>
      </c>
      <c r="O812">
        <v>2012</v>
      </c>
      <c r="P812">
        <f t="shared" si="37"/>
        <v>7.2882444010201244</v>
      </c>
      <c r="Q812">
        <f t="shared" si="38"/>
        <v>2.996232148595642</v>
      </c>
    </row>
    <row r="813" spans="1:17" hidden="1" x14ac:dyDescent="0.3">
      <c r="A813">
        <v>812</v>
      </c>
      <c r="B813">
        <v>523216</v>
      </c>
      <c r="C813" t="s">
        <v>1629</v>
      </c>
      <c r="D813" t="s">
        <v>1630</v>
      </c>
      <c r="E813">
        <v>30</v>
      </c>
      <c r="F813">
        <v>1454</v>
      </c>
      <c r="G813">
        <v>14</v>
      </c>
      <c r="H813">
        <v>12</v>
      </c>
      <c r="I813">
        <v>4</v>
      </c>
      <c r="J813" t="s">
        <v>23</v>
      </c>
      <c r="K813">
        <v>0.14000000000000001</v>
      </c>
      <c r="L813">
        <v>0.5</v>
      </c>
      <c r="M813" t="s">
        <v>20</v>
      </c>
      <c r="N813">
        <f t="shared" si="36"/>
        <v>2</v>
      </c>
      <c r="O813">
        <v>2015</v>
      </c>
      <c r="P813">
        <f t="shared" si="37"/>
        <v>7.2820736580934646</v>
      </c>
      <c r="Q813">
        <f t="shared" si="38"/>
        <v>3.4015306594522756</v>
      </c>
    </row>
    <row r="814" spans="1:17" x14ac:dyDescent="0.3">
      <c r="A814">
        <v>813</v>
      </c>
      <c r="B814">
        <v>519952</v>
      </c>
      <c r="C814" t="s">
        <v>1631</v>
      </c>
      <c r="D814" t="s">
        <v>1632</v>
      </c>
      <c r="E814">
        <v>200</v>
      </c>
      <c r="F814">
        <v>1448</v>
      </c>
      <c r="G814">
        <v>173</v>
      </c>
      <c r="H814">
        <v>48</v>
      </c>
      <c r="I814">
        <v>1</v>
      </c>
      <c r="J814" t="s">
        <v>13</v>
      </c>
      <c r="K814">
        <v>0.74</v>
      </c>
      <c r="L814">
        <v>7.5</v>
      </c>
      <c r="M814" t="s">
        <v>20</v>
      </c>
      <c r="N814">
        <f t="shared" si="36"/>
        <v>2</v>
      </c>
      <c r="O814">
        <v>2015</v>
      </c>
      <c r="P814">
        <f t="shared" si="37"/>
        <v>7.2779385729456614</v>
      </c>
      <c r="Q814">
        <f t="shared" si="38"/>
        <v>5.2983673652980787</v>
      </c>
    </row>
    <row r="815" spans="1:17" x14ac:dyDescent="0.3">
      <c r="A815">
        <v>814</v>
      </c>
      <c r="B815">
        <v>651990</v>
      </c>
      <c r="C815" t="s">
        <v>1633</v>
      </c>
      <c r="D815" t="s">
        <v>1634</v>
      </c>
      <c r="E815">
        <v>20</v>
      </c>
      <c r="F815">
        <v>1447</v>
      </c>
      <c r="G815">
        <v>35</v>
      </c>
      <c r="H815">
        <v>7</v>
      </c>
      <c r="I815">
        <v>1</v>
      </c>
      <c r="J815" t="s">
        <v>13</v>
      </c>
      <c r="K815">
        <v>0.89</v>
      </c>
      <c r="L815">
        <v>0.66666667000000002</v>
      </c>
      <c r="M815" t="s">
        <v>20</v>
      </c>
      <c r="N815">
        <f t="shared" si="36"/>
        <v>2</v>
      </c>
      <c r="O815">
        <v>2015</v>
      </c>
      <c r="P815">
        <f t="shared" si="37"/>
        <v>7.2772477266314839</v>
      </c>
      <c r="Q815">
        <f t="shared" si="38"/>
        <v>2.996232148595642</v>
      </c>
    </row>
    <row r="816" spans="1:17" hidden="1" x14ac:dyDescent="0.3">
      <c r="A816">
        <v>815</v>
      </c>
      <c r="B816">
        <v>392836</v>
      </c>
      <c r="C816" t="s">
        <v>1635</v>
      </c>
      <c r="D816" t="s">
        <v>1636</v>
      </c>
      <c r="E816">
        <v>20</v>
      </c>
      <c r="F816">
        <v>1442</v>
      </c>
      <c r="G816">
        <v>9</v>
      </c>
      <c r="H816">
        <v>25</v>
      </c>
      <c r="I816">
        <v>4</v>
      </c>
      <c r="J816" t="s">
        <v>23</v>
      </c>
      <c r="K816">
        <v>0.78</v>
      </c>
      <c r="L816">
        <v>2</v>
      </c>
      <c r="M816" t="s">
        <v>20</v>
      </c>
      <c r="N816">
        <f t="shared" si="36"/>
        <v>2</v>
      </c>
      <c r="O816">
        <v>2015</v>
      </c>
      <c r="P816">
        <f t="shared" si="37"/>
        <v>7.2737863178448947</v>
      </c>
      <c r="Q816">
        <f t="shared" si="38"/>
        <v>2.996232148595642</v>
      </c>
    </row>
    <row r="817" spans="1:17" x14ac:dyDescent="0.3">
      <c r="A817">
        <v>816</v>
      </c>
      <c r="B817">
        <v>814206</v>
      </c>
      <c r="C817" t="s">
        <v>1637</v>
      </c>
      <c r="D817" t="s">
        <v>1638</v>
      </c>
      <c r="E817">
        <v>50</v>
      </c>
      <c r="F817">
        <v>1439</v>
      </c>
      <c r="G817">
        <v>10</v>
      </c>
      <c r="H817">
        <v>77</v>
      </c>
      <c r="I817">
        <v>1</v>
      </c>
      <c r="J817" t="s">
        <v>13</v>
      </c>
      <c r="K817">
        <v>0.84</v>
      </c>
      <c r="L817">
        <v>13</v>
      </c>
      <c r="M817" t="s">
        <v>20</v>
      </c>
      <c r="N817">
        <f t="shared" si="36"/>
        <v>2</v>
      </c>
      <c r="O817">
        <v>2016</v>
      </c>
      <c r="P817">
        <f t="shared" si="37"/>
        <v>7.2717037068873678</v>
      </c>
      <c r="Q817">
        <f t="shared" si="38"/>
        <v>3.9122229854308124</v>
      </c>
    </row>
    <row r="818" spans="1:17" hidden="1" x14ac:dyDescent="0.3">
      <c r="A818">
        <v>817</v>
      </c>
      <c r="B818">
        <v>1139400</v>
      </c>
      <c r="C818" t="s">
        <v>1639</v>
      </c>
      <c r="D818" t="s">
        <v>1640</v>
      </c>
      <c r="E818">
        <v>95</v>
      </c>
      <c r="F818">
        <v>1437</v>
      </c>
      <c r="G818">
        <v>24</v>
      </c>
      <c r="H818">
        <v>20</v>
      </c>
      <c r="I818">
        <v>2</v>
      </c>
      <c r="J818" t="s">
        <v>32</v>
      </c>
      <c r="K818">
        <v>0.72</v>
      </c>
      <c r="L818">
        <v>1</v>
      </c>
      <c r="M818" t="s">
        <v>20</v>
      </c>
      <c r="N818">
        <f t="shared" si="36"/>
        <v>2</v>
      </c>
      <c r="O818">
        <v>2017</v>
      </c>
      <c r="P818">
        <f t="shared" si="37"/>
        <v>7.2703128860790249</v>
      </c>
      <c r="Q818">
        <f t="shared" si="38"/>
        <v>4.5539821492186583</v>
      </c>
    </row>
    <row r="819" spans="1:17" x14ac:dyDescent="0.3">
      <c r="A819">
        <v>818</v>
      </c>
      <c r="B819">
        <v>645714</v>
      </c>
      <c r="C819" t="s">
        <v>1641</v>
      </c>
      <c r="D819" t="s">
        <v>1642</v>
      </c>
      <c r="E819">
        <v>40</v>
      </c>
      <c r="F819">
        <v>1433</v>
      </c>
      <c r="G819">
        <v>145</v>
      </c>
      <c r="H819">
        <v>34</v>
      </c>
      <c r="I819">
        <v>1</v>
      </c>
      <c r="J819" t="s">
        <v>13</v>
      </c>
      <c r="K819">
        <v>0.35</v>
      </c>
      <c r="L819">
        <v>5.5</v>
      </c>
      <c r="M819" t="s">
        <v>20</v>
      </c>
      <c r="N819">
        <f t="shared" si="36"/>
        <v>2</v>
      </c>
      <c r="O819">
        <v>2015</v>
      </c>
      <c r="P819">
        <f t="shared" si="37"/>
        <v>7.267525427828172</v>
      </c>
      <c r="Q819">
        <f t="shared" si="38"/>
        <v>3.6891294228691436</v>
      </c>
    </row>
    <row r="820" spans="1:17" hidden="1" x14ac:dyDescent="0.3">
      <c r="A820">
        <v>819</v>
      </c>
      <c r="B820">
        <v>611518</v>
      </c>
      <c r="C820" t="s">
        <v>1643</v>
      </c>
      <c r="D820" t="s">
        <v>1644</v>
      </c>
      <c r="E820">
        <v>20</v>
      </c>
      <c r="F820">
        <v>1428</v>
      </c>
      <c r="G820">
        <v>91</v>
      </c>
      <c r="H820">
        <v>32</v>
      </c>
      <c r="I820">
        <v>4</v>
      </c>
      <c r="J820" t="s">
        <v>23</v>
      </c>
      <c r="K820">
        <v>0.9</v>
      </c>
      <c r="L820">
        <v>3</v>
      </c>
      <c r="M820" t="s">
        <v>20</v>
      </c>
      <c r="N820">
        <f t="shared" si="36"/>
        <v>2</v>
      </c>
      <c r="O820">
        <v>2015</v>
      </c>
      <c r="P820">
        <f t="shared" si="37"/>
        <v>7.2640301428995295</v>
      </c>
      <c r="Q820">
        <f t="shared" si="38"/>
        <v>2.996232148595642</v>
      </c>
    </row>
    <row r="821" spans="1:17" hidden="1" x14ac:dyDescent="0.3">
      <c r="A821">
        <v>820</v>
      </c>
      <c r="B821">
        <v>943306</v>
      </c>
      <c r="C821" t="s">
        <v>1645</v>
      </c>
      <c r="D821" t="s">
        <v>1646</v>
      </c>
      <c r="E821">
        <v>110</v>
      </c>
      <c r="F821">
        <v>1425</v>
      </c>
      <c r="G821">
        <v>36</v>
      </c>
      <c r="H821">
        <v>34</v>
      </c>
      <c r="I821">
        <v>4</v>
      </c>
      <c r="J821" t="s">
        <v>23</v>
      </c>
      <c r="K821">
        <v>0.77</v>
      </c>
      <c r="L821">
        <v>5.5</v>
      </c>
      <c r="M821" t="s">
        <v>20</v>
      </c>
      <c r="N821">
        <f t="shared" si="36"/>
        <v>2</v>
      </c>
      <c r="O821">
        <v>2016</v>
      </c>
      <c r="P821">
        <f t="shared" si="37"/>
        <v>7.2619270927027513</v>
      </c>
      <c r="Q821">
        <f t="shared" si="38"/>
        <v>4.7005712707513441</v>
      </c>
    </row>
    <row r="822" spans="1:17" x14ac:dyDescent="0.3">
      <c r="A822">
        <v>821</v>
      </c>
      <c r="B822">
        <v>598516</v>
      </c>
      <c r="C822" t="s">
        <v>1647</v>
      </c>
      <c r="D822" t="s">
        <v>1648</v>
      </c>
      <c r="E822">
        <v>20</v>
      </c>
      <c r="F822">
        <v>1421</v>
      </c>
      <c r="G822">
        <v>17</v>
      </c>
      <c r="H822">
        <v>36</v>
      </c>
      <c r="I822">
        <v>1</v>
      </c>
      <c r="J822" t="s">
        <v>13</v>
      </c>
      <c r="K822">
        <v>0.83</v>
      </c>
      <c r="L822">
        <v>4</v>
      </c>
      <c r="M822" t="s">
        <v>20</v>
      </c>
      <c r="N822">
        <f t="shared" si="36"/>
        <v>2</v>
      </c>
      <c r="O822">
        <v>2015</v>
      </c>
      <c r="P822">
        <f t="shared" si="37"/>
        <v>7.2591161280971006</v>
      </c>
      <c r="Q822">
        <f t="shared" si="38"/>
        <v>2.996232148595642</v>
      </c>
    </row>
    <row r="823" spans="1:17" hidden="1" x14ac:dyDescent="0.3">
      <c r="A823">
        <v>822</v>
      </c>
      <c r="B823">
        <v>949134</v>
      </c>
      <c r="C823" t="s">
        <v>1649</v>
      </c>
      <c r="D823" t="s">
        <v>1650</v>
      </c>
      <c r="E823">
        <v>200</v>
      </c>
      <c r="F823">
        <v>1420</v>
      </c>
      <c r="G823">
        <v>62</v>
      </c>
      <c r="H823">
        <v>152</v>
      </c>
      <c r="I823">
        <v>4</v>
      </c>
      <c r="J823" t="s">
        <v>23</v>
      </c>
      <c r="K823">
        <v>7.0000000000000007E-2</v>
      </c>
      <c r="L823">
        <v>5.5</v>
      </c>
      <c r="M823" t="s">
        <v>20</v>
      </c>
      <c r="N823">
        <f t="shared" si="36"/>
        <v>2</v>
      </c>
      <c r="O823">
        <v>2016</v>
      </c>
      <c r="P823">
        <f t="shared" si="37"/>
        <v>7.2584121505953068</v>
      </c>
      <c r="Q823">
        <f t="shared" si="38"/>
        <v>5.2983673652980787</v>
      </c>
    </row>
    <row r="824" spans="1:17" x14ac:dyDescent="0.3">
      <c r="A824">
        <v>823</v>
      </c>
      <c r="B824">
        <v>335280</v>
      </c>
      <c r="C824" t="s">
        <v>1651</v>
      </c>
      <c r="D824" t="s">
        <v>1652</v>
      </c>
      <c r="E824">
        <v>60</v>
      </c>
      <c r="F824">
        <v>1419</v>
      </c>
      <c r="G824">
        <v>38</v>
      </c>
      <c r="H824">
        <v>20</v>
      </c>
      <c r="I824">
        <v>1</v>
      </c>
      <c r="J824" t="s">
        <v>13</v>
      </c>
      <c r="K824">
        <v>0.74</v>
      </c>
      <c r="L824">
        <v>1.5</v>
      </c>
      <c r="M824" t="s">
        <v>20</v>
      </c>
      <c r="N824">
        <f t="shared" si="36"/>
        <v>2</v>
      </c>
      <c r="O824">
        <v>2014</v>
      </c>
      <c r="P824">
        <f t="shared" si="37"/>
        <v>7.2577076771600426</v>
      </c>
      <c r="Q824">
        <f t="shared" si="38"/>
        <v>4.0945112150014218</v>
      </c>
    </row>
    <row r="825" spans="1:17" hidden="1" x14ac:dyDescent="0.3">
      <c r="A825">
        <v>824</v>
      </c>
      <c r="B825">
        <v>1267892</v>
      </c>
      <c r="C825" t="s">
        <v>1653</v>
      </c>
      <c r="D825" t="s">
        <v>1654</v>
      </c>
      <c r="E825">
        <v>200</v>
      </c>
      <c r="F825">
        <v>1415</v>
      </c>
      <c r="G825">
        <v>17</v>
      </c>
      <c r="H825">
        <v>23</v>
      </c>
      <c r="I825">
        <v>4</v>
      </c>
      <c r="J825" t="s">
        <v>23</v>
      </c>
      <c r="K825">
        <v>0.62</v>
      </c>
      <c r="L825">
        <v>1.5</v>
      </c>
      <c r="M825" t="s">
        <v>20</v>
      </c>
      <c r="N825">
        <f t="shared" si="36"/>
        <v>2</v>
      </c>
      <c r="O825">
        <v>2017</v>
      </c>
      <c r="P825">
        <f t="shared" si="37"/>
        <v>7.2548848100773382</v>
      </c>
      <c r="Q825">
        <f t="shared" si="38"/>
        <v>5.2983673652980787</v>
      </c>
    </row>
    <row r="826" spans="1:17" hidden="1" x14ac:dyDescent="0.3">
      <c r="A826">
        <v>825</v>
      </c>
      <c r="B826">
        <v>467186</v>
      </c>
      <c r="C826" t="s">
        <v>1655</v>
      </c>
      <c r="D826" t="s">
        <v>1656</v>
      </c>
      <c r="E826">
        <v>150</v>
      </c>
      <c r="F826">
        <v>1414</v>
      </c>
      <c r="G826">
        <v>14</v>
      </c>
      <c r="H826">
        <v>22</v>
      </c>
      <c r="I826">
        <v>4</v>
      </c>
      <c r="J826" t="s">
        <v>23</v>
      </c>
      <c r="K826">
        <v>0.87</v>
      </c>
      <c r="L826">
        <v>2.5</v>
      </c>
      <c r="M826" t="s">
        <v>20</v>
      </c>
      <c r="N826">
        <f t="shared" si="36"/>
        <v>2</v>
      </c>
      <c r="O826">
        <v>2015</v>
      </c>
      <c r="P826">
        <f t="shared" si="37"/>
        <v>7.2541778464565176</v>
      </c>
      <c r="Q826">
        <f t="shared" si="38"/>
        <v>5.0107019585407988</v>
      </c>
    </row>
    <row r="827" spans="1:17" hidden="1" x14ac:dyDescent="0.3">
      <c r="A827">
        <v>826</v>
      </c>
      <c r="B827">
        <v>822670</v>
      </c>
      <c r="C827" t="s">
        <v>1657</v>
      </c>
      <c r="D827" t="s">
        <v>1658</v>
      </c>
      <c r="E827">
        <v>100</v>
      </c>
      <c r="F827">
        <v>1410</v>
      </c>
      <c r="G827">
        <v>134</v>
      </c>
      <c r="H827">
        <v>67</v>
      </c>
      <c r="I827">
        <v>2</v>
      </c>
      <c r="J827" t="s">
        <v>32</v>
      </c>
      <c r="K827">
        <v>0.96</v>
      </c>
      <c r="L827">
        <v>5</v>
      </c>
      <c r="M827" t="s">
        <v>20</v>
      </c>
      <c r="N827">
        <f t="shared" si="36"/>
        <v>2</v>
      </c>
      <c r="O827">
        <v>2016</v>
      </c>
      <c r="P827">
        <f t="shared" si="37"/>
        <v>7.2513449833722143</v>
      </c>
      <c r="Q827">
        <f t="shared" si="38"/>
        <v>4.6052701809884251</v>
      </c>
    </row>
    <row r="828" spans="1:17" hidden="1" x14ac:dyDescent="0.3">
      <c r="A828">
        <v>827</v>
      </c>
      <c r="B828">
        <v>173888</v>
      </c>
      <c r="C828" t="s">
        <v>1659</v>
      </c>
      <c r="D828" t="s">
        <v>1660</v>
      </c>
      <c r="E828">
        <v>115</v>
      </c>
      <c r="F828">
        <v>1407</v>
      </c>
      <c r="G828">
        <v>137</v>
      </c>
      <c r="H828">
        <v>69</v>
      </c>
      <c r="I828">
        <v>4</v>
      </c>
      <c r="J828" t="s">
        <v>23</v>
      </c>
      <c r="K828">
        <v>0.52</v>
      </c>
      <c r="L828">
        <v>7</v>
      </c>
      <c r="M828" t="s">
        <v>20</v>
      </c>
      <c r="N828">
        <f t="shared" si="36"/>
        <v>2</v>
      </c>
      <c r="O828">
        <v>2015</v>
      </c>
      <c r="P828">
        <f t="shared" si="37"/>
        <v>7.2492150571143892</v>
      </c>
      <c r="Q828">
        <f t="shared" si="38"/>
        <v>4.7450190811044903</v>
      </c>
    </row>
    <row r="829" spans="1:17" x14ac:dyDescent="0.3">
      <c r="A829">
        <v>828</v>
      </c>
      <c r="B829">
        <v>1026206</v>
      </c>
      <c r="C829" t="s">
        <v>1661</v>
      </c>
      <c r="D829" t="s">
        <v>1662</v>
      </c>
      <c r="E829">
        <v>25</v>
      </c>
      <c r="F829">
        <v>1406</v>
      </c>
      <c r="G829">
        <v>12</v>
      </c>
      <c r="H829">
        <v>20</v>
      </c>
      <c r="I829">
        <v>1</v>
      </c>
      <c r="J829" t="s">
        <v>13</v>
      </c>
      <c r="K829">
        <v>0.92</v>
      </c>
      <c r="L829">
        <v>1</v>
      </c>
      <c r="M829" t="s">
        <v>20</v>
      </c>
      <c r="N829">
        <f t="shared" si="36"/>
        <v>2</v>
      </c>
      <c r="O829">
        <v>2016</v>
      </c>
      <c r="P829">
        <f t="shared" si="37"/>
        <v>7.2485040723706105</v>
      </c>
      <c r="Q829">
        <f t="shared" si="38"/>
        <v>3.2192757448895279</v>
      </c>
    </row>
    <row r="830" spans="1:17" hidden="1" x14ac:dyDescent="0.3">
      <c r="A830">
        <v>829</v>
      </c>
      <c r="B830">
        <v>288258</v>
      </c>
      <c r="C830" t="s">
        <v>1663</v>
      </c>
      <c r="D830" t="s">
        <v>1664</v>
      </c>
      <c r="E830">
        <v>20</v>
      </c>
      <c r="F830">
        <v>1404</v>
      </c>
      <c r="G830">
        <v>7</v>
      </c>
      <c r="H830">
        <v>17</v>
      </c>
      <c r="I830">
        <v>4</v>
      </c>
      <c r="J830" t="s">
        <v>23</v>
      </c>
      <c r="K830">
        <v>0.33</v>
      </c>
      <c r="L830">
        <v>2.5</v>
      </c>
      <c r="M830" t="s">
        <v>20</v>
      </c>
      <c r="N830">
        <f t="shared" si="36"/>
        <v>2</v>
      </c>
      <c r="O830">
        <v>2014</v>
      </c>
      <c r="P830">
        <f t="shared" si="37"/>
        <v>7.2470805845857562</v>
      </c>
      <c r="Q830">
        <f t="shared" si="38"/>
        <v>2.996232148595642</v>
      </c>
    </row>
    <row r="831" spans="1:17" hidden="1" x14ac:dyDescent="0.3">
      <c r="A831">
        <v>830</v>
      </c>
      <c r="B831">
        <v>1045942</v>
      </c>
      <c r="C831" t="s">
        <v>1665</v>
      </c>
      <c r="D831" t="s">
        <v>1666</v>
      </c>
      <c r="E831">
        <v>150</v>
      </c>
      <c r="F831">
        <v>1399</v>
      </c>
      <c r="G831">
        <v>212</v>
      </c>
      <c r="H831">
        <v>89</v>
      </c>
      <c r="I831">
        <v>4</v>
      </c>
      <c r="J831" t="s">
        <v>23</v>
      </c>
      <c r="K831">
        <v>0.94</v>
      </c>
      <c r="L831">
        <v>8.5</v>
      </c>
      <c r="M831" t="s">
        <v>20</v>
      </c>
      <c r="N831">
        <f t="shared" si="36"/>
        <v>2</v>
      </c>
      <c r="O831">
        <v>2017</v>
      </c>
      <c r="P831">
        <f t="shared" si="37"/>
        <v>7.2435129746654816</v>
      </c>
      <c r="Q831">
        <f t="shared" si="38"/>
        <v>5.0107019585407988</v>
      </c>
    </row>
    <row r="832" spans="1:17" x14ac:dyDescent="0.3">
      <c r="A832">
        <v>831</v>
      </c>
      <c r="B832">
        <v>372442</v>
      </c>
      <c r="C832" t="s">
        <v>1667</v>
      </c>
      <c r="D832" t="s">
        <v>1668</v>
      </c>
      <c r="E832">
        <v>20</v>
      </c>
      <c r="F832">
        <v>1393</v>
      </c>
      <c r="G832">
        <v>40</v>
      </c>
      <c r="H832">
        <v>9</v>
      </c>
      <c r="I832">
        <v>1</v>
      </c>
      <c r="J832" t="s">
        <v>13</v>
      </c>
      <c r="K832">
        <v>0.18</v>
      </c>
      <c r="L832">
        <v>0.51666666999999999</v>
      </c>
      <c r="M832" t="s">
        <v>20</v>
      </c>
      <c r="N832">
        <f t="shared" si="36"/>
        <v>2</v>
      </c>
      <c r="O832">
        <v>2014</v>
      </c>
      <c r="P832">
        <f t="shared" si="37"/>
        <v>7.2392149737798057</v>
      </c>
      <c r="Q832">
        <f t="shared" si="38"/>
        <v>2.996232148595642</v>
      </c>
    </row>
    <row r="833" spans="1:17" hidden="1" x14ac:dyDescent="0.3">
      <c r="A833">
        <v>832</v>
      </c>
      <c r="B833">
        <v>532008</v>
      </c>
      <c r="C833" t="s">
        <v>1669</v>
      </c>
      <c r="D833" t="s">
        <v>1670</v>
      </c>
      <c r="E833">
        <v>95</v>
      </c>
      <c r="F833">
        <v>1388</v>
      </c>
      <c r="G833">
        <v>11</v>
      </c>
      <c r="H833">
        <v>58</v>
      </c>
      <c r="I833">
        <v>4</v>
      </c>
      <c r="J833" t="s">
        <v>23</v>
      </c>
      <c r="K833">
        <v>0.43</v>
      </c>
      <c r="L833">
        <v>7</v>
      </c>
      <c r="M833" t="s">
        <v>20</v>
      </c>
      <c r="N833">
        <f t="shared" si="36"/>
        <v>2</v>
      </c>
      <c r="O833">
        <v>2015</v>
      </c>
      <c r="P833">
        <f t="shared" si="37"/>
        <v>7.2356191410667501</v>
      </c>
      <c r="Q833">
        <f t="shared" si="38"/>
        <v>4.5539821492186583</v>
      </c>
    </row>
    <row r="834" spans="1:17" x14ac:dyDescent="0.3">
      <c r="A834">
        <v>833</v>
      </c>
      <c r="B834">
        <v>697798</v>
      </c>
      <c r="C834" t="s">
        <v>1671</v>
      </c>
      <c r="D834" t="s">
        <v>1672</v>
      </c>
      <c r="E834">
        <v>50</v>
      </c>
      <c r="F834">
        <v>1386</v>
      </c>
      <c r="G834">
        <v>17</v>
      </c>
      <c r="H834">
        <v>28</v>
      </c>
      <c r="I834">
        <v>1</v>
      </c>
      <c r="J834" t="s">
        <v>13</v>
      </c>
      <c r="K834">
        <v>7.0000000000000007E-2</v>
      </c>
      <c r="L834">
        <v>3</v>
      </c>
      <c r="M834" t="s">
        <v>20</v>
      </c>
      <c r="N834">
        <f t="shared" ref="N834:N897" si="39">IF(M834="Free",1,IF(M834="Paid",2,0))</f>
        <v>2</v>
      </c>
      <c r="O834">
        <v>2016</v>
      </c>
      <c r="P834">
        <f t="shared" ref="P834:P897" si="40">LN(F834)</f>
        <v>7.2341771797498486</v>
      </c>
      <c r="Q834">
        <f t="shared" ref="Q834:Q897" si="41">LN(E834+0.01)</f>
        <v>3.9122229854308124</v>
      </c>
    </row>
    <row r="835" spans="1:17" x14ac:dyDescent="0.3">
      <c r="A835">
        <v>834</v>
      </c>
      <c r="B835">
        <v>555122</v>
      </c>
      <c r="C835" t="s">
        <v>1673</v>
      </c>
      <c r="D835" t="s">
        <v>1674</v>
      </c>
      <c r="E835">
        <v>100</v>
      </c>
      <c r="F835">
        <v>1385</v>
      </c>
      <c r="G835">
        <v>89</v>
      </c>
      <c r="H835">
        <v>97</v>
      </c>
      <c r="I835">
        <v>1</v>
      </c>
      <c r="J835" t="s">
        <v>13</v>
      </c>
      <c r="K835">
        <v>0.17</v>
      </c>
      <c r="L835">
        <v>11</v>
      </c>
      <c r="M835" t="s">
        <v>20</v>
      </c>
      <c r="N835">
        <f t="shared" si="39"/>
        <v>2</v>
      </c>
      <c r="O835">
        <v>2015</v>
      </c>
      <c r="P835">
        <f t="shared" si="40"/>
        <v>7.233455418621439</v>
      </c>
      <c r="Q835">
        <f t="shared" si="41"/>
        <v>4.6052701809884251</v>
      </c>
    </row>
    <row r="836" spans="1:17" hidden="1" x14ac:dyDescent="0.3">
      <c r="A836">
        <v>835</v>
      </c>
      <c r="B836">
        <v>876850</v>
      </c>
      <c r="C836" t="s">
        <v>1675</v>
      </c>
      <c r="D836" t="s">
        <v>1676</v>
      </c>
      <c r="E836">
        <v>100</v>
      </c>
      <c r="F836">
        <v>1385</v>
      </c>
      <c r="G836">
        <v>188</v>
      </c>
      <c r="H836">
        <v>83</v>
      </c>
      <c r="I836">
        <v>2</v>
      </c>
      <c r="J836" t="s">
        <v>32</v>
      </c>
      <c r="K836">
        <v>0.46</v>
      </c>
      <c r="L836">
        <v>5</v>
      </c>
      <c r="M836" t="s">
        <v>20</v>
      </c>
      <c r="N836">
        <f t="shared" si="39"/>
        <v>2</v>
      </c>
      <c r="O836">
        <v>2016</v>
      </c>
      <c r="P836">
        <f t="shared" si="40"/>
        <v>7.233455418621439</v>
      </c>
      <c r="Q836">
        <f t="shared" si="41"/>
        <v>4.6052701809884251</v>
      </c>
    </row>
    <row r="837" spans="1:17" hidden="1" x14ac:dyDescent="0.3">
      <c r="A837">
        <v>836</v>
      </c>
      <c r="B837">
        <v>1070976</v>
      </c>
      <c r="C837" t="s">
        <v>1677</v>
      </c>
      <c r="D837" t="s">
        <v>1678</v>
      </c>
      <c r="E837">
        <v>195</v>
      </c>
      <c r="F837">
        <v>1371</v>
      </c>
      <c r="G837">
        <v>165</v>
      </c>
      <c r="H837">
        <v>83</v>
      </c>
      <c r="I837">
        <v>4</v>
      </c>
      <c r="J837" t="s">
        <v>23</v>
      </c>
      <c r="K837">
        <v>0.12</v>
      </c>
      <c r="L837">
        <v>20</v>
      </c>
      <c r="M837" t="s">
        <v>20</v>
      </c>
      <c r="N837">
        <f t="shared" si="39"/>
        <v>2</v>
      </c>
      <c r="O837">
        <v>2017</v>
      </c>
      <c r="P837">
        <f t="shared" si="40"/>
        <v>7.2232956795623142</v>
      </c>
      <c r="Q837">
        <f t="shared" si="41"/>
        <v>5.273050839300149</v>
      </c>
    </row>
    <row r="838" spans="1:17" hidden="1" x14ac:dyDescent="0.3">
      <c r="A838">
        <v>837</v>
      </c>
      <c r="B838">
        <v>1189280</v>
      </c>
      <c r="C838" t="s">
        <v>1679</v>
      </c>
      <c r="D838" t="s">
        <v>1680</v>
      </c>
      <c r="E838">
        <v>125</v>
      </c>
      <c r="F838">
        <v>1367</v>
      </c>
      <c r="G838">
        <v>17</v>
      </c>
      <c r="H838">
        <v>58</v>
      </c>
      <c r="I838">
        <v>2</v>
      </c>
      <c r="J838" t="s">
        <v>32</v>
      </c>
      <c r="K838">
        <v>0.79</v>
      </c>
      <c r="L838">
        <v>6</v>
      </c>
      <c r="M838" t="s">
        <v>20</v>
      </c>
      <c r="N838">
        <f t="shared" si="39"/>
        <v>2</v>
      </c>
      <c r="O838">
        <v>2017</v>
      </c>
      <c r="P838">
        <f t="shared" si="40"/>
        <v>7.2203738367239492</v>
      </c>
      <c r="Q838">
        <f t="shared" si="41"/>
        <v>4.8283937341024714</v>
      </c>
    </row>
    <row r="839" spans="1:17" hidden="1" x14ac:dyDescent="0.3">
      <c r="A839">
        <v>838</v>
      </c>
      <c r="B839">
        <v>403604</v>
      </c>
      <c r="C839" t="s">
        <v>1681</v>
      </c>
      <c r="D839" t="s">
        <v>1682</v>
      </c>
      <c r="E839">
        <v>40</v>
      </c>
      <c r="F839">
        <v>1355</v>
      </c>
      <c r="G839">
        <v>45</v>
      </c>
      <c r="H839">
        <v>27</v>
      </c>
      <c r="I839">
        <v>4</v>
      </c>
      <c r="J839" t="s">
        <v>23</v>
      </c>
      <c r="K839">
        <v>7.0000000000000007E-2</v>
      </c>
      <c r="L839">
        <v>3.5</v>
      </c>
      <c r="M839" t="s">
        <v>20</v>
      </c>
      <c r="N839">
        <f t="shared" si="39"/>
        <v>2</v>
      </c>
      <c r="O839">
        <v>2015</v>
      </c>
      <c r="P839">
        <f t="shared" si="40"/>
        <v>7.2115567333138015</v>
      </c>
      <c r="Q839">
        <f t="shared" si="41"/>
        <v>3.6891294228691436</v>
      </c>
    </row>
    <row r="840" spans="1:17" hidden="1" x14ac:dyDescent="0.3">
      <c r="A840">
        <v>839</v>
      </c>
      <c r="B840">
        <v>1156648</v>
      </c>
      <c r="C840" t="s">
        <v>1683</v>
      </c>
      <c r="D840" t="s">
        <v>1684</v>
      </c>
      <c r="E840">
        <v>30</v>
      </c>
      <c r="F840">
        <v>1355</v>
      </c>
      <c r="G840">
        <v>14</v>
      </c>
      <c r="H840">
        <v>29</v>
      </c>
      <c r="I840">
        <v>4</v>
      </c>
      <c r="J840" t="s">
        <v>23</v>
      </c>
      <c r="K840">
        <v>0.76</v>
      </c>
      <c r="L840">
        <v>3.5</v>
      </c>
      <c r="M840" t="s">
        <v>20</v>
      </c>
      <c r="N840">
        <f t="shared" si="39"/>
        <v>2</v>
      </c>
      <c r="O840">
        <v>2017</v>
      </c>
      <c r="P840">
        <f t="shared" si="40"/>
        <v>7.2115567333138015</v>
      </c>
      <c r="Q840">
        <f t="shared" si="41"/>
        <v>3.4015306594522756</v>
      </c>
    </row>
    <row r="841" spans="1:17" x14ac:dyDescent="0.3">
      <c r="A841">
        <v>840</v>
      </c>
      <c r="B841">
        <v>976854</v>
      </c>
      <c r="C841" t="s">
        <v>1685</v>
      </c>
      <c r="D841" t="s">
        <v>1686</v>
      </c>
      <c r="E841">
        <v>200</v>
      </c>
      <c r="F841">
        <v>1353</v>
      </c>
      <c r="G841">
        <v>53</v>
      </c>
      <c r="H841">
        <v>320</v>
      </c>
      <c r="I841">
        <v>1</v>
      </c>
      <c r="J841" t="s">
        <v>13</v>
      </c>
      <c r="K841">
        <v>0.11</v>
      </c>
      <c r="L841">
        <v>23.5</v>
      </c>
      <c r="M841" t="s">
        <v>20</v>
      </c>
      <c r="N841">
        <f t="shared" si="39"/>
        <v>2</v>
      </c>
      <c r="O841">
        <v>2016</v>
      </c>
      <c r="P841">
        <f t="shared" si="40"/>
        <v>7.2100796281707877</v>
      </c>
      <c r="Q841">
        <f t="shared" si="41"/>
        <v>5.2983673652980787</v>
      </c>
    </row>
    <row r="842" spans="1:17" x14ac:dyDescent="0.3">
      <c r="A842">
        <v>841</v>
      </c>
      <c r="B842">
        <v>1199774</v>
      </c>
      <c r="C842" t="s">
        <v>1687</v>
      </c>
      <c r="D842" t="s">
        <v>1688</v>
      </c>
      <c r="E842">
        <v>115</v>
      </c>
      <c r="F842">
        <v>1346</v>
      </c>
      <c r="G842">
        <v>330</v>
      </c>
      <c r="H842">
        <v>32</v>
      </c>
      <c r="I842">
        <v>1</v>
      </c>
      <c r="J842" t="s">
        <v>13</v>
      </c>
      <c r="K842">
        <v>0.18</v>
      </c>
      <c r="L842">
        <v>3</v>
      </c>
      <c r="M842" t="s">
        <v>20</v>
      </c>
      <c r="N842">
        <f t="shared" si="39"/>
        <v>2</v>
      </c>
      <c r="O842">
        <v>2017</v>
      </c>
      <c r="P842">
        <f t="shared" si="40"/>
        <v>7.2048925102046733</v>
      </c>
      <c r="Q842">
        <f t="shared" si="41"/>
        <v>4.7450190811044903</v>
      </c>
    </row>
    <row r="843" spans="1:17" x14ac:dyDescent="0.3">
      <c r="A843">
        <v>842</v>
      </c>
      <c r="B843">
        <v>1203040</v>
      </c>
      <c r="C843" t="s">
        <v>1689</v>
      </c>
      <c r="D843" t="s">
        <v>1690</v>
      </c>
      <c r="E843">
        <v>60</v>
      </c>
      <c r="F843">
        <v>1343</v>
      </c>
      <c r="G843">
        <v>11</v>
      </c>
      <c r="H843">
        <v>22</v>
      </c>
      <c r="I843">
        <v>1</v>
      </c>
      <c r="J843" t="s">
        <v>13</v>
      </c>
      <c r="K843">
        <v>0.2</v>
      </c>
      <c r="L843">
        <v>3.5</v>
      </c>
      <c r="M843" t="s">
        <v>20</v>
      </c>
      <c r="N843">
        <f t="shared" si="39"/>
        <v>2</v>
      </c>
      <c r="O843">
        <v>2017</v>
      </c>
      <c r="P843">
        <f t="shared" si="40"/>
        <v>7.2026611965232377</v>
      </c>
      <c r="Q843">
        <f t="shared" si="41"/>
        <v>4.0945112150014218</v>
      </c>
    </row>
    <row r="844" spans="1:17" x14ac:dyDescent="0.3">
      <c r="A844">
        <v>843</v>
      </c>
      <c r="B844">
        <v>1063722</v>
      </c>
      <c r="C844" t="s">
        <v>1691</v>
      </c>
      <c r="D844" t="s">
        <v>1692</v>
      </c>
      <c r="E844">
        <v>50</v>
      </c>
      <c r="F844">
        <v>1339</v>
      </c>
      <c r="G844">
        <v>21</v>
      </c>
      <c r="H844">
        <v>18</v>
      </c>
      <c r="I844">
        <v>1</v>
      </c>
      <c r="J844" t="s">
        <v>13</v>
      </c>
      <c r="K844">
        <v>0.78</v>
      </c>
      <c r="L844">
        <v>2</v>
      </c>
      <c r="M844" t="s">
        <v>20</v>
      </c>
      <c r="N844">
        <f t="shared" si="39"/>
        <v>2</v>
      </c>
      <c r="O844">
        <v>2017</v>
      </c>
      <c r="P844">
        <f t="shared" si="40"/>
        <v>7.1996783456911722</v>
      </c>
      <c r="Q844">
        <f t="shared" si="41"/>
        <v>3.9122229854308124</v>
      </c>
    </row>
    <row r="845" spans="1:17" x14ac:dyDescent="0.3">
      <c r="A845">
        <v>844</v>
      </c>
      <c r="B845">
        <v>1197650</v>
      </c>
      <c r="C845" t="s">
        <v>1693</v>
      </c>
      <c r="D845" t="s">
        <v>1694</v>
      </c>
      <c r="E845">
        <v>50</v>
      </c>
      <c r="F845">
        <v>1337</v>
      </c>
      <c r="G845">
        <v>28</v>
      </c>
      <c r="H845">
        <v>12</v>
      </c>
      <c r="I845">
        <v>1</v>
      </c>
      <c r="J845" t="s">
        <v>13</v>
      </c>
      <c r="K845">
        <v>0.89</v>
      </c>
      <c r="L845">
        <v>1</v>
      </c>
      <c r="M845" t="s">
        <v>20</v>
      </c>
      <c r="N845">
        <f t="shared" si="39"/>
        <v>2</v>
      </c>
      <c r="O845">
        <v>2017</v>
      </c>
      <c r="P845">
        <f t="shared" si="40"/>
        <v>7.1981835771019433</v>
      </c>
      <c r="Q845">
        <f t="shared" si="41"/>
        <v>3.9122229854308124</v>
      </c>
    </row>
    <row r="846" spans="1:17" x14ac:dyDescent="0.3">
      <c r="A846">
        <v>845</v>
      </c>
      <c r="B846">
        <v>661774</v>
      </c>
      <c r="C846" t="s">
        <v>1695</v>
      </c>
      <c r="D846" t="s">
        <v>1696</v>
      </c>
      <c r="E846">
        <v>50</v>
      </c>
      <c r="F846">
        <v>1322</v>
      </c>
      <c r="G846">
        <v>171</v>
      </c>
      <c r="H846">
        <v>37</v>
      </c>
      <c r="I846">
        <v>1</v>
      </c>
      <c r="J846" t="s">
        <v>13</v>
      </c>
      <c r="K846">
        <v>0.9</v>
      </c>
      <c r="L846">
        <v>3.5</v>
      </c>
      <c r="M846" t="s">
        <v>20</v>
      </c>
      <c r="N846">
        <f t="shared" si="39"/>
        <v>2</v>
      </c>
      <c r="O846">
        <v>2016</v>
      </c>
      <c r="P846">
        <f t="shared" si="40"/>
        <v>7.1869010204116313</v>
      </c>
      <c r="Q846">
        <f t="shared" si="41"/>
        <v>3.9122229854308124</v>
      </c>
    </row>
    <row r="847" spans="1:17" x14ac:dyDescent="0.3">
      <c r="A847">
        <v>846</v>
      </c>
      <c r="B847">
        <v>554136</v>
      </c>
      <c r="C847" t="s">
        <v>1697</v>
      </c>
      <c r="D847" t="s">
        <v>1698</v>
      </c>
      <c r="E847">
        <v>75</v>
      </c>
      <c r="F847">
        <v>1322</v>
      </c>
      <c r="G847">
        <v>14</v>
      </c>
      <c r="H847">
        <v>27</v>
      </c>
      <c r="I847">
        <v>1</v>
      </c>
      <c r="J847" t="s">
        <v>13</v>
      </c>
      <c r="K847">
        <v>0.08</v>
      </c>
      <c r="L847">
        <v>3</v>
      </c>
      <c r="M847" t="s">
        <v>20</v>
      </c>
      <c r="N847">
        <f t="shared" si="39"/>
        <v>2</v>
      </c>
      <c r="O847">
        <v>2015</v>
      </c>
      <c r="P847">
        <f t="shared" si="40"/>
        <v>7.1869010204116313</v>
      </c>
      <c r="Q847">
        <f t="shared" si="41"/>
        <v>4.3176214379815452</v>
      </c>
    </row>
    <row r="848" spans="1:17" x14ac:dyDescent="0.3">
      <c r="A848">
        <v>847</v>
      </c>
      <c r="B848">
        <v>440006</v>
      </c>
      <c r="C848" t="s">
        <v>1699</v>
      </c>
      <c r="D848" t="s">
        <v>1700</v>
      </c>
      <c r="E848">
        <v>20</v>
      </c>
      <c r="F848">
        <v>1318</v>
      </c>
      <c r="G848">
        <v>81</v>
      </c>
      <c r="H848">
        <v>55</v>
      </c>
      <c r="I848">
        <v>1</v>
      </c>
      <c r="J848" t="s">
        <v>13</v>
      </c>
      <c r="K848">
        <v>7.0000000000000007E-2</v>
      </c>
      <c r="L848">
        <v>7</v>
      </c>
      <c r="M848" t="s">
        <v>20</v>
      </c>
      <c r="N848">
        <f t="shared" si="39"/>
        <v>2</v>
      </c>
      <c r="O848">
        <v>2015</v>
      </c>
      <c r="P848">
        <f t="shared" si="40"/>
        <v>7.1838707150624526</v>
      </c>
      <c r="Q848">
        <f t="shared" si="41"/>
        <v>2.996232148595642</v>
      </c>
    </row>
    <row r="849" spans="1:17" hidden="1" x14ac:dyDescent="0.3">
      <c r="A849">
        <v>848</v>
      </c>
      <c r="B849">
        <v>473622</v>
      </c>
      <c r="C849" t="s">
        <v>1701</v>
      </c>
      <c r="D849" t="s">
        <v>1702</v>
      </c>
      <c r="E849">
        <v>125</v>
      </c>
      <c r="F849">
        <v>1318</v>
      </c>
      <c r="G849">
        <v>78</v>
      </c>
      <c r="H849">
        <v>51</v>
      </c>
      <c r="I849">
        <v>4</v>
      </c>
      <c r="J849" t="s">
        <v>23</v>
      </c>
      <c r="K849">
        <v>0.24</v>
      </c>
      <c r="L849">
        <v>4.5</v>
      </c>
      <c r="M849" t="s">
        <v>20</v>
      </c>
      <c r="N849">
        <f t="shared" si="39"/>
        <v>2</v>
      </c>
      <c r="O849">
        <v>2015</v>
      </c>
      <c r="P849">
        <f t="shared" si="40"/>
        <v>7.1838707150624526</v>
      </c>
      <c r="Q849">
        <f t="shared" si="41"/>
        <v>4.8283937341024714</v>
      </c>
    </row>
    <row r="850" spans="1:17" hidden="1" x14ac:dyDescent="0.3">
      <c r="A850">
        <v>849</v>
      </c>
      <c r="B850">
        <v>616818</v>
      </c>
      <c r="C850" t="s">
        <v>1703</v>
      </c>
      <c r="D850" t="s">
        <v>1704</v>
      </c>
      <c r="E850">
        <v>25</v>
      </c>
      <c r="F850">
        <v>1316</v>
      </c>
      <c r="G850">
        <v>22</v>
      </c>
      <c r="H850">
        <v>45</v>
      </c>
      <c r="I850">
        <v>3</v>
      </c>
      <c r="J850" t="s">
        <v>17</v>
      </c>
      <c r="K850">
        <v>0.18</v>
      </c>
      <c r="L850">
        <v>5</v>
      </c>
      <c r="M850" t="s">
        <v>20</v>
      </c>
      <c r="N850">
        <f t="shared" si="39"/>
        <v>2</v>
      </c>
      <c r="O850">
        <v>2015</v>
      </c>
      <c r="P850">
        <f t="shared" si="40"/>
        <v>7.1823521118852627</v>
      </c>
      <c r="Q850">
        <f t="shared" si="41"/>
        <v>3.2192757448895279</v>
      </c>
    </row>
    <row r="851" spans="1:17" x14ac:dyDescent="0.3">
      <c r="A851">
        <v>850</v>
      </c>
      <c r="B851">
        <v>686764</v>
      </c>
      <c r="C851" t="s">
        <v>1705</v>
      </c>
      <c r="D851" t="s">
        <v>1706</v>
      </c>
      <c r="E851">
        <v>60</v>
      </c>
      <c r="F851">
        <v>1313</v>
      </c>
      <c r="G851">
        <v>121</v>
      </c>
      <c r="H851">
        <v>62</v>
      </c>
      <c r="I851">
        <v>1</v>
      </c>
      <c r="J851" t="s">
        <v>13</v>
      </c>
      <c r="K851">
        <v>0.63</v>
      </c>
      <c r="L851">
        <v>11</v>
      </c>
      <c r="M851" t="s">
        <v>20</v>
      </c>
      <c r="N851">
        <f t="shared" si="39"/>
        <v>2</v>
      </c>
      <c r="O851">
        <v>2016</v>
      </c>
      <c r="P851">
        <f t="shared" si="40"/>
        <v>7.180069874302796</v>
      </c>
      <c r="Q851">
        <f t="shared" si="41"/>
        <v>4.0945112150014218</v>
      </c>
    </row>
    <row r="852" spans="1:17" hidden="1" x14ac:dyDescent="0.3">
      <c r="A852">
        <v>851</v>
      </c>
      <c r="B852">
        <v>576108</v>
      </c>
      <c r="C852" t="s">
        <v>1707</v>
      </c>
      <c r="D852" t="s">
        <v>1708</v>
      </c>
      <c r="E852">
        <v>20</v>
      </c>
      <c r="F852">
        <v>1312</v>
      </c>
      <c r="G852">
        <v>19</v>
      </c>
      <c r="H852">
        <v>11</v>
      </c>
      <c r="I852">
        <v>4</v>
      </c>
      <c r="J852" t="s">
        <v>23</v>
      </c>
      <c r="K852">
        <v>0.47</v>
      </c>
      <c r="L852">
        <v>1</v>
      </c>
      <c r="M852" t="s">
        <v>20</v>
      </c>
      <c r="N852">
        <f t="shared" si="39"/>
        <v>2</v>
      </c>
      <c r="O852">
        <v>2015</v>
      </c>
      <c r="P852">
        <f t="shared" si="40"/>
        <v>7.179307969504034</v>
      </c>
      <c r="Q852">
        <f t="shared" si="41"/>
        <v>2.996232148595642</v>
      </c>
    </row>
    <row r="853" spans="1:17" hidden="1" x14ac:dyDescent="0.3">
      <c r="A853">
        <v>852</v>
      </c>
      <c r="B853">
        <v>516064</v>
      </c>
      <c r="C853" t="s">
        <v>1709</v>
      </c>
      <c r="D853" t="s">
        <v>1710</v>
      </c>
      <c r="E853">
        <v>25</v>
      </c>
      <c r="F853">
        <v>1309</v>
      </c>
      <c r="G853">
        <v>60</v>
      </c>
      <c r="H853">
        <v>14</v>
      </c>
      <c r="I853">
        <v>4</v>
      </c>
      <c r="J853" t="s">
        <v>23</v>
      </c>
      <c r="K853">
        <v>0.78</v>
      </c>
      <c r="L853">
        <v>1.5</v>
      </c>
      <c r="M853" t="s">
        <v>20</v>
      </c>
      <c r="N853">
        <f t="shared" si="39"/>
        <v>2</v>
      </c>
      <c r="O853">
        <v>2015</v>
      </c>
      <c r="P853">
        <f t="shared" si="40"/>
        <v>7.1770187659099003</v>
      </c>
      <c r="Q853">
        <f t="shared" si="41"/>
        <v>3.2192757448895279</v>
      </c>
    </row>
    <row r="854" spans="1:17" x14ac:dyDescent="0.3">
      <c r="A854">
        <v>853</v>
      </c>
      <c r="B854">
        <v>311638</v>
      </c>
      <c r="C854" t="s">
        <v>1711</v>
      </c>
      <c r="D854" t="s">
        <v>1712</v>
      </c>
      <c r="E854">
        <v>35</v>
      </c>
      <c r="F854">
        <v>1309</v>
      </c>
      <c r="G854">
        <v>74</v>
      </c>
      <c r="H854">
        <v>43</v>
      </c>
      <c r="I854">
        <v>1</v>
      </c>
      <c r="J854" t="s">
        <v>13</v>
      </c>
      <c r="K854">
        <v>0.16</v>
      </c>
      <c r="L854">
        <v>5</v>
      </c>
      <c r="M854" t="s">
        <v>20</v>
      </c>
      <c r="N854">
        <f t="shared" si="39"/>
        <v>2</v>
      </c>
      <c r="O854">
        <v>2015</v>
      </c>
      <c r="P854">
        <f t="shared" si="40"/>
        <v>7.1770187659099003</v>
      </c>
      <c r="Q854">
        <f t="shared" si="41"/>
        <v>3.5556337349665741</v>
      </c>
    </row>
    <row r="855" spans="1:17" x14ac:dyDescent="0.3">
      <c r="A855">
        <v>854</v>
      </c>
      <c r="B855">
        <v>477250</v>
      </c>
      <c r="C855" t="s">
        <v>1713</v>
      </c>
      <c r="D855" t="s">
        <v>1714</v>
      </c>
      <c r="E855">
        <v>25</v>
      </c>
      <c r="F855">
        <v>1305</v>
      </c>
      <c r="G855">
        <v>38</v>
      </c>
      <c r="H855">
        <v>16</v>
      </c>
      <c r="I855">
        <v>1</v>
      </c>
      <c r="J855" t="s">
        <v>13</v>
      </c>
      <c r="K855">
        <v>0.21</v>
      </c>
      <c r="L855">
        <v>1.5</v>
      </c>
      <c r="M855" t="s">
        <v>20</v>
      </c>
      <c r="N855">
        <f t="shared" si="39"/>
        <v>2</v>
      </c>
      <c r="O855">
        <v>2015</v>
      </c>
      <c r="P855">
        <f t="shared" si="40"/>
        <v>7.1739583197567942</v>
      </c>
      <c r="Q855">
        <f t="shared" si="41"/>
        <v>3.2192757448895279</v>
      </c>
    </row>
    <row r="856" spans="1:17" hidden="1" x14ac:dyDescent="0.3">
      <c r="A856">
        <v>855</v>
      </c>
      <c r="B856">
        <v>946310</v>
      </c>
      <c r="C856" t="s">
        <v>1715</v>
      </c>
      <c r="D856" t="s">
        <v>1716</v>
      </c>
      <c r="E856">
        <v>30</v>
      </c>
      <c r="F856">
        <v>1305</v>
      </c>
      <c r="G856">
        <v>25</v>
      </c>
      <c r="H856">
        <v>8</v>
      </c>
      <c r="I856">
        <v>4</v>
      </c>
      <c r="J856" t="s">
        <v>23</v>
      </c>
      <c r="K856">
        <v>0.76</v>
      </c>
      <c r="L856">
        <v>0.56666667000000004</v>
      </c>
      <c r="M856" t="s">
        <v>20</v>
      </c>
      <c r="N856">
        <f t="shared" si="39"/>
        <v>2</v>
      </c>
      <c r="O856">
        <v>2016</v>
      </c>
      <c r="P856">
        <f t="shared" si="40"/>
        <v>7.1739583197567942</v>
      </c>
      <c r="Q856">
        <f t="shared" si="41"/>
        <v>3.4015306594522756</v>
      </c>
    </row>
    <row r="857" spans="1:17" x14ac:dyDescent="0.3">
      <c r="A857">
        <v>856</v>
      </c>
      <c r="B857">
        <v>726290</v>
      </c>
      <c r="C857" t="s">
        <v>1717</v>
      </c>
      <c r="D857" t="s">
        <v>1718</v>
      </c>
      <c r="E857">
        <v>120</v>
      </c>
      <c r="F857">
        <v>1302</v>
      </c>
      <c r="G857">
        <v>18</v>
      </c>
      <c r="H857">
        <v>22</v>
      </c>
      <c r="I857">
        <v>1</v>
      </c>
      <c r="J857" t="s">
        <v>13</v>
      </c>
      <c r="K857">
        <v>0.76</v>
      </c>
      <c r="L857">
        <v>1.5</v>
      </c>
      <c r="M857" t="s">
        <v>20</v>
      </c>
      <c r="N857">
        <f t="shared" si="39"/>
        <v>2</v>
      </c>
      <c r="O857">
        <v>2016</v>
      </c>
      <c r="P857">
        <f t="shared" si="40"/>
        <v>7.1716568227685142</v>
      </c>
      <c r="Q857">
        <f t="shared" si="41"/>
        <v>4.7875750726433504</v>
      </c>
    </row>
    <row r="858" spans="1:17" hidden="1" x14ac:dyDescent="0.3">
      <c r="A858">
        <v>857</v>
      </c>
      <c r="B858">
        <v>1123098</v>
      </c>
      <c r="C858" t="s">
        <v>1719</v>
      </c>
      <c r="D858" t="s">
        <v>1720</v>
      </c>
      <c r="E858">
        <v>150</v>
      </c>
      <c r="F858">
        <v>1301</v>
      </c>
      <c r="G858">
        <v>179</v>
      </c>
      <c r="H858">
        <v>80</v>
      </c>
      <c r="I858">
        <v>4</v>
      </c>
      <c r="J858" t="s">
        <v>23</v>
      </c>
      <c r="K858">
        <v>0.76</v>
      </c>
      <c r="L858">
        <v>7.5</v>
      </c>
      <c r="M858" t="s">
        <v>20</v>
      </c>
      <c r="N858">
        <f t="shared" si="39"/>
        <v>2</v>
      </c>
      <c r="O858">
        <v>2017</v>
      </c>
      <c r="P858">
        <f t="shared" si="40"/>
        <v>7.1708884785125049</v>
      </c>
      <c r="Q858">
        <f t="shared" si="41"/>
        <v>5.0107019585407988</v>
      </c>
    </row>
    <row r="859" spans="1:17" hidden="1" x14ac:dyDescent="0.3">
      <c r="A859">
        <v>858</v>
      </c>
      <c r="B859">
        <v>599504</v>
      </c>
      <c r="C859" t="s">
        <v>1721</v>
      </c>
      <c r="D859" t="s">
        <v>1722</v>
      </c>
      <c r="E859">
        <v>120</v>
      </c>
      <c r="F859">
        <v>1299</v>
      </c>
      <c r="G859">
        <v>56</v>
      </c>
      <c r="H859">
        <v>71</v>
      </c>
      <c r="I859">
        <v>4</v>
      </c>
      <c r="J859" t="s">
        <v>23</v>
      </c>
      <c r="K859">
        <v>0.76</v>
      </c>
      <c r="L859">
        <v>14</v>
      </c>
      <c r="M859" t="s">
        <v>20</v>
      </c>
      <c r="N859">
        <f t="shared" si="39"/>
        <v>2</v>
      </c>
      <c r="O859">
        <v>2016</v>
      </c>
      <c r="P859">
        <f t="shared" si="40"/>
        <v>7.1693500166705997</v>
      </c>
      <c r="Q859">
        <f t="shared" si="41"/>
        <v>4.7875750726433504</v>
      </c>
    </row>
    <row r="860" spans="1:17" hidden="1" x14ac:dyDescent="0.3">
      <c r="A860">
        <v>859</v>
      </c>
      <c r="B860">
        <v>403106</v>
      </c>
      <c r="C860" t="s">
        <v>1723</v>
      </c>
      <c r="D860" t="s">
        <v>1724</v>
      </c>
      <c r="E860">
        <v>20</v>
      </c>
      <c r="F860">
        <v>1299</v>
      </c>
      <c r="G860">
        <v>15</v>
      </c>
      <c r="H860">
        <v>23</v>
      </c>
      <c r="I860">
        <v>4</v>
      </c>
      <c r="J860" t="s">
        <v>23</v>
      </c>
      <c r="K860">
        <v>0.76</v>
      </c>
      <c r="L860">
        <v>1</v>
      </c>
      <c r="M860" t="s">
        <v>20</v>
      </c>
      <c r="N860">
        <f t="shared" si="39"/>
        <v>2</v>
      </c>
      <c r="O860">
        <v>2015</v>
      </c>
      <c r="P860">
        <f t="shared" si="40"/>
        <v>7.1693500166705997</v>
      </c>
      <c r="Q860">
        <f t="shared" si="41"/>
        <v>2.996232148595642</v>
      </c>
    </row>
    <row r="861" spans="1:17" hidden="1" x14ac:dyDescent="0.3">
      <c r="A861">
        <v>860</v>
      </c>
      <c r="B861">
        <v>846156</v>
      </c>
      <c r="C861" t="s">
        <v>1725</v>
      </c>
      <c r="D861" t="s">
        <v>1726</v>
      </c>
      <c r="E861">
        <v>200</v>
      </c>
      <c r="F861">
        <v>1296</v>
      </c>
      <c r="G861">
        <v>22</v>
      </c>
      <c r="H861">
        <v>72</v>
      </c>
      <c r="I861">
        <v>2</v>
      </c>
      <c r="J861" t="s">
        <v>32</v>
      </c>
      <c r="K861">
        <v>0.76</v>
      </c>
      <c r="L861">
        <v>5.5</v>
      </c>
      <c r="M861" t="s">
        <v>20</v>
      </c>
      <c r="N861">
        <f t="shared" si="39"/>
        <v>2</v>
      </c>
      <c r="O861">
        <v>2016</v>
      </c>
      <c r="P861">
        <f t="shared" si="40"/>
        <v>7.1670378769122198</v>
      </c>
      <c r="Q861">
        <f t="shared" si="41"/>
        <v>5.2983673652980787</v>
      </c>
    </row>
    <row r="862" spans="1:17" hidden="1" x14ac:dyDescent="0.3">
      <c r="A862">
        <v>861</v>
      </c>
      <c r="B862">
        <v>365426</v>
      </c>
      <c r="C862" t="s">
        <v>1727</v>
      </c>
      <c r="D862" t="s">
        <v>1728</v>
      </c>
      <c r="E862">
        <v>20</v>
      </c>
      <c r="F862">
        <v>1294</v>
      </c>
      <c r="G862">
        <v>11</v>
      </c>
      <c r="H862">
        <v>15</v>
      </c>
      <c r="I862">
        <v>4</v>
      </c>
      <c r="J862" t="s">
        <v>23</v>
      </c>
      <c r="K862">
        <v>0.76</v>
      </c>
      <c r="L862">
        <v>1</v>
      </c>
      <c r="M862" t="s">
        <v>20</v>
      </c>
      <c r="N862">
        <f t="shared" si="39"/>
        <v>2</v>
      </c>
      <c r="O862">
        <v>2014</v>
      </c>
      <c r="P862">
        <f t="shared" si="40"/>
        <v>7.1654934750608454</v>
      </c>
      <c r="Q862">
        <f t="shared" si="41"/>
        <v>2.996232148595642</v>
      </c>
    </row>
    <row r="863" spans="1:17" hidden="1" x14ac:dyDescent="0.3">
      <c r="A863">
        <v>862</v>
      </c>
      <c r="B863">
        <v>783746</v>
      </c>
      <c r="C863" t="s">
        <v>1729</v>
      </c>
      <c r="D863" t="s">
        <v>1730</v>
      </c>
      <c r="E863">
        <v>20</v>
      </c>
      <c r="F863">
        <v>1292</v>
      </c>
      <c r="G863">
        <v>2</v>
      </c>
      <c r="H863">
        <v>12</v>
      </c>
      <c r="I863">
        <v>2</v>
      </c>
      <c r="J863" t="s">
        <v>32</v>
      </c>
      <c r="K863">
        <v>0.76</v>
      </c>
      <c r="L863">
        <v>2</v>
      </c>
      <c r="M863" t="s">
        <v>20</v>
      </c>
      <c r="N863">
        <f t="shared" si="39"/>
        <v>2</v>
      </c>
      <c r="O863">
        <v>2016</v>
      </c>
      <c r="P863">
        <f t="shared" si="40"/>
        <v>7.1639466843425472</v>
      </c>
      <c r="Q863">
        <f t="shared" si="41"/>
        <v>2.996232148595642</v>
      </c>
    </row>
    <row r="864" spans="1:17" hidden="1" x14ac:dyDescent="0.3">
      <c r="A864">
        <v>863</v>
      </c>
      <c r="B864">
        <v>332252</v>
      </c>
      <c r="C864" t="s">
        <v>1731</v>
      </c>
      <c r="D864" t="s">
        <v>1732</v>
      </c>
      <c r="E864">
        <v>200</v>
      </c>
      <c r="F864">
        <v>1284</v>
      </c>
      <c r="G864">
        <v>46</v>
      </c>
      <c r="H864">
        <v>30</v>
      </c>
      <c r="I864">
        <v>4</v>
      </c>
      <c r="J864" t="s">
        <v>23</v>
      </c>
      <c r="K864">
        <v>0.76</v>
      </c>
      <c r="L864">
        <v>1.5</v>
      </c>
      <c r="M864" t="s">
        <v>20</v>
      </c>
      <c r="N864">
        <f t="shared" si="39"/>
        <v>2</v>
      </c>
      <c r="O864">
        <v>2014</v>
      </c>
      <c r="P864">
        <f t="shared" si="40"/>
        <v>7.1577354842499066</v>
      </c>
      <c r="Q864">
        <f t="shared" si="41"/>
        <v>5.2983673652980787</v>
      </c>
    </row>
    <row r="865" spans="1:17" hidden="1" x14ac:dyDescent="0.3">
      <c r="A865">
        <v>864</v>
      </c>
      <c r="B865">
        <v>552258</v>
      </c>
      <c r="C865" t="s">
        <v>1733</v>
      </c>
      <c r="D865" t="s">
        <v>1734</v>
      </c>
      <c r="E865">
        <v>200</v>
      </c>
      <c r="F865">
        <v>1284</v>
      </c>
      <c r="G865">
        <v>173</v>
      </c>
      <c r="H865">
        <v>301</v>
      </c>
      <c r="I865">
        <v>4</v>
      </c>
      <c r="J865" t="s">
        <v>23</v>
      </c>
      <c r="K865">
        <v>0.76</v>
      </c>
      <c r="L865">
        <v>25.5</v>
      </c>
      <c r="M865" t="s">
        <v>20</v>
      </c>
      <c r="N865">
        <f t="shared" si="39"/>
        <v>2</v>
      </c>
      <c r="O865">
        <v>2015</v>
      </c>
      <c r="P865">
        <f t="shared" si="40"/>
        <v>7.1577354842499066</v>
      </c>
      <c r="Q865">
        <f t="shared" si="41"/>
        <v>5.2983673652980787</v>
      </c>
    </row>
    <row r="866" spans="1:17" x14ac:dyDescent="0.3">
      <c r="A866">
        <v>865</v>
      </c>
      <c r="B866">
        <v>835712</v>
      </c>
      <c r="C866" t="s">
        <v>1735</v>
      </c>
      <c r="D866" t="s">
        <v>1736</v>
      </c>
      <c r="E866">
        <v>50</v>
      </c>
      <c r="F866">
        <v>1282</v>
      </c>
      <c r="G866">
        <v>117</v>
      </c>
      <c r="H866">
        <v>12</v>
      </c>
      <c r="I866">
        <v>1</v>
      </c>
      <c r="J866" t="s">
        <v>13</v>
      </c>
      <c r="K866">
        <v>0.76</v>
      </c>
      <c r="L866">
        <v>1</v>
      </c>
      <c r="M866" t="s">
        <v>20</v>
      </c>
      <c r="N866">
        <f t="shared" si="39"/>
        <v>2</v>
      </c>
      <c r="O866">
        <v>2016</v>
      </c>
      <c r="P866">
        <f t="shared" si="40"/>
        <v>7.1561766374806153</v>
      </c>
      <c r="Q866">
        <f t="shared" si="41"/>
        <v>3.9122229854308124</v>
      </c>
    </row>
    <row r="867" spans="1:17" hidden="1" x14ac:dyDescent="0.3">
      <c r="A867">
        <v>866</v>
      </c>
      <c r="B867">
        <v>495958</v>
      </c>
      <c r="C867" t="s">
        <v>1737</v>
      </c>
      <c r="D867" t="s">
        <v>1738</v>
      </c>
      <c r="E867">
        <v>200</v>
      </c>
      <c r="F867">
        <v>1276</v>
      </c>
      <c r="G867">
        <v>245</v>
      </c>
      <c r="H867">
        <v>271</v>
      </c>
      <c r="I867">
        <v>4</v>
      </c>
      <c r="J867" t="s">
        <v>23</v>
      </c>
      <c r="K867">
        <v>0.76</v>
      </c>
      <c r="L867">
        <v>22.5</v>
      </c>
      <c r="M867" t="s">
        <v>20</v>
      </c>
      <c r="N867">
        <f t="shared" si="39"/>
        <v>2</v>
      </c>
      <c r="O867">
        <v>2015</v>
      </c>
      <c r="P867">
        <f t="shared" si="40"/>
        <v>7.1514854639047352</v>
      </c>
      <c r="Q867">
        <f t="shared" si="41"/>
        <v>5.2983673652980787</v>
      </c>
    </row>
    <row r="868" spans="1:17" hidden="1" x14ac:dyDescent="0.3">
      <c r="A868">
        <v>867</v>
      </c>
      <c r="B868">
        <v>392526</v>
      </c>
      <c r="C868" t="s">
        <v>1739</v>
      </c>
      <c r="D868" t="s">
        <v>1740</v>
      </c>
      <c r="E868">
        <v>40</v>
      </c>
      <c r="F868">
        <v>1275</v>
      </c>
      <c r="G868">
        <v>11</v>
      </c>
      <c r="H868">
        <v>18</v>
      </c>
      <c r="I868">
        <v>4</v>
      </c>
      <c r="J868" t="s">
        <v>23</v>
      </c>
      <c r="K868">
        <v>0.76</v>
      </c>
      <c r="L868">
        <v>1</v>
      </c>
      <c r="M868" t="s">
        <v>20</v>
      </c>
      <c r="N868">
        <f t="shared" si="39"/>
        <v>2</v>
      </c>
      <c r="O868">
        <v>2015</v>
      </c>
      <c r="P868">
        <f t="shared" si="40"/>
        <v>7.1507014575925263</v>
      </c>
      <c r="Q868">
        <f t="shared" si="41"/>
        <v>3.6891294228691436</v>
      </c>
    </row>
    <row r="869" spans="1:17" hidden="1" x14ac:dyDescent="0.3">
      <c r="A869">
        <v>868</v>
      </c>
      <c r="B869">
        <v>955818</v>
      </c>
      <c r="C869" t="s">
        <v>1741</v>
      </c>
      <c r="D869" t="s">
        <v>1742</v>
      </c>
      <c r="E869">
        <v>50</v>
      </c>
      <c r="F869">
        <v>1274</v>
      </c>
      <c r="G869">
        <v>34</v>
      </c>
      <c r="H869">
        <v>15</v>
      </c>
      <c r="I869">
        <v>4</v>
      </c>
      <c r="J869" t="s">
        <v>23</v>
      </c>
      <c r="K869">
        <v>0.76</v>
      </c>
      <c r="L869">
        <v>0.66666667000000002</v>
      </c>
      <c r="M869" t="s">
        <v>20</v>
      </c>
      <c r="N869">
        <f t="shared" si="39"/>
        <v>2</v>
      </c>
      <c r="O869">
        <v>2016</v>
      </c>
      <c r="P869">
        <f t="shared" si="40"/>
        <v>7.1499168361321086</v>
      </c>
      <c r="Q869">
        <f t="shared" si="41"/>
        <v>3.9122229854308124</v>
      </c>
    </row>
    <row r="870" spans="1:17" hidden="1" x14ac:dyDescent="0.3">
      <c r="A870">
        <v>869</v>
      </c>
      <c r="B870">
        <v>368908</v>
      </c>
      <c r="C870" t="s">
        <v>1743</v>
      </c>
      <c r="D870" t="s">
        <v>1744</v>
      </c>
      <c r="E870">
        <v>30</v>
      </c>
      <c r="F870">
        <v>1272</v>
      </c>
      <c r="G870">
        <v>31</v>
      </c>
      <c r="H870">
        <v>29</v>
      </c>
      <c r="I870">
        <v>2</v>
      </c>
      <c r="J870" t="s">
        <v>32</v>
      </c>
      <c r="K870">
        <v>0.3</v>
      </c>
      <c r="L870">
        <v>5</v>
      </c>
      <c r="M870" t="s">
        <v>20</v>
      </c>
      <c r="N870">
        <f t="shared" si="39"/>
        <v>2</v>
      </c>
      <c r="O870">
        <v>2014</v>
      </c>
      <c r="P870">
        <f t="shared" si="40"/>
        <v>7.1483457439000677</v>
      </c>
      <c r="Q870">
        <f t="shared" si="41"/>
        <v>3.4015306594522756</v>
      </c>
    </row>
    <row r="871" spans="1:17" hidden="1" x14ac:dyDescent="0.3">
      <c r="A871">
        <v>870</v>
      </c>
      <c r="B871">
        <v>143028</v>
      </c>
      <c r="C871" t="s">
        <v>1745</v>
      </c>
      <c r="D871" t="s">
        <v>1746</v>
      </c>
      <c r="E871">
        <v>50</v>
      </c>
      <c r="F871">
        <v>1271</v>
      </c>
      <c r="G871">
        <v>136</v>
      </c>
      <c r="H871">
        <v>110</v>
      </c>
      <c r="I871">
        <v>4</v>
      </c>
      <c r="J871" t="s">
        <v>23</v>
      </c>
      <c r="K871">
        <v>0.49</v>
      </c>
      <c r="L871">
        <v>7.5</v>
      </c>
      <c r="M871" t="s">
        <v>20</v>
      </c>
      <c r="N871">
        <f t="shared" si="39"/>
        <v>2</v>
      </c>
      <c r="O871">
        <v>2014</v>
      </c>
      <c r="P871">
        <f t="shared" si="40"/>
        <v>7.1475592711894542</v>
      </c>
      <c r="Q871">
        <f t="shared" si="41"/>
        <v>3.9122229854308124</v>
      </c>
    </row>
    <row r="872" spans="1:17" hidden="1" x14ac:dyDescent="0.3">
      <c r="A872">
        <v>871</v>
      </c>
      <c r="B872">
        <v>1189288</v>
      </c>
      <c r="C872" t="s">
        <v>1747</v>
      </c>
      <c r="D872" t="s">
        <v>1748</v>
      </c>
      <c r="E872">
        <v>200</v>
      </c>
      <c r="F872">
        <v>1270</v>
      </c>
      <c r="G872">
        <v>16</v>
      </c>
      <c r="H872">
        <v>73</v>
      </c>
      <c r="I872">
        <v>4</v>
      </c>
      <c r="J872" t="s">
        <v>23</v>
      </c>
      <c r="K872">
        <v>0.94</v>
      </c>
      <c r="L872">
        <v>7</v>
      </c>
      <c r="M872" t="s">
        <v>20</v>
      </c>
      <c r="N872">
        <f t="shared" si="39"/>
        <v>2</v>
      </c>
      <c r="O872">
        <v>2017</v>
      </c>
      <c r="P872">
        <f t="shared" si="40"/>
        <v>7.1467721794526371</v>
      </c>
      <c r="Q872">
        <f t="shared" si="41"/>
        <v>5.2983673652980787</v>
      </c>
    </row>
    <row r="873" spans="1:17" hidden="1" x14ac:dyDescent="0.3">
      <c r="A873">
        <v>872</v>
      </c>
      <c r="B873">
        <v>123566</v>
      </c>
      <c r="C873" t="s">
        <v>1749</v>
      </c>
      <c r="D873" t="s">
        <v>1750</v>
      </c>
      <c r="E873">
        <v>50</v>
      </c>
      <c r="F873">
        <v>1266</v>
      </c>
      <c r="G873">
        <v>90</v>
      </c>
      <c r="H873">
        <v>50</v>
      </c>
      <c r="I873">
        <v>2</v>
      </c>
      <c r="J873" t="s">
        <v>32</v>
      </c>
      <c r="K873">
        <v>0.94</v>
      </c>
      <c r="L873">
        <v>3</v>
      </c>
      <c r="M873" t="s">
        <v>20</v>
      </c>
      <c r="N873">
        <f t="shared" si="39"/>
        <v>2</v>
      </c>
      <c r="O873">
        <v>2013</v>
      </c>
      <c r="P873">
        <f t="shared" si="40"/>
        <v>7.1436176027041212</v>
      </c>
      <c r="Q873">
        <f t="shared" si="41"/>
        <v>3.9122229854308124</v>
      </c>
    </row>
    <row r="874" spans="1:17" hidden="1" x14ac:dyDescent="0.3">
      <c r="A874">
        <v>873</v>
      </c>
      <c r="B874">
        <v>465210</v>
      </c>
      <c r="C874" t="s">
        <v>1751</v>
      </c>
      <c r="D874" t="s">
        <v>1752</v>
      </c>
      <c r="E874">
        <v>200</v>
      </c>
      <c r="F874">
        <v>1266</v>
      </c>
      <c r="G874">
        <v>16</v>
      </c>
      <c r="H874">
        <v>21</v>
      </c>
      <c r="I874">
        <v>4</v>
      </c>
      <c r="J874" t="s">
        <v>23</v>
      </c>
      <c r="K874">
        <v>0.94</v>
      </c>
      <c r="L874">
        <v>2</v>
      </c>
      <c r="M874" t="s">
        <v>20</v>
      </c>
      <c r="N874">
        <f t="shared" si="39"/>
        <v>2</v>
      </c>
      <c r="O874">
        <v>2015</v>
      </c>
      <c r="P874">
        <f t="shared" si="40"/>
        <v>7.1436176027041212</v>
      </c>
      <c r="Q874">
        <f t="shared" si="41"/>
        <v>5.2983673652980787</v>
      </c>
    </row>
    <row r="875" spans="1:17" hidden="1" x14ac:dyDescent="0.3">
      <c r="A875">
        <v>874</v>
      </c>
      <c r="B875">
        <v>488220</v>
      </c>
      <c r="C875" t="s">
        <v>1753</v>
      </c>
      <c r="D875" t="s">
        <v>1754</v>
      </c>
      <c r="E875">
        <v>105</v>
      </c>
      <c r="F875">
        <v>1262</v>
      </c>
      <c r="G875">
        <v>36</v>
      </c>
      <c r="H875">
        <v>40</v>
      </c>
      <c r="I875">
        <v>2</v>
      </c>
      <c r="J875" t="s">
        <v>32</v>
      </c>
      <c r="K875">
        <v>0.94</v>
      </c>
      <c r="L875">
        <v>2.5</v>
      </c>
      <c r="M875" t="s">
        <v>20</v>
      </c>
      <c r="N875">
        <f t="shared" si="39"/>
        <v>2</v>
      </c>
      <c r="O875">
        <v>2015</v>
      </c>
      <c r="P875">
        <f t="shared" si="40"/>
        <v>7.1404530431011581</v>
      </c>
      <c r="Q875">
        <f t="shared" si="41"/>
        <v>4.6540555837179021</v>
      </c>
    </row>
    <row r="876" spans="1:17" hidden="1" x14ac:dyDescent="0.3">
      <c r="A876">
        <v>875</v>
      </c>
      <c r="B876">
        <v>688968</v>
      </c>
      <c r="C876" t="s">
        <v>1755</v>
      </c>
      <c r="D876" t="s">
        <v>1756</v>
      </c>
      <c r="E876">
        <v>50</v>
      </c>
      <c r="F876">
        <v>1248</v>
      </c>
      <c r="G876">
        <v>171</v>
      </c>
      <c r="H876">
        <v>18</v>
      </c>
      <c r="I876">
        <v>4</v>
      </c>
      <c r="J876" t="s">
        <v>23</v>
      </c>
      <c r="K876">
        <v>0.94</v>
      </c>
      <c r="L876">
        <v>1.5</v>
      </c>
      <c r="M876" t="s">
        <v>20</v>
      </c>
      <c r="N876">
        <f t="shared" si="39"/>
        <v>2</v>
      </c>
      <c r="O876">
        <v>2015</v>
      </c>
      <c r="P876">
        <f t="shared" si="40"/>
        <v>7.1292975489293733</v>
      </c>
      <c r="Q876">
        <f t="shared" si="41"/>
        <v>3.9122229854308124</v>
      </c>
    </row>
    <row r="877" spans="1:17" hidden="1" x14ac:dyDescent="0.3">
      <c r="A877">
        <v>876</v>
      </c>
      <c r="B877">
        <v>955138</v>
      </c>
      <c r="C877" t="s">
        <v>1757</v>
      </c>
      <c r="D877" t="s">
        <v>1758</v>
      </c>
      <c r="E877">
        <v>35</v>
      </c>
      <c r="F877">
        <v>1241</v>
      </c>
      <c r="G877">
        <v>23</v>
      </c>
      <c r="H877">
        <v>9</v>
      </c>
      <c r="I877">
        <v>4</v>
      </c>
      <c r="J877" t="s">
        <v>23</v>
      </c>
      <c r="K877">
        <v>0.94</v>
      </c>
      <c r="L877">
        <v>0.56666667000000004</v>
      </c>
      <c r="M877" t="s">
        <v>20</v>
      </c>
      <c r="N877">
        <f t="shared" si="39"/>
        <v>2</v>
      </c>
      <c r="O877">
        <v>2016</v>
      </c>
      <c r="P877">
        <f t="shared" si="40"/>
        <v>7.1236727852046071</v>
      </c>
      <c r="Q877">
        <f t="shared" si="41"/>
        <v>3.5556337349665741</v>
      </c>
    </row>
    <row r="878" spans="1:17" hidden="1" x14ac:dyDescent="0.3">
      <c r="A878">
        <v>877</v>
      </c>
      <c r="B878">
        <v>957362</v>
      </c>
      <c r="C878" t="s">
        <v>1759</v>
      </c>
      <c r="D878" t="s">
        <v>1760</v>
      </c>
      <c r="E878">
        <v>45</v>
      </c>
      <c r="F878">
        <v>1237</v>
      </c>
      <c r="G878">
        <v>16</v>
      </c>
      <c r="H878">
        <v>14</v>
      </c>
      <c r="I878">
        <v>2</v>
      </c>
      <c r="J878" t="s">
        <v>32</v>
      </c>
      <c r="K878">
        <v>0.94</v>
      </c>
      <c r="L878">
        <v>1</v>
      </c>
      <c r="M878" t="s">
        <v>20</v>
      </c>
      <c r="N878">
        <f t="shared" si="39"/>
        <v>2</v>
      </c>
      <c r="O878">
        <v>2016</v>
      </c>
      <c r="P878">
        <f t="shared" si="40"/>
        <v>7.1204443723924875</v>
      </c>
      <c r="Q878">
        <f t="shared" si="41"/>
        <v>3.8068846873048412</v>
      </c>
    </row>
    <row r="879" spans="1:17" hidden="1" x14ac:dyDescent="0.3">
      <c r="A879">
        <v>878</v>
      </c>
      <c r="B879">
        <v>520302</v>
      </c>
      <c r="C879" t="s">
        <v>1761</v>
      </c>
      <c r="D879" t="s">
        <v>1762</v>
      </c>
      <c r="E879">
        <v>80</v>
      </c>
      <c r="F879">
        <v>1236</v>
      </c>
      <c r="G879">
        <v>18</v>
      </c>
      <c r="H879">
        <v>14</v>
      </c>
      <c r="I879">
        <v>2</v>
      </c>
      <c r="J879" t="s">
        <v>32</v>
      </c>
      <c r="K879">
        <v>0.94</v>
      </c>
      <c r="L879">
        <v>0.5</v>
      </c>
      <c r="M879" t="s">
        <v>20</v>
      </c>
      <c r="N879">
        <f t="shared" si="39"/>
        <v>2</v>
      </c>
      <c r="O879">
        <v>2015</v>
      </c>
      <c r="P879">
        <f t="shared" si="40"/>
        <v>7.1196356380176358</v>
      </c>
      <c r="Q879">
        <f t="shared" si="41"/>
        <v>4.3821516268620329</v>
      </c>
    </row>
    <row r="880" spans="1:17" x14ac:dyDescent="0.3">
      <c r="A880">
        <v>879</v>
      </c>
      <c r="B880">
        <v>709460</v>
      </c>
      <c r="C880" t="s">
        <v>1763</v>
      </c>
      <c r="D880" t="s">
        <v>1764</v>
      </c>
      <c r="E880">
        <v>20</v>
      </c>
      <c r="F880">
        <v>1235</v>
      </c>
      <c r="G880">
        <v>25</v>
      </c>
      <c r="H880">
        <v>7</v>
      </c>
      <c r="I880">
        <v>1</v>
      </c>
      <c r="J880" t="s">
        <v>13</v>
      </c>
      <c r="K880">
        <v>0.94</v>
      </c>
      <c r="L880">
        <v>0.63333333000000003</v>
      </c>
      <c r="M880" t="s">
        <v>20</v>
      </c>
      <c r="N880">
        <f t="shared" si="39"/>
        <v>2</v>
      </c>
      <c r="O880">
        <v>2016</v>
      </c>
      <c r="P880">
        <f t="shared" si="40"/>
        <v>7.1188262490620779</v>
      </c>
      <c r="Q880">
        <f t="shared" si="41"/>
        <v>2.996232148595642</v>
      </c>
    </row>
    <row r="881" spans="1:17" x14ac:dyDescent="0.3">
      <c r="A881">
        <v>880</v>
      </c>
      <c r="B881">
        <v>986406</v>
      </c>
      <c r="C881" t="s">
        <v>1765</v>
      </c>
      <c r="D881" t="s">
        <v>1766</v>
      </c>
      <c r="E881">
        <v>150</v>
      </c>
      <c r="F881">
        <v>1229</v>
      </c>
      <c r="G881">
        <v>139</v>
      </c>
      <c r="H881">
        <v>108</v>
      </c>
      <c r="I881">
        <v>1</v>
      </c>
      <c r="J881" t="s">
        <v>13</v>
      </c>
      <c r="K881">
        <v>0.94</v>
      </c>
      <c r="L881">
        <v>7.5</v>
      </c>
      <c r="M881" t="s">
        <v>20</v>
      </c>
      <c r="N881">
        <f t="shared" si="39"/>
        <v>2</v>
      </c>
      <c r="O881">
        <v>2016</v>
      </c>
      <c r="P881">
        <f t="shared" si="40"/>
        <v>7.1139561095660344</v>
      </c>
      <c r="Q881">
        <f t="shared" si="41"/>
        <v>5.0107019585407988</v>
      </c>
    </row>
    <row r="882" spans="1:17" x14ac:dyDescent="0.3">
      <c r="A882">
        <v>881</v>
      </c>
      <c r="B882">
        <v>520308</v>
      </c>
      <c r="C882" t="s">
        <v>1767</v>
      </c>
      <c r="D882" t="s">
        <v>1768</v>
      </c>
      <c r="E882">
        <v>200</v>
      </c>
      <c r="F882">
        <v>1220</v>
      </c>
      <c r="G882">
        <v>16</v>
      </c>
      <c r="H882">
        <v>16</v>
      </c>
      <c r="I882">
        <v>1</v>
      </c>
      <c r="J882" t="s">
        <v>13</v>
      </c>
      <c r="K882">
        <v>0.94</v>
      </c>
      <c r="L882">
        <v>0.56666667000000004</v>
      </c>
      <c r="M882" t="s">
        <v>20</v>
      </c>
      <c r="N882">
        <f t="shared" si="39"/>
        <v>2</v>
      </c>
      <c r="O882">
        <v>2015</v>
      </c>
      <c r="P882">
        <f t="shared" si="40"/>
        <v>7.1066061377273027</v>
      </c>
      <c r="Q882">
        <f t="shared" si="41"/>
        <v>5.2983673652980787</v>
      </c>
    </row>
    <row r="883" spans="1:17" hidden="1" x14ac:dyDescent="0.3">
      <c r="A883">
        <v>882</v>
      </c>
      <c r="B883">
        <v>862428</v>
      </c>
      <c r="C883" t="s">
        <v>1769</v>
      </c>
      <c r="D883" t="s">
        <v>1770</v>
      </c>
      <c r="E883">
        <v>50</v>
      </c>
      <c r="F883">
        <v>1216</v>
      </c>
      <c r="G883">
        <v>36</v>
      </c>
      <c r="H883">
        <v>28</v>
      </c>
      <c r="I883">
        <v>4</v>
      </c>
      <c r="J883" t="s">
        <v>23</v>
      </c>
      <c r="K883">
        <v>0.94</v>
      </c>
      <c r="L883">
        <v>3</v>
      </c>
      <c r="M883" t="s">
        <v>20</v>
      </c>
      <c r="N883">
        <f t="shared" si="39"/>
        <v>2</v>
      </c>
      <c r="O883">
        <v>2016</v>
      </c>
      <c r="P883">
        <f t="shared" si="40"/>
        <v>7.1033220625261126</v>
      </c>
      <c r="Q883">
        <f t="shared" si="41"/>
        <v>3.9122229854308124</v>
      </c>
    </row>
    <row r="884" spans="1:17" hidden="1" x14ac:dyDescent="0.3">
      <c r="A884">
        <v>883</v>
      </c>
      <c r="B884">
        <v>50528</v>
      </c>
      <c r="C884" t="s">
        <v>1771</v>
      </c>
      <c r="D884" t="s">
        <v>1772</v>
      </c>
      <c r="E884">
        <v>200</v>
      </c>
      <c r="F884">
        <v>1215</v>
      </c>
      <c r="G884">
        <v>58</v>
      </c>
      <c r="H884">
        <v>33</v>
      </c>
      <c r="I884">
        <v>4</v>
      </c>
      <c r="J884" t="s">
        <v>23</v>
      </c>
      <c r="K884">
        <v>0.94</v>
      </c>
      <c r="L884">
        <v>2.5</v>
      </c>
      <c r="M884" t="s">
        <v>20</v>
      </c>
      <c r="N884">
        <f t="shared" si="39"/>
        <v>2</v>
      </c>
      <c r="O884">
        <v>2013</v>
      </c>
      <c r="P884">
        <f t="shared" si="40"/>
        <v>7.1024993557746487</v>
      </c>
      <c r="Q884">
        <f t="shared" si="41"/>
        <v>5.2983673652980787</v>
      </c>
    </row>
    <row r="885" spans="1:17" x14ac:dyDescent="0.3">
      <c r="A885">
        <v>884</v>
      </c>
      <c r="B885">
        <v>1082996</v>
      </c>
      <c r="C885" t="s">
        <v>1773</v>
      </c>
      <c r="D885" t="s">
        <v>1774</v>
      </c>
      <c r="E885">
        <v>95</v>
      </c>
      <c r="F885">
        <v>1212</v>
      </c>
      <c r="G885">
        <v>15</v>
      </c>
      <c r="H885">
        <v>39</v>
      </c>
      <c r="I885">
        <v>1</v>
      </c>
      <c r="J885" t="s">
        <v>13</v>
      </c>
      <c r="K885">
        <v>0.94</v>
      </c>
      <c r="L885">
        <v>4.5</v>
      </c>
      <c r="M885" t="s">
        <v>20</v>
      </c>
      <c r="N885">
        <f t="shared" si="39"/>
        <v>2</v>
      </c>
      <c r="O885">
        <v>2017</v>
      </c>
      <c r="P885">
        <f t="shared" si="40"/>
        <v>7.1000271666292596</v>
      </c>
      <c r="Q885">
        <f t="shared" si="41"/>
        <v>4.5539821492186583</v>
      </c>
    </row>
    <row r="886" spans="1:17" hidden="1" x14ac:dyDescent="0.3">
      <c r="A886">
        <v>885</v>
      </c>
      <c r="B886">
        <v>733694</v>
      </c>
      <c r="C886" t="s">
        <v>1775</v>
      </c>
      <c r="D886" t="s">
        <v>1776</v>
      </c>
      <c r="E886">
        <v>25</v>
      </c>
      <c r="F886">
        <v>1209</v>
      </c>
      <c r="G886">
        <v>8</v>
      </c>
      <c r="H886">
        <v>62</v>
      </c>
      <c r="I886">
        <v>4</v>
      </c>
      <c r="J886" t="s">
        <v>23</v>
      </c>
      <c r="K886">
        <v>0.94</v>
      </c>
      <c r="L886">
        <v>4.5</v>
      </c>
      <c r="M886" t="s">
        <v>20</v>
      </c>
      <c r="N886">
        <f t="shared" si="39"/>
        <v>2</v>
      </c>
      <c r="O886">
        <v>2016</v>
      </c>
      <c r="P886">
        <f t="shared" si="40"/>
        <v>7.0975488506147926</v>
      </c>
      <c r="Q886">
        <f t="shared" si="41"/>
        <v>3.2192757448895279</v>
      </c>
    </row>
    <row r="887" spans="1:17" hidden="1" x14ac:dyDescent="0.3">
      <c r="A887">
        <v>886</v>
      </c>
      <c r="B887">
        <v>786494</v>
      </c>
      <c r="C887" t="s">
        <v>1777</v>
      </c>
      <c r="D887" t="s">
        <v>1778</v>
      </c>
      <c r="E887">
        <v>20</v>
      </c>
      <c r="F887">
        <v>1209</v>
      </c>
      <c r="G887">
        <v>9</v>
      </c>
      <c r="H887">
        <v>21</v>
      </c>
      <c r="I887">
        <v>4</v>
      </c>
      <c r="J887" t="s">
        <v>23</v>
      </c>
      <c r="K887">
        <v>0.94</v>
      </c>
      <c r="L887">
        <v>1.5</v>
      </c>
      <c r="M887" t="s">
        <v>20</v>
      </c>
      <c r="N887">
        <f t="shared" si="39"/>
        <v>2</v>
      </c>
      <c r="O887">
        <v>2016</v>
      </c>
      <c r="P887">
        <f t="shared" si="40"/>
        <v>7.0975488506147926</v>
      </c>
      <c r="Q887">
        <f t="shared" si="41"/>
        <v>2.996232148595642</v>
      </c>
    </row>
    <row r="888" spans="1:17" hidden="1" x14ac:dyDescent="0.3">
      <c r="A888">
        <v>887</v>
      </c>
      <c r="B888">
        <v>495678</v>
      </c>
      <c r="C888" t="s">
        <v>1779</v>
      </c>
      <c r="D888" t="s">
        <v>1780</v>
      </c>
      <c r="E888">
        <v>100</v>
      </c>
      <c r="F888">
        <v>1193</v>
      </c>
      <c r="G888">
        <v>87</v>
      </c>
      <c r="H888">
        <v>58</v>
      </c>
      <c r="I888">
        <v>4</v>
      </c>
      <c r="J888" t="s">
        <v>23</v>
      </c>
      <c r="K888">
        <v>0.94</v>
      </c>
      <c r="L888">
        <v>10.5</v>
      </c>
      <c r="M888" t="s">
        <v>20</v>
      </c>
      <c r="N888">
        <f t="shared" si="39"/>
        <v>2</v>
      </c>
      <c r="O888">
        <v>2015</v>
      </c>
      <c r="P888">
        <f t="shared" si="40"/>
        <v>7.0842264220979159</v>
      </c>
      <c r="Q888">
        <f t="shared" si="41"/>
        <v>4.6052701809884251</v>
      </c>
    </row>
    <row r="889" spans="1:17" hidden="1" x14ac:dyDescent="0.3">
      <c r="A889">
        <v>888</v>
      </c>
      <c r="B889">
        <v>769314</v>
      </c>
      <c r="C889" t="s">
        <v>1781</v>
      </c>
      <c r="D889" t="s">
        <v>1782</v>
      </c>
      <c r="E889">
        <v>20</v>
      </c>
      <c r="F889">
        <v>1186</v>
      </c>
      <c r="G889">
        <v>12</v>
      </c>
      <c r="H889">
        <v>7</v>
      </c>
      <c r="I889">
        <v>4</v>
      </c>
      <c r="J889" t="s">
        <v>23</v>
      </c>
      <c r="K889">
        <v>0.94</v>
      </c>
      <c r="L889">
        <v>0.56666667000000004</v>
      </c>
      <c r="M889" t="s">
        <v>20</v>
      </c>
      <c r="N889">
        <f t="shared" si="39"/>
        <v>2</v>
      </c>
      <c r="O889">
        <v>2016</v>
      </c>
      <c r="P889">
        <f t="shared" si="40"/>
        <v>7.0783415795576712</v>
      </c>
      <c r="Q889">
        <f t="shared" si="41"/>
        <v>2.996232148595642</v>
      </c>
    </row>
    <row r="890" spans="1:17" hidden="1" x14ac:dyDescent="0.3">
      <c r="A890">
        <v>889</v>
      </c>
      <c r="B890">
        <v>653852</v>
      </c>
      <c r="C890" t="s">
        <v>1783</v>
      </c>
      <c r="D890" t="s">
        <v>1784</v>
      </c>
      <c r="E890">
        <v>55</v>
      </c>
      <c r="F890">
        <v>1186</v>
      </c>
      <c r="G890">
        <v>14</v>
      </c>
      <c r="H890">
        <v>9</v>
      </c>
      <c r="I890">
        <v>2</v>
      </c>
      <c r="J890" t="s">
        <v>32</v>
      </c>
      <c r="K890">
        <v>0.94</v>
      </c>
      <c r="L890">
        <v>0.66666667000000002</v>
      </c>
      <c r="M890" t="s">
        <v>20</v>
      </c>
      <c r="N890">
        <f t="shared" si="39"/>
        <v>2</v>
      </c>
      <c r="O890">
        <v>2015</v>
      </c>
      <c r="P890">
        <f t="shared" si="40"/>
        <v>7.0783415795576712</v>
      </c>
      <c r="Q890">
        <f t="shared" si="41"/>
        <v>4.007514986887367</v>
      </c>
    </row>
    <row r="891" spans="1:17" hidden="1" x14ac:dyDescent="0.3">
      <c r="A891">
        <v>890</v>
      </c>
      <c r="B891">
        <v>512000</v>
      </c>
      <c r="C891" t="s">
        <v>1785</v>
      </c>
      <c r="D891" t="s">
        <v>1786</v>
      </c>
      <c r="E891">
        <v>20</v>
      </c>
      <c r="F891">
        <v>1169</v>
      </c>
      <c r="G891">
        <v>110</v>
      </c>
      <c r="H891">
        <v>64</v>
      </c>
      <c r="I891">
        <v>4</v>
      </c>
      <c r="J891" t="s">
        <v>23</v>
      </c>
      <c r="K891">
        <v>0.94</v>
      </c>
      <c r="L891">
        <v>7.5</v>
      </c>
      <c r="M891" t="s">
        <v>20</v>
      </c>
      <c r="N891">
        <f t="shared" si="39"/>
        <v>2</v>
      </c>
      <c r="O891">
        <v>2015</v>
      </c>
      <c r="P891">
        <f t="shared" si="40"/>
        <v>7.063903961472068</v>
      </c>
      <c r="Q891">
        <f t="shared" si="41"/>
        <v>2.996232148595642</v>
      </c>
    </row>
    <row r="892" spans="1:17" hidden="1" x14ac:dyDescent="0.3">
      <c r="A892">
        <v>891</v>
      </c>
      <c r="B892">
        <v>576646</v>
      </c>
      <c r="C892" t="s">
        <v>1787</v>
      </c>
      <c r="D892" t="s">
        <v>1788</v>
      </c>
      <c r="E892">
        <v>60</v>
      </c>
      <c r="F892">
        <v>1157</v>
      </c>
      <c r="G892">
        <v>105</v>
      </c>
      <c r="H892">
        <v>31</v>
      </c>
      <c r="I892">
        <v>4</v>
      </c>
      <c r="J892" t="s">
        <v>23</v>
      </c>
      <c r="K892">
        <v>0.34</v>
      </c>
      <c r="L892">
        <v>3</v>
      </c>
      <c r="M892" t="s">
        <v>20</v>
      </c>
      <c r="N892">
        <f t="shared" si="39"/>
        <v>2</v>
      </c>
      <c r="O892">
        <v>2015</v>
      </c>
      <c r="P892">
        <f t="shared" si="40"/>
        <v>7.0535857271936768</v>
      </c>
      <c r="Q892">
        <f t="shared" si="41"/>
        <v>4.0945112150014218</v>
      </c>
    </row>
    <row r="893" spans="1:17" hidden="1" x14ac:dyDescent="0.3">
      <c r="A893">
        <v>892</v>
      </c>
      <c r="B893">
        <v>641732</v>
      </c>
      <c r="C893" t="s">
        <v>1789</v>
      </c>
      <c r="D893" t="s">
        <v>1790</v>
      </c>
      <c r="E893">
        <v>85</v>
      </c>
      <c r="F893">
        <v>1156</v>
      </c>
      <c r="G893">
        <v>13</v>
      </c>
      <c r="H893">
        <v>28</v>
      </c>
      <c r="I893">
        <v>4</v>
      </c>
      <c r="J893" t="s">
        <v>23</v>
      </c>
      <c r="K893">
        <v>0.18</v>
      </c>
      <c r="L893">
        <v>2.5</v>
      </c>
      <c r="M893" t="s">
        <v>20</v>
      </c>
      <c r="N893">
        <f t="shared" si="39"/>
        <v>2</v>
      </c>
      <c r="O893">
        <v>2015</v>
      </c>
      <c r="P893">
        <f t="shared" si="40"/>
        <v>7.0527210492323231</v>
      </c>
      <c r="Q893">
        <f t="shared" si="41"/>
        <v>4.4427688966292678</v>
      </c>
    </row>
    <row r="894" spans="1:17" x14ac:dyDescent="0.3">
      <c r="A894">
        <v>893</v>
      </c>
      <c r="B894">
        <v>1231872</v>
      </c>
      <c r="C894" t="s">
        <v>1791</v>
      </c>
      <c r="D894" t="s">
        <v>1792</v>
      </c>
      <c r="E894">
        <v>35</v>
      </c>
      <c r="F894">
        <v>1156</v>
      </c>
      <c r="G894">
        <v>4</v>
      </c>
      <c r="H894">
        <v>59</v>
      </c>
      <c r="I894">
        <v>1</v>
      </c>
      <c r="J894" t="s">
        <v>13</v>
      </c>
      <c r="K894">
        <v>0.18</v>
      </c>
      <c r="L894">
        <v>5</v>
      </c>
      <c r="M894" t="s">
        <v>20</v>
      </c>
      <c r="N894">
        <f t="shared" si="39"/>
        <v>2</v>
      </c>
      <c r="O894">
        <v>2017</v>
      </c>
      <c r="P894">
        <f t="shared" si="40"/>
        <v>7.0527210492323231</v>
      </c>
      <c r="Q894">
        <f t="shared" si="41"/>
        <v>3.5556337349665741</v>
      </c>
    </row>
    <row r="895" spans="1:17" hidden="1" x14ac:dyDescent="0.3">
      <c r="A895">
        <v>894</v>
      </c>
      <c r="B895">
        <v>738726</v>
      </c>
      <c r="C895" t="s">
        <v>1793</v>
      </c>
      <c r="D895" t="s">
        <v>1794</v>
      </c>
      <c r="E895">
        <v>20</v>
      </c>
      <c r="F895">
        <v>1154</v>
      </c>
      <c r="G895">
        <v>12</v>
      </c>
      <c r="H895">
        <v>71</v>
      </c>
      <c r="I895">
        <v>4</v>
      </c>
      <c r="J895" t="s">
        <v>23</v>
      </c>
      <c r="K895">
        <v>0.14000000000000001</v>
      </c>
      <c r="L895">
        <v>6</v>
      </c>
      <c r="M895" t="s">
        <v>20</v>
      </c>
      <c r="N895">
        <f t="shared" si="39"/>
        <v>2</v>
      </c>
      <c r="O895">
        <v>2016</v>
      </c>
      <c r="P895">
        <f t="shared" si="40"/>
        <v>7.0509894470680452</v>
      </c>
      <c r="Q895">
        <f t="shared" si="41"/>
        <v>2.996232148595642</v>
      </c>
    </row>
    <row r="896" spans="1:17" hidden="1" x14ac:dyDescent="0.3">
      <c r="A896">
        <v>895</v>
      </c>
      <c r="B896">
        <v>128384</v>
      </c>
      <c r="C896" t="s">
        <v>1795</v>
      </c>
      <c r="D896" t="s">
        <v>1796</v>
      </c>
      <c r="E896">
        <v>30</v>
      </c>
      <c r="F896">
        <v>1154</v>
      </c>
      <c r="G896">
        <v>89</v>
      </c>
      <c r="H896">
        <v>9</v>
      </c>
      <c r="I896">
        <v>4</v>
      </c>
      <c r="J896" t="s">
        <v>23</v>
      </c>
      <c r="K896">
        <v>0.88</v>
      </c>
      <c r="L896">
        <v>3</v>
      </c>
      <c r="M896" t="s">
        <v>20</v>
      </c>
      <c r="N896">
        <f t="shared" si="39"/>
        <v>2</v>
      </c>
      <c r="O896">
        <v>2013</v>
      </c>
      <c r="P896">
        <f t="shared" si="40"/>
        <v>7.0509894470680452</v>
      </c>
      <c r="Q896">
        <f t="shared" si="41"/>
        <v>3.4015306594522756</v>
      </c>
    </row>
    <row r="897" spans="1:17" hidden="1" x14ac:dyDescent="0.3">
      <c r="A897">
        <v>896</v>
      </c>
      <c r="B897">
        <v>964118</v>
      </c>
      <c r="C897" t="s">
        <v>1797</v>
      </c>
      <c r="D897" t="s">
        <v>1798</v>
      </c>
      <c r="E897">
        <v>40</v>
      </c>
      <c r="F897">
        <v>1152</v>
      </c>
      <c r="G897">
        <v>20</v>
      </c>
      <c r="H897">
        <v>14</v>
      </c>
      <c r="I897">
        <v>4</v>
      </c>
      <c r="J897" t="s">
        <v>23</v>
      </c>
      <c r="K897">
        <v>0.82</v>
      </c>
      <c r="L897">
        <v>1</v>
      </c>
      <c r="M897" t="s">
        <v>20</v>
      </c>
      <c r="N897">
        <f t="shared" si="39"/>
        <v>2</v>
      </c>
      <c r="O897">
        <v>2016</v>
      </c>
      <c r="P897">
        <f t="shared" si="40"/>
        <v>7.0492548412558369</v>
      </c>
      <c r="Q897">
        <f t="shared" si="41"/>
        <v>3.6891294228691436</v>
      </c>
    </row>
    <row r="898" spans="1:17" hidden="1" x14ac:dyDescent="0.3">
      <c r="A898">
        <v>897</v>
      </c>
      <c r="B898">
        <v>595818</v>
      </c>
      <c r="C898" t="s">
        <v>1799</v>
      </c>
      <c r="D898" t="s">
        <v>1800</v>
      </c>
      <c r="E898">
        <v>50</v>
      </c>
      <c r="F898">
        <v>1147</v>
      </c>
      <c r="G898">
        <v>19</v>
      </c>
      <c r="H898">
        <v>19</v>
      </c>
      <c r="I898">
        <v>4</v>
      </c>
      <c r="J898" t="s">
        <v>23</v>
      </c>
      <c r="K898">
        <v>0.57999999999999996</v>
      </c>
      <c r="L898">
        <v>2.5</v>
      </c>
      <c r="M898" t="s">
        <v>20</v>
      </c>
      <c r="N898">
        <f t="shared" ref="N898:N961" si="42">IF(M898="Free",1,IF(M898="Paid",2,0))</f>
        <v>2</v>
      </c>
      <c r="O898">
        <v>2016</v>
      </c>
      <c r="P898">
        <f t="shared" ref="P898:P961" si="43">LN(F898)</f>
        <v>7.0449051171293711</v>
      </c>
      <c r="Q898">
        <f t="shared" ref="Q898:Q961" si="44">LN(E898+0.01)</f>
        <v>3.9122229854308124</v>
      </c>
    </row>
    <row r="899" spans="1:17" x14ac:dyDescent="0.3">
      <c r="A899">
        <v>898</v>
      </c>
      <c r="B899">
        <v>413618</v>
      </c>
      <c r="C899" t="s">
        <v>1801</v>
      </c>
      <c r="D899" t="s">
        <v>1802</v>
      </c>
      <c r="E899">
        <v>25</v>
      </c>
      <c r="F899">
        <v>1143</v>
      </c>
      <c r="G899">
        <v>34</v>
      </c>
      <c r="H899">
        <v>13</v>
      </c>
      <c r="I899">
        <v>1</v>
      </c>
      <c r="J899" t="s">
        <v>13</v>
      </c>
      <c r="K899">
        <v>0.66</v>
      </c>
      <c r="L899">
        <v>1</v>
      </c>
      <c r="M899" t="s">
        <v>20</v>
      </c>
      <c r="N899">
        <f t="shared" si="42"/>
        <v>2</v>
      </c>
      <c r="O899">
        <v>2015</v>
      </c>
      <c r="P899">
        <f t="shared" si="43"/>
        <v>7.0414116637948103</v>
      </c>
      <c r="Q899">
        <f t="shared" si="44"/>
        <v>3.2192757448895279</v>
      </c>
    </row>
    <row r="900" spans="1:17" hidden="1" x14ac:dyDescent="0.3">
      <c r="A900">
        <v>899</v>
      </c>
      <c r="B900">
        <v>425086</v>
      </c>
      <c r="C900" t="s">
        <v>1803</v>
      </c>
      <c r="D900" t="s">
        <v>1804</v>
      </c>
      <c r="E900">
        <v>85</v>
      </c>
      <c r="F900">
        <v>1142</v>
      </c>
      <c r="G900">
        <v>148</v>
      </c>
      <c r="H900">
        <v>90</v>
      </c>
      <c r="I900">
        <v>4</v>
      </c>
      <c r="J900" t="s">
        <v>23</v>
      </c>
      <c r="K900">
        <v>0.34</v>
      </c>
      <c r="L900">
        <v>5</v>
      </c>
      <c r="M900" t="s">
        <v>20</v>
      </c>
      <c r="N900">
        <f t="shared" si="42"/>
        <v>2</v>
      </c>
      <c r="O900">
        <v>2015</v>
      </c>
      <c r="P900">
        <f t="shared" si="43"/>
        <v>7.0405363902159559</v>
      </c>
      <c r="Q900">
        <f t="shared" si="44"/>
        <v>4.4427688966292678</v>
      </c>
    </row>
    <row r="901" spans="1:17" hidden="1" x14ac:dyDescent="0.3">
      <c r="A901">
        <v>900</v>
      </c>
      <c r="B901">
        <v>362360</v>
      </c>
      <c r="C901" t="s">
        <v>1805</v>
      </c>
      <c r="D901" t="s">
        <v>1806</v>
      </c>
      <c r="E901">
        <v>95</v>
      </c>
      <c r="F901">
        <v>1134</v>
      </c>
      <c r="G901">
        <v>9</v>
      </c>
      <c r="H901">
        <v>24</v>
      </c>
      <c r="I901">
        <v>2</v>
      </c>
      <c r="J901" t="s">
        <v>32</v>
      </c>
      <c r="K901">
        <v>0.66</v>
      </c>
      <c r="L901">
        <v>1.5</v>
      </c>
      <c r="M901" t="s">
        <v>20</v>
      </c>
      <c r="N901">
        <f t="shared" si="42"/>
        <v>2</v>
      </c>
      <c r="O901">
        <v>2014</v>
      </c>
      <c r="P901">
        <f t="shared" si="43"/>
        <v>7.0335064842876971</v>
      </c>
      <c r="Q901">
        <f t="shared" si="44"/>
        <v>4.5539821492186583</v>
      </c>
    </row>
    <row r="902" spans="1:17" hidden="1" x14ac:dyDescent="0.3">
      <c r="A902">
        <v>901</v>
      </c>
      <c r="B902">
        <v>908996</v>
      </c>
      <c r="C902" t="s">
        <v>1807</v>
      </c>
      <c r="D902" t="s">
        <v>1808</v>
      </c>
      <c r="E902">
        <v>200</v>
      </c>
      <c r="F902">
        <v>1130</v>
      </c>
      <c r="G902">
        <v>162</v>
      </c>
      <c r="H902">
        <v>66</v>
      </c>
      <c r="I902">
        <v>4</v>
      </c>
      <c r="J902" t="s">
        <v>23</v>
      </c>
      <c r="K902">
        <v>0.56999999999999995</v>
      </c>
      <c r="L902">
        <v>6</v>
      </c>
      <c r="M902" t="s">
        <v>20</v>
      </c>
      <c r="N902">
        <f t="shared" si="42"/>
        <v>2</v>
      </c>
      <c r="O902">
        <v>2016</v>
      </c>
      <c r="P902">
        <f t="shared" si="43"/>
        <v>7.0299729117063858</v>
      </c>
      <c r="Q902">
        <f t="shared" si="44"/>
        <v>5.2983673652980787</v>
      </c>
    </row>
    <row r="903" spans="1:17" hidden="1" x14ac:dyDescent="0.3">
      <c r="A903">
        <v>902</v>
      </c>
      <c r="B903">
        <v>1006894</v>
      </c>
      <c r="C903" t="s">
        <v>1809</v>
      </c>
      <c r="D903" t="s">
        <v>1810</v>
      </c>
      <c r="E903">
        <v>50</v>
      </c>
      <c r="F903">
        <v>1129</v>
      </c>
      <c r="G903">
        <v>137</v>
      </c>
      <c r="H903">
        <v>77</v>
      </c>
      <c r="I903">
        <v>4</v>
      </c>
      <c r="J903" t="s">
        <v>23</v>
      </c>
      <c r="K903">
        <v>0.96</v>
      </c>
      <c r="L903">
        <v>17.5</v>
      </c>
      <c r="M903" t="s">
        <v>20</v>
      </c>
      <c r="N903">
        <f t="shared" si="42"/>
        <v>2</v>
      </c>
      <c r="O903">
        <v>2016</v>
      </c>
      <c r="P903">
        <f t="shared" si="43"/>
        <v>7.0290875641496617</v>
      </c>
      <c r="Q903">
        <f t="shared" si="44"/>
        <v>3.9122229854308124</v>
      </c>
    </row>
    <row r="904" spans="1:17" x14ac:dyDescent="0.3">
      <c r="A904">
        <v>903</v>
      </c>
      <c r="B904">
        <v>25615</v>
      </c>
      <c r="C904" t="s">
        <v>1811</v>
      </c>
      <c r="D904" t="s">
        <v>1812</v>
      </c>
      <c r="E904">
        <v>20</v>
      </c>
      <c r="F904">
        <v>1128</v>
      </c>
      <c r="G904">
        <v>77</v>
      </c>
      <c r="H904">
        <v>36</v>
      </c>
      <c r="I904">
        <v>1</v>
      </c>
      <c r="J904" t="s">
        <v>13</v>
      </c>
      <c r="K904">
        <v>0.96</v>
      </c>
      <c r="L904">
        <v>2</v>
      </c>
      <c r="M904" t="s">
        <v>20</v>
      </c>
      <c r="N904">
        <f t="shared" si="42"/>
        <v>2</v>
      </c>
      <c r="O904">
        <v>2012</v>
      </c>
      <c r="P904">
        <f t="shared" si="43"/>
        <v>7.0282014320580046</v>
      </c>
      <c r="Q904">
        <f t="shared" si="44"/>
        <v>2.996232148595642</v>
      </c>
    </row>
    <row r="905" spans="1:17" hidden="1" x14ac:dyDescent="0.3">
      <c r="A905">
        <v>904</v>
      </c>
      <c r="B905">
        <v>1111552</v>
      </c>
      <c r="C905" t="s">
        <v>1813</v>
      </c>
      <c r="D905" t="s">
        <v>1814</v>
      </c>
      <c r="E905">
        <v>20</v>
      </c>
      <c r="F905">
        <v>1126</v>
      </c>
      <c r="G905">
        <v>10</v>
      </c>
      <c r="H905">
        <v>12</v>
      </c>
      <c r="I905">
        <v>2</v>
      </c>
      <c r="J905" t="s">
        <v>32</v>
      </c>
      <c r="K905">
        <v>0.96</v>
      </c>
      <c r="L905">
        <v>1</v>
      </c>
      <c r="M905" t="s">
        <v>20</v>
      </c>
      <c r="N905">
        <f t="shared" si="42"/>
        <v>2</v>
      </c>
      <c r="O905">
        <v>2017</v>
      </c>
      <c r="P905">
        <f t="shared" si="43"/>
        <v>7.026426808699636</v>
      </c>
      <c r="Q905">
        <f t="shared" si="44"/>
        <v>2.996232148595642</v>
      </c>
    </row>
    <row r="906" spans="1:17" x14ac:dyDescent="0.3">
      <c r="A906">
        <v>905</v>
      </c>
      <c r="B906">
        <v>814848</v>
      </c>
      <c r="C906" t="s">
        <v>1815</v>
      </c>
      <c r="D906" t="s">
        <v>1816</v>
      </c>
      <c r="E906">
        <v>50</v>
      </c>
      <c r="F906">
        <v>1125</v>
      </c>
      <c r="G906">
        <v>10</v>
      </c>
      <c r="H906">
        <v>45</v>
      </c>
      <c r="I906">
        <v>1</v>
      </c>
      <c r="J906" t="s">
        <v>13</v>
      </c>
      <c r="K906">
        <v>0.96</v>
      </c>
      <c r="L906">
        <v>3.5</v>
      </c>
      <c r="M906" t="s">
        <v>20</v>
      </c>
      <c r="N906">
        <f t="shared" si="42"/>
        <v>2</v>
      </c>
      <c r="O906">
        <v>2016</v>
      </c>
      <c r="P906">
        <f t="shared" si="43"/>
        <v>7.0255383146385206</v>
      </c>
      <c r="Q906">
        <f t="shared" si="44"/>
        <v>3.9122229854308124</v>
      </c>
    </row>
    <row r="907" spans="1:17" hidden="1" x14ac:dyDescent="0.3">
      <c r="A907">
        <v>906</v>
      </c>
      <c r="B907">
        <v>1020722</v>
      </c>
      <c r="C907" t="s">
        <v>1817</v>
      </c>
      <c r="D907" t="s">
        <v>1818</v>
      </c>
      <c r="E907">
        <v>40</v>
      </c>
      <c r="F907">
        <v>1122</v>
      </c>
      <c r="G907">
        <v>5</v>
      </c>
      <c r="H907">
        <v>7</v>
      </c>
      <c r="I907">
        <v>2</v>
      </c>
      <c r="J907" t="s">
        <v>32</v>
      </c>
      <c r="K907">
        <v>0.96</v>
      </c>
      <c r="L907">
        <v>0.58333332999999998</v>
      </c>
      <c r="M907" t="s">
        <v>20</v>
      </c>
      <c r="N907">
        <f t="shared" si="42"/>
        <v>2</v>
      </c>
      <c r="O907">
        <v>2016</v>
      </c>
      <c r="P907">
        <f t="shared" si="43"/>
        <v>7.0228680860826413</v>
      </c>
      <c r="Q907">
        <f t="shared" si="44"/>
        <v>3.6891294228691436</v>
      </c>
    </row>
    <row r="908" spans="1:17" x14ac:dyDescent="0.3">
      <c r="A908">
        <v>907</v>
      </c>
      <c r="B908">
        <v>1115348</v>
      </c>
      <c r="C908" t="s">
        <v>1819</v>
      </c>
      <c r="D908" t="s">
        <v>1820</v>
      </c>
      <c r="E908">
        <v>195</v>
      </c>
      <c r="F908">
        <v>1121</v>
      </c>
      <c r="G908">
        <v>174</v>
      </c>
      <c r="H908">
        <v>62</v>
      </c>
      <c r="I908">
        <v>1</v>
      </c>
      <c r="J908" t="s">
        <v>13</v>
      </c>
      <c r="K908">
        <v>0.96</v>
      </c>
      <c r="L908">
        <v>5</v>
      </c>
      <c r="M908" t="s">
        <v>20</v>
      </c>
      <c r="N908">
        <f t="shared" si="42"/>
        <v>2</v>
      </c>
      <c r="O908">
        <v>2017</v>
      </c>
      <c r="P908">
        <f t="shared" si="43"/>
        <v>7.02197642307216</v>
      </c>
      <c r="Q908">
        <f t="shared" si="44"/>
        <v>5.273050839300149</v>
      </c>
    </row>
    <row r="909" spans="1:17" x14ac:dyDescent="0.3">
      <c r="A909">
        <v>908</v>
      </c>
      <c r="B909">
        <v>797040</v>
      </c>
      <c r="C909" t="s">
        <v>1821</v>
      </c>
      <c r="D909" t="s">
        <v>1822</v>
      </c>
      <c r="E909">
        <v>200</v>
      </c>
      <c r="F909">
        <v>1119</v>
      </c>
      <c r="G909">
        <v>111</v>
      </c>
      <c r="H909">
        <v>204</v>
      </c>
      <c r="I909">
        <v>1</v>
      </c>
      <c r="J909" t="s">
        <v>13</v>
      </c>
      <c r="K909">
        <v>0.96</v>
      </c>
      <c r="L909">
        <v>16.5</v>
      </c>
      <c r="M909" t="s">
        <v>20</v>
      </c>
      <c r="N909">
        <f t="shared" si="42"/>
        <v>2</v>
      </c>
      <c r="O909">
        <v>2016</v>
      </c>
      <c r="P909">
        <f t="shared" si="43"/>
        <v>7.020190708311925</v>
      </c>
      <c r="Q909">
        <f t="shared" si="44"/>
        <v>5.2983673652980787</v>
      </c>
    </row>
    <row r="910" spans="1:17" x14ac:dyDescent="0.3">
      <c r="A910">
        <v>909</v>
      </c>
      <c r="B910">
        <v>1236746</v>
      </c>
      <c r="C910" t="s">
        <v>1823</v>
      </c>
      <c r="D910" t="s">
        <v>1824</v>
      </c>
      <c r="E910">
        <v>200</v>
      </c>
      <c r="F910">
        <v>1117</v>
      </c>
      <c r="G910">
        <v>10</v>
      </c>
      <c r="H910">
        <v>37</v>
      </c>
      <c r="I910">
        <v>1</v>
      </c>
      <c r="J910" t="s">
        <v>13</v>
      </c>
      <c r="K910">
        <v>0.96</v>
      </c>
      <c r="L910">
        <v>2.5</v>
      </c>
      <c r="M910" t="s">
        <v>20</v>
      </c>
      <c r="N910">
        <f t="shared" si="42"/>
        <v>2</v>
      </c>
      <c r="O910">
        <v>2017</v>
      </c>
      <c r="P910">
        <f t="shared" si="43"/>
        <v>7.0184017990692009</v>
      </c>
      <c r="Q910">
        <f t="shared" si="44"/>
        <v>5.2983673652980787</v>
      </c>
    </row>
    <row r="911" spans="1:17" hidden="1" x14ac:dyDescent="0.3">
      <c r="A911">
        <v>910</v>
      </c>
      <c r="B911">
        <v>65355</v>
      </c>
      <c r="C911" t="s">
        <v>1825</v>
      </c>
      <c r="D911" t="s">
        <v>1826</v>
      </c>
      <c r="E911">
        <v>50</v>
      </c>
      <c r="F911">
        <v>1116</v>
      </c>
      <c r="G911">
        <v>62</v>
      </c>
      <c r="H911">
        <v>51</v>
      </c>
      <c r="I911">
        <v>2</v>
      </c>
      <c r="J911" t="s">
        <v>32</v>
      </c>
      <c r="K911">
        <v>0.96</v>
      </c>
      <c r="L911">
        <v>7.5</v>
      </c>
      <c r="M911" t="s">
        <v>20</v>
      </c>
      <c r="N911">
        <f t="shared" si="42"/>
        <v>2</v>
      </c>
      <c r="O911">
        <v>2013</v>
      </c>
      <c r="P911">
        <f t="shared" si="43"/>
        <v>7.0175061429412562</v>
      </c>
      <c r="Q911">
        <f t="shared" si="44"/>
        <v>3.9122229854308124</v>
      </c>
    </row>
    <row r="912" spans="1:17" hidden="1" x14ac:dyDescent="0.3">
      <c r="A912">
        <v>911</v>
      </c>
      <c r="B912">
        <v>1148412</v>
      </c>
      <c r="C912" t="s">
        <v>1827</v>
      </c>
      <c r="D912" t="s">
        <v>1828</v>
      </c>
      <c r="E912">
        <v>50</v>
      </c>
      <c r="F912">
        <v>1114</v>
      </c>
      <c r="G912">
        <v>8</v>
      </c>
      <c r="H912">
        <v>23</v>
      </c>
      <c r="I912">
        <v>4</v>
      </c>
      <c r="J912" t="s">
        <v>23</v>
      </c>
      <c r="K912">
        <v>0.96</v>
      </c>
      <c r="L912">
        <v>3</v>
      </c>
      <c r="M912" t="s">
        <v>20</v>
      </c>
      <c r="N912">
        <f t="shared" si="42"/>
        <v>2</v>
      </c>
      <c r="O912">
        <v>2017</v>
      </c>
      <c r="P912">
        <f t="shared" si="43"/>
        <v>7.0157124204872297</v>
      </c>
      <c r="Q912">
        <f t="shared" si="44"/>
        <v>3.9122229854308124</v>
      </c>
    </row>
    <row r="913" spans="1:17" hidden="1" x14ac:dyDescent="0.3">
      <c r="A913">
        <v>912</v>
      </c>
      <c r="B913">
        <v>774910</v>
      </c>
      <c r="C913" t="s">
        <v>1829</v>
      </c>
      <c r="D913" t="s">
        <v>1830</v>
      </c>
      <c r="E913">
        <v>200</v>
      </c>
      <c r="F913">
        <v>1109</v>
      </c>
      <c r="G913">
        <v>13</v>
      </c>
      <c r="H913">
        <v>24</v>
      </c>
      <c r="I913">
        <v>4</v>
      </c>
      <c r="J913" t="s">
        <v>23</v>
      </c>
      <c r="K913">
        <v>0.96</v>
      </c>
      <c r="L913">
        <v>2.5</v>
      </c>
      <c r="M913" t="s">
        <v>20</v>
      </c>
      <c r="N913">
        <f t="shared" si="42"/>
        <v>2</v>
      </c>
      <c r="O913">
        <v>2016</v>
      </c>
      <c r="P913">
        <f t="shared" si="43"/>
        <v>7.0112139873503674</v>
      </c>
      <c r="Q913">
        <f t="shared" si="44"/>
        <v>5.2983673652980787</v>
      </c>
    </row>
    <row r="914" spans="1:17" hidden="1" x14ac:dyDescent="0.3">
      <c r="A914">
        <v>913</v>
      </c>
      <c r="B914">
        <v>707682</v>
      </c>
      <c r="C914" t="s">
        <v>1831</v>
      </c>
      <c r="D914" t="s">
        <v>1832</v>
      </c>
      <c r="E914">
        <v>195</v>
      </c>
      <c r="F914">
        <v>1102</v>
      </c>
      <c r="G914">
        <v>12</v>
      </c>
      <c r="H914">
        <v>21</v>
      </c>
      <c r="I914">
        <v>4</v>
      </c>
      <c r="J914" t="s">
        <v>23</v>
      </c>
      <c r="K914">
        <v>0.96</v>
      </c>
      <c r="L914">
        <v>2</v>
      </c>
      <c r="M914" t="s">
        <v>20</v>
      </c>
      <c r="N914">
        <f t="shared" si="42"/>
        <v>2</v>
      </c>
      <c r="O914">
        <v>2016</v>
      </c>
      <c r="P914">
        <f t="shared" si="43"/>
        <v>7.0048819897128594</v>
      </c>
      <c r="Q914">
        <f t="shared" si="44"/>
        <v>5.273050839300149</v>
      </c>
    </row>
    <row r="915" spans="1:17" x14ac:dyDescent="0.3">
      <c r="A915">
        <v>914</v>
      </c>
      <c r="B915">
        <v>633606</v>
      </c>
      <c r="C915" t="s">
        <v>1833</v>
      </c>
      <c r="D915" t="s">
        <v>1834</v>
      </c>
      <c r="E915">
        <v>20</v>
      </c>
      <c r="F915">
        <v>1098</v>
      </c>
      <c r="G915">
        <v>15</v>
      </c>
      <c r="H915">
        <v>54</v>
      </c>
      <c r="I915">
        <v>1</v>
      </c>
      <c r="J915" t="s">
        <v>13</v>
      </c>
      <c r="K915">
        <v>0.96</v>
      </c>
      <c r="L915">
        <v>2.5</v>
      </c>
      <c r="M915" t="s">
        <v>20</v>
      </c>
      <c r="N915">
        <f t="shared" si="42"/>
        <v>2</v>
      </c>
      <c r="O915">
        <v>2015</v>
      </c>
      <c r="P915">
        <f t="shared" si="43"/>
        <v>7.0012456220694759</v>
      </c>
      <c r="Q915">
        <f t="shared" si="44"/>
        <v>2.996232148595642</v>
      </c>
    </row>
    <row r="916" spans="1:17" x14ac:dyDescent="0.3">
      <c r="A916">
        <v>915</v>
      </c>
      <c r="B916">
        <v>58653</v>
      </c>
      <c r="C916" t="s">
        <v>1835</v>
      </c>
      <c r="D916" t="s">
        <v>1836</v>
      </c>
      <c r="E916">
        <v>50</v>
      </c>
      <c r="F916">
        <v>1096</v>
      </c>
      <c r="G916">
        <v>33</v>
      </c>
      <c r="H916">
        <v>10</v>
      </c>
      <c r="I916">
        <v>1</v>
      </c>
      <c r="J916" t="s">
        <v>13</v>
      </c>
      <c r="K916">
        <v>0.96</v>
      </c>
      <c r="L916">
        <v>1</v>
      </c>
      <c r="M916" t="s">
        <v>20</v>
      </c>
      <c r="N916">
        <f t="shared" si="42"/>
        <v>2</v>
      </c>
      <c r="O916">
        <v>2013</v>
      </c>
      <c r="P916">
        <f t="shared" si="43"/>
        <v>6.9994224675079613</v>
      </c>
      <c r="Q916">
        <f t="shared" si="44"/>
        <v>3.9122229854308124</v>
      </c>
    </row>
    <row r="917" spans="1:17" hidden="1" x14ac:dyDescent="0.3">
      <c r="A917">
        <v>916</v>
      </c>
      <c r="B917">
        <v>1101204</v>
      </c>
      <c r="C917" t="s">
        <v>1837</v>
      </c>
      <c r="D917" t="s">
        <v>1838</v>
      </c>
      <c r="E917">
        <v>85</v>
      </c>
      <c r="F917">
        <v>1096</v>
      </c>
      <c r="G917">
        <v>8</v>
      </c>
      <c r="H917">
        <v>7</v>
      </c>
      <c r="I917">
        <v>4</v>
      </c>
      <c r="J917" t="s">
        <v>23</v>
      </c>
      <c r="K917">
        <v>0.96</v>
      </c>
      <c r="L917">
        <v>0.63333333000000003</v>
      </c>
      <c r="M917" t="s">
        <v>20</v>
      </c>
      <c r="N917">
        <f t="shared" si="42"/>
        <v>2</v>
      </c>
      <c r="O917">
        <v>2017</v>
      </c>
      <c r="P917">
        <f t="shared" si="43"/>
        <v>6.9994224675079613</v>
      </c>
      <c r="Q917">
        <f t="shared" si="44"/>
        <v>4.4427688966292678</v>
      </c>
    </row>
    <row r="918" spans="1:17" hidden="1" x14ac:dyDescent="0.3">
      <c r="A918">
        <v>917</v>
      </c>
      <c r="B918">
        <v>987064</v>
      </c>
      <c r="C918" t="s">
        <v>1839</v>
      </c>
      <c r="D918" t="s">
        <v>1840</v>
      </c>
      <c r="E918">
        <v>95</v>
      </c>
      <c r="F918">
        <v>1087</v>
      </c>
      <c r="G918">
        <v>220</v>
      </c>
      <c r="H918">
        <v>32</v>
      </c>
      <c r="I918">
        <v>4</v>
      </c>
      <c r="J918" t="s">
        <v>23</v>
      </c>
      <c r="K918">
        <v>0.96</v>
      </c>
      <c r="L918">
        <v>3.5</v>
      </c>
      <c r="M918" t="s">
        <v>20</v>
      </c>
      <c r="N918">
        <f t="shared" si="42"/>
        <v>2</v>
      </c>
      <c r="O918">
        <v>2016</v>
      </c>
      <c r="P918">
        <f t="shared" si="43"/>
        <v>6.9911768871212097</v>
      </c>
      <c r="Q918">
        <f t="shared" si="44"/>
        <v>4.5539821492186583</v>
      </c>
    </row>
    <row r="919" spans="1:17" hidden="1" x14ac:dyDescent="0.3">
      <c r="A919">
        <v>918</v>
      </c>
      <c r="B919">
        <v>579182</v>
      </c>
      <c r="C919" t="s">
        <v>1841</v>
      </c>
      <c r="D919" t="s">
        <v>1842</v>
      </c>
      <c r="E919">
        <v>25</v>
      </c>
      <c r="F919">
        <v>1087</v>
      </c>
      <c r="G919">
        <v>7</v>
      </c>
      <c r="H919">
        <v>24</v>
      </c>
      <c r="I919">
        <v>4</v>
      </c>
      <c r="J919" t="s">
        <v>23</v>
      </c>
      <c r="K919">
        <v>0.18</v>
      </c>
      <c r="L919">
        <v>1</v>
      </c>
      <c r="M919" t="s">
        <v>20</v>
      </c>
      <c r="N919">
        <f t="shared" si="42"/>
        <v>2</v>
      </c>
      <c r="O919">
        <v>2015</v>
      </c>
      <c r="P919">
        <f t="shared" si="43"/>
        <v>6.9911768871212097</v>
      </c>
      <c r="Q919">
        <f t="shared" si="44"/>
        <v>3.2192757448895279</v>
      </c>
    </row>
    <row r="920" spans="1:17" hidden="1" x14ac:dyDescent="0.3">
      <c r="A920">
        <v>919</v>
      </c>
      <c r="B920">
        <v>943386</v>
      </c>
      <c r="C920" t="s">
        <v>1843</v>
      </c>
      <c r="D920" t="s">
        <v>1844</v>
      </c>
      <c r="E920">
        <v>30</v>
      </c>
      <c r="F920">
        <v>1085</v>
      </c>
      <c r="G920">
        <v>8</v>
      </c>
      <c r="H920">
        <v>13</v>
      </c>
      <c r="I920">
        <v>4</v>
      </c>
      <c r="J920" t="s">
        <v>23</v>
      </c>
      <c r="K920">
        <v>0</v>
      </c>
      <c r="L920">
        <v>0.53333333000000005</v>
      </c>
      <c r="M920" t="s">
        <v>20</v>
      </c>
      <c r="N920">
        <f t="shared" si="42"/>
        <v>2</v>
      </c>
      <c r="O920">
        <v>2016</v>
      </c>
      <c r="P920">
        <f t="shared" si="43"/>
        <v>6.9893352659745602</v>
      </c>
      <c r="Q920">
        <f t="shared" si="44"/>
        <v>3.4015306594522756</v>
      </c>
    </row>
    <row r="921" spans="1:17" x14ac:dyDescent="0.3">
      <c r="A921">
        <v>920</v>
      </c>
      <c r="B921">
        <v>1023668</v>
      </c>
      <c r="C921" t="s">
        <v>1845</v>
      </c>
      <c r="D921" t="s">
        <v>1846</v>
      </c>
      <c r="E921">
        <v>200</v>
      </c>
      <c r="F921">
        <v>1080</v>
      </c>
      <c r="G921">
        <v>37</v>
      </c>
      <c r="H921">
        <v>76</v>
      </c>
      <c r="I921">
        <v>1</v>
      </c>
      <c r="J921" t="s">
        <v>13</v>
      </c>
      <c r="K921">
        <v>0.89</v>
      </c>
      <c r="L921">
        <v>3.5</v>
      </c>
      <c r="M921" t="s">
        <v>20</v>
      </c>
      <c r="N921">
        <f t="shared" si="42"/>
        <v>2</v>
      </c>
      <c r="O921">
        <v>2016</v>
      </c>
      <c r="P921">
        <f t="shared" si="43"/>
        <v>6.9847163201182658</v>
      </c>
      <c r="Q921">
        <f t="shared" si="44"/>
        <v>5.2983673652980787</v>
      </c>
    </row>
    <row r="922" spans="1:17" x14ac:dyDescent="0.3">
      <c r="A922">
        <v>921</v>
      </c>
      <c r="B922">
        <v>851868</v>
      </c>
      <c r="C922" t="s">
        <v>1847</v>
      </c>
      <c r="D922" t="s">
        <v>1848</v>
      </c>
      <c r="E922">
        <v>200</v>
      </c>
      <c r="F922">
        <v>1069</v>
      </c>
      <c r="G922">
        <v>12</v>
      </c>
      <c r="H922">
        <v>61</v>
      </c>
      <c r="I922">
        <v>1</v>
      </c>
      <c r="J922" t="s">
        <v>13</v>
      </c>
      <c r="K922">
        <v>0.81</v>
      </c>
      <c r="L922">
        <v>4.5</v>
      </c>
      <c r="M922" t="s">
        <v>20</v>
      </c>
      <c r="N922">
        <f t="shared" si="42"/>
        <v>2</v>
      </c>
      <c r="O922">
        <v>2016</v>
      </c>
      <c r="P922">
        <f t="shared" si="43"/>
        <v>6.9744789110250451</v>
      </c>
      <c r="Q922">
        <f t="shared" si="44"/>
        <v>5.2983673652980787</v>
      </c>
    </row>
    <row r="923" spans="1:17" hidden="1" x14ac:dyDescent="0.3">
      <c r="A923">
        <v>922</v>
      </c>
      <c r="B923">
        <v>551702</v>
      </c>
      <c r="C923" t="s">
        <v>1849</v>
      </c>
      <c r="D923" t="s">
        <v>1850</v>
      </c>
      <c r="E923">
        <v>20</v>
      </c>
      <c r="F923">
        <v>1063</v>
      </c>
      <c r="G923">
        <v>72</v>
      </c>
      <c r="H923">
        <v>84</v>
      </c>
      <c r="I923">
        <v>4</v>
      </c>
      <c r="J923" t="s">
        <v>23</v>
      </c>
      <c r="K923">
        <v>0.72</v>
      </c>
      <c r="L923">
        <v>5.5</v>
      </c>
      <c r="M923" t="s">
        <v>20</v>
      </c>
      <c r="N923">
        <f t="shared" si="42"/>
        <v>2</v>
      </c>
      <c r="O923">
        <v>2015</v>
      </c>
      <c r="P923">
        <f t="shared" si="43"/>
        <v>6.9688503783419478</v>
      </c>
      <c r="Q923">
        <f t="shared" si="44"/>
        <v>2.996232148595642</v>
      </c>
    </row>
    <row r="924" spans="1:17" x14ac:dyDescent="0.3">
      <c r="A924">
        <v>923</v>
      </c>
      <c r="B924">
        <v>368679</v>
      </c>
      <c r="C924" t="s">
        <v>1851</v>
      </c>
      <c r="D924" t="s">
        <v>1852</v>
      </c>
      <c r="E924">
        <v>85</v>
      </c>
      <c r="F924">
        <v>1063</v>
      </c>
      <c r="G924">
        <v>101</v>
      </c>
      <c r="H924">
        <v>40</v>
      </c>
      <c r="I924">
        <v>1</v>
      </c>
      <c r="J924" t="s">
        <v>13</v>
      </c>
      <c r="K924">
        <v>0.39</v>
      </c>
      <c r="L924">
        <v>3.5</v>
      </c>
      <c r="M924" t="s">
        <v>20</v>
      </c>
      <c r="N924">
        <f t="shared" si="42"/>
        <v>2</v>
      </c>
      <c r="O924">
        <v>2014</v>
      </c>
      <c r="P924">
        <f t="shared" si="43"/>
        <v>6.9688503783419478</v>
      </c>
      <c r="Q924">
        <f t="shared" si="44"/>
        <v>4.4427688966292678</v>
      </c>
    </row>
    <row r="925" spans="1:17" x14ac:dyDescent="0.3">
      <c r="A925">
        <v>924</v>
      </c>
      <c r="B925">
        <v>527834</v>
      </c>
      <c r="C925" t="s">
        <v>1853</v>
      </c>
      <c r="D925" t="s">
        <v>1854</v>
      </c>
      <c r="E925">
        <v>20</v>
      </c>
      <c r="F925">
        <v>1062</v>
      </c>
      <c r="G925">
        <v>20</v>
      </c>
      <c r="H925">
        <v>32</v>
      </c>
      <c r="I925">
        <v>1</v>
      </c>
      <c r="J925" t="s">
        <v>13</v>
      </c>
      <c r="K925">
        <v>0.94</v>
      </c>
      <c r="L925">
        <v>3.5</v>
      </c>
      <c r="M925" t="s">
        <v>20</v>
      </c>
      <c r="N925">
        <f t="shared" si="42"/>
        <v>2</v>
      </c>
      <c r="O925">
        <v>2015</v>
      </c>
      <c r="P925">
        <f t="shared" si="43"/>
        <v>6.9679092018018842</v>
      </c>
      <c r="Q925">
        <f t="shared" si="44"/>
        <v>2.996232148595642</v>
      </c>
    </row>
    <row r="926" spans="1:17" hidden="1" x14ac:dyDescent="0.3">
      <c r="A926">
        <v>925</v>
      </c>
      <c r="B926">
        <v>967410</v>
      </c>
      <c r="C926" t="s">
        <v>1855</v>
      </c>
      <c r="D926" t="s">
        <v>1856</v>
      </c>
      <c r="E926">
        <v>40</v>
      </c>
      <c r="F926">
        <v>1062</v>
      </c>
      <c r="G926">
        <v>12</v>
      </c>
      <c r="H926">
        <v>11</v>
      </c>
      <c r="I926">
        <v>2</v>
      </c>
      <c r="J926" t="s">
        <v>32</v>
      </c>
      <c r="K926">
        <v>0.66</v>
      </c>
      <c r="L926">
        <v>0.65</v>
      </c>
      <c r="M926" t="s">
        <v>20</v>
      </c>
      <c r="N926">
        <f t="shared" si="42"/>
        <v>2</v>
      </c>
      <c r="O926">
        <v>2016</v>
      </c>
      <c r="P926">
        <f t="shared" si="43"/>
        <v>6.9679092018018842</v>
      </c>
      <c r="Q926">
        <f t="shared" si="44"/>
        <v>3.6891294228691436</v>
      </c>
    </row>
    <row r="927" spans="1:17" hidden="1" x14ac:dyDescent="0.3">
      <c r="A927">
        <v>926</v>
      </c>
      <c r="B927">
        <v>416738</v>
      </c>
      <c r="C927" t="s">
        <v>1857</v>
      </c>
      <c r="D927" t="s">
        <v>1858</v>
      </c>
      <c r="E927">
        <v>35</v>
      </c>
      <c r="F927">
        <v>1061</v>
      </c>
      <c r="G927">
        <v>8</v>
      </c>
      <c r="H927">
        <v>17</v>
      </c>
      <c r="I927">
        <v>2</v>
      </c>
      <c r="J927" t="s">
        <v>32</v>
      </c>
      <c r="K927">
        <v>0.34</v>
      </c>
      <c r="L927">
        <v>1</v>
      </c>
      <c r="M927" t="s">
        <v>20</v>
      </c>
      <c r="N927">
        <f t="shared" si="42"/>
        <v>2</v>
      </c>
      <c r="O927">
        <v>2015</v>
      </c>
      <c r="P927">
        <f t="shared" si="43"/>
        <v>6.9669671386139829</v>
      </c>
      <c r="Q927">
        <f t="shared" si="44"/>
        <v>3.5556337349665741</v>
      </c>
    </row>
    <row r="928" spans="1:17" x14ac:dyDescent="0.3">
      <c r="A928">
        <v>927</v>
      </c>
      <c r="B928">
        <v>944156</v>
      </c>
      <c r="C928" t="s">
        <v>1859</v>
      </c>
      <c r="D928" t="s">
        <v>1860</v>
      </c>
      <c r="E928">
        <v>30</v>
      </c>
      <c r="F928">
        <v>1057</v>
      </c>
      <c r="G928">
        <v>22</v>
      </c>
      <c r="H928">
        <v>12</v>
      </c>
      <c r="I928">
        <v>1</v>
      </c>
      <c r="J928" t="s">
        <v>13</v>
      </c>
      <c r="K928">
        <v>0.66</v>
      </c>
      <c r="L928">
        <v>0.61666666999999997</v>
      </c>
      <c r="M928" t="s">
        <v>20</v>
      </c>
      <c r="N928">
        <f t="shared" si="42"/>
        <v>2</v>
      </c>
      <c r="O928">
        <v>2016</v>
      </c>
      <c r="P928">
        <f t="shared" si="43"/>
        <v>6.9631899858702377</v>
      </c>
      <c r="Q928">
        <f t="shared" si="44"/>
        <v>3.4015306594522756</v>
      </c>
    </row>
    <row r="929" spans="1:17" hidden="1" x14ac:dyDescent="0.3">
      <c r="A929">
        <v>928</v>
      </c>
      <c r="B929">
        <v>235990</v>
      </c>
      <c r="C929" t="s">
        <v>1861</v>
      </c>
      <c r="D929" t="s">
        <v>1862</v>
      </c>
      <c r="E929">
        <v>35</v>
      </c>
      <c r="F929">
        <v>1054</v>
      </c>
      <c r="G929">
        <v>4</v>
      </c>
      <c r="H929">
        <v>26</v>
      </c>
      <c r="I929">
        <v>4</v>
      </c>
      <c r="J929" t="s">
        <v>23</v>
      </c>
      <c r="K929">
        <v>0.77</v>
      </c>
      <c r="L929">
        <v>2</v>
      </c>
      <c r="M929" t="s">
        <v>20</v>
      </c>
      <c r="N929">
        <f t="shared" si="42"/>
        <v>2</v>
      </c>
      <c r="O929">
        <v>2014</v>
      </c>
      <c r="P929">
        <f t="shared" si="43"/>
        <v>6.9603477291013078</v>
      </c>
      <c r="Q929">
        <f t="shared" si="44"/>
        <v>3.5556337349665741</v>
      </c>
    </row>
    <row r="930" spans="1:17" hidden="1" x14ac:dyDescent="0.3">
      <c r="A930">
        <v>929</v>
      </c>
      <c r="B930">
        <v>1211800</v>
      </c>
      <c r="C930" t="s">
        <v>1863</v>
      </c>
      <c r="D930" t="s">
        <v>1864</v>
      </c>
      <c r="E930">
        <v>20</v>
      </c>
      <c r="F930">
        <v>1052</v>
      </c>
      <c r="G930">
        <v>14</v>
      </c>
      <c r="H930">
        <v>47</v>
      </c>
      <c r="I930">
        <v>4</v>
      </c>
      <c r="J930" t="s">
        <v>23</v>
      </c>
      <c r="K930">
        <v>0.74</v>
      </c>
      <c r="L930">
        <v>8</v>
      </c>
      <c r="M930" t="s">
        <v>20</v>
      </c>
      <c r="N930">
        <f t="shared" si="42"/>
        <v>2</v>
      </c>
      <c r="O930">
        <v>2017</v>
      </c>
      <c r="P930">
        <f t="shared" si="43"/>
        <v>6.9584483932976555</v>
      </c>
      <c r="Q930">
        <f t="shared" si="44"/>
        <v>2.996232148595642</v>
      </c>
    </row>
    <row r="931" spans="1:17" x14ac:dyDescent="0.3">
      <c r="A931">
        <v>930</v>
      </c>
      <c r="B931">
        <v>911474</v>
      </c>
      <c r="C931" t="s">
        <v>1865</v>
      </c>
      <c r="D931" t="s">
        <v>1866</v>
      </c>
      <c r="E931">
        <v>150</v>
      </c>
      <c r="F931">
        <v>1050</v>
      </c>
      <c r="G931">
        <v>223</v>
      </c>
      <c r="H931">
        <v>64</v>
      </c>
      <c r="I931">
        <v>1</v>
      </c>
      <c r="J931" t="s">
        <v>13</v>
      </c>
      <c r="K931">
        <v>0.16</v>
      </c>
      <c r="L931">
        <v>6.5</v>
      </c>
      <c r="M931" t="s">
        <v>20</v>
      </c>
      <c r="N931">
        <f t="shared" si="42"/>
        <v>2</v>
      </c>
      <c r="O931">
        <v>2016</v>
      </c>
      <c r="P931">
        <f t="shared" si="43"/>
        <v>6.956545443151569</v>
      </c>
      <c r="Q931">
        <f t="shared" si="44"/>
        <v>5.0107019585407988</v>
      </c>
    </row>
    <row r="932" spans="1:17" x14ac:dyDescent="0.3">
      <c r="A932">
        <v>931</v>
      </c>
      <c r="B932">
        <v>742712</v>
      </c>
      <c r="C932" t="s">
        <v>1867</v>
      </c>
      <c r="D932" t="s">
        <v>1868</v>
      </c>
      <c r="E932">
        <v>35</v>
      </c>
      <c r="F932">
        <v>1049</v>
      </c>
      <c r="G932">
        <v>22</v>
      </c>
      <c r="H932">
        <v>47</v>
      </c>
      <c r="I932">
        <v>1</v>
      </c>
      <c r="J932" t="s">
        <v>13</v>
      </c>
      <c r="K932">
        <v>0.63</v>
      </c>
      <c r="L932">
        <v>3.5</v>
      </c>
      <c r="M932" t="s">
        <v>20</v>
      </c>
      <c r="N932">
        <f t="shared" si="42"/>
        <v>2</v>
      </c>
      <c r="O932">
        <v>2016</v>
      </c>
      <c r="P932">
        <f t="shared" si="43"/>
        <v>6.9555926083962971</v>
      </c>
      <c r="Q932">
        <f t="shared" si="44"/>
        <v>3.5556337349665741</v>
      </c>
    </row>
    <row r="933" spans="1:17" x14ac:dyDescent="0.3">
      <c r="A933">
        <v>932</v>
      </c>
      <c r="B933">
        <v>1223012</v>
      </c>
      <c r="C933" t="s">
        <v>1869</v>
      </c>
      <c r="D933" t="s">
        <v>1870</v>
      </c>
      <c r="E933">
        <v>195</v>
      </c>
      <c r="F933">
        <v>1040</v>
      </c>
      <c r="G933">
        <v>5</v>
      </c>
      <c r="H933">
        <v>30</v>
      </c>
      <c r="I933">
        <v>1</v>
      </c>
      <c r="J933" t="s">
        <v>13</v>
      </c>
      <c r="K933">
        <v>0.2</v>
      </c>
      <c r="L933">
        <v>3.5</v>
      </c>
      <c r="M933" t="s">
        <v>20</v>
      </c>
      <c r="N933">
        <f t="shared" si="42"/>
        <v>2</v>
      </c>
      <c r="O933">
        <v>2017</v>
      </c>
      <c r="P933">
        <f t="shared" si="43"/>
        <v>6.9469759921354184</v>
      </c>
      <c r="Q933">
        <f t="shared" si="44"/>
        <v>5.273050839300149</v>
      </c>
    </row>
    <row r="934" spans="1:17" x14ac:dyDescent="0.3">
      <c r="A934">
        <v>933</v>
      </c>
      <c r="B934">
        <v>775618</v>
      </c>
      <c r="C934" t="s">
        <v>1871</v>
      </c>
      <c r="D934" t="s">
        <v>1872</v>
      </c>
      <c r="E934">
        <v>100</v>
      </c>
      <c r="F934">
        <v>1040</v>
      </c>
      <c r="G934">
        <v>14</v>
      </c>
      <c r="H934">
        <v>21</v>
      </c>
      <c r="I934">
        <v>1</v>
      </c>
      <c r="J934" t="s">
        <v>13</v>
      </c>
      <c r="K934">
        <v>0.21</v>
      </c>
      <c r="L934">
        <v>2</v>
      </c>
      <c r="M934" t="s">
        <v>20</v>
      </c>
      <c r="N934">
        <f t="shared" si="42"/>
        <v>2</v>
      </c>
      <c r="O934">
        <v>2016</v>
      </c>
      <c r="P934">
        <f t="shared" si="43"/>
        <v>6.9469759921354184</v>
      </c>
      <c r="Q934">
        <f t="shared" si="44"/>
        <v>4.6052701809884251</v>
      </c>
    </row>
    <row r="935" spans="1:17" x14ac:dyDescent="0.3">
      <c r="A935">
        <v>934</v>
      </c>
      <c r="B935">
        <v>768612</v>
      </c>
      <c r="C935" t="s">
        <v>1873</v>
      </c>
      <c r="D935" t="s">
        <v>1874</v>
      </c>
      <c r="E935">
        <v>20</v>
      </c>
      <c r="F935">
        <v>1036</v>
      </c>
      <c r="G935">
        <v>27</v>
      </c>
      <c r="H935">
        <v>20</v>
      </c>
      <c r="I935">
        <v>1</v>
      </c>
      <c r="J935" t="s">
        <v>13</v>
      </c>
      <c r="K935">
        <v>0.12</v>
      </c>
      <c r="L935">
        <v>2</v>
      </c>
      <c r="M935" t="s">
        <v>20</v>
      </c>
      <c r="N935">
        <f t="shared" si="42"/>
        <v>2</v>
      </c>
      <c r="O935">
        <v>2016</v>
      </c>
      <c r="P935">
        <f t="shared" si="43"/>
        <v>6.9431224228194282</v>
      </c>
      <c r="Q935">
        <f t="shared" si="44"/>
        <v>2.996232148595642</v>
      </c>
    </row>
    <row r="936" spans="1:17" hidden="1" x14ac:dyDescent="0.3">
      <c r="A936">
        <v>935</v>
      </c>
      <c r="B936">
        <v>948204</v>
      </c>
      <c r="C936" t="s">
        <v>1875</v>
      </c>
      <c r="D936" t="s">
        <v>1876</v>
      </c>
      <c r="E936">
        <v>30</v>
      </c>
      <c r="F936">
        <v>1033</v>
      </c>
      <c r="G936">
        <v>16</v>
      </c>
      <c r="H936">
        <v>42</v>
      </c>
      <c r="I936">
        <v>4</v>
      </c>
      <c r="J936" t="s">
        <v>23</v>
      </c>
      <c r="K936">
        <v>0.2</v>
      </c>
      <c r="L936">
        <v>7.5</v>
      </c>
      <c r="M936" t="s">
        <v>20</v>
      </c>
      <c r="N936">
        <f t="shared" si="42"/>
        <v>2</v>
      </c>
      <c r="O936">
        <v>2016</v>
      </c>
      <c r="P936">
        <f t="shared" si="43"/>
        <v>6.9402224691196386</v>
      </c>
      <c r="Q936">
        <f t="shared" si="44"/>
        <v>3.4015306594522756</v>
      </c>
    </row>
    <row r="937" spans="1:17" x14ac:dyDescent="0.3">
      <c r="A937">
        <v>936</v>
      </c>
      <c r="B937">
        <v>824412</v>
      </c>
      <c r="C937" t="s">
        <v>1877</v>
      </c>
      <c r="D937" t="s">
        <v>1878</v>
      </c>
      <c r="E937">
        <v>100</v>
      </c>
      <c r="F937">
        <v>1032</v>
      </c>
      <c r="G937">
        <v>9</v>
      </c>
      <c r="H937">
        <v>21</v>
      </c>
      <c r="I937">
        <v>1</v>
      </c>
      <c r="J937" t="s">
        <v>13</v>
      </c>
      <c r="K937">
        <v>0.24</v>
      </c>
      <c r="L937">
        <v>1</v>
      </c>
      <c r="M937" t="s">
        <v>20</v>
      </c>
      <c r="N937">
        <f t="shared" si="42"/>
        <v>2</v>
      </c>
      <c r="O937">
        <v>2016</v>
      </c>
      <c r="P937">
        <f t="shared" si="43"/>
        <v>6.9392539460415081</v>
      </c>
      <c r="Q937">
        <f t="shared" si="44"/>
        <v>4.6052701809884251</v>
      </c>
    </row>
    <row r="938" spans="1:17" x14ac:dyDescent="0.3">
      <c r="A938">
        <v>937</v>
      </c>
      <c r="B938">
        <v>1112844</v>
      </c>
      <c r="C938" t="s">
        <v>75</v>
      </c>
      <c r="D938" t="s">
        <v>1879</v>
      </c>
      <c r="E938">
        <v>20</v>
      </c>
      <c r="F938">
        <v>1030</v>
      </c>
      <c r="G938">
        <v>11</v>
      </c>
      <c r="H938">
        <v>30</v>
      </c>
      <c r="I938">
        <v>1</v>
      </c>
      <c r="J938" t="s">
        <v>13</v>
      </c>
      <c r="K938">
        <v>0.11</v>
      </c>
      <c r="L938">
        <v>2.5</v>
      </c>
      <c r="M938" t="s">
        <v>20</v>
      </c>
      <c r="N938">
        <f t="shared" si="42"/>
        <v>2</v>
      </c>
      <c r="O938">
        <v>2017</v>
      </c>
      <c r="P938">
        <f t="shared" si="43"/>
        <v>6.9373140812236818</v>
      </c>
      <c r="Q938">
        <f t="shared" si="44"/>
        <v>2.996232148595642</v>
      </c>
    </row>
    <row r="939" spans="1:17" hidden="1" x14ac:dyDescent="0.3">
      <c r="A939">
        <v>938</v>
      </c>
      <c r="B939">
        <v>533416</v>
      </c>
      <c r="C939" t="s">
        <v>1880</v>
      </c>
      <c r="D939" t="s">
        <v>1881</v>
      </c>
      <c r="E939">
        <v>20</v>
      </c>
      <c r="F939">
        <v>1024</v>
      </c>
      <c r="G939">
        <v>14</v>
      </c>
      <c r="H939">
        <v>26</v>
      </c>
      <c r="I939">
        <v>4</v>
      </c>
      <c r="J939" t="s">
        <v>23</v>
      </c>
      <c r="K939">
        <v>0.85</v>
      </c>
      <c r="L939">
        <v>3</v>
      </c>
      <c r="M939" t="s">
        <v>20</v>
      </c>
      <c r="N939">
        <f t="shared" si="42"/>
        <v>2</v>
      </c>
      <c r="O939">
        <v>2016</v>
      </c>
      <c r="P939">
        <f t="shared" si="43"/>
        <v>6.9314718055994531</v>
      </c>
      <c r="Q939">
        <f t="shared" si="44"/>
        <v>2.996232148595642</v>
      </c>
    </row>
    <row r="940" spans="1:17" hidden="1" x14ac:dyDescent="0.3">
      <c r="A940">
        <v>939</v>
      </c>
      <c r="B940">
        <v>976284</v>
      </c>
      <c r="C940" t="s">
        <v>1882</v>
      </c>
      <c r="D940" t="s">
        <v>1883</v>
      </c>
      <c r="E940">
        <v>100</v>
      </c>
      <c r="F940">
        <v>1023</v>
      </c>
      <c r="G940">
        <v>118</v>
      </c>
      <c r="H940">
        <v>38</v>
      </c>
      <c r="I940">
        <v>2</v>
      </c>
      <c r="J940" t="s">
        <v>32</v>
      </c>
      <c r="K940">
        <v>0.3</v>
      </c>
      <c r="L940">
        <v>6</v>
      </c>
      <c r="M940" t="s">
        <v>20</v>
      </c>
      <c r="N940">
        <f t="shared" si="42"/>
        <v>2</v>
      </c>
      <c r="O940">
        <v>2016</v>
      </c>
      <c r="P940">
        <f t="shared" si="43"/>
        <v>6.9304947659516261</v>
      </c>
      <c r="Q940">
        <f t="shared" si="44"/>
        <v>4.6052701809884251</v>
      </c>
    </row>
    <row r="941" spans="1:17" hidden="1" x14ac:dyDescent="0.3">
      <c r="A941">
        <v>940</v>
      </c>
      <c r="B941">
        <v>795278</v>
      </c>
      <c r="C941" t="s">
        <v>1884</v>
      </c>
      <c r="D941" t="s">
        <v>1885</v>
      </c>
      <c r="E941">
        <v>100</v>
      </c>
      <c r="F941">
        <v>1023</v>
      </c>
      <c r="G941">
        <v>131</v>
      </c>
      <c r="H941">
        <v>44</v>
      </c>
      <c r="I941">
        <v>4</v>
      </c>
      <c r="J941" t="s">
        <v>23</v>
      </c>
      <c r="K941">
        <v>0.24</v>
      </c>
      <c r="L941">
        <v>5</v>
      </c>
      <c r="M941" t="s">
        <v>20</v>
      </c>
      <c r="N941">
        <f t="shared" si="42"/>
        <v>2</v>
      </c>
      <c r="O941">
        <v>2016</v>
      </c>
      <c r="P941">
        <f t="shared" si="43"/>
        <v>6.9304947659516261</v>
      </c>
      <c r="Q941">
        <f t="shared" si="44"/>
        <v>4.6052701809884251</v>
      </c>
    </row>
    <row r="942" spans="1:17" hidden="1" x14ac:dyDescent="0.3">
      <c r="A942">
        <v>941</v>
      </c>
      <c r="B942">
        <v>523312</v>
      </c>
      <c r="C942" t="s">
        <v>1886</v>
      </c>
      <c r="D942" t="s">
        <v>1887</v>
      </c>
      <c r="E942">
        <v>100</v>
      </c>
      <c r="F942">
        <v>1020</v>
      </c>
      <c r="G942">
        <v>46</v>
      </c>
      <c r="H942">
        <v>60</v>
      </c>
      <c r="I942">
        <v>4</v>
      </c>
      <c r="J942" t="s">
        <v>23</v>
      </c>
      <c r="K942">
        <v>0.56000000000000005</v>
      </c>
      <c r="L942">
        <v>6</v>
      </c>
      <c r="M942" t="s">
        <v>20</v>
      </c>
      <c r="N942">
        <f t="shared" si="42"/>
        <v>2</v>
      </c>
      <c r="O942">
        <v>2015</v>
      </c>
      <c r="P942">
        <f t="shared" si="43"/>
        <v>6.9275579062783166</v>
      </c>
      <c r="Q942">
        <f t="shared" si="44"/>
        <v>4.6052701809884251</v>
      </c>
    </row>
    <row r="943" spans="1:17" hidden="1" x14ac:dyDescent="0.3">
      <c r="A943">
        <v>942</v>
      </c>
      <c r="B943">
        <v>673196</v>
      </c>
      <c r="C943" t="s">
        <v>1888</v>
      </c>
      <c r="D943" t="s">
        <v>1889</v>
      </c>
      <c r="E943">
        <v>145</v>
      </c>
      <c r="F943">
        <v>1018</v>
      </c>
      <c r="G943">
        <v>28</v>
      </c>
      <c r="H943">
        <v>48</v>
      </c>
      <c r="I943">
        <v>4</v>
      </c>
      <c r="J943" t="s">
        <v>23</v>
      </c>
      <c r="K943">
        <v>0.89</v>
      </c>
      <c r="L943">
        <v>4.5</v>
      </c>
      <c r="M943" t="s">
        <v>20</v>
      </c>
      <c r="N943">
        <f t="shared" si="42"/>
        <v>2</v>
      </c>
      <c r="O943">
        <v>2016</v>
      </c>
      <c r="P943">
        <f t="shared" si="43"/>
        <v>6.9255951971104679</v>
      </c>
      <c r="Q943">
        <f t="shared" si="44"/>
        <v>4.9768027055598036</v>
      </c>
    </row>
    <row r="944" spans="1:17" hidden="1" x14ac:dyDescent="0.3">
      <c r="A944">
        <v>943</v>
      </c>
      <c r="B944">
        <v>543346</v>
      </c>
      <c r="C944" t="s">
        <v>1890</v>
      </c>
      <c r="D944" t="s">
        <v>1891</v>
      </c>
      <c r="E944">
        <v>50</v>
      </c>
      <c r="F944">
        <v>1018</v>
      </c>
      <c r="G944">
        <v>33</v>
      </c>
      <c r="H944">
        <v>41</v>
      </c>
      <c r="I944">
        <v>4</v>
      </c>
      <c r="J944" t="s">
        <v>23</v>
      </c>
      <c r="K944">
        <v>0.89</v>
      </c>
      <c r="L944">
        <v>3</v>
      </c>
      <c r="M944" t="s">
        <v>20</v>
      </c>
      <c r="N944">
        <f t="shared" si="42"/>
        <v>2</v>
      </c>
      <c r="O944">
        <v>2015</v>
      </c>
      <c r="P944">
        <f t="shared" si="43"/>
        <v>6.9255951971104679</v>
      </c>
      <c r="Q944">
        <f t="shared" si="44"/>
        <v>3.9122229854308124</v>
      </c>
    </row>
    <row r="945" spans="1:17" hidden="1" x14ac:dyDescent="0.3">
      <c r="A945">
        <v>944</v>
      </c>
      <c r="B945">
        <v>1211160</v>
      </c>
      <c r="C945" t="s">
        <v>1892</v>
      </c>
      <c r="D945" t="s">
        <v>1893</v>
      </c>
      <c r="E945">
        <v>25</v>
      </c>
      <c r="F945">
        <v>1011</v>
      </c>
      <c r="G945">
        <v>2</v>
      </c>
      <c r="H945">
        <v>19</v>
      </c>
      <c r="I945">
        <v>4</v>
      </c>
      <c r="J945" t="s">
        <v>23</v>
      </c>
      <c r="K945">
        <v>0.89</v>
      </c>
      <c r="L945">
        <v>2</v>
      </c>
      <c r="M945" t="s">
        <v>20</v>
      </c>
      <c r="N945">
        <f t="shared" si="42"/>
        <v>2</v>
      </c>
      <c r="O945">
        <v>2017</v>
      </c>
      <c r="P945">
        <f t="shared" si="43"/>
        <v>6.9186952190204716</v>
      </c>
      <c r="Q945">
        <f t="shared" si="44"/>
        <v>3.2192757448895279</v>
      </c>
    </row>
    <row r="946" spans="1:17" hidden="1" x14ac:dyDescent="0.3">
      <c r="A946">
        <v>945</v>
      </c>
      <c r="B946">
        <v>846832</v>
      </c>
      <c r="C946" t="s">
        <v>1894</v>
      </c>
      <c r="D946" t="s">
        <v>1895</v>
      </c>
      <c r="E946">
        <v>50</v>
      </c>
      <c r="F946">
        <v>1010</v>
      </c>
      <c r="G946">
        <v>154</v>
      </c>
      <c r="H946">
        <v>25</v>
      </c>
      <c r="I946">
        <v>4</v>
      </c>
      <c r="J946" t="s">
        <v>23</v>
      </c>
      <c r="K946">
        <v>0.89</v>
      </c>
      <c r="L946">
        <v>6</v>
      </c>
      <c r="M946" t="s">
        <v>20</v>
      </c>
      <c r="N946">
        <f t="shared" si="42"/>
        <v>2</v>
      </c>
      <c r="O946">
        <v>2016</v>
      </c>
      <c r="P946">
        <f t="shared" si="43"/>
        <v>6.9177056098353047</v>
      </c>
      <c r="Q946">
        <f t="shared" si="44"/>
        <v>3.9122229854308124</v>
      </c>
    </row>
    <row r="947" spans="1:17" x14ac:dyDescent="0.3">
      <c r="A947">
        <v>946</v>
      </c>
      <c r="B947">
        <v>740762</v>
      </c>
      <c r="C947" t="s">
        <v>1896</v>
      </c>
      <c r="D947" t="s">
        <v>1897</v>
      </c>
      <c r="E947">
        <v>60</v>
      </c>
      <c r="F947">
        <v>1007</v>
      </c>
      <c r="G947">
        <v>96</v>
      </c>
      <c r="H947">
        <v>87</v>
      </c>
      <c r="I947">
        <v>1</v>
      </c>
      <c r="J947" t="s">
        <v>13</v>
      </c>
      <c r="K947">
        <v>0.89</v>
      </c>
      <c r="L947">
        <v>17.5</v>
      </c>
      <c r="M947" t="s">
        <v>20</v>
      </c>
      <c r="N947">
        <f t="shared" si="42"/>
        <v>2</v>
      </c>
      <c r="O947">
        <v>2016</v>
      </c>
      <c r="P947">
        <f t="shared" si="43"/>
        <v>6.9147308927185627</v>
      </c>
      <c r="Q947">
        <f t="shared" si="44"/>
        <v>4.0945112150014218</v>
      </c>
    </row>
    <row r="948" spans="1:17" hidden="1" x14ac:dyDescent="0.3">
      <c r="A948">
        <v>947</v>
      </c>
      <c r="B948">
        <v>1253650</v>
      </c>
      <c r="C948" t="s">
        <v>1898</v>
      </c>
      <c r="D948" t="s">
        <v>1899</v>
      </c>
      <c r="E948">
        <v>25</v>
      </c>
      <c r="F948">
        <v>1006</v>
      </c>
      <c r="G948">
        <v>4</v>
      </c>
      <c r="H948">
        <v>8</v>
      </c>
      <c r="I948">
        <v>4</v>
      </c>
      <c r="J948" t="s">
        <v>23</v>
      </c>
      <c r="K948">
        <v>0.89</v>
      </c>
      <c r="L948">
        <v>2</v>
      </c>
      <c r="M948" t="s">
        <v>20</v>
      </c>
      <c r="N948">
        <f t="shared" si="42"/>
        <v>2</v>
      </c>
      <c r="O948">
        <v>2017</v>
      </c>
      <c r="P948">
        <f t="shared" si="43"/>
        <v>6.9137373506596846</v>
      </c>
      <c r="Q948">
        <f t="shared" si="44"/>
        <v>3.2192757448895279</v>
      </c>
    </row>
    <row r="949" spans="1:17" hidden="1" x14ac:dyDescent="0.3">
      <c r="A949">
        <v>948</v>
      </c>
      <c r="B949">
        <v>933260</v>
      </c>
      <c r="C949" t="s">
        <v>1900</v>
      </c>
      <c r="D949" t="s">
        <v>1901</v>
      </c>
      <c r="E949">
        <v>20</v>
      </c>
      <c r="F949">
        <v>1004</v>
      </c>
      <c r="G949">
        <v>43</v>
      </c>
      <c r="H949">
        <v>40</v>
      </c>
      <c r="I949">
        <v>4</v>
      </c>
      <c r="J949" t="s">
        <v>23</v>
      </c>
      <c r="K949">
        <v>0.89</v>
      </c>
      <c r="L949">
        <v>3.5</v>
      </c>
      <c r="M949" t="s">
        <v>20</v>
      </c>
      <c r="N949">
        <f t="shared" si="42"/>
        <v>2</v>
      </c>
      <c r="O949">
        <v>2016</v>
      </c>
      <c r="P949">
        <f t="shared" si="43"/>
        <v>6.9117473002516743</v>
      </c>
      <c r="Q949">
        <f t="shared" si="44"/>
        <v>2.996232148595642</v>
      </c>
    </row>
    <row r="950" spans="1:17" x14ac:dyDescent="0.3">
      <c r="A950">
        <v>949</v>
      </c>
      <c r="B950">
        <v>947204</v>
      </c>
      <c r="C950" t="s">
        <v>1902</v>
      </c>
      <c r="D950" t="s">
        <v>1903</v>
      </c>
      <c r="E950">
        <v>50</v>
      </c>
      <c r="F950">
        <v>1002</v>
      </c>
      <c r="G950">
        <v>7</v>
      </c>
      <c r="H950">
        <v>10</v>
      </c>
      <c r="I950">
        <v>1</v>
      </c>
      <c r="J950" t="s">
        <v>13</v>
      </c>
      <c r="K950">
        <v>0.89</v>
      </c>
      <c r="L950">
        <v>0.56666667000000004</v>
      </c>
      <c r="M950" t="s">
        <v>20</v>
      </c>
      <c r="N950">
        <f t="shared" si="42"/>
        <v>2</v>
      </c>
      <c r="O950">
        <v>2016</v>
      </c>
      <c r="P950">
        <f t="shared" si="43"/>
        <v>6.90975328164481</v>
      </c>
      <c r="Q950">
        <f t="shared" si="44"/>
        <v>3.9122229854308124</v>
      </c>
    </row>
    <row r="951" spans="1:17" x14ac:dyDescent="0.3">
      <c r="A951">
        <v>950</v>
      </c>
      <c r="B951">
        <v>418386</v>
      </c>
      <c r="C951" t="s">
        <v>1904</v>
      </c>
      <c r="D951" t="s">
        <v>1905</v>
      </c>
      <c r="E951">
        <v>45</v>
      </c>
      <c r="F951">
        <v>1002</v>
      </c>
      <c r="G951">
        <v>178</v>
      </c>
      <c r="H951">
        <v>174</v>
      </c>
      <c r="I951">
        <v>1</v>
      </c>
      <c r="J951" t="s">
        <v>13</v>
      </c>
      <c r="K951">
        <v>0.89</v>
      </c>
      <c r="L951">
        <v>16.5</v>
      </c>
      <c r="M951" t="s">
        <v>20</v>
      </c>
      <c r="N951">
        <f t="shared" si="42"/>
        <v>2</v>
      </c>
      <c r="O951">
        <v>2016</v>
      </c>
      <c r="P951">
        <f t="shared" si="43"/>
        <v>6.90975328164481</v>
      </c>
      <c r="Q951">
        <f t="shared" si="44"/>
        <v>3.8068846873048412</v>
      </c>
    </row>
    <row r="952" spans="1:17" hidden="1" x14ac:dyDescent="0.3">
      <c r="A952">
        <v>951</v>
      </c>
      <c r="B952">
        <v>683606</v>
      </c>
      <c r="C952" t="s">
        <v>1906</v>
      </c>
      <c r="D952" t="s">
        <v>1907</v>
      </c>
      <c r="E952">
        <v>125</v>
      </c>
      <c r="F952">
        <v>1000</v>
      </c>
      <c r="G952">
        <v>74</v>
      </c>
      <c r="H952">
        <v>140</v>
      </c>
      <c r="I952">
        <v>4</v>
      </c>
      <c r="J952" t="s">
        <v>23</v>
      </c>
      <c r="K952">
        <v>0.89</v>
      </c>
      <c r="L952">
        <v>11</v>
      </c>
      <c r="M952" t="s">
        <v>20</v>
      </c>
      <c r="N952">
        <f t="shared" si="42"/>
        <v>2</v>
      </c>
      <c r="O952">
        <v>2016</v>
      </c>
      <c r="P952">
        <f t="shared" si="43"/>
        <v>6.9077552789821368</v>
      </c>
      <c r="Q952">
        <f t="shared" si="44"/>
        <v>4.8283937341024714</v>
      </c>
    </row>
    <row r="953" spans="1:17" x14ac:dyDescent="0.3">
      <c r="A953">
        <v>952</v>
      </c>
      <c r="B953">
        <v>1004788</v>
      </c>
      <c r="C953" t="s">
        <v>1908</v>
      </c>
      <c r="D953" t="s">
        <v>1909</v>
      </c>
      <c r="E953">
        <v>20</v>
      </c>
      <c r="F953">
        <v>997</v>
      </c>
      <c r="G953">
        <v>31</v>
      </c>
      <c r="H953">
        <v>20</v>
      </c>
      <c r="I953">
        <v>1</v>
      </c>
      <c r="J953" t="s">
        <v>13</v>
      </c>
      <c r="K953">
        <v>0.89</v>
      </c>
      <c r="L953">
        <v>2</v>
      </c>
      <c r="M953" t="s">
        <v>20</v>
      </c>
      <c r="N953">
        <f t="shared" si="42"/>
        <v>2</v>
      </c>
      <c r="O953">
        <v>2016</v>
      </c>
      <c r="P953">
        <f t="shared" si="43"/>
        <v>6.9047507699618382</v>
      </c>
      <c r="Q953">
        <f t="shared" si="44"/>
        <v>2.996232148595642</v>
      </c>
    </row>
    <row r="954" spans="1:17" hidden="1" x14ac:dyDescent="0.3">
      <c r="A954">
        <v>953</v>
      </c>
      <c r="B954">
        <v>922750</v>
      </c>
      <c r="C954" t="s">
        <v>1910</v>
      </c>
      <c r="D954" t="s">
        <v>1911</v>
      </c>
      <c r="E954">
        <v>25</v>
      </c>
      <c r="F954">
        <v>988</v>
      </c>
      <c r="G954">
        <v>23</v>
      </c>
      <c r="H954">
        <v>27</v>
      </c>
      <c r="I954">
        <v>4</v>
      </c>
      <c r="J954" t="s">
        <v>23</v>
      </c>
      <c r="K954">
        <v>0.89</v>
      </c>
      <c r="L954">
        <v>0.63333333000000003</v>
      </c>
      <c r="M954" t="s">
        <v>20</v>
      </c>
      <c r="N954">
        <f t="shared" si="42"/>
        <v>2</v>
      </c>
      <c r="O954">
        <v>2016</v>
      </c>
      <c r="P954">
        <f t="shared" si="43"/>
        <v>6.8956826977478682</v>
      </c>
      <c r="Q954">
        <f t="shared" si="44"/>
        <v>3.2192757448895279</v>
      </c>
    </row>
    <row r="955" spans="1:17" x14ac:dyDescent="0.3">
      <c r="A955">
        <v>954</v>
      </c>
      <c r="B955">
        <v>611688</v>
      </c>
      <c r="C955" t="s">
        <v>1912</v>
      </c>
      <c r="D955" t="s">
        <v>1913</v>
      </c>
      <c r="E955">
        <v>20</v>
      </c>
      <c r="F955">
        <v>976</v>
      </c>
      <c r="G955">
        <v>93</v>
      </c>
      <c r="H955">
        <v>46</v>
      </c>
      <c r="I955">
        <v>1</v>
      </c>
      <c r="J955" t="s">
        <v>13</v>
      </c>
      <c r="K955">
        <v>0.89</v>
      </c>
      <c r="L955">
        <v>2.5</v>
      </c>
      <c r="M955" t="s">
        <v>20</v>
      </c>
      <c r="N955">
        <f t="shared" si="42"/>
        <v>2</v>
      </c>
      <c r="O955">
        <v>2015</v>
      </c>
      <c r="P955">
        <f t="shared" si="43"/>
        <v>6.8834625864130921</v>
      </c>
      <c r="Q955">
        <f t="shared" si="44"/>
        <v>2.996232148595642</v>
      </c>
    </row>
    <row r="956" spans="1:17" hidden="1" x14ac:dyDescent="0.3">
      <c r="A956">
        <v>955</v>
      </c>
      <c r="B956">
        <v>260444</v>
      </c>
      <c r="C956" t="s">
        <v>1914</v>
      </c>
      <c r="D956" t="s">
        <v>1915</v>
      </c>
      <c r="E956">
        <v>20</v>
      </c>
      <c r="F956">
        <v>976</v>
      </c>
      <c r="G956">
        <v>29</v>
      </c>
      <c r="H956">
        <v>13</v>
      </c>
      <c r="I956">
        <v>4</v>
      </c>
      <c r="J956" t="s">
        <v>23</v>
      </c>
      <c r="K956">
        <v>0.89</v>
      </c>
      <c r="L956">
        <v>1.5</v>
      </c>
      <c r="M956" t="s">
        <v>20</v>
      </c>
      <c r="N956">
        <f t="shared" si="42"/>
        <v>2</v>
      </c>
      <c r="O956">
        <v>2014</v>
      </c>
      <c r="P956">
        <f t="shared" si="43"/>
        <v>6.8834625864130921</v>
      </c>
      <c r="Q956">
        <f t="shared" si="44"/>
        <v>2.996232148595642</v>
      </c>
    </row>
    <row r="957" spans="1:17" hidden="1" x14ac:dyDescent="0.3">
      <c r="A957">
        <v>956</v>
      </c>
      <c r="B957">
        <v>975906</v>
      </c>
      <c r="C957" t="s">
        <v>1916</v>
      </c>
      <c r="D957" t="s">
        <v>1917</v>
      </c>
      <c r="E957">
        <v>95</v>
      </c>
      <c r="F957">
        <v>975</v>
      </c>
      <c r="G957">
        <v>141</v>
      </c>
      <c r="H957">
        <v>18</v>
      </c>
      <c r="I957">
        <v>4</v>
      </c>
      <c r="J957" t="s">
        <v>23</v>
      </c>
      <c r="K957">
        <v>0.89</v>
      </c>
      <c r="L957">
        <v>3.5</v>
      </c>
      <c r="M957" t="s">
        <v>20</v>
      </c>
      <c r="N957">
        <f t="shared" si="42"/>
        <v>2</v>
      </c>
      <c r="O957">
        <v>2016</v>
      </c>
      <c r="P957">
        <f t="shared" si="43"/>
        <v>6.8824374709978473</v>
      </c>
      <c r="Q957">
        <f t="shared" si="44"/>
        <v>4.5539821492186583</v>
      </c>
    </row>
    <row r="958" spans="1:17" x14ac:dyDescent="0.3">
      <c r="A958">
        <v>957</v>
      </c>
      <c r="B958">
        <v>574082</v>
      </c>
      <c r="C958" t="s">
        <v>1918</v>
      </c>
      <c r="D958" t="s">
        <v>1919</v>
      </c>
      <c r="E958">
        <v>75</v>
      </c>
      <c r="F958">
        <v>973</v>
      </c>
      <c r="G958">
        <v>50</v>
      </c>
      <c r="H958">
        <v>46</v>
      </c>
      <c r="I958">
        <v>1</v>
      </c>
      <c r="J958" t="s">
        <v>13</v>
      </c>
      <c r="K958">
        <v>0.89</v>
      </c>
      <c r="L958">
        <v>4.5</v>
      </c>
      <c r="M958" t="s">
        <v>20</v>
      </c>
      <c r="N958">
        <f t="shared" si="42"/>
        <v>2</v>
      </c>
      <c r="O958">
        <v>2015</v>
      </c>
      <c r="P958">
        <f t="shared" si="43"/>
        <v>6.8803840821860049</v>
      </c>
      <c r="Q958">
        <f t="shared" si="44"/>
        <v>4.3176214379815452</v>
      </c>
    </row>
    <row r="959" spans="1:17" hidden="1" x14ac:dyDescent="0.3">
      <c r="A959">
        <v>958</v>
      </c>
      <c r="B959">
        <v>792703</v>
      </c>
      <c r="C959" t="s">
        <v>1920</v>
      </c>
      <c r="D959" t="s">
        <v>1921</v>
      </c>
      <c r="E959">
        <v>50</v>
      </c>
      <c r="F959">
        <v>964</v>
      </c>
      <c r="G959">
        <v>19</v>
      </c>
      <c r="H959">
        <v>21</v>
      </c>
      <c r="I959">
        <v>4</v>
      </c>
      <c r="J959" t="s">
        <v>23</v>
      </c>
      <c r="K959">
        <v>0.89</v>
      </c>
      <c r="L959">
        <v>2.5</v>
      </c>
      <c r="M959" t="s">
        <v>20</v>
      </c>
      <c r="N959">
        <f t="shared" si="42"/>
        <v>2</v>
      </c>
      <c r="O959">
        <v>2016</v>
      </c>
      <c r="P959">
        <f t="shared" si="43"/>
        <v>6.8710912946105456</v>
      </c>
      <c r="Q959">
        <f t="shared" si="44"/>
        <v>3.9122229854308124</v>
      </c>
    </row>
    <row r="960" spans="1:17" hidden="1" x14ac:dyDescent="0.3">
      <c r="A960">
        <v>959</v>
      </c>
      <c r="B960">
        <v>751100</v>
      </c>
      <c r="C960" t="s">
        <v>1922</v>
      </c>
      <c r="D960" t="s">
        <v>1923</v>
      </c>
      <c r="E960">
        <v>195</v>
      </c>
      <c r="F960">
        <v>960</v>
      </c>
      <c r="G960">
        <v>110</v>
      </c>
      <c r="H960">
        <v>32</v>
      </c>
      <c r="I960">
        <v>3</v>
      </c>
      <c r="J960" t="s">
        <v>17</v>
      </c>
      <c r="K960">
        <v>0.89</v>
      </c>
      <c r="L960">
        <v>2</v>
      </c>
      <c r="M960" t="s">
        <v>20</v>
      </c>
      <c r="N960">
        <f t="shared" si="42"/>
        <v>2</v>
      </c>
      <c r="O960">
        <v>2016</v>
      </c>
      <c r="P960">
        <f t="shared" si="43"/>
        <v>6.866933284461882</v>
      </c>
      <c r="Q960">
        <f t="shared" si="44"/>
        <v>5.273050839300149</v>
      </c>
    </row>
    <row r="961" spans="1:17" x14ac:dyDescent="0.3">
      <c r="A961">
        <v>960</v>
      </c>
      <c r="B961">
        <v>1053406</v>
      </c>
      <c r="C961" t="s">
        <v>1924</v>
      </c>
      <c r="D961" t="s">
        <v>1925</v>
      </c>
      <c r="E961">
        <v>20</v>
      </c>
      <c r="F961">
        <v>959</v>
      </c>
      <c r="G961">
        <v>51</v>
      </c>
      <c r="H961">
        <v>74</v>
      </c>
      <c r="I961">
        <v>1</v>
      </c>
      <c r="J961" t="s">
        <v>13</v>
      </c>
      <c r="K961">
        <v>0.89</v>
      </c>
      <c r="L961">
        <v>3</v>
      </c>
      <c r="M961" t="s">
        <v>20</v>
      </c>
      <c r="N961">
        <f t="shared" si="42"/>
        <v>2</v>
      </c>
      <c r="O961">
        <v>2017</v>
      </c>
      <c r="P961">
        <f t="shared" si="43"/>
        <v>6.8658910748834385</v>
      </c>
      <c r="Q961">
        <f t="shared" si="44"/>
        <v>2.996232148595642</v>
      </c>
    </row>
    <row r="962" spans="1:17" hidden="1" x14ac:dyDescent="0.3">
      <c r="A962">
        <v>961</v>
      </c>
      <c r="B962">
        <v>900794</v>
      </c>
      <c r="C962" t="s">
        <v>1926</v>
      </c>
      <c r="D962" t="s">
        <v>1927</v>
      </c>
      <c r="E962">
        <v>20</v>
      </c>
      <c r="F962">
        <v>958</v>
      </c>
      <c r="G962">
        <v>14</v>
      </c>
      <c r="H962">
        <v>17</v>
      </c>
      <c r="I962">
        <v>2</v>
      </c>
      <c r="J962" t="s">
        <v>32</v>
      </c>
      <c r="K962">
        <v>0.89</v>
      </c>
      <c r="L962">
        <v>1</v>
      </c>
      <c r="M962" t="s">
        <v>20</v>
      </c>
      <c r="N962">
        <f t="shared" ref="N962:N1025" si="45">IF(M962="Free",1,IF(M962="Paid",2,0))</f>
        <v>2</v>
      </c>
      <c r="O962">
        <v>2016</v>
      </c>
      <c r="P962">
        <f t="shared" ref="P962:P1025" si="46">LN(F962)</f>
        <v>6.8648477779708603</v>
      </c>
      <c r="Q962">
        <f t="shared" ref="Q962:Q1025" si="47">LN(E962+0.01)</f>
        <v>2.996232148595642</v>
      </c>
    </row>
    <row r="963" spans="1:17" hidden="1" x14ac:dyDescent="0.3">
      <c r="A963">
        <v>962</v>
      </c>
      <c r="B963">
        <v>565384</v>
      </c>
      <c r="C963" t="s">
        <v>1928</v>
      </c>
      <c r="D963" t="s">
        <v>1929</v>
      </c>
      <c r="E963">
        <v>20</v>
      </c>
      <c r="F963">
        <v>954</v>
      </c>
      <c r="G963">
        <v>183</v>
      </c>
      <c r="H963">
        <v>123</v>
      </c>
      <c r="I963">
        <v>4</v>
      </c>
      <c r="J963" t="s">
        <v>23</v>
      </c>
      <c r="K963">
        <v>0.89</v>
      </c>
      <c r="L963">
        <v>16</v>
      </c>
      <c r="M963" t="s">
        <v>20</v>
      </c>
      <c r="N963">
        <f t="shared" si="45"/>
        <v>2</v>
      </c>
      <c r="O963">
        <v>2015</v>
      </c>
      <c r="P963">
        <f t="shared" si="46"/>
        <v>6.8606636714482869</v>
      </c>
      <c r="Q963">
        <f t="shared" si="47"/>
        <v>2.996232148595642</v>
      </c>
    </row>
    <row r="964" spans="1:17" hidden="1" x14ac:dyDescent="0.3">
      <c r="A964">
        <v>963</v>
      </c>
      <c r="B964">
        <v>1134390</v>
      </c>
      <c r="C964" t="s">
        <v>1930</v>
      </c>
      <c r="D964" t="s">
        <v>1931</v>
      </c>
      <c r="E964">
        <v>200</v>
      </c>
      <c r="F964">
        <v>952</v>
      </c>
      <c r="G964">
        <v>121</v>
      </c>
      <c r="H964">
        <v>75</v>
      </c>
      <c r="I964">
        <v>4</v>
      </c>
      <c r="J964" t="s">
        <v>23</v>
      </c>
      <c r="K964">
        <v>0.89</v>
      </c>
      <c r="L964">
        <v>12</v>
      </c>
      <c r="M964" t="s">
        <v>20</v>
      </c>
      <c r="N964">
        <f t="shared" si="45"/>
        <v>2</v>
      </c>
      <c r="O964">
        <v>2017</v>
      </c>
      <c r="P964">
        <f t="shared" si="46"/>
        <v>6.8585650347913649</v>
      </c>
      <c r="Q964">
        <f t="shared" si="47"/>
        <v>5.2983673652980787</v>
      </c>
    </row>
    <row r="965" spans="1:17" hidden="1" x14ac:dyDescent="0.3">
      <c r="A965">
        <v>964</v>
      </c>
      <c r="B965">
        <v>1155262</v>
      </c>
      <c r="C965" t="s">
        <v>1932</v>
      </c>
      <c r="D965" t="s">
        <v>1933</v>
      </c>
      <c r="E965">
        <v>195</v>
      </c>
      <c r="F965">
        <v>949</v>
      </c>
      <c r="G965">
        <v>129</v>
      </c>
      <c r="H965">
        <v>89</v>
      </c>
      <c r="I965">
        <v>4</v>
      </c>
      <c r="J965" t="s">
        <v>23</v>
      </c>
      <c r="K965">
        <v>0.89</v>
      </c>
      <c r="L965">
        <v>20.5</v>
      </c>
      <c r="M965" t="s">
        <v>20</v>
      </c>
      <c r="N965">
        <f t="shared" si="45"/>
        <v>2</v>
      </c>
      <c r="O965">
        <v>2017</v>
      </c>
      <c r="P965">
        <f t="shared" si="46"/>
        <v>6.8554087986099281</v>
      </c>
      <c r="Q965">
        <f t="shared" si="47"/>
        <v>5.273050839300149</v>
      </c>
    </row>
    <row r="966" spans="1:17" hidden="1" x14ac:dyDescent="0.3">
      <c r="A966">
        <v>965</v>
      </c>
      <c r="B966">
        <v>723878</v>
      </c>
      <c r="C966" t="s">
        <v>1934</v>
      </c>
      <c r="D966" t="s">
        <v>1935</v>
      </c>
      <c r="E966">
        <v>30</v>
      </c>
      <c r="F966">
        <v>948</v>
      </c>
      <c r="G966">
        <v>193</v>
      </c>
      <c r="H966">
        <v>48</v>
      </c>
      <c r="I966">
        <v>4</v>
      </c>
      <c r="J966" t="s">
        <v>23</v>
      </c>
      <c r="K966">
        <v>0.89</v>
      </c>
      <c r="L966">
        <v>3.5</v>
      </c>
      <c r="M966" t="s">
        <v>20</v>
      </c>
      <c r="N966">
        <f t="shared" si="45"/>
        <v>2</v>
      </c>
      <c r="O966">
        <v>2016</v>
      </c>
      <c r="P966">
        <f t="shared" si="46"/>
        <v>6.8543545022550214</v>
      </c>
      <c r="Q966">
        <f t="shared" si="47"/>
        <v>3.4015306594522756</v>
      </c>
    </row>
    <row r="967" spans="1:17" hidden="1" x14ac:dyDescent="0.3">
      <c r="A967">
        <v>966</v>
      </c>
      <c r="B967">
        <v>603408</v>
      </c>
      <c r="C967" t="s">
        <v>1936</v>
      </c>
      <c r="D967" t="s">
        <v>1937</v>
      </c>
      <c r="E967">
        <v>20</v>
      </c>
      <c r="F967">
        <v>948</v>
      </c>
      <c r="G967">
        <v>48</v>
      </c>
      <c r="H967">
        <v>8</v>
      </c>
      <c r="I967">
        <v>4</v>
      </c>
      <c r="J967" t="s">
        <v>23</v>
      </c>
      <c r="K967">
        <v>0.89</v>
      </c>
      <c r="L967">
        <v>0.6</v>
      </c>
      <c r="M967" t="s">
        <v>20</v>
      </c>
      <c r="N967">
        <f t="shared" si="45"/>
        <v>2</v>
      </c>
      <c r="O967">
        <v>2015</v>
      </c>
      <c r="P967">
        <f t="shared" si="46"/>
        <v>6.8543545022550214</v>
      </c>
      <c r="Q967">
        <f t="shared" si="47"/>
        <v>2.996232148595642</v>
      </c>
    </row>
    <row r="968" spans="1:17" hidden="1" x14ac:dyDescent="0.3">
      <c r="A968">
        <v>967</v>
      </c>
      <c r="B968">
        <v>1016388</v>
      </c>
      <c r="C968" t="s">
        <v>1938</v>
      </c>
      <c r="D968" t="s">
        <v>1939</v>
      </c>
      <c r="E968">
        <v>50</v>
      </c>
      <c r="F968">
        <v>947</v>
      </c>
      <c r="G968">
        <v>108</v>
      </c>
      <c r="H968">
        <v>56</v>
      </c>
      <c r="I968">
        <v>2</v>
      </c>
      <c r="J968" t="s">
        <v>32</v>
      </c>
      <c r="K968">
        <v>0.89</v>
      </c>
      <c r="L968">
        <v>8</v>
      </c>
      <c r="M968" t="s">
        <v>20</v>
      </c>
      <c r="N968">
        <f t="shared" si="45"/>
        <v>2</v>
      </c>
      <c r="O968">
        <v>2016</v>
      </c>
      <c r="P968">
        <f t="shared" si="46"/>
        <v>6.8532990931860782</v>
      </c>
      <c r="Q968">
        <f t="shared" si="47"/>
        <v>3.9122229854308124</v>
      </c>
    </row>
    <row r="969" spans="1:17" hidden="1" x14ac:dyDescent="0.3">
      <c r="A969">
        <v>968</v>
      </c>
      <c r="B969">
        <v>939536</v>
      </c>
      <c r="C969" t="s">
        <v>1940</v>
      </c>
      <c r="D969" t="s">
        <v>1941</v>
      </c>
      <c r="E969">
        <v>20</v>
      </c>
      <c r="F969">
        <v>945</v>
      </c>
      <c r="G969">
        <v>17</v>
      </c>
      <c r="H969">
        <v>11</v>
      </c>
      <c r="I969">
        <v>2</v>
      </c>
      <c r="J969" t="s">
        <v>32</v>
      </c>
      <c r="K969">
        <v>0.89</v>
      </c>
      <c r="L969">
        <v>0.55000000000000004</v>
      </c>
      <c r="M969" t="s">
        <v>20</v>
      </c>
      <c r="N969">
        <f t="shared" si="45"/>
        <v>2</v>
      </c>
      <c r="O969">
        <v>2016</v>
      </c>
      <c r="P969">
        <f t="shared" si="46"/>
        <v>6.8511849274937431</v>
      </c>
      <c r="Q969">
        <f t="shared" si="47"/>
        <v>2.996232148595642</v>
      </c>
    </row>
    <row r="970" spans="1:17" hidden="1" x14ac:dyDescent="0.3">
      <c r="A970">
        <v>969</v>
      </c>
      <c r="B970">
        <v>1115064</v>
      </c>
      <c r="C970" t="s">
        <v>1942</v>
      </c>
      <c r="D970" t="s">
        <v>1943</v>
      </c>
      <c r="E970">
        <v>45</v>
      </c>
      <c r="F970">
        <v>944</v>
      </c>
      <c r="G970">
        <v>1</v>
      </c>
      <c r="H970">
        <v>10</v>
      </c>
      <c r="I970">
        <v>2</v>
      </c>
      <c r="J970" t="s">
        <v>32</v>
      </c>
      <c r="K970">
        <v>0.89</v>
      </c>
      <c r="L970">
        <v>1</v>
      </c>
      <c r="M970" t="s">
        <v>20</v>
      </c>
      <c r="N970">
        <f t="shared" si="45"/>
        <v>2</v>
      </c>
      <c r="O970">
        <v>2017</v>
      </c>
      <c r="P970">
        <f t="shared" si="46"/>
        <v>6.8501261661455004</v>
      </c>
      <c r="Q970">
        <f t="shared" si="47"/>
        <v>3.8068846873048412</v>
      </c>
    </row>
    <row r="971" spans="1:17" x14ac:dyDescent="0.3">
      <c r="A971">
        <v>970</v>
      </c>
      <c r="B971">
        <v>736250</v>
      </c>
      <c r="C971" t="s">
        <v>1944</v>
      </c>
      <c r="D971" t="s">
        <v>1945</v>
      </c>
      <c r="E971">
        <v>75</v>
      </c>
      <c r="F971">
        <v>942</v>
      </c>
      <c r="G971">
        <v>161</v>
      </c>
      <c r="H971">
        <v>64</v>
      </c>
      <c r="I971">
        <v>1</v>
      </c>
      <c r="J971" t="s">
        <v>13</v>
      </c>
      <c r="K971">
        <v>0.89</v>
      </c>
      <c r="L971">
        <v>4.5</v>
      </c>
      <c r="M971" t="s">
        <v>20</v>
      </c>
      <c r="N971">
        <f t="shared" si="45"/>
        <v>2</v>
      </c>
      <c r="O971">
        <v>2016</v>
      </c>
      <c r="P971">
        <f t="shared" si="46"/>
        <v>6.8480052745763631</v>
      </c>
      <c r="Q971">
        <f t="shared" si="47"/>
        <v>4.3176214379815452</v>
      </c>
    </row>
    <row r="972" spans="1:17" hidden="1" x14ac:dyDescent="0.3">
      <c r="A972">
        <v>971</v>
      </c>
      <c r="B972">
        <v>899492</v>
      </c>
      <c r="C972" t="s">
        <v>1946</v>
      </c>
      <c r="D972" t="s">
        <v>1947</v>
      </c>
      <c r="E972">
        <v>20</v>
      </c>
      <c r="F972">
        <v>937</v>
      </c>
      <c r="G972">
        <v>4</v>
      </c>
      <c r="H972">
        <v>10</v>
      </c>
      <c r="I972">
        <v>4</v>
      </c>
      <c r="J972" t="s">
        <v>23</v>
      </c>
      <c r="K972">
        <v>0.89</v>
      </c>
      <c r="L972">
        <v>1</v>
      </c>
      <c r="M972" t="s">
        <v>20</v>
      </c>
      <c r="N972">
        <f t="shared" si="45"/>
        <v>2</v>
      </c>
      <c r="O972">
        <v>2016</v>
      </c>
      <c r="P972">
        <f t="shared" si="46"/>
        <v>6.842683282238422</v>
      </c>
      <c r="Q972">
        <f t="shared" si="47"/>
        <v>2.996232148595642</v>
      </c>
    </row>
    <row r="973" spans="1:17" hidden="1" x14ac:dyDescent="0.3">
      <c r="A973">
        <v>972</v>
      </c>
      <c r="B973">
        <v>968304</v>
      </c>
      <c r="C973" t="s">
        <v>1948</v>
      </c>
      <c r="D973" t="s">
        <v>1949</v>
      </c>
      <c r="E973">
        <v>40</v>
      </c>
      <c r="F973">
        <v>937</v>
      </c>
      <c r="G973">
        <v>2</v>
      </c>
      <c r="H973">
        <v>6</v>
      </c>
      <c r="I973">
        <v>4</v>
      </c>
      <c r="J973" t="s">
        <v>23</v>
      </c>
      <c r="K973">
        <v>0.89</v>
      </c>
      <c r="L973">
        <v>0.63333333000000003</v>
      </c>
      <c r="M973" t="s">
        <v>20</v>
      </c>
      <c r="N973">
        <f t="shared" si="45"/>
        <v>2</v>
      </c>
      <c r="O973">
        <v>2016</v>
      </c>
      <c r="P973">
        <f t="shared" si="46"/>
        <v>6.842683282238422</v>
      </c>
      <c r="Q973">
        <f t="shared" si="47"/>
        <v>3.6891294228691436</v>
      </c>
    </row>
    <row r="974" spans="1:17" hidden="1" x14ac:dyDescent="0.3">
      <c r="A974">
        <v>973</v>
      </c>
      <c r="B974">
        <v>19422</v>
      </c>
      <c r="C974" t="s">
        <v>1950</v>
      </c>
      <c r="D974" t="s">
        <v>1951</v>
      </c>
      <c r="E974">
        <v>35</v>
      </c>
      <c r="F974">
        <v>926</v>
      </c>
      <c r="G974">
        <v>102</v>
      </c>
      <c r="H974">
        <v>37</v>
      </c>
      <c r="I974">
        <v>4</v>
      </c>
      <c r="J974" t="s">
        <v>23</v>
      </c>
      <c r="K974">
        <v>0.89</v>
      </c>
      <c r="L974">
        <v>2.5</v>
      </c>
      <c r="M974" t="s">
        <v>20</v>
      </c>
      <c r="N974">
        <f t="shared" si="45"/>
        <v>2</v>
      </c>
      <c r="O974">
        <v>2012</v>
      </c>
      <c r="P974">
        <f t="shared" si="46"/>
        <v>6.8308742346461795</v>
      </c>
      <c r="Q974">
        <f t="shared" si="47"/>
        <v>3.5556337349665741</v>
      </c>
    </row>
    <row r="975" spans="1:17" x14ac:dyDescent="0.3">
      <c r="A975">
        <v>974</v>
      </c>
      <c r="B975">
        <v>967422</v>
      </c>
      <c r="C975" t="s">
        <v>1952</v>
      </c>
      <c r="D975" t="s">
        <v>1953</v>
      </c>
      <c r="E975">
        <v>35</v>
      </c>
      <c r="F975">
        <v>920</v>
      </c>
      <c r="G975">
        <v>1</v>
      </c>
      <c r="H975">
        <v>7</v>
      </c>
      <c r="I975">
        <v>1</v>
      </c>
      <c r="J975" t="s">
        <v>13</v>
      </c>
      <c r="K975">
        <v>0.89</v>
      </c>
      <c r="L975">
        <v>0.7</v>
      </c>
      <c r="M975" t="s">
        <v>20</v>
      </c>
      <c r="N975">
        <f t="shared" si="45"/>
        <v>2</v>
      </c>
      <c r="O975">
        <v>2016</v>
      </c>
      <c r="P975">
        <f t="shared" si="46"/>
        <v>6.8243736700430864</v>
      </c>
      <c r="Q975">
        <f t="shared" si="47"/>
        <v>3.5556337349665741</v>
      </c>
    </row>
    <row r="976" spans="1:17" hidden="1" x14ac:dyDescent="0.3">
      <c r="A976">
        <v>975</v>
      </c>
      <c r="B976">
        <v>584522</v>
      </c>
      <c r="C976" t="s">
        <v>1954</v>
      </c>
      <c r="D976" t="s">
        <v>1955</v>
      </c>
      <c r="E976">
        <v>195</v>
      </c>
      <c r="F976">
        <v>918</v>
      </c>
      <c r="G976">
        <v>8</v>
      </c>
      <c r="H976">
        <v>39</v>
      </c>
      <c r="I976">
        <v>4</v>
      </c>
      <c r="J976" t="s">
        <v>23</v>
      </c>
      <c r="K976">
        <v>0.89</v>
      </c>
      <c r="L976">
        <v>2.5</v>
      </c>
      <c r="M976" t="s">
        <v>20</v>
      </c>
      <c r="N976">
        <f t="shared" si="45"/>
        <v>2</v>
      </c>
      <c r="O976">
        <v>2015</v>
      </c>
      <c r="P976">
        <f t="shared" si="46"/>
        <v>6.8221973906204907</v>
      </c>
      <c r="Q976">
        <f t="shared" si="47"/>
        <v>5.273050839300149</v>
      </c>
    </row>
    <row r="977" spans="1:17" hidden="1" x14ac:dyDescent="0.3">
      <c r="A977">
        <v>976</v>
      </c>
      <c r="B977">
        <v>984072</v>
      </c>
      <c r="C977" t="s">
        <v>1956</v>
      </c>
      <c r="D977" t="s">
        <v>1957</v>
      </c>
      <c r="E977">
        <v>20</v>
      </c>
      <c r="F977">
        <v>912</v>
      </c>
      <c r="G977">
        <v>17</v>
      </c>
      <c r="H977">
        <v>48</v>
      </c>
      <c r="I977">
        <v>4</v>
      </c>
      <c r="J977" t="s">
        <v>23</v>
      </c>
      <c r="K977">
        <v>0.89</v>
      </c>
      <c r="L977">
        <v>4.5</v>
      </c>
      <c r="M977" t="s">
        <v>20</v>
      </c>
      <c r="N977">
        <f t="shared" si="45"/>
        <v>2</v>
      </c>
      <c r="O977">
        <v>2016</v>
      </c>
      <c r="P977">
        <f t="shared" si="46"/>
        <v>6.815639990074331</v>
      </c>
      <c r="Q977">
        <f t="shared" si="47"/>
        <v>2.996232148595642</v>
      </c>
    </row>
    <row r="978" spans="1:17" x14ac:dyDescent="0.3">
      <c r="A978">
        <v>977</v>
      </c>
      <c r="B978">
        <v>552594</v>
      </c>
      <c r="C978" t="s">
        <v>1958</v>
      </c>
      <c r="D978" t="s">
        <v>1959</v>
      </c>
      <c r="E978">
        <v>30</v>
      </c>
      <c r="F978">
        <v>912</v>
      </c>
      <c r="G978">
        <v>128</v>
      </c>
      <c r="H978">
        <v>81</v>
      </c>
      <c r="I978">
        <v>1</v>
      </c>
      <c r="J978" t="s">
        <v>13</v>
      </c>
      <c r="K978">
        <v>0.89</v>
      </c>
      <c r="L978">
        <v>7</v>
      </c>
      <c r="M978" t="s">
        <v>20</v>
      </c>
      <c r="N978">
        <f t="shared" si="45"/>
        <v>2</v>
      </c>
      <c r="O978">
        <v>2015</v>
      </c>
      <c r="P978">
        <f t="shared" si="46"/>
        <v>6.815639990074331</v>
      </c>
      <c r="Q978">
        <f t="shared" si="47"/>
        <v>3.4015306594522756</v>
      </c>
    </row>
    <row r="979" spans="1:17" hidden="1" x14ac:dyDescent="0.3">
      <c r="A979">
        <v>978</v>
      </c>
      <c r="B979">
        <v>1251786</v>
      </c>
      <c r="C979" t="s">
        <v>1960</v>
      </c>
      <c r="D979" t="s">
        <v>1961</v>
      </c>
      <c r="E979">
        <v>70</v>
      </c>
      <c r="F979">
        <v>909</v>
      </c>
      <c r="G979">
        <v>16</v>
      </c>
      <c r="H979">
        <v>13</v>
      </c>
      <c r="I979">
        <v>2</v>
      </c>
      <c r="J979" t="s">
        <v>32</v>
      </c>
      <c r="K979">
        <v>0.89</v>
      </c>
      <c r="L979">
        <v>1.5</v>
      </c>
      <c r="M979" t="s">
        <v>20</v>
      </c>
      <c r="N979">
        <f t="shared" si="45"/>
        <v>2</v>
      </c>
      <c r="O979">
        <v>2017</v>
      </c>
      <c r="P979">
        <f t="shared" si="46"/>
        <v>6.8123450941774788</v>
      </c>
      <c r="Q979">
        <f t="shared" si="47"/>
        <v>4.2486380889891064</v>
      </c>
    </row>
    <row r="980" spans="1:17" hidden="1" x14ac:dyDescent="0.3">
      <c r="A980">
        <v>979</v>
      </c>
      <c r="B980">
        <v>967424</v>
      </c>
      <c r="C980" t="s">
        <v>1962</v>
      </c>
      <c r="D980" t="s">
        <v>1963</v>
      </c>
      <c r="E980">
        <v>35</v>
      </c>
      <c r="F980">
        <v>903</v>
      </c>
      <c r="G980">
        <v>3</v>
      </c>
      <c r="H980">
        <v>7</v>
      </c>
      <c r="I980">
        <v>4</v>
      </c>
      <c r="J980" t="s">
        <v>23</v>
      </c>
      <c r="K980">
        <v>0.24</v>
      </c>
      <c r="L980">
        <v>0.55000000000000004</v>
      </c>
      <c r="M980" t="s">
        <v>20</v>
      </c>
      <c r="N980">
        <f t="shared" si="45"/>
        <v>2</v>
      </c>
      <c r="O980">
        <v>2016</v>
      </c>
      <c r="P980">
        <f t="shared" si="46"/>
        <v>6.8057225534169854</v>
      </c>
      <c r="Q980">
        <f t="shared" si="47"/>
        <v>3.5556337349665741</v>
      </c>
    </row>
    <row r="981" spans="1:17" hidden="1" x14ac:dyDescent="0.3">
      <c r="A981">
        <v>980</v>
      </c>
      <c r="B981">
        <v>297602</v>
      </c>
      <c r="C981" t="s">
        <v>1964</v>
      </c>
      <c r="D981" t="s">
        <v>1965</v>
      </c>
      <c r="E981">
        <v>45</v>
      </c>
      <c r="F981">
        <v>901</v>
      </c>
      <c r="G981">
        <v>36</v>
      </c>
      <c r="H981">
        <v>20</v>
      </c>
      <c r="I981">
        <v>4</v>
      </c>
      <c r="J981" t="s">
        <v>23</v>
      </c>
      <c r="K981">
        <v>0.21</v>
      </c>
      <c r="L981">
        <v>2</v>
      </c>
      <c r="M981" t="s">
        <v>20</v>
      </c>
      <c r="N981">
        <f t="shared" si="45"/>
        <v>2</v>
      </c>
      <c r="O981">
        <v>2014</v>
      </c>
      <c r="P981">
        <f t="shared" si="46"/>
        <v>6.8035052576083377</v>
      </c>
      <c r="Q981">
        <f t="shared" si="47"/>
        <v>3.8068846873048412</v>
      </c>
    </row>
    <row r="982" spans="1:17" hidden="1" x14ac:dyDescent="0.3">
      <c r="A982">
        <v>981</v>
      </c>
      <c r="B982">
        <v>905850</v>
      </c>
      <c r="C982" t="s">
        <v>1966</v>
      </c>
      <c r="D982" t="s">
        <v>1967</v>
      </c>
      <c r="E982">
        <v>200</v>
      </c>
      <c r="F982">
        <v>900</v>
      </c>
      <c r="G982">
        <v>129</v>
      </c>
      <c r="H982">
        <v>126</v>
      </c>
      <c r="I982">
        <v>4</v>
      </c>
      <c r="J982" t="s">
        <v>23</v>
      </c>
      <c r="K982">
        <v>0.46</v>
      </c>
      <c r="L982">
        <v>18.5</v>
      </c>
      <c r="M982" t="s">
        <v>20</v>
      </c>
      <c r="N982">
        <f t="shared" si="45"/>
        <v>2</v>
      </c>
      <c r="O982">
        <v>2016</v>
      </c>
      <c r="P982">
        <f t="shared" si="46"/>
        <v>6.8023947633243109</v>
      </c>
      <c r="Q982">
        <f t="shared" si="47"/>
        <v>5.2983673652980787</v>
      </c>
    </row>
    <row r="983" spans="1:17" hidden="1" x14ac:dyDescent="0.3">
      <c r="A983">
        <v>982</v>
      </c>
      <c r="B983">
        <v>221920</v>
      </c>
      <c r="C983" t="s">
        <v>1968</v>
      </c>
      <c r="D983" t="s">
        <v>1969</v>
      </c>
      <c r="E983">
        <v>50</v>
      </c>
      <c r="F983">
        <v>898</v>
      </c>
      <c r="G983">
        <v>132</v>
      </c>
      <c r="H983">
        <v>40</v>
      </c>
      <c r="I983">
        <v>4</v>
      </c>
      <c r="J983" t="s">
        <v>23</v>
      </c>
      <c r="K983">
        <v>0.6</v>
      </c>
      <c r="L983">
        <v>2</v>
      </c>
      <c r="M983" t="s">
        <v>20</v>
      </c>
      <c r="N983">
        <f t="shared" si="45"/>
        <v>2</v>
      </c>
      <c r="O983">
        <v>2014</v>
      </c>
      <c r="P983">
        <f t="shared" si="46"/>
        <v>6.8001700683021999</v>
      </c>
      <c r="Q983">
        <f t="shared" si="47"/>
        <v>3.9122229854308124</v>
      </c>
    </row>
    <row r="984" spans="1:17" hidden="1" x14ac:dyDescent="0.3">
      <c r="A984">
        <v>983</v>
      </c>
      <c r="B984">
        <v>997750</v>
      </c>
      <c r="C984" t="s">
        <v>1970</v>
      </c>
      <c r="D984" t="s">
        <v>1971</v>
      </c>
      <c r="E984">
        <v>200</v>
      </c>
      <c r="F984">
        <v>897</v>
      </c>
      <c r="G984">
        <v>129</v>
      </c>
      <c r="H984">
        <v>171</v>
      </c>
      <c r="I984">
        <v>4</v>
      </c>
      <c r="J984" t="s">
        <v>23</v>
      </c>
      <c r="K984">
        <v>0.74</v>
      </c>
      <c r="L984">
        <v>13</v>
      </c>
      <c r="M984" t="s">
        <v>20</v>
      </c>
      <c r="N984">
        <f t="shared" si="45"/>
        <v>2</v>
      </c>
      <c r="O984">
        <v>2017</v>
      </c>
      <c r="P984">
        <f t="shared" si="46"/>
        <v>6.799055862058796</v>
      </c>
      <c r="Q984">
        <f t="shared" si="47"/>
        <v>5.2983673652980787</v>
      </c>
    </row>
    <row r="985" spans="1:17" x14ac:dyDescent="0.3">
      <c r="A985">
        <v>984</v>
      </c>
      <c r="B985">
        <v>326326</v>
      </c>
      <c r="C985" t="s">
        <v>1972</v>
      </c>
      <c r="D985" t="s">
        <v>1973</v>
      </c>
      <c r="E985">
        <v>50</v>
      </c>
      <c r="F985">
        <v>891</v>
      </c>
      <c r="G985">
        <v>101</v>
      </c>
      <c r="H985">
        <v>119</v>
      </c>
      <c r="I985">
        <v>1</v>
      </c>
      <c r="J985" t="s">
        <v>13</v>
      </c>
      <c r="K985">
        <v>0.76</v>
      </c>
      <c r="L985">
        <v>8.5</v>
      </c>
      <c r="M985" t="s">
        <v>20</v>
      </c>
      <c r="N985">
        <f t="shared" si="45"/>
        <v>2</v>
      </c>
      <c r="O985">
        <v>2014</v>
      </c>
      <c r="P985">
        <f t="shared" si="46"/>
        <v>6.7923444274708089</v>
      </c>
      <c r="Q985">
        <f t="shared" si="47"/>
        <v>3.9122229854308124</v>
      </c>
    </row>
    <row r="986" spans="1:17" hidden="1" x14ac:dyDescent="0.3">
      <c r="A986">
        <v>985</v>
      </c>
      <c r="B986">
        <v>610202</v>
      </c>
      <c r="C986" t="s">
        <v>1974</v>
      </c>
      <c r="D986" t="s">
        <v>1975</v>
      </c>
      <c r="E986">
        <v>120</v>
      </c>
      <c r="F986">
        <v>885</v>
      </c>
      <c r="G986">
        <v>3</v>
      </c>
      <c r="H986">
        <v>13</v>
      </c>
      <c r="I986">
        <v>4</v>
      </c>
      <c r="J986" t="s">
        <v>23</v>
      </c>
      <c r="K986">
        <v>0.87</v>
      </c>
      <c r="L986">
        <v>1.5</v>
      </c>
      <c r="M986" t="s">
        <v>20</v>
      </c>
      <c r="N986">
        <f t="shared" si="45"/>
        <v>2</v>
      </c>
      <c r="O986">
        <v>2015</v>
      </c>
      <c r="P986">
        <f t="shared" si="46"/>
        <v>6.7855876450079293</v>
      </c>
      <c r="Q986">
        <f t="shared" si="47"/>
        <v>4.7875750726433504</v>
      </c>
    </row>
    <row r="987" spans="1:17" x14ac:dyDescent="0.3">
      <c r="A987">
        <v>986</v>
      </c>
      <c r="B987">
        <v>783686</v>
      </c>
      <c r="C987" t="s">
        <v>1976</v>
      </c>
      <c r="D987" t="s">
        <v>1977</v>
      </c>
      <c r="E987">
        <v>20</v>
      </c>
      <c r="F987">
        <v>880</v>
      </c>
      <c r="G987">
        <v>6</v>
      </c>
      <c r="H987">
        <v>24</v>
      </c>
      <c r="I987">
        <v>1</v>
      </c>
      <c r="J987" t="s">
        <v>13</v>
      </c>
      <c r="K987">
        <v>0.84</v>
      </c>
      <c r="L987">
        <v>3</v>
      </c>
      <c r="M987" t="s">
        <v>20</v>
      </c>
      <c r="N987">
        <f t="shared" si="45"/>
        <v>2</v>
      </c>
      <c r="O987">
        <v>2016</v>
      </c>
      <c r="P987">
        <f t="shared" si="46"/>
        <v>6.7799219074722519</v>
      </c>
      <c r="Q987">
        <f t="shared" si="47"/>
        <v>2.996232148595642</v>
      </c>
    </row>
    <row r="988" spans="1:17" x14ac:dyDescent="0.3">
      <c r="A988">
        <v>987</v>
      </c>
      <c r="B988">
        <v>968292</v>
      </c>
      <c r="C988" t="s">
        <v>1978</v>
      </c>
      <c r="D988" t="s">
        <v>1979</v>
      </c>
      <c r="E988">
        <v>40</v>
      </c>
      <c r="F988">
        <v>878</v>
      </c>
      <c r="G988">
        <v>6</v>
      </c>
      <c r="H988">
        <v>8</v>
      </c>
      <c r="I988">
        <v>1</v>
      </c>
      <c r="J988" t="s">
        <v>13</v>
      </c>
      <c r="K988">
        <v>0.55000000000000004</v>
      </c>
      <c r="L988">
        <v>0.61666666999999997</v>
      </c>
      <c r="M988" t="s">
        <v>20</v>
      </c>
      <c r="N988">
        <f t="shared" si="45"/>
        <v>2</v>
      </c>
      <c r="O988">
        <v>2016</v>
      </c>
      <c r="P988">
        <f t="shared" si="46"/>
        <v>6.7776465936351169</v>
      </c>
      <c r="Q988">
        <f t="shared" si="47"/>
        <v>3.6891294228691436</v>
      </c>
    </row>
    <row r="989" spans="1:17" hidden="1" x14ac:dyDescent="0.3">
      <c r="A989">
        <v>988</v>
      </c>
      <c r="B989">
        <v>968278</v>
      </c>
      <c r="C989" t="s">
        <v>1980</v>
      </c>
      <c r="D989" t="s">
        <v>1981</v>
      </c>
      <c r="E989">
        <v>35</v>
      </c>
      <c r="F989">
        <v>877</v>
      </c>
      <c r="G989">
        <v>6</v>
      </c>
      <c r="H989">
        <v>7</v>
      </c>
      <c r="I989">
        <v>4</v>
      </c>
      <c r="J989" t="s">
        <v>23</v>
      </c>
      <c r="K989">
        <v>0.67</v>
      </c>
      <c r="L989">
        <v>0.53333333000000005</v>
      </c>
      <c r="M989" t="s">
        <v>20</v>
      </c>
      <c r="N989">
        <f t="shared" si="45"/>
        <v>2</v>
      </c>
      <c r="O989">
        <v>2016</v>
      </c>
      <c r="P989">
        <f t="shared" si="46"/>
        <v>6.776506992372183</v>
      </c>
      <c r="Q989">
        <f t="shared" si="47"/>
        <v>3.5556337349665741</v>
      </c>
    </row>
    <row r="990" spans="1:17" hidden="1" x14ac:dyDescent="0.3">
      <c r="A990">
        <v>989</v>
      </c>
      <c r="B990">
        <v>525114</v>
      </c>
      <c r="C990" t="s">
        <v>1982</v>
      </c>
      <c r="D990" t="s">
        <v>1983</v>
      </c>
      <c r="E990">
        <v>85</v>
      </c>
      <c r="F990">
        <v>876</v>
      </c>
      <c r="G990">
        <v>59</v>
      </c>
      <c r="H990">
        <v>28</v>
      </c>
      <c r="I990">
        <v>2</v>
      </c>
      <c r="J990" t="s">
        <v>32</v>
      </c>
      <c r="K990">
        <v>0.48</v>
      </c>
      <c r="L990">
        <v>2</v>
      </c>
      <c r="M990" t="s">
        <v>20</v>
      </c>
      <c r="N990">
        <f t="shared" si="45"/>
        <v>2</v>
      </c>
      <c r="O990">
        <v>2015</v>
      </c>
      <c r="P990">
        <f t="shared" si="46"/>
        <v>6.7753660909363917</v>
      </c>
      <c r="Q990">
        <f t="shared" si="47"/>
        <v>4.4427688966292678</v>
      </c>
    </row>
    <row r="991" spans="1:17" hidden="1" x14ac:dyDescent="0.3">
      <c r="A991">
        <v>990</v>
      </c>
      <c r="B991">
        <v>525034</v>
      </c>
      <c r="C991" t="s">
        <v>1984</v>
      </c>
      <c r="D991" t="s">
        <v>1985</v>
      </c>
      <c r="E991">
        <v>75</v>
      </c>
      <c r="F991">
        <v>876</v>
      </c>
      <c r="G991">
        <v>48</v>
      </c>
      <c r="H991">
        <v>29</v>
      </c>
      <c r="I991">
        <v>4</v>
      </c>
      <c r="J991" t="s">
        <v>23</v>
      </c>
      <c r="K991">
        <v>0.78</v>
      </c>
      <c r="L991">
        <v>3</v>
      </c>
      <c r="M991" t="s">
        <v>20</v>
      </c>
      <c r="N991">
        <f t="shared" si="45"/>
        <v>2</v>
      </c>
      <c r="O991">
        <v>2015</v>
      </c>
      <c r="P991">
        <f t="shared" si="46"/>
        <v>6.7753660909363917</v>
      </c>
      <c r="Q991">
        <f t="shared" si="47"/>
        <v>4.3176214379815452</v>
      </c>
    </row>
    <row r="992" spans="1:17" hidden="1" x14ac:dyDescent="0.3">
      <c r="A992">
        <v>991</v>
      </c>
      <c r="B992">
        <v>720356</v>
      </c>
      <c r="C992" t="s">
        <v>1986</v>
      </c>
      <c r="D992" t="s">
        <v>1987</v>
      </c>
      <c r="E992">
        <v>195</v>
      </c>
      <c r="F992">
        <v>869</v>
      </c>
      <c r="G992">
        <v>99</v>
      </c>
      <c r="H992">
        <v>38</v>
      </c>
      <c r="I992">
        <v>4</v>
      </c>
      <c r="J992" t="s">
        <v>23</v>
      </c>
      <c r="K992">
        <v>0.55000000000000004</v>
      </c>
      <c r="L992">
        <v>5</v>
      </c>
      <c r="M992" t="s">
        <v>20</v>
      </c>
      <c r="N992">
        <f t="shared" si="45"/>
        <v>2</v>
      </c>
      <c r="O992">
        <v>2016</v>
      </c>
      <c r="P992">
        <f t="shared" si="46"/>
        <v>6.7673431252653922</v>
      </c>
      <c r="Q992">
        <f t="shared" si="47"/>
        <v>5.273050839300149</v>
      </c>
    </row>
    <row r="993" spans="1:17" hidden="1" x14ac:dyDescent="0.3">
      <c r="A993">
        <v>992</v>
      </c>
      <c r="B993">
        <v>431576</v>
      </c>
      <c r="C993" t="s">
        <v>1988</v>
      </c>
      <c r="D993" t="s">
        <v>1989</v>
      </c>
      <c r="E993">
        <v>50</v>
      </c>
      <c r="F993">
        <v>869</v>
      </c>
      <c r="G993">
        <v>125</v>
      </c>
      <c r="H993">
        <v>78</v>
      </c>
      <c r="I993">
        <v>4</v>
      </c>
      <c r="J993" t="s">
        <v>23</v>
      </c>
      <c r="K993">
        <v>0.78</v>
      </c>
      <c r="L993">
        <v>14</v>
      </c>
      <c r="M993" t="s">
        <v>20</v>
      </c>
      <c r="N993">
        <f t="shared" si="45"/>
        <v>2</v>
      </c>
      <c r="O993">
        <v>2015</v>
      </c>
      <c r="P993">
        <f t="shared" si="46"/>
        <v>6.7673431252653922</v>
      </c>
      <c r="Q993">
        <f t="shared" si="47"/>
        <v>3.9122229854308124</v>
      </c>
    </row>
    <row r="994" spans="1:17" x14ac:dyDescent="0.3">
      <c r="A994">
        <v>993</v>
      </c>
      <c r="B994">
        <v>667992</v>
      </c>
      <c r="C994" t="s">
        <v>1990</v>
      </c>
      <c r="D994" t="s">
        <v>1991</v>
      </c>
      <c r="E994">
        <v>125</v>
      </c>
      <c r="F994">
        <v>867</v>
      </c>
      <c r="G994">
        <v>177</v>
      </c>
      <c r="H994">
        <v>48</v>
      </c>
      <c r="I994">
        <v>1</v>
      </c>
      <c r="J994" t="s">
        <v>13</v>
      </c>
      <c r="K994">
        <v>0.12</v>
      </c>
      <c r="L994">
        <v>4</v>
      </c>
      <c r="M994" t="s">
        <v>20</v>
      </c>
      <c r="N994">
        <f t="shared" si="45"/>
        <v>2</v>
      </c>
      <c r="O994">
        <v>2016</v>
      </c>
      <c r="P994">
        <f t="shared" si="46"/>
        <v>6.7650389767805414</v>
      </c>
      <c r="Q994">
        <f t="shared" si="47"/>
        <v>4.8283937341024714</v>
      </c>
    </row>
    <row r="995" spans="1:17" x14ac:dyDescent="0.3">
      <c r="A995">
        <v>994</v>
      </c>
      <c r="B995">
        <v>828042</v>
      </c>
      <c r="C995" t="s">
        <v>1992</v>
      </c>
      <c r="D995" t="s">
        <v>1993</v>
      </c>
      <c r="E995">
        <v>195</v>
      </c>
      <c r="F995">
        <v>860</v>
      </c>
      <c r="G995">
        <v>201</v>
      </c>
      <c r="H995">
        <v>56</v>
      </c>
      <c r="I995">
        <v>1</v>
      </c>
      <c r="J995" t="s">
        <v>13</v>
      </c>
      <c r="K995">
        <v>0.1</v>
      </c>
      <c r="L995">
        <v>7</v>
      </c>
      <c r="M995" t="s">
        <v>20</v>
      </c>
      <c r="N995">
        <f t="shared" si="45"/>
        <v>2</v>
      </c>
      <c r="O995">
        <v>2016</v>
      </c>
      <c r="P995">
        <f t="shared" si="46"/>
        <v>6.7569323892475532</v>
      </c>
      <c r="Q995">
        <f t="shared" si="47"/>
        <v>5.273050839300149</v>
      </c>
    </row>
    <row r="996" spans="1:17" hidden="1" x14ac:dyDescent="0.3">
      <c r="A996">
        <v>995</v>
      </c>
      <c r="B996">
        <v>712960</v>
      </c>
      <c r="C996" t="s">
        <v>1994</v>
      </c>
      <c r="D996" t="s">
        <v>1995</v>
      </c>
      <c r="E996">
        <v>50</v>
      </c>
      <c r="F996">
        <v>851</v>
      </c>
      <c r="G996">
        <v>164</v>
      </c>
      <c r="H996">
        <v>75</v>
      </c>
      <c r="I996">
        <v>4</v>
      </c>
      <c r="J996" t="s">
        <v>23</v>
      </c>
      <c r="K996">
        <v>0.11</v>
      </c>
      <c r="L996">
        <v>4.5</v>
      </c>
      <c r="M996" t="s">
        <v>20</v>
      </c>
      <c r="N996">
        <f t="shared" si="45"/>
        <v>2</v>
      </c>
      <c r="O996">
        <v>2016</v>
      </c>
      <c r="P996">
        <f t="shared" si="46"/>
        <v>6.7464121285733745</v>
      </c>
      <c r="Q996">
        <f t="shared" si="47"/>
        <v>3.9122229854308124</v>
      </c>
    </row>
    <row r="997" spans="1:17" hidden="1" x14ac:dyDescent="0.3">
      <c r="A997">
        <v>996</v>
      </c>
      <c r="B997">
        <v>818958</v>
      </c>
      <c r="C997" t="s">
        <v>1996</v>
      </c>
      <c r="D997" t="s">
        <v>1997</v>
      </c>
      <c r="E997">
        <v>35</v>
      </c>
      <c r="F997">
        <v>850</v>
      </c>
      <c r="G997">
        <v>12</v>
      </c>
      <c r="H997">
        <v>16</v>
      </c>
      <c r="I997">
        <v>4</v>
      </c>
      <c r="J997" t="s">
        <v>23</v>
      </c>
      <c r="K997">
        <v>0.78</v>
      </c>
      <c r="L997">
        <v>1</v>
      </c>
      <c r="M997" t="s">
        <v>20</v>
      </c>
      <c r="N997">
        <f t="shared" si="45"/>
        <v>2</v>
      </c>
      <c r="O997">
        <v>2016</v>
      </c>
      <c r="P997">
        <f t="shared" si="46"/>
        <v>6.7452363494843626</v>
      </c>
      <c r="Q997">
        <f t="shared" si="47"/>
        <v>3.5556337349665741</v>
      </c>
    </row>
    <row r="998" spans="1:17" x14ac:dyDescent="0.3">
      <c r="A998">
        <v>997</v>
      </c>
      <c r="B998">
        <v>978728</v>
      </c>
      <c r="C998" t="s">
        <v>1998</v>
      </c>
      <c r="D998" t="s">
        <v>1999</v>
      </c>
      <c r="E998">
        <v>200</v>
      </c>
      <c r="F998">
        <v>842</v>
      </c>
      <c r="G998">
        <v>144</v>
      </c>
      <c r="H998">
        <v>536</v>
      </c>
      <c r="I998">
        <v>1</v>
      </c>
      <c r="J998" t="s">
        <v>13</v>
      </c>
      <c r="K998">
        <v>0.8</v>
      </c>
      <c r="L998">
        <v>25</v>
      </c>
      <c r="M998" t="s">
        <v>20</v>
      </c>
      <c r="N998">
        <f t="shared" si="45"/>
        <v>2</v>
      </c>
      <c r="O998">
        <v>2016</v>
      </c>
      <c r="P998">
        <f t="shared" si="46"/>
        <v>6.7357800142423265</v>
      </c>
      <c r="Q998">
        <f t="shared" si="47"/>
        <v>5.2983673652980787</v>
      </c>
    </row>
    <row r="999" spans="1:17" hidden="1" x14ac:dyDescent="0.3">
      <c r="A999">
        <v>998</v>
      </c>
      <c r="B999">
        <v>680180</v>
      </c>
      <c r="C999" t="s">
        <v>2000</v>
      </c>
      <c r="D999" t="s">
        <v>2001</v>
      </c>
      <c r="E999">
        <v>40</v>
      </c>
      <c r="F999">
        <v>841</v>
      </c>
      <c r="G999">
        <v>99</v>
      </c>
      <c r="H999">
        <v>29</v>
      </c>
      <c r="I999">
        <v>4</v>
      </c>
      <c r="J999" t="s">
        <v>23</v>
      </c>
      <c r="K999">
        <v>0.92</v>
      </c>
      <c r="L999">
        <v>3.5</v>
      </c>
      <c r="M999" t="s">
        <v>20</v>
      </c>
      <c r="N999">
        <f t="shared" si="45"/>
        <v>2</v>
      </c>
      <c r="O999">
        <v>2015</v>
      </c>
      <c r="P999">
        <f t="shared" si="46"/>
        <v>6.7345916599729483</v>
      </c>
      <c r="Q999">
        <f t="shared" si="47"/>
        <v>3.6891294228691436</v>
      </c>
    </row>
    <row r="1000" spans="1:17" hidden="1" x14ac:dyDescent="0.3">
      <c r="A1000">
        <v>999</v>
      </c>
      <c r="B1000">
        <v>869448</v>
      </c>
      <c r="C1000" t="s">
        <v>2002</v>
      </c>
      <c r="D1000" t="s">
        <v>2003</v>
      </c>
      <c r="E1000">
        <v>25</v>
      </c>
      <c r="F1000">
        <v>838</v>
      </c>
      <c r="G1000">
        <v>13</v>
      </c>
      <c r="H1000">
        <v>23</v>
      </c>
      <c r="I1000">
        <v>4</v>
      </c>
      <c r="J1000" t="s">
        <v>23</v>
      </c>
      <c r="K1000">
        <v>0.86</v>
      </c>
      <c r="L1000">
        <v>2</v>
      </c>
      <c r="M1000" t="s">
        <v>20</v>
      </c>
      <c r="N1000">
        <f t="shared" si="45"/>
        <v>2</v>
      </c>
      <c r="O1000">
        <v>2016</v>
      </c>
      <c r="P1000">
        <f t="shared" si="46"/>
        <v>6.7310181004820828</v>
      </c>
      <c r="Q1000">
        <f t="shared" si="47"/>
        <v>3.2192757448895279</v>
      </c>
    </row>
    <row r="1001" spans="1:17" hidden="1" x14ac:dyDescent="0.3">
      <c r="A1001">
        <v>1000</v>
      </c>
      <c r="B1001">
        <v>1226008</v>
      </c>
      <c r="C1001" t="s">
        <v>2004</v>
      </c>
      <c r="D1001" t="s">
        <v>2005</v>
      </c>
      <c r="E1001">
        <v>95</v>
      </c>
      <c r="F1001">
        <v>817</v>
      </c>
      <c r="G1001">
        <v>6</v>
      </c>
      <c r="H1001">
        <v>32</v>
      </c>
      <c r="I1001">
        <v>4</v>
      </c>
      <c r="J1001" t="s">
        <v>23</v>
      </c>
      <c r="K1001">
        <v>0.18</v>
      </c>
      <c r="L1001">
        <v>1.5</v>
      </c>
      <c r="M1001" t="s">
        <v>20</v>
      </c>
      <c r="N1001">
        <f t="shared" si="45"/>
        <v>2</v>
      </c>
      <c r="O1001">
        <v>2017</v>
      </c>
      <c r="P1001">
        <f t="shared" si="46"/>
        <v>6.7056390948600031</v>
      </c>
      <c r="Q1001">
        <f t="shared" si="47"/>
        <v>4.5539821492186583</v>
      </c>
    </row>
    <row r="1002" spans="1:17" x14ac:dyDescent="0.3">
      <c r="A1002">
        <v>1001</v>
      </c>
      <c r="B1002">
        <v>576054</v>
      </c>
      <c r="C1002" t="s">
        <v>2006</v>
      </c>
      <c r="D1002" t="s">
        <v>2007</v>
      </c>
      <c r="E1002">
        <v>150</v>
      </c>
      <c r="F1002">
        <v>817</v>
      </c>
      <c r="G1002">
        <v>164</v>
      </c>
      <c r="H1002">
        <v>131</v>
      </c>
      <c r="I1002">
        <v>1</v>
      </c>
      <c r="J1002" t="s">
        <v>13</v>
      </c>
      <c r="K1002">
        <v>0.63</v>
      </c>
      <c r="L1002">
        <v>19.5</v>
      </c>
      <c r="M1002" t="s">
        <v>20</v>
      </c>
      <c r="N1002">
        <f t="shared" si="45"/>
        <v>2</v>
      </c>
      <c r="O1002">
        <v>2016</v>
      </c>
      <c r="P1002">
        <f t="shared" si="46"/>
        <v>6.7056390948600031</v>
      </c>
      <c r="Q1002">
        <f t="shared" si="47"/>
        <v>5.0107019585407988</v>
      </c>
    </row>
    <row r="1003" spans="1:17" hidden="1" x14ac:dyDescent="0.3">
      <c r="A1003">
        <v>1002</v>
      </c>
      <c r="B1003">
        <v>1018530</v>
      </c>
      <c r="C1003" t="s">
        <v>2008</v>
      </c>
      <c r="D1003" t="s">
        <v>2009</v>
      </c>
      <c r="E1003">
        <v>40</v>
      </c>
      <c r="F1003">
        <v>803</v>
      </c>
      <c r="G1003">
        <v>2</v>
      </c>
      <c r="H1003">
        <v>7</v>
      </c>
      <c r="I1003">
        <v>4</v>
      </c>
      <c r="J1003" t="s">
        <v>23</v>
      </c>
      <c r="K1003">
        <v>0.34</v>
      </c>
      <c r="L1003">
        <v>0.51666666999999999</v>
      </c>
      <c r="M1003" t="s">
        <v>20</v>
      </c>
      <c r="N1003">
        <f t="shared" si="45"/>
        <v>2</v>
      </c>
      <c r="O1003">
        <v>2016</v>
      </c>
      <c r="P1003">
        <f t="shared" si="46"/>
        <v>6.6883547139467616</v>
      </c>
      <c r="Q1003">
        <f t="shared" si="47"/>
        <v>3.6891294228691436</v>
      </c>
    </row>
    <row r="1004" spans="1:17" x14ac:dyDescent="0.3">
      <c r="A1004">
        <v>1003</v>
      </c>
      <c r="B1004">
        <v>1021594</v>
      </c>
      <c r="C1004" t="s">
        <v>2010</v>
      </c>
      <c r="D1004" t="s">
        <v>2011</v>
      </c>
      <c r="E1004">
        <v>40</v>
      </c>
      <c r="F1004">
        <v>802</v>
      </c>
      <c r="G1004">
        <v>6</v>
      </c>
      <c r="H1004">
        <v>9</v>
      </c>
      <c r="I1004">
        <v>1</v>
      </c>
      <c r="J1004" t="s">
        <v>13</v>
      </c>
      <c r="K1004">
        <v>0.56000000000000005</v>
      </c>
      <c r="L1004">
        <v>0.63333333000000003</v>
      </c>
      <c r="M1004" t="s">
        <v>20</v>
      </c>
      <c r="N1004">
        <f t="shared" si="45"/>
        <v>2</v>
      </c>
      <c r="O1004">
        <v>2016</v>
      </c>
      <c r="P1004">
        <f t="shared" si="46"/>
        <v>6.6871086078665147</v>
      </c>
      <c r="Q1004">
        <f t="shared" si="47"/>
        <v>3.6891294228691436</v>
      </c>
    </row>
    <row r="1005" spans="1:17" x14ac:dyDescent="0.3">
      <c r="A1005">
        <v>1004</v>
      </c>
      <c r="B1005">
        <v>832478</v>
      </c>
      <c r="C1005" t="s">
        <v>2012</v>
      </c>
      <c r="D1005" t="s">
        <v>2013</v>
      </c>
      <c r="E1005">
        <v>95</v>
      </c>
      <c r="F1005">
        <v>799</v>
      </c>
      <c r="G1005">
        <v>87</v>
      </c>
      <c r="H1005">
        <v>41</v>
      </c>
      <c r="I1005">
        <v>1</v>
      </c>
      <c r="J1005" t="s">
        <v>13</v>
      </c>
      <c r="K1005">
        <v>0.96</v>
      </c>
      <c r="L1005">
        <v>6</v>
      </c>
      <c r="M1005" t="s">
        <v>20</v>
      </c>
      <c r="N1005">
        <f t="shared" si="45"/>
        <v>2</v>
      </c>
      <c r="O1005">
        <v>2016</v>
      </c>
      <c r="P1005">
        <f t="shared" si="46"/>
        <v>6.6833609457662746</v>
      </c>
      <c r="Q1005">
        <f t="shared" si="47"/>
        <v>4.5539821492186583</v>
      </c>
    </row>
    <row r="1006" spans="1:17" x14ac:dyDescent="0.3">
      <c r="A1006">
        <v>1005</v>
      </c>
      <c r="B1006">
        <v>935014</v>
      </c>
      <c r="C1006" t="s">
        <v>2014</v>
      </c>
      <c r="D1006" t="s">
        <v>2015</v>
      </c>
      <c r="E1006">
        <v>20</v>
      </c>
      <c r="F1006">
        <v>796</v>
      </c>
      <c r="G1006">
        <v>3</v>
      </c>
      <c r="H1006">
        <v>18</v>
      </c>
      <c r="I1006">
        <v>1</v>
      </c>
      <c r="J1006" t="s">
        <v>13</v>
      </c>
      <c r="K1006">
        <v>0.11</v>
      </c>
      <c r="L1006">
        <v>1</v>
      </c>
      <c r="M1006" t="s">
        <v>20</v>
      </c>
      <c r="N1006">
        <f t="shared" si="45"/>
        <v>2</v>
      </c>
      <c r="O1006">
        <v>2016</v>
      </c>
      <c r="P1006">
        <f t="shared" si="46"/>
        <v>6.6795991858443831</v>
      </c>
      <c r="Q1006">
        <f t="shared" si="47"/>
        <v>2.996232148595642</v>
      </c>
    </row>
    <row r="1007" spans="1:17" x14ac:dyDescent="0.3">
      <c r="A1007">
        <v>1006</v>
      </c>
      <c r="B1007">
        <v>910838</v>
      </c>
      <c r="C1007" t="s">
        <v>2016</v>
      </c>
      <c r="D1007" t="s">
        <v>2017</v>
      </c>
      <c r="E1007">
        <v>40</v>
      </c>
      <c r="F1007">
        <v>796</v>
      </c>
      <c r="G1007">
        <v>43</v>
      </c>
      <c r="H1007">
        <v>29</v>
      </c>
      <c r="I1007">
        <v>1</v>
      </c>
      <c r="J1007" t="s">
        <v>13</v>
      </c>
      <c r="K1007">
        <v>0.8</v>
      </c>
      <c r="L1007">
        <v>4</v>
      </c>
      <c r="M1007" t="s">
        <v>20</v>
      </c>
      <c r="N1007">
        <f t="shared" si="45"/>
        <v>2</v>
      </c>
      <c r="O1007">
        <v>2016</v>
      </c>
      <c r="P1007">
        <f t="shared" si="46"/>
        <v>6.6795991858443831</v>
      </c>
      <c r="Q1007">
        <f t="shared" si="47"/>
        <v>3.6891294228691436</v>
      </c>
    </row>
    <row r="1008" spans="1:17" x14ac:dyDescent="0.3">
      <c r="A1008">
        <v>1007</v>
      </c>
      <c r="B1008">
        <v>690966</v>
      </c>
      <c r="C1008" t="s">
        <v>2018</v>
      </c>
      <c r="D1008" t="s">
        <v>2019</v>
      </c>
      <c r="E1008">
        <v>20</v>
      </c>
      <c r="F1008">
        <v>791</v>
      </c>
      <c r="G1008">
        <v>29</v>
      </c>
      <c r="H1008">
        <v>24</v>
      </c>
      <c r="I1008">
        <v>1</v>
      </c>
      <c r="J1008" t="s">
        <v>13</v>
      </c>
      <c r="K1008">
        <v>0.32</v>
      </c>
      <c r="L1008">
        <v>2.5</v>
      </c>
      <c r="M1008" t="s">
        <v>20</v>
      </c>
      <c r="N1008">
        <f t="shared" si="45"/>
        <v>2</v>
      </c>
      <c r="O1008">
        <v>2016</v>
      </c>
      <c r="P1008">
        <f t="shared" si="46"/>
        <v>6.6732979677676543</v>
      </c>
      <c r="Q1008">
        <f t="shared" si="47"/>
        <v>2.996232148595642</v>
      </c>
    </row>
    <row r="1009" spans="1:17" hidden="1" x14ac:dyDescent="0.3">
      <c r="A1009">
        <v>1008</v>
      </c>
      <c r="B1009">
        <v>145812</v>
      </c>
      <c r="C1009" t="s">
        <v>2020</v>
      </c>
      <c r="D1009" t="s">
        <v>2021</v>
      </c>
      <c r="E1009">
        <v>20</v>
      </c>
      <c r="F1009">
        <v>791</v>
      </c>
      <c r="G1009">
        <v>8</v>
      </c>
      <c r="H1009">
        <v>16</v>
      </c>
      <c r="I1009">
        <v>4</v>
      </c>
      <c r="J1009" t="s">
        <v>23</v>
      </c>
      <c r="K1009">
        <v>0.96</v>
      </c>
      <c r="L1009">
        <v>1</v>
      </c>
      <c r="M1009" t="s">
        <v>20</v>
      </c>
      <c r="N1009">
        <f t="shared" si="45"/>
        <v>2</v>
      </c>
      <c r="O1009">
        <v>2014</v>
      </c>
      <c r="P1009">
        <f t="shared" si="46"/>
        <v>6.6732979677676543</v>
      </c>
      <c r="Q1009">
        <f t="shared" si="47"/>
        <v>2.996232148595642</v>
      </c>
    </row>
    <row r="1010" spans="1:17" hidden="1" x14ac:dyDescent="0.3">
      <c r="A1010">
        <v>1009</v>
      </c>
      <c r="B1010">
        <v>113888</v>
      </c>
      <c r="C1010" t="s">
        <v>2022</v>
      </c>
      <c r="D1010" t="s">
        <v>2023</v>
      </c>
      <c r="E1010">
        <v>50</v>
      </c>
      <c r="F1010">
        <v>788</v>
      </c>
      <c r="G1010">
        <v>21</v>
      </c>
      <c r="H1010">
        <v>25</v>
      </c>
      <c r="I1010">
        <v>4</v>
      </c>
      <c r="J1010" t="s">
        <v>23</v>
      </c>
      <c r="K1010">
        <v>0.68</v>
      </c>
      <c r="L1010">
        <v>2</v>
      </c>
      <c r="M1010" t="s">
        <v>20</v>
      </c>
      <c r="N1010">
        <f t="shared" si="45"/>
        <v>2</v>
      </c>
      <c r="O1010">
        <v>2013</v>
      </c>
      <c r="P1010">
        <f t="shared" si="46"/>
        <v>6.6694980898578793</v>
      </c>
      <c r="Q1010">
        <f t="shared" si="47"/>
        <v>3.9122229854308124</v>
      </c>
    </row>
    <row r="1011" spans="1:17" x14ac:dyDescent="0.3">
      <c r="A1011">
        <v>1010</v>
      </c>
      <c r="B1011">
        <v>958982</v>
      </c>
      <c r="C1011" t="s">
        <v>2024</v>
      </c>
      <c r="D1011" t="s">
        <v>2025</v>
      </c>
      <c r="E1011">
        <v>25</v>
      </c>
      <c r="F1011">
        <v>785</v>
      </c>
      <c r="G1011">
        <v>20</v>
      </c>
      <c r="H1011">
        <v>25</v>
      </c>
      <c r="I1011">
        <v>1</v>
      </c>
      <c r="J1011" t="s">
        <v>13</v>
      </c>
      <c r="K1011">
        <v>0.86</v>
      </c>
      <c r="L1011">
        <v>1</v>
      </c>
      <c r="M1011" t="s">
        <v>20</v>
      </c>
      <c r="N1011">
        <f t="shared" si="45"/>
        <v>2</v>
      </c>
      <c r="O1011">
        <v>2016</v>
      </c>
      <c r="P1011">
        <f t="shared" si="46"/>
        <v>6.6656837177824082</v>
      </c>
      <c r="Q1011">
        <f t="shared" si="47"/>
        <v>3.2192757448895279</v>
      </c>
    </row>
    <row r="1012" spans="1:17" hidden="1" x14ac:dyDescent="0.3">
      <c r="A1012">
        <v>1011</v>
      </c>
      <c r="B1012">
        <v>913966</v>
      </c>
      <c r="C1012" t="s">
        <v>2026</v>
      </c>
      <c r="D1012" t="s">
        <v>2027</v>
      </c>
      <c r="E1012">
        <v>20</v>
      </c>
      <c r="F1012">
        <v>783</v>
      </c>
      <c r="G1012">
        <v>20</v>
      </c>
      <c r="H1012">
        <v>13</v>
      </c>
      <c r="I1012">
        <v>4</v>
      </c>
      <c r="J1012" t="s">
        <v>23</v>
      </c>
      <c r="K1012">
        <v>0.89</v>
      </c>
      <c r="L1012">
        <v>0.61666666999999997</v>
      </c>
      <c r="M1012" t="s">
        <v>20</v>
      </c>
      <c r="N1012">
        <f t="shared" si="45"/>
        <v>2</v>
      </c>
      <c r="O1012">
        <v>2016</v>
      </c>
      <c r="P1012">
        <f t="shared" si="46"/>
        <v>6.6631326959908028</v>
      </c>
      <c r="Q1012">
        <f t="shared" si="47"/>
        <v>2.996232148595642</v>
      </c>
    </row>
    <row r="1013" spans="1:17" x14ac:dyDescent="0.3">
      <c r="A1013">
        <v>1012</v>
      </c>
      <c r="B1013">
        <v>1243474</v>
      </c>
      <c r="C1013" t="s">
        <v>2028</v>
      </c>
      <c r="D1013" t="s">
        <v>2029</v>
      </c>
      <c r="E1013">
        <v>115</v>
      </c>
      <c r="F1013">
        <v>783</v>
      </c>
      <c r="G1013">
        <v>5</v>
      </c>
      <c r="H1013">
        <v>13</v>
      </c>
      <c r="I1013">
        <v>1</v>
      </c>
      <c r="J1013" t="s">
        <v>13</v>
      </c>
      <c r="K1013">
        <v>0.94</v>
      </c>
      <c r="L1013">
        <v>1</v>
      </c>
      <c r="M1013" t="s">
        <v>20</v>
      </c>
      <c r="N1013">
        <f t="shared" si="45"/>
        <v>2</v>
      </c>
      <c r="O1013">
        <v>2017</v>
      </c>
      <c r="P1013">
        <f t="shared" si="46"/>
        <v>6.6631326959908028</v>
      </c>
      <c r="Q1013">
        <f t="shared" si="47"/>
        <v>4.7450190811044903</v>
      </c>
    </row>
    <row r="1014" spans="1:17" x14ac:dyDescent="0.3">
      <c r="A1014">
        <v>1013</v>
      </c>
      <c r="B1014">
        <v>862478</v>
      </c>
      <c r="C1014" t="s">
        <v>2030</v>
      </c>
      <c r="D1014" t="s">
        <v>2031</v>
      </c>
      <c r="E1014">
        <v>30</v>
      </c>
      <c r="F1014">
        <v>775</v>
      </c>
      <c r="G1014">
        <v>245</v>
      </c>
      <c r="H1014">
        <v>82</v>
      </c>
      <c r="I1014">
        <v>1</v>
      </c>
      <c r="J1014" t="s">
        <v>13</v>
      </c>
      <c r="K1014">
        <v>0.15</v>
      </c>
      <c r="L1014">
        <v>8</v>
      </c>
      <c r="M1014" t="s">
        <v>20</v>
      </c>
      <c r="N1014">
        <f t="shared" si="45"/>
        <v>2</v>
      </c>
      <c r="O1014">
        <v>2016</v>
      </c>
      <c r="P1014">
        <f t="shared" si="46"/>
        <v>6.6528630293533473</v>
      </c>
      <c r="Q1014">
        <f t="shared" si="47"/>
        <v>3.4015306594522756</v>
      </c>
    </row>
    <row r="1015" spans="1:17" x14ac:dyDescent="0.3">
      <c r="A1015">
        <v>1014</v>
      </c>
      <c r="B1015">
        <v>152244</v>
      </c>
      <c r="C1015" t="s">
        <v>2032</v>
      </c>
      <c r="D1015" t="s">
        <v>2033</v>
      </c>
      <c r="E1015">
        <v>35</v>
      </c>
      <c r="F1015">
        <v>770</v>
      </c>
      <c r="G1015">
        <v>65</v>
      </c>
      <c r="H1015">
        <v>84</v>
      </c>
      <c r="I1015">
        <v>1</v>
      </c>
      <c r="J1015" t="s">
        <v>13</v>
      </c>
      <c r="K1015">
        <v>0.62</v>
      </c>
      <c r="L1015">
        <v>8</v>
      </c>
      <c r="M1015" t="s">
        <v>20</v>
      </c>
      <c r="N1015">
        <f t="shared" si="45"/>
        <v>2</v>
      </c>
      <c r="O1015">
        <v>2014</v>
      </c>
      <c r="P1015">
        <f t="shared" si="46"/>
        <v>6.6463905148477291</v>
      </c>
      <c r="Q1015">
        <f t="shared" si="47"/>
        <v>3.5556337349665741</v>
      </c>
    </row>
    <row r="1016" spans="1:17" x14ac:dyDescent="0.3">
      <c r="A1016">
        <v>1015</v>
      </c>
      <c r="B1016">
        <v>969348</v>
      </c>
      <c r="C1016" t="s">
        <v>2034</v>
      </c>
      <c r="D1016" t="s">
        <v>2035</v>
      </c>
      <c r="E1016">
        <v>30</v>
      </c>
      <c r="F1016">
        <v>770</v>
      </c>
      <c r="G1016">
        <v>0</v>
      </c>
      <c r="H1016">
        <v>8</v>
      </c>
      <c r="I1016">
        <v>1</v>
      </c>
      <c r="J1016" t="s">
        <v>13</v>
      </c>
      <c r="K1016">
        <v>0.82</v>
      </c>
      <c r="L1016">
        <v>0.63333333000000003</v>
      </c>
      <c r="M1016" t="s">
        <v>20</v>
      </c>
      <c r="N1016">
        <f t="shared" si="45"/>
        <v>2</v>
      </c>
      <c r="O1016">
        <v>2016</v>
      </c>
      <c r="P1016">
        <f t="shared" si="46"/>
        <v>6.6463905148477291</v>
      </c>
      <c r="Q1016">
        <f t="shared" si="47"/>
        <v>3.4015306594522756</v>
      </c>
    </row>
    <row r="1017" spans="1:17" x14ac:dyDescent="0.3">
      <c r="A1017">
        <v>1016</v>
      </c>
      <c r="B1017">
        <v>909244</v>
      </c>
      <c r="C1017" t="s">
        <v>2036</v>
      </c>
      <c r="D1017" t="s">
        <v>2037</v>
      </c>
      <c r="E1017">
        <v>95</v>
      </c>
      <c r="F1017">
        <v>767</v>
      </c>
      <c r="G1017">
        <v>104</v>
      </c>
      <c r="H1017">
        <v>81</v>
      </c>
      <c r="I1017">
        <v>1</v>
      </c>
      <c r="J1017" t="s">
        <v>13</v>
      </c>
      <c r="K1017">
        <v>0.49</v>
      </c>
      <c r="L1017">
        <v>5.5</v>
      </c>
      <c r="M1017" t="s">
        <v>20</v>
      </c>
      <c r="N1017">
        <f t="shared" si="45"/>
        <v>2</v>
      </c>
      <c r="O1017">
        <v>2016</v>
      </c>
      <c r="P1017">
        <f t="shared" si="46"/>
        <v>6.642486801367256</v>
      </c>
      <c r="Q1017">
        <f t="shared" si="47"/>
        <v>4.5539821492186583</v>
      </c>
    </row>
    <row r="1018" spans="1:17" hidden="1" x14ac:dyDescent="0.3">
      <c r="A1018">
        <v>1017</v>
      </c>
      <c r="B1018">
        <v>971022</v>
      </c>
      <c r="C1018" t="s">
        <v>2038</v>
      </c>
      <c r="D1018" t="s">
        <v>2039</v>
      </c>
      <c r="E1018">
        <v>35</v>
      </c>
      <c r="F1018">
        <v>764</v>
      </c>
      <c r="G1018">
        <v>7</v>
      </c>
      <c r="H1018">
        <v>8</v>
      </c>
      <c r="I1018">
        <v>4</v>
      </c>
      <c r="J1018" t="s">
        <v>23</v>
      </c>
      <c r="K1018">
        <v>0.11</v>
      </c>
      <c r="L1018">
        <v>1</v>
      </c>
      <c r="M1018" t="s">
        <v>20</v>
      </c>
      <c r="N1018">
        <f t="shared" si="45"/>
        <v>2</v>
      </c>
      <c r="O1018">
        <v>2016</v>
      </c>
      <c r="P1018">
        <f t="shared" si="46"/>
        <v>6.6385677891665207</v>
      </c>
      <c r="Q1018">
        <f t="shared" si="47"/>
        <v>3.5556337349665741</v>
      </c>
    </row>
    <row r="1019" spans="1:17" hidden="1" x14ac:dyDescent="0.3">
      <c r="A1019">
        <v>1018</v>
      </c>
      <c r="B1019">
        <v>691760</v>
      </c>
      <c r="C1019" t="s">
        <v>2040</v>
      </c>
      <c r="D1019" t="s">
        <v>2041</v>
      </c>
      <c r="E1019">
        <v>65</v>
      </c>
      <c r="F1019">
        <v>755</v>
      </c>
      <c r="G1019">
        <v>5</v>
      </c>
      <c r="H1019">
        <v>18</v>
      </c>
      <c r="I1019">
        <v>2</v>
      </c>
      <c r="J1019" t="s">
        <v>32</v>
      </c>
      <c r="K1019">
        <v>0.74</v>
      </c>
      <c r="L1019">
        <v>2</v>
      </c>
      <c r="M1019" t="s">
        <v>20</v>
      </c>
      <c r="N1019">
        <f t="shared" si="45"/>
        <v>2</v>
      </c>
      <c r="O1019">
        <v>2016</v>
      </c>
      <c r="P1019">
        <f t="shared" si="46"/>
        <v>6.6267177492490248</v>
      </c>
      <c r="Q1019">
        <f t="shared" si="47"/>
        <v>4.1745411042163774</v>
      </c>
    </row>
    <row r="1020" spans="1:17" hidden="1" x14ac:dyDescent="0.3">
      <c r="A1020">
        <v>1019</v>
      </c>
      <c r="B1020">
        <v>969170</v>
      </c>
      <c r="C1020" t="s">
        <v>2042</v>
      </c>
      <c r="D1020" t="s">
        <v>2043</v>
      </c>
      <c r="E1020">
        <v>35</v>
      </c>
      <c r="F1020">
        <v>755</v>
      </c>
      <c r="G1020">
        <v>0</v>
      </c>
      <c r="H1020">
        <v>7</v>
      </c>
      <c r="I1020">
        <v>4</v>
      </c>
      <c r="J1020" t="s">
        <v>23</v>
      </c>
      <c r="K1020">
        <v>0.24</v>
      </c>
      <c r="L1020">
        <v>0.7</v>
      </c>
      <c r="M1020" t="s">
        <v>20</v>
      </c>
      <c r="N1020">
        <f t="shared" si="45"/>
        <v>2</v>
      </c>
      <c r="O1020">
        <v>2016</v>
      </c>
      <c r="P1020">
        <f t="shared" si="46"/>
        <v>6.6267177492490248</v>
      </c>
      <c r="Q1020">
        <f t="shared" si="47"/>
        <v>3.5556337349665741</v>
      </c>
    </row>
    <row r="1021" spans="1:17" hidden="1" x14ac:dyDescent="0.3">
      <c r="A1021">
        <v>1020</v>
      </c>
      <c r="B1021">
        <v>661878</v>
      </c>
      <c r="C1021" t="s">
        <v>2044</v>
      </c>
      <c r="D1021" t="s">
        <v>2045</v>
      </c>
      <c r="E1021">
        <v>30</v>
      </c>
      <c r="F1021">
        <v>746</v>
      </c>
      <c r="G1021">
        <v>93</v>
      </c>
      <c r="H1021">
        <v>39</v>
      </c>
      <c r="I1021">
        <v>4</v>
      </c>
      <c r="J1021" t="s">
        <v>23</v>
      </c>
      <c r="K1021">
        <v>0.11</v>
      </c>
      <c r="L1021">
        <v>6.5</v>
      </c>
      <c r="M1021" t="s">
        <v>20</v>
      </c>
      <c r="N1021">
        <f t="shared" si="45"/>
        <v>2</v>
      </c>
      <c r="O1021">
        <v>2015</v>
      </c>
      <c r="P1021">
        <f t="shared" si="46"/>
        <v>6.6147256002037604</v>
      </c>
      <c r="Q1021">
        <f t="shared" si="47"/>
        <v>3.4015306594522756</v>
      </c>
    </row>
    <row r="1022" spans="1:17" x14ac:dyDescent="0.3">
      <c r="A1022">
        <v>1021</v>
      </c>
      <c r="B1022">
        <v>599628</v>
      </c>
      <c r="C1022" t="s">
        <v>2046</v>
      </c>
      <c r="D1022" t="s">
        <v>2047</v>
      </c>
      <c r="E1022">
        <v>120</v>
      </c>
      <c r="F1022">
        <v>735</v>
      </c>
      <c r="G1022">
        <v>16</v>
      </c>
      <c r="H1022">
        <v>30</v>
      </c>
      <c r="I1022">
        <v>1</v>
      </c>
      <c r="J1022" t="s">
        <v>13</v>
      </c>
      <c r="K1022">
        <v>0.14000000000000001</v>
      </c>
      <c r="L1022">
        <v>1.5</v>
      </c>
      <c r="M1022" t="s">
        <v>20</v>
      </c>
      <c r="N1022">
        <f t="shared" si="45"/>
        <v>2</v>
      </c>
      <c r="O1022">
        <v>2015</v>
      </c>
      <c r="P1022">
        <f t="shared" si="46"/>
        <v>6.5998704992128365</v>
      </c>
      <c r="Q1022">
        <f t="shared" si="47"/>
        <v>4.7875750726433504</v>
      </c>
    </row>
    <row r="1023" spans="1:17" hidden="1" x14ac:dyDescent="0.3">
      <c r="A1023">
        <v>1022</v>
      </c>
      <c r="B1023">
        <v>1252318</v>
      </c>
      <c r="C1023" t="s">
        <v>2048</v>
      </c>
      <c r="D1023" t="s">
        <v>2049</v>
      </c>
      <c r="E1023">
        <v>85</v>
      </c>
      <c r="F1023">
        <v>733</v>
      </c>
      <c r="G1023">
        <v>104</v>
      </c>
      <c r="H1023">
        <v>50</v>
      </c>
      <c r="I1023">
        <v>4</v>
      </c>
      <c r="J1023" t="s">
        <v>23</v>
      </c>
      <c r="K1023">
        <v>0.15</v>
      </c>
      <c r="L1023">
        <v>3</v>
      </c>
      <c r="M1023" t="s">
        <v>20</v>
      </c>
      <c r="N1023">
        <f t="shared" si="45"/>
        <v>2</v>
      </c>
      <c r="O1023">
        <v>2017</v>
      </c>
      <c r="P1023">
        <f t="shared" si="46"/>
        <v>6.5971457018866513</v>
      </c>
      <c r="Q1023">
        <f t="shared" si="47"/>
        <v>4.4427688966292678</v>
      </c>
    </row>
    <row r="1024" spans="1:17" hidden="1" x14ac:dyDescent="0.3">
      <c r="A1024">
        <v>1023</v>
      </c>
      <c r="B1024">
        <v>631754</v>
      </c>
      <c r="C1024" t="s">
        <v>2050</v>
      </c>
      <c r="D1024" t="s">
        <v>2051</v>
      </c>
      <c r="E1024">
        <v>40</v>
      </c>
      <c r="F1024">
        <v>723</v>
      </c>
      <c r="G1024">
        <v>130</v>
      </c>
      <c r="H1024">
        <v>37</v>
      </c>
      <c r="I1024">
        <v>4</v>
      </c>
      <c r="J1024" t="s">
        <v>23</v>
      </c>
      <c r="K1024">
        <v>0.76</v>
      </c>
      <c r="L1024">
        <v>6.5</v>
      </c>
      <c r="M1024" t="s">
        <v>20</v>
      </c>
      <c r="N1024">
        <f t="shared" si="45"/>
        <v>2</v>
      </c>
      <c r="O1024">
        <v>2015</v>
      </c>
      <c r="P1024">
        <f t="shared" si="46"/>
        <v>6.5834092221587648</v>
      </c>
      <c r="Q1024">
        <f t="shared" si="47"/>
        <v>3.6891294228691436</v>
      </c>
    </row>
    <row r="1025" spans="1:17" hidden="1" x14ac:dyDescent="0.3">
      <c r="A1025">
        <v>1024</v>
      </c>
      <c r="B1025">
        <v>563880</v>
      </c>
      <c r="C1025" t="s">
        <v>2052</v>
      </c>
      <c r="D1025" t="s">
        <v>2053</v>
      </c>
      <c r="E1025">
        <v>20</v>
      </c>
      <c r="F1025">
        <v>722</v>
      </c>
      <c r="G1025">
        <v>53</v>
      </c>
      <c r="H1025">
        <v>18</v>
      </c>
      <c r="I1025">
        <v>4</v>
      </c>
      <c r="J1025" t="s">
        <v>23</v>
      </c>
      <c r="K1025">
        <v>0.24</v>
      </c>
      <c r="L1025">
        <v>1.5</v>
      </c>
      <c r="M1025" t="s">
        <v>20</v>
      </c>
      <c r="N1025">
        <f t="shared" si="45"/>
        <v>2</v>
      </c>
      <c r="O1025">
        <v>2015</v>
      </c>
      <c r="P1025">
        <f t="shared" si="46"/>
        <v>6.5820251388928259</v>
      </c>
      <c r="Q1025">
        <f t="shared" si="47"/>
        <v>2.996232148595642</v>
      </c>
    </row>
    <row r="1026" spans="1:17" hidden="1" x14ac:dyDescent="0.3">
      <c r="A1026">
        <v>1025</v>
      </c>
      <c r="B1026">
        <v>956888</v>
      </c>
      <c r="C1026" t="s">
        <v>2054</v>
      </c>
      <c r="D1026" t="s">
        <v>2055</v>
      </c>
      <c r="E1026">
        <v>50</v>
      </c>
      <c r="F1026">
        <v>716</v>
      </c>
      <c r="G1026">
        <v>32</v>
      </c>
      <c r="H1026">
        <v>57</v>
      </c>
      <c r="I1026">
        <v>4</v>
      </c>
      <c r="J1026" t="s">
        <v>23</v>
      </c>
      <c r="K1026">
        <v>0.67</v>
      </c>
      <c r="L1026">
        <v>4</v>
      </c>
      <c r="M1026" t="s">
        <v>20</v>
      </c>
      <c r="N1026">
        <f t="shared" ref="N1026:N1089" si="48">IF(M1026="Free",1,IF(M1026="Paid",2,0))</f>
        <v>2</v>
      </c>
      <c r="O1026">
        <v>2016</v>
      </c>
      <c r="P1026">
        <f t="shared" ref="P1026:P1089" si="49">LN(F1026)</f>
        <v>6.5736801669606457</v>
      </c>
      <c r="Q1026">
        <f t="shared" ref="Q1026:Q1089" si="50">LN(E1026+0.01)</f>
        <v>3.9122229854308124</v>
      </c>
    </row>
    <row r="1027" spans="1:17" hidden="1" x14ac:dyDescent="0.3">
      <c r="A1027">
        <v>1026</v>
      </c>
      <c r="B1027">
        <v>352774</v>
      </c>
      <c r="C1027" t="s">
        <v>2056</v>
      </c>
      <c r="D1027" t="s">
        <v>2057</v>
      </c>
      <c r="E1027">
        <v>85</v>
      </c>
      <c r="F1027">
        <v>716</v>
      </c>
      <c r="G1027">
        <v>59</v>
      </c>
      <c r="H1027">
        <v>34</v>
      </c>
      <c r="I1027">
        <v>4</v>
      </c>
      <c r="J1027" t="s">
        <v>23</v>
      </c>
      <c r="K1027">
        <v>0.78</v>
      </c>
      <c r="L1027">
        <v>2</v>
      </c>
      <c r="M1027" t="s">
        <v>20</v>
      </c>
      <c r="N1027">
        <f t="shared" si="48"/>
        <v>2</v>
      </c>
      <c r="O1027">
        <v>2014</v>
      </c>
      <c r="P1027">
        <f t="shared" si="49"/>
        <v>6.5736801669606457</v>
      </c>
      <c r="Q1027">
        <f t="shared" si="50"/>
        <v>4.4427688966292678</v>
      </c>
    </row>
    <row r="1028" spans="1:17" hidden="1" x14ac:dyDescent="0.3">
      <c r="A1028">
        <v>1027</v>
      </c>
      <c r="B1028">
        <v>1005610</v>
      </c>
      <c r="C1028" t="s">
        <v>2058</v>
      </c>
      <c r="D1028" t="s">
        <v>2059</v>
      </c>
      <c r="E1028">
        <v>20</v>
      </c>
      <c r="F1028">
        <v>715</v>
      </c>
      <c r="G1028">
        <v>12</v>
      </c>
      <c r="H1028">
        <v>12</v>
      </c>
      <c r="I1028">
        <v>2</v>
      </c>
      <c r="J1028" t="s">
        <v>32</v>
      </c>
      <c r="K1028">
        <v>0.96</v>
      </c>
      <c r="L1028">
        <v>1.5</v>
      </c>
      <c r="M1028" t="s">
        <v>20</v>
      </c>
      <c r="N1028">
        <f t="shared" si="48"/>
        <v>2</v>
      </c>
      <c r="O1028">
        <v>2016</v>
      </c>
      <c r="P1028">
        <f t="shared" si="49"/>
        <v>6.5722825426940075</v>
      </c>
      <c r="Q1028">
        <f t="shared" si="50"/>
        <v>2.996232148595642</v>
      </c>
    </row>
    <row r="1029" spans="1:17" hidden="1" x14ac:dyDescent="0.3">
      <c r="A1029">
        <v>1028</v>
      </c>
      <c r="B1029">
        <v>366608</v>
      </c>
      <c r="C1029" t="s">
        <v>2060</v>
      </c>
      <c r="D1029" t="s">
        <v>2061</v>
      </c>
      <c r="E1029">
        <v>85</v>
      </c>
      <c r="F1029">
        <v>714</v>
      </c>
      <c r="G1029">
        <v>48</v>
      </c>
      <c r="H1029">
        <v>28</v>
      </c>
      <c r="I1029">
        <v>4</v>
      </c>
      <c r="J1029" t="s">
        <v>23</v>
      </c>
      <c r="K1029">
        <v>7.0000000000000007E-2</v>
      </c>
      <c r="L1029">
        <v>3</v>
      </c>
      <c r="M1029" t="s">
        <v>20</v>
      </c>
      <c r="N1029">
        <f t="shared" si="48"/>
        <v>2</v>
      </c>
      <c r="O1029">
        <v>2014</v>
      </c>
      <c r="P1029">
        <f t="shared" si="49"/>
        <v>6.5708829623395841</v>
      </c>
      <c r="Q1029">
        <f t="shared" si="50"/>
        <v>4.4427688966292678</v>
      </c>
    </row>
    <row r="1030" spans="1:17" hidden="1" x14ac:dyDescent="0.3">
      <c r="A1030">
        <v>1029</v>
      </c>
      <c r="B1030">
        <v>959200</v>
      </c>
      <c r="C1030" t="s">
        <v>2062</v>
      </c>
      <c r="D1030" t="s">
        <v>2063</v>
      </c>
      <c r="E1030">
        <v>65</v>
      </c>
      <c r="F1030">
        <v>713</v>
      </c>
      <c r="G1030">
        <v>80</v>
      </c>
      <c r="H1030">
        <v>8</v>
      </c>
      <c r="I1030">
        <v>4</v>
      </c>
      <c r="J1030" t="s">
        <v>23</v>
      </c>
      <c r="K1030">
        <v>0.51</v>
      </c>
      <c r="L1030">
        <v>1.5</v>
      </c>
      <c r="M1030" t="s">
        <v>20</v>
      </c>
      <c r="N1030">
        <f t="shared" si="48"/>
        <v>2</v>
      </c>
      <c r="O1030">
        <v>2016</v>
      </c>
      <c r="P1030">
        <f t="shared" si="49"/>
        <v>6.5694814204142959</v>
      </c>
      <c r="Q1030">
        <f t="shared" si="50"/>
        <v>4.1745411042163774</v>
      </c>
    </row>
    <row r="1031" spans="1:17" hidden="1" x14ac:dyDescent="0.3">
      <c r="A1031">
        <v>1030</v>
      </c>
      <c r="B1031">
        <v>1128560</v>
      </c>
      <c r="C1031" t="s">
        <v>2064</v>
      </c>
      <c r="D1031" t="s">
        <v>2065</v>
      </c>
      <c r="E1031">
        <v>105</v>
      </c>
      <c r="F1031">
        <v>710</v>
      </c>
      <c r="G1031">
        <v>137</v>
      </c>
      <c r="H1031">
        <v>49</v>
      </c>
      <c r="I1031">
        <v>4</v>
      </c>
      <c r="J1031" t="s">
        <v>23</v>
      </c>
      <c r="K1031">
        <v>0.46</v>
      </c>
      <c r="L1031">
        <v>3.5</v>
      </c>
      <c r="M1031" t="s">
        <v>20</v>
      </c>
      <c r="N1031">
        <f t="shared" si="48"/>
        <v>2</v>
      </c>
      <c r="O1031">
        <v>2017</v>
      </c>
      <c r="P1031">
        <f t="shared" si="49"/>
        <v>6.5652649700353614</v>
      </c>
      <c r="Q1031">
        <f t="shared" si="50"/>
        <v>4.6540555837179021</v>
      </c>
    </row>
    <row r="1032" spans="1:17" x14ac:dyDescent="0.3">
      <c r="A1032">
        <v>1031</v>
      </c>
      <c r="B1032">
        <v>511942</v>
      </c>
      <c r="C1032" t="s">
        <v>2066</v>
      </c>
      <c r="D1032" t="s">
        <v>2067</v>
      </c>
      <c r="E1032">
        <v>120</v>
      </c>
      <c r="F1032">
        <v>707</v>
      </c>
      <c r="G1032">
        <v>59</v>
      </c>
      <c r="H1032">
        <v>103</v>
      </c>
      <c r="I1032">
        <v>1</v>
      </c>
      <c r="J1032" t="s">
        <v>13</v>
      </c>
      <c r="K1032">
        <v>0.54</v>
      </c>
      <c r="L1032">
        <v>6.5</v>
      </c>
      <c r="M1032" t="s">
        <v>20</v>
      </c>
      <c r="N1032">
        <f t="shared" si="48"/>
        <v>2</v>
      </c>
      <c r="O1032">
        <v>2015</v>
      </c>
      <c r="P1032">
        <f t="shared" si="49"/>
        <v>6.5610306658965731</v>
      </c>
      <c r="Q1032">
        <f t="shared" si="50"/>
        <v>4.7875750726433504</v>
      </c>
    </row>
    <row r="1033" spans="1:17" x14ac:dyDescent="0.3">
      <c r="A1033">
        <v>1032</v>
      </c>
      <c r="B1033">
        <v>825752</v>
      </c>
      <c r="C1033" t="s">
        <v>2068</v>
      </c>
      <c r="D1033" t="s">
        <v>2069</v>
      </c>
      <c r="E1033">
        <v>20</v>
      </c>
      <c r="F1033">
        <v>702</v>
      </c>
      <c r="G1033">
        <v>21</v>
      </c>
      <c r="H1033">
        <v>30</v>
      </c>
      <c r="I1033">
        <v>1</v>
      </c>
      <c r="J1033" t="s">
        <v>13</v>
      </c>
      <c r="K1033">
        <v>0.82</v>
      </c>
      <c r="L1033">
        <v>3</v>
      </c>
      <c r="M1033" t="s">
        <v>20</v>
      </c>
      <c r="N1033">
        <f t="shared" si="48"/>
        <v>2</v>
      </c>
      <c r="O1033">
        <v>2016</v>
      </c>
      <c r="P1033">
        <f t="shared" si="49"/>
        <v>6.5539334040258108</v>
      </c>
      <c r="Q1033">
        <f t="shared" si="50"/>
        <v>2.996232148595642</v>
      </c>
    </row>
    <row r="1034" spans="1:17" hidden="1" x14ac:dyDescent="0.3">
      <c r="A1034">
        <v>1033</v>
      </c>
      <c r="B1034">
        <v>602218</v>
      </c>
      <c r="C1034" t="s">
        <v>2070</v>
      </c>
      <c r="D1034" t="s">
        <v>2071</v>
      </c>
      <c r="E1034">
        <v>95</v>
      </c>
      <c r="F1034">
        <v>694</v>
      </c>
      <c r="G1034">
        <v>39</v>
      </c>
      <c r="H1034">
        <v>39</v>
      </c>
      <c r="I1034">
        <v>4</v>
      </c>
      <c r="J1034" t="s">
        <v>23</v>
      </c>
      <c r="K1034">
        <v>0.45</v>
      </c>
      <c r="L1034">
        <v>4</v>
      </c>
      <c r="M1034" t="s">
        <v>20</v>
      </c>
      <c r="N1034">
        <f t="shared" si="48"/>
        <v>2</v>
      </c>
      <c r="O1034">
        <v>2015</v>
      </c>
      <c r="P1034">
        <f t="shared" si="49"/>
        <v>6.5424719605068047</v>
      </c>
      <c r="Q1034">
        <f t="shared" si="50"/>
        <v>4.5539821492186583</v>
      </c>
    </row>
    <row r="1035" spans="1:17" hidden="1" x14ac:dyDescent="0.3">
      <c r="A1035">
        <v>1034</v>
      </c>
      <c r="B1035">
        <v>738552</v>
      </c>
      <c r="C1035" t="s">
        <v>2072</v>
      </c>
      <c r="D1035" t="s">
        <v>2073</v>
      </c>
      <c r="E1035">
        <v>20</v>
      </c>
      <c r="F1035">
        <v>686</v>
      </c>
      <c r="G1035">
        <v>19</v>
      </c>
      <c r="H1035">
        <v>21</v>
      </c>
      <c r="I1035">
        <v>4</v>
      </c>
      <c r="J1035" t="s">
        <v>23</v>
      </c>
      <c r="K1035">
        <v>0.96</v>
      </c>
      <c r="L1035">
        <v>3</v>
      </c>
      <c r="M1035" t="s">
        <v>20</v>
      </c>
      <c r="N1035">
        <f t="shared" si="48"/>
        <v>2</v>
      </c>
      <c r="O1035">
        <v>2016</v>
      </c>
      <c r="P1035">
        <f t="shared" si="49"/>
        <v>6.5308776277258849</v>
      </c>
      <c r="Q1035">
        <f t="shared" si="50"/>
        <v>2.996232148595642</v>
      </c>
    </row>
    <row r="1036" spans="1:17" hidden="1" x14ac:dyDescent="0.3">
      <c r="A1036">
        <v>1035</v>
      </c>
      <c r="B1036">
        <v>756050</v>
      </c>
      <c r="C1036" t="s">
        <v>2074</v>
      </c>
      <c r="D1036" t="s">
        <v>2075</v>
      </c>
      <c r="E1036">
        <v>50</v>
      </c>
      <c r="F1036">
        <v>685</v>
      </c>
      <c r="G1036">
        <v>37</v>
      </c>
      <c r="H1036">
        <v>14</v>
      </c>
      <c r="I1036">
        <v>4</v>
      </c>
      <c r="J1036" t="s">
        <v>23</v>
      </c>
      <c r="K1036">
        <v>0.21</v>
      </c>
      <c r="L1036">
        <v>1</v>
      </c>
      <c r="M1036" t="s">
        <v>20</v>
      </c>
      <c r="N1036">
        <f t="shared" si="48"/>
        <v>2</v>
      </c>
      <c r="O1036">
        <v>2016</v>
      </c>
      <c r="P1036">
        <f t="shared" si="49"/>
        <v>6.5294188382622256</v>
      </c>
      <c r="Q1036">
        <f t="shared" si="50"/>
        <v>3.9122229854308124</v>
      </c>
    </row>
    <row r="1037" spans="1:17" hidden="1" x14ac:dyDescent="0.3">
      <c r="A1037">
        <v>1036</v>
      </c>
      <c r="B1037">
        <v>1064104</v>
      </c>
      <c r="C1037" t="s">
        <v>2076</v>
      </c>
      <c r="D1037" t="s">
        <v>2077</v>
      </c>
      <c r="E1037">
        <v>200</v>
      </c>
      <c r="F1037">
        <v>676</v>
      </c>
      <c r="G1037">
        <v>119</v>
      </c>
      <c r="H1037">
        <v>125</v>
      </c>
      <c r="I1037">
        <v>4</v>
      </c>
      <c r="J1037" t="s">
        <v>23</v>
      </c>
      <c r="K1037">
        <v>0.96</v>
      </c>
      <c r="L1037">
        <v>14</v>
      </c>
      <c r="M1037" t="s">
        <v>20</v>
      </c>
      <c r="N1037">
        <f t="shared" si="48"/>
        <v>2</v>
      </c>
      <c r="O1037">
        <v>2017</v>
      </c>
      <c r="P1037">
        <f t="shared" si="49"/>
        <v>6.5161930760429643</v>
      </c>
      <c r="Q1037">
        <f t="shared" si="50"/>
        <v>5.2983673652980787</v>
      </c>
    </row>
    <row r="1038" spans="1:17" x14ac:dyDescent="0.3">
      <c r="A1038">
        <v>1037</v>
      </c>
      <c r="B1038">
        <v>641236</v>
      </c>
      <c r="C1038" t="s">
        <v>2078</v>
      </c>
      <c r="D1038" t="s">
        <v>2079</v>
      </c>
      <c r="E1038">
        <v>40</v>
      </c>
      <c r="F1038">
        <v>670</v>
      </c>
      <c r="G1038">
        <v>33</v>
      </c>
      <c r="H1038">
        <v>37</v>
      </c>
      <c r="I1038">
        <v>1</v>
      </c>
      <c r="J1038" t="s">
        <v>13</v>
      </c>
      <c r="K1038">
        <v>0.11</v>
      </c>
      <c r="L1038">
        <v>4.5</v>
      </c>
      <c r="M1038" t="s">
        <v>20</v>
      </c>
      <c r="N1038">
        <f t="shared" si="48"/>
        <v>2</v>
      </c>
      <c r="O1038">
        <v>2016</v>
      </c>
      <c r="P1038">
        <f t="shared" si="49"/>
        <v>6.5072777123850116</v>
      </c>
      <c r="Q1038">
        <f t="shared" si="50"/>
        <v>3.6891294228691436</v>
      </c>
    </row>
    <row r="1039" spans="1:17" hidden="1" x14ac:dyDescent="0.3">
      <c r="A1039">
        <v>1038</v>
      </c>
      <c r="B1039">
        <v>422012</v>
      </c>
      <c r="C1039" t="s">
        <v>2080</v>
      </c>
      <c r="D1039" t="s">
        <v>2081</v>
      </c>
      <c r="E1039">
        <v>85</v>
      </c>
      <c r="F1039">
        <v>666</v>
      </c>
      <c r="G1039">
        <v>89</v>
      </c>
      <c r="H1039">
        <v>115</v>
      </c>
      <c r="I1039">
        <v>4</v>
      </c>
      <c r="J1039" t="s">
        <v>23</v>
      </c>
      <c r="K1039">
        <v>0.06</v>
      </c>
      <c r="L1039">
        <v>6.5</v>
      </c>
      <c r="M1039" t="s">
        <v>20</v>
      </c>
      <c r="N1039">
        <f t="shared" si="48"/>
        <v>2</v>
      </c>
      <c r="O1039">
        <v>2015</v>
      </c>
      <c r="P1039">
        <f t="shared" si="49"/>
        <v>6.5012896705403893</v>
      </c>
      <c r="Q1039">
        <f t="shared" si="50"/>
        <v>4.4427688966292678</v>
      </c>
    </row>
    <row r="1040" spans="1:17" x14ac:dyDescent="0.3">
      <c r="A1040">
        <v>1039</v>
      </c>
      <c r="B1040">
        <v>904890</v>
      </c>
      <c r="C1040" t="s">
        <v>2082</v>
      </c>
      <c r="D1040" t="s">
        <v>2083</v>
      </c>
      <c r="E1040">
        <v>20</v>
      </c>
      <c r="F1040">
        <v>659</v>
      </c>
      <c r="G1040">
        <v>64</v>
      </c>
      <c r="H1040">
        <v>26</v>
      </c>
      <c r="I1040">
        <v>1</v>
      </c>
      <c r="J1040" t="s">
        <v>13</v>
      </c>
      <c r="K1040">
        <v>0.24</v>
      </c>
      <c r="L1040">
        <v>3.5</v>
      </c>
      <c r="M1040" t="s">
        <v>20</v>
      </c>
      <c r="N1040">
        <f t="shared" si="48"/>
        <v>2</v>
      </c>
      <c r="O1040">
        <v>2016</v>
      </c>
      <c r="P1040">
        <f t="shared" si="49"/>
        <v>6.4907235345025072</v>
      </c>
      <c r="Q1040">
        <f t="shared" si="50"/>
        <v>2.996232148595642</v>
      </c>
    </row>
    <row r="1041" spans="1:17" hidden="1" x14ac:dyDescent="0.3">
      <c r="A1041">
        <v>1040</v>
      </c>
      <c r="B1041">
        <v>1109150</v>
      </c>
      <c r="C1041" t="s">
        <v>2084</v>
      </c>
      <c r="D1041" t="s">
        <v>2085</v>
      </c>
      <c r="E1041">
        <v>145</v>
      </c>
      <c r="F1041">
        <v>655</v>
      </c>
      <c r="G1041">
        <v>95</v>
      </c>
      <c r="H1041">
        <v>195</v>
      </c>
      <c r="I1041">
        <v>4</v>
      </c>
      <c r="J1041" t="s">
        <v>23</v>
      </c>
      <c r="K1041">
        <v>0.55000000000000004</v>
      </c>
      <c r="L1041">
        <v>12.5</v>
      </c>
      <c r="M1041" t="s">
        <v>20</v>
      </c>
      <c r="N1041">
        <f t="shared" si="48"/>
        <v>2</v>
      </c>
      <c r="O1041">
        <v>2017</v>
      </c>
      <c r="P1041">
        <f t="shared" si="49"/>
        <v>6.4846352356352517</v>
      </c>
      <c r="Q1041">
        <f t="shared" si="50"/>
        <v>4.9768027055598036</v>
      </c>
    </row>
    <row r="1042" spans="1:17" x14ac:dyDescent="0.3">
      <c r="A1042">
        <v>1041</v>
      </c>
      <c r="B1042">
        <v>826366</v>
      </c>
      <c r="C1042" t="s">
        <v>2086</v>
      </c>
      <c r="D1042" t="s">
        <v>2087</v>
      </c>
      <c r="E1042">
        <v>95</v>
      </c>
      <c r="F1042">
        <v>654</v>
      </c>
      <c r="G1042">
        <v>86</v>
      </c>
      <c r="H1042">
        <v>239</v>
      </c>
      <c r="I1042">
        <v>1</v>
      </c>
      <c r="J1042" t="s">
        <v>13</v>
      </c>
      <c r="K1042">
        <v>1</v>
      </c>
      <c r="L1042">
        <v>25.5</v>
      </c>
      <c r="M1042" t="s">
        <v>20</v>
      </c>
      <c r="N1042">
        <f t="shared" si="48"/>
        <v>2</v>
      </c>
      <c r="O1042">
        <v>2016</v>
      </c>
      <c r="P1042">
        <f t="shared" si="49"/>
        <v>6.4831073514571989</v>
      </c>
      <c r="Q1042">
        <f t="shared" si="50"/>
        <v>4.5539821492186583</v>
      </c>
    </row>
    <row r="1043" spans="1:17" x14ac:dyDescent="0.3">
      <c r="A1043">
        <v>1042</v>
      </c>
      <c r="B1043">
        <v>1075570</v>
      </c>
      <c r="C1043" t="s">
        <v>2088</v>
      </c>
      <c r="D1043" t="s">
        <v>2089</v>
      </c>
      <c r="E1043">
        <v>200</v>
      </c>
      <c r="F1043">
        <v>653</v>
      </c>
      <c r="G1043">
        <v>20</v>
      </c>
      <c r="H1043">
        <v>25</v>
      </c>
      <c r="I1043">
        <v>1</v>
      </c>
      <c r="J1043" t="s">
        <v>13</v>
      </c>
      <c r="K1043">
        <v>0.81</v>
      </c>
      <c r="L1043">
        <v>1</v>
      </c>
      <c r="M1043" t="s">
        <v>20</v>
      </c>
      <c r="N1043">
        <f t="shared" si="48"/>
        <v>2</v>
      </c>
      <c r="O1043">
        <v>2017</v>
      </c>
      <c r="P1043">
        <f t="shared" si="49"/>
        <v>6.481577129276431</v>
      </c>
      <c r="Q1043">
        <f t="shared" si="50"/>
        <v>5.2983673652980787</v>
      </c>
    </row>
    <row r="1044" spans="1:17" x14ac:dyDescent="0.3">
      <c r="A1044">
        <v>1043</v>
      </c>
      <c r="B1044">
        <v>572270</v>
      </c>
      <c r="C1044" t="s">
        <v>2090</v>
      </c>
      <c r="D1044" t="s">
        <v>2091</v>
      </c>
      <c r="E1044">
        <v>60</v>
      </c>
      <c r="F1044">
        <v>652</v>
      </c>
      <c r="G1044">
        <v>48</v>
      </c>
      <c r="H1044">
        <v>46</v>
      </c>
      <c r="I1044">
        <v>1</v>
      </c>
      <c r="J1044" t="s">
        <v>13</v>
      </c>
      <c r="K1044">
        <v>0.93</v>
      </c>
      <c r="L1044">
        <v>6.5</v>
      </c>
      <c r="M1044" t="s">
        <v>20</v>
      </c>
      <c r="N1044">
        <f t="shared" si="48"/>
        <v>2</v>
      </c>
      <c r="O1044">
        <v>2017</v>
      </c>
      <c r="P1044">
        <f t="shared" si="49"/>
        <v>6.4800445619266531</v>
      </c>
      <c r="Q1044">
        <f t="shared" si="50"/>
        <v>4.0945112150014218</v>
      </c>
    </row>
    <row r="1045" spans="1:17" x14ac:dyDescent="0.3">
      <c r="A1045">
        <v>1044</v>
      </c>
      <c r="B1045">
        <v>661780</v>
      </c>
      <c r="C1045" t="s">
        <v>2092</v>
      </c>
      <c r="D1045" t="s">
        <v>2093</v>
      </c>
      <c r="E1045">
        <v>75</v>
      </c>
      <c r="F1045">
        <v>651</v>
      </c>
      <c r="G1045">
        <v>52</v>
      </c>
      <c r="H1045">
        <v>20</v>
      </c>
      <c r="I1045">
        <v>1</v>
      </c>
      <c r="J1045" t="s">
        <v>13</v>
      </c>
      <c r="K1045">
        <v>0.94</v>
      </c>
      <c r="L1045">
        <v>2.5</v>
      </c>
      <c r="M1045" t="s">
        <v>20</v>
      </c>
      <c r="N1045">
        <f t="shared" si="48"/>
        <v>2</v>
      </c>
      <c r="O1045">
        <v>2015</v>
      </c>
      <c r="P1045">
        <f t="shared" si="49"/>
        <v>6.4785096422085688</v>
      </c>
      <c r="Q1045">
        <f t="shared" si="50"/>
        <v>4.3176214379815452</v>
      </c>
    </row>
    <row r="1046" spans="1:17" hidden="1" x14ac:dyDescent="0.3">
      <c r="A1046">
        <v>1045</v>
      </c>
      <c r="B1046">
        <v>592352</v>
      </c>
      <c r="C1046" t="s">
        <v>2094</v>
      </c>
      <c r="D1046" t="s">
        <v>2095</v>
      </c>
      <c r="E1046">
        <v>20</v>
      </c>
      <c r="F1046">
        <v>644</v>
      </c>
      <c r="G1046">
        <v>42</v>
      </c>
      <c r="H1046">
        <v>28</v>
      </c>
      <c r="I1046">
        <v>4</v>
      </c>
      <c r="J1046" t="s">
        <v>23</v>
      </c>
      <c r="K1046">
        <v>0.87</v>
      </c>
      <c r="L1046">
        <v>1.5</v>
      </c>
      <c r="M1046" t="s">
        <v>20</v>
      </c>
      <c r="N1046">
        <f t="shared" si="48"/>
        <v>2</v>
      </c>
      <c r="O1046">
        <v>2015</v>
      </c>
      <c r="P1046">
        <f t="shared" si="49"/>
        <v>6.4676987261043539</v>
      </c>
      <c r="Q1046">
        <f t="shared" si="50"/>
        <v>2.996232148595642</v>
      </c>
    </row>
    <row r="1047" spans="1:17" hidden="1" x14ac:dyDescent="0.3">
      <c r="A1047">
        <v>1046</v>
      </c>
      <c r="B1047">
        <v>564268</v>
      </c>
      <c r="C1047" t="s">
        <v>2096</v>
      </c>
      <c r="D1047" t="s">
        <v>2097</v>
      </c>
      <c r="E1047">
        <v>50</v>
      </c>
      <c r="F1047">
        <v>636</v>
      </c>
      <c r="G1047">
        <v>33</v>
      </c>
      <c r="H1047">
        <v>54</v>
      </c>
      <c r="I1047">
        <v>4</v>
      </c>
      <c r="J1047" t="s">
        <v>23</v>
      </c>
      <c r="K1047">
        <v>0.11</v>
      </c>
      <c r="L1047">
        <v>10</v>
      </c>
      <c r="M1047" t="s">
        <v>20</v>
      </c>
      <c r="N1047">
        <f t="shared" si="48"/>
        <v>2</v>
      </c>
      <c r="O1047">
        <v>2015</v>
      </c>
      <c r="P1047">
        <f t="shared" si="49"/>
        <v>6.4551985633401223</v>
      </c>
      <c r="Q1047">
        <f t="shared" si="50"/>
        <v>3.9122229854308124</v>
      </c>
    </row>
    <row r="1048" spans="1:17" x14ac:dyDescent="0.3">
      <c r="A1048">
        <v>1047</v>
      </c>
      <c r="B1048">
        <v>996320</v>
      </c>
      <c r="C1048" t="s">
        <v>2098</v>
      </c>
      <c r="D1048" t="s">
        <v>2099</v>
      </c>
      <c r="E1048">
        <v>200</v>
      </c>
      <c r="F1048">
        <v>633</v>
      </c>
      <c r="G1048">
        <v>39</v>
      </c>
      <c r="H1048">
        <v>54</v>
      </c>
      <c r="I1048">
        <v>1</v>
      </c>
      <c r="J1048" t="s">
        <v>13</v>
      </c>
      <c r="K1048">
        <v>0.92</v>
      </c>
      <c r="L1048">
        <v>4</v>
      </c>
      <c r="M1048" t="s">
        <v>20</v>
      </c>
      <c r="N1048">
        <f t="shared" si="48"/>
        <v>2</v>
      </c>
      <c r="O1048">
        <v>2016</v>
      </c>
      <c r="P1048">
        <f t="shared" si="49"/>
        <v>6.4504704221441758</v>
      </c>
      <c r="Q1048">
        <f t="shared" si="50"/>
        <v>5.2983673652980787</v>
      </c>
    </row>
    <row r="1049" spans="1:17" hidden="1" x14ac:dyDescent="0.3">
      <c r="A1049">
        <v>1048</v>
      </c>
      <c r="B1049">
        <v>637840</v>
      </c>
      <c r="C1049" t="s">
        <v>2100</v>
      </c>
      <c r="D1049" t="s">
        <v>2101</v>
      </c>
      <c r="E1049">
        <v>40</v>
      </c>
      <c r="F1049">
        <v>633</v>
      </c>
      <c r="G1049">
        <v>104</v>
      </c>
      <c r="H1049">
        <v>31</v>
      </c>
      <c r="I1049">
        <v>4</v>
      </c>
      <c r="J1049" t="s">
        <v>23</v>
      </c>
      <c r="K1049">
        <v>0.78</v>
      </c>
      <c r="L1049">
        <v>5</v>
      </c>
      <c r="M1049" t="s">
        <v>20</v>
      </c>
      <c r="N1049">
        <f t="shared" si="48"/>
        <v>2</v>
      </c>
      <c r="O1049">
        <v>2015</v>
      </c>
      <c r="P1049">
        <f t="shared" si="49"/>
        <v>6.4504704221441758</v>
      </c>
      <c r="Q1049">
        <f t="shared" si="50"/>
        <v>3.6891294228691436</v>
      </c>
    </row>
    <row r="1050" spans="1:17" x14ac:dyDescent="0.3">
      <c r="A1050">
        <v>1049</v>
      </c>
      <c r="B1050">
        <v>468726</v>
      </c>
      <c r="C1050" t="s">
        <v>2102</v>
      </c>
      <c r="D1050" t="s">
        <v>2103</v>
      </c>
      <c r="E1050">
        <v>75</v>
      </c>
      <c r="F1050">
        <v>631</v>
      </c>
      <c r="G1050">
        <v>103</v>
      </c>
      <c r="H1050">
        <v>65</v>
      </c>
      <c r="I1050">
        <v>1</v>
      </c>
      <c r="J1050" t="s">
        <v>13</v>
      </c>
      <c r="K1050">
        <v>0.51</v>
      </c>
      <c r="L1050">
        <v>4.5</v>
      </c>
      <c r="M1050" t="s">
        <v>20</v>
      </c>
      <c r="N1050">
        <f t="shared" si="48"/>
        <v>2</v>
      </c>
      <c r="O1050">
        <v>2015</v>
      </c>
      <c r="P1050">
        <f t="shared" si="49"/>
        <v>6.4473058625412127</v>
      </c>
      <c r="Q1050">
        <f t="shared" si="50"/>
        <v>4.3176214379815452</v>
      </c>
    </row>
    <row r="1051" spans="1:17" hidden="1" x14ac:dyDescent="0.3">
      <c r="A1051">
        <v>1050</v>
      </c>
      <c r="B1051">
        <v>947120</v>
      </c>
      <c r="C1051" t="s">
        <v>2104</v>
      </c>
      <c r="D1051" t="s">
        <v>2105</v>
      </c>
      <c r="E1051">
        <v>115</v>
      </c>
      <c r="F1051">
        <v>627</v>
      </c>
      <c r="G1051">
        <v>125</v>
      </c>
      <c r="H1051">
        <v>7</v>
      </c>
      <c r="I1051">
        <v>4</v>
      </c>
      <c r="J1051" t="s">
        <v>23</v>
      </c>
      <c r="K1051">
        <v>0.96</v>
      </c>
      <c r="L1051">
        <v>1</v>
      </c>
      <c r="M1051" t="s">
        <v>20</v>
      </c>
      <c r="N1051">
        <f t="shared" si="48"/>
        <v>2</v>
      </c>
      <c r="O1051">
        <v>2016</v>
      </c>
      <c r="P1051">
        <f t="shared" si="49"/>
        <v>6.4409465406329209</v>
      </c>
      <c r="Q1051">
        <f t="shared" si="50"/>
        <v>4.7450190811044903</v>
      </c>
    </row>
    <row r="1052" spans="1:17" hidden="1" x14ac:dyDescent="0.3">
      <c r="A1052">
        <v>1051</v>
      </c>
      <c r="B1052">
        <v>684794</v>
      </c>
      <c r="C1052" t="s">
        <v>2106</v>
      </c>
      <c r="D1052" t="s">
        <v>2107</v>
      </c>
      <c r="E1052">
        <v>40</v>
      </c>
      <c r="F1052">
        <v>627</v>
      </c>
      <c r="G1052">
        <v>126</v>
      </c>
      <c r="H1052">
        <v>31</v>
      </c>
      <c r="I1052">
        <v>4</v>
      </c>
      <c r="J1052" t="s">
        <v>23</v>
      </c>
      <c r="K1052">
        <v>0</v>
      </c>
      <c r="L1052">
        <v>4.5</v>
      </c>
      <c r="M1052" t="s">
        <v>20</v>
      </c>
      <c r="N1052">
        <f t="shared" si="48"/>
        <v>2</v>
      </c>
      <c r="O1052">
        <v>2015</v>
      </c>
      <c r="P1052">
        <f t="shared" si="49"/>
        <v>6.4409465406329209</v>
      </c>
      <c r="Q1052">
        <f t="shared" si="50"/>
        <v>3.6891294228691436</v>
      </c>
    </row>
    <row r="1053" spans="1:17" x14ac:dyDescent="0.3">
      <c r="A1053">
        <v>1052</v>
      </c>
      <c r="B1053">
        <v>442580</v>
      </c>
      <c r="C1053" t="s">
        <v>2108</v>
      </c>
      <c r="D1053" t="s">
        <v>2109</v>
      </c>
      <c r="E1053">
        <v>50</v>
      </c>
      <c r="F1053">
        <v>613</v>
      </c>
      <c r="G1053">
        <v>135</v>
      </c>
      <c r="H1053">
        <v>116</v>
      </c>
      <c r="I1053">
        <v>1</v>
      </c>
      <c r="J1053" t="s">
        <v>13</v>
      </c>
      <c r="K1053">
        <v>0.34</v>
      </c>
      <c r="L1053">
        <v>16</v>
      </c>
      <c r="M1053" t="s">
        <v>20</v>
      </c>
      <c r="N1053">
        <f t="shared" si="48"/>
        <v>2</v>
      </c>
      <c r="O1053">
        <v>2015</v>
      </c>
      <c r="P1053">
        <f t="shared" si="49"/>
        <v>6.4183649359362116</v>
      </c>
      <c r="Q1053">
        <f t="shared" si="50"/>
        <v>3.9122229854308124</v>
      </c>
    </row>
    <row r="1054" spans="1:17" hidden="1" x14ac:dyDescent="0.3">
      <c r="A1054">
        <v>1053</v>
      </c>
      <c r="B1054">
        <v>986442</v>
      </c>
      <c r="C1054" t="s">
        <v>2110</v>
      </c>
      <c r="D1054" t="s">
        <v>2111</v>
      </c>
      <c r="E1054">
        <v>180</v>
      </c>
      <c r="F1054">
        <v>613</v>
      </c>
      <c r="G1054">
        <v>93</v>
      </c>
      <c r="H1054">
        <v>37</v>
      </c>
      <c r="I1054">
        <v>4</v>
      </c>
      <c r="J1054" t="s">
        <v>23</v>
      </c>
      <c r="K1054">
        <v>0.78</v>
      </c>
      <c r="L1054">
        <v>4.5</v>
      </c>
      <c r="M1054" t="s">
        <v>20</v>
      </c>
      <c r="N1054">
        <f t="shared" si="48"/>
        <v>2</v>
      </c>
      <c r="O1054">
        <v>2016</v>
      </c>
      <c r="P1054">
        <f t="shared" si="49"/>
        <v>6.4183649359362116</v>
      </c>
      <c r="Q1054">
        <f t="shared" si="50"/>
        <v>5.1930124049026132</v>
      </c>
    </row>
    <row r="1055" spans="1:17" hidden="1" x14ac:dyDescent="0.3">
      <c r="A1055">
        <v>1054</v>
      </c>
      <c r="B1055">
        <v>352748</v>
      </c>
      <c r="C1055" t="s">
        <v>2112</v>
      </c>
      <c r="D1055" t="s">
        <v>2113</v>
      </c>
      <c r="E1055">
        <v>85</v>
      </c>
      <c r="F1055">
        <v>608</v>
      </c>
      <c r="G1055">
        <v>88</v>
      </c>
      <c r="H1055">
        <v>48</v>
      </c>
      <c r="I1055">
        <v>4</v>
      </c>
      <c r="J1055" t="s">
        <v>23</v>
      </c>
      <c r="K1055">
        <v>0.99</v>
      </c>
      <c r="L1055">
        <v>3.5</v>
      </c>
      <c r="M1055" t="s">
        <v>20</v>
      </c>
      <c r="N1055">
        <f t="shared" si="48"/>
        <v>2</v>
      </c>
      <c r="O1055">
        <v>2014</v>
      </c>
      <c r="P1055">
        <f t="shared" si="49"/>
        <v>6.4101748819661672</v>
      </c>
      <c r="Q1055">
        <f t="shared" si="50"/>
        <v>4.4427688966292678</v>
      </c>
    </row>
    <row r="1056" spans="1:17" hidden="1" x14ac:dyDescent="0.3">
      <c r="A1056">
        <v>1055</v>
      </c>
      <c r="B1056">
        <v>496006</v>
      </c>
      <c r="C1056" t="s">
        <v>2114</v>
      </c>
      <c r="D1056" t="s">
        <v>2115</v>
      </c>
      <c r="E1056">
        <v>45</v>
      </c>
      <c r="F1056">
        <v>604</v>
      </c>
      <c r="G1056">
        <v>47</v>
      </c>
      <c r="H1056">
        <v>35</v>
      </c>
      <c r="I1056">
        <v>4</v>
      </c>
      <c r="J1056" t="s">
        <v>23</v>
      </c>
      <c r="K1056">
        <v>0.56999999999999995</v>
      </c>
      <c r="L1056">
        <v>4</v>
      </c>
      <c r="M1056" t="s">
        <v>20</v>
      </c>
      <c r="N1056">
        <f t="shared" si="48"/>
        <v>2</v>
      </c>
      <c r="O1056">
        <v>2015</v>
      </c>
      <c r="P1056">
        <f t="shared" si="49"/>
        <v>6.4035741979348151</v>
      </c>
      <c r="Q1056">
        <f t="shared" si="50"/>
        <v>3.8068846873048412</v>
      </c>
    </row>
    <row r="1057" spans="1:17" x14ac:dyDescent="0.3">
      <c r="A1057">
        <v>1056</v>
      </c>
      <c r="B1057">
        <v>1127048</v>
      </c>
      <c r="C1057" t="s">
        <v>2116</v>
      </c>
      <c r="D1057" t="s">
        <v>2117</v>
      </c>
      <c r="E1057">
        <v>20</v>
      </c>
      <c r="F1057">
        <v>604</v>
      </c>
      <c r="G1057">
        <v>8</v>
      </c>
      <c r="H1057">
        <v>43</v>
      </c>
      <c r="I1057">
        <v>1</v>
      </c>
      <c r="J1057" t="s">
        <v>13</v>
      </c>
      <c r="K1057">
        <v>0.67</v>
      </c>
      <c r="L1057">
        <v>3.5</v>
      </c>
      <c r="M1057" t="s">
        <v>20</v>
      </c>
      <c r="N1057">
        <f t="shared" si="48"/>
        <v>2</v>
      </c>
      <c r="O1057">
        <v>2017</v>
      </c>
      <c r="P1057">
        <f t="shared" si="49"/>
        <v>6.4035741979348151</v>
      </c>
      <c r="Q1057">
        <f t="shared" si="50"/>
        <v>2.996232148595642</v>
      </c>
    </row>
    <row r="1058" spans="1:17" x14ac:dyDescent="0.3">
      <c r="A1058">
        <v>1057</v>
      </c>
      <c r="B1058">
        <v>1047968</v>
      </c>
      <c r="C1058" t="s">
        <v>2118</v>
      </c>
      <c r="D1058" t="s">
        <v>2119</v>
      </c>
      <c r="E1058">
        <v>145</v>
      </c>
      <c r="F1058">
        <v>602</v>
      </c>
      <c r="G1058">
        <v>93</v>
      </c>
      <c r="H1058">
        <v>214</v>
      </c>
      <c r="I1058">
        <v>1</v>
      </c>
      <c r="J1058" t="s">
        <v>13</v>
      </c>
      <c r="K1058">
        <v>0.34</v>
      </c>
      <c r="L1058">
        <v>15.5</v>
      </c>
      <c r="M1058" t="s">
        <v>20</v>
      </c>
      <c r="N1058">
        <f t="shared" si="48"/>
        <v>2</v>
      </c>
      <c r="O1058">
        <v>2016</v>
      </c>
      <c r="P1058">
        <f t="shared" si="49"/>
        <v>6.4002574453088208</v>
      </c>
      <c r="Q1058">
        <f t="shared" si="50"/>
        <v>4.9768027055598036</v>
      </c>
    </row>
    <row r="1059" spans="1:17" hidden="1" x14ac:dyDescent="0.3">
      <c r="A1059">
        <v>1058</v>
      </c>
      <c r="B1059">
        <v>859446</v>
      </c>
      <c r="C1059" t="s">
        <v>2120</v>
      </c>
      <c r="D1059" t="s">
        <v>2121</v>
      </c>
      <c r="E1059">
        <v>35</v>
      </c>
      <c r="F1059">
        <v>601</v>
      </c>
      <c r="G1059">
        <v>126</v>
      </c>
      <c r="H1059">
        <v>64</v>
      </c>
      <c r="I1059">
        <v>4</v>
      </c>
      <c r="J1059" t="s">
        <v>23</v>
      </c>
      <c r="K1059">
        <v>0.57999999999999996</v>
      </c>
      <c r="L1059">
        <v>5.5</v>
      </c>
      <c r="M1059" t="s">
        <v>20</v>
      </c>
      <c r="N1059">
        <f t="shared" si="48"/>
        <v>2</v>
      </c>
      <c r="O1059">
        <v>2016</v>
      </c>
      <c r="P1059">
        <f t="shared" si="49"/>
        <v>6.3985949345352076</v>
      </c>
      <c r="Q1059">
        <f t="shared" si="50"/>
        <v>3.5556337349665741</v>
      </c>
    </row>
    <row r="1060" spans="1:17" hidden="1" x14ac:dyDescent="0.3">
      <c r="A1060">
        <v>1059</v>
      </c>
      <c r="B1060">
        <v>1016650</v>
      </c>
      <c r="C1060" t="s">
        <v>2122</v>
      </c>
      <c r="D1060" t="s">
        <v>2123</v>
      </c>
      <c r="E1060">
        <v>40</v>
      </c>
      <c r="F1060">
        <v>601</v>
      </c>
      <c r="G1060">
        <v>4</v>
      </c>
      <c r="H1060">
        <v>6</v>
      </c>
      <c r="I1060">
        <v>2</v>
      </c>
      <c r="J1060" t="s">
        <v>32</v>
      </c>
      <c r="K1060">
        <v>0.87</v>
      </c>
      <c r="L1060">
        <v>0.58333332999999998</v>
      </c>
      <c r="M1060" t="s">
        <v>20</v>
      </c>
      <c r="N1060">
        <f t="shared" si="48"/>
        <v>2</v>
      </c>
      <c r="O1060">
        <v>2016</v>
      </c>
      <c r="P1060">
        <f t="shared" si="49"/>
        <v>6.3985949345352076</v>
      </c>
      <c r="Q1060">
        <f t="shared" si="50"/>
        <v>3.6891294228691436</v>
      </c>
    </row>
    <row r="1061" spans="1:17" x14ac:dyDescent="0.3">
      <c r="A1061">
        <v>1060</v>
      </c>
      <c r="B1061">
        <v>1142202</v>
      </c>
      <c r="C1061" t="s">
        <v>2124</v>
      </c>
      <c r="D1061" t="s">
        <v>2125</v>
      </c>
      <c r="E1061">
        <v>195</v>
      </c>
      <c r="F1061">
        <v>596</v>
      </c>
      <c r="G1061">
        <v>32</v>
      </c>
      <c r="H1061">
        <v>84</v>
      </c>
      <c r="I1061">
        <v>1</v>
      </c>
      <c r="J1061" t="s">
        <v>13</v>
      </c>
      <c r="K1061">
        <v>0.52</v>
      </c>
      <c r="L1061">
        <v>8</v>
      </c>
      <c r="M1061" t="s">
        <v>20</v>
      </c>
      <c r="N1061">
        <f t="shared" si="48"/>
        <v>2</v>
      </c>
      <c r="O1061">
        <v>2017</v>
      </c>
      <c r="P1061">
        <f t="shared" si="49"/>
        <v>6.39024066706535</v>
      </c>
      <c r="Q1061">
        <f t="shared" si="50"/>
        <v>5.273050839300149</v>
      </c>
    </row>
    <row r="1062" spans="1:17" hidden="1" x14ac:dyDescent="0.3">
      <c r="A1062">
        <v>1061</v>
      </c>
      <c r="B1062">
        <v>665686</v>
      </c>
      <c r="C1062" t="s">
        <v>2126</v>
      </c>
      <c r="D1062" t="s">
        <v>2127</v>
      </c>
      <c r="E1062">
        <v>50</v>
      </c>
      <c r="F1062">
        <v>586</v>
      </c>
      <c r="G1062">
        <v>10</v>
      </c>
      <c r="H1062">
        <v>17</v>
      </c>
      <c r="I1062">
        <v>4</v>
      </c>
      <c r="J1062" t="s">
        <v>23</v>
      </c>
      <c r="K1062">
        <v>0.2</v>
      </c>
      <c r="L1062">
        <v>0.63333333000000003</v>
      </c>
      <c r="M1062" t="s">
        <v>20</v>
      </c>
      <c r="N1062">
        <f t="shared" si="48"/>
        <v>2</v>
      </c>
      <c r="O1062">
        <v>2015</v>
      </c>
      <c r="P1062">
        <f t="shared" si="49"/>
        <v>6.3733197895770122</v>
      </c>
      <c r="Q1062">
        <f t="shared" si="50"/>
        <v>3.9122229854308124</v>
      </c>
    </row>
    <row r="1063" spans="1:17" hidden="1" x14ac:dyDescent="0.3">
      <c r="A1063">
        <v>1062</v>
      </c>
      <c r="B1063">
        <v>425084</v>
      </c>
      <c r="C1063" t="s">
        <v>2128</v>
      </c>
      <c r="D1063" t="s">
        <v>2129</v>
      </c>
      <c r="E1063">
        <v>60</v>
      </c>
      <c r="F1063">
        <v>586</v>
      </c>
      <c r="G1063">
        <v>65</v>
      </c>
      <c r="H1063">
        <v>98</v>
      </c>
      <c r="I1063">
        <v>4</v>
      </c>
      <c r="J1063" t="s">
        <v>23</v>
      </c>
      <c r="K1063">
        <v>0.3</v>
      </c>
      <c r="L1063">
        <v>5.5</v>
      </c>
      <c r="M1063" t="s">
        <v>20</v>
      </c>
      <c r="N1063">
        <f t="shared" si="48"/>
        <v>2</v>
      </c>
      <c r="O1063">
        <v>2015</v>
      </c>
      <c r="P1063">
        <f t="shared" si="49"/>
        <v>6.3733197895770122</v>
      </c>
      <c r="Q1063">
        <f t="shared" si="50"/>
        <v>4.0945112150014218</v>
      </c>
    </row>
    <row r="1064" spans="1:17" x14ac:dyDescent="0.3">
      <c r="A1064">
        <v>1063</v>
      </c>
      <c r="B1064">
        <v>1075662</v>
      </c>
      <c r="C1064" t="s">
        <v>2130</v>
      </c>
      <c r="D1064" t="s">
        <v>2131</v>
      </c>
      <c r="E1064">
        <v>30</v>
      </c>
      <c r="F1064">
        <v>586</v>
      </c>
      <c r="G1064">
        <v>54</v>
      </c>
      <c r="H1064">
        <v>56</v>
      </c>
      <c r="I1064">
        <v>1</v>
      </c>
      <c r="J1064" t="s">
        <v>13</v>
      </c>
      <c r="K1064">
        <v>0.11</v>
      </c>
      <c r="L1064">
        <v>5</v>
      </c>
      <c r="M1064" t="s">
        <v>20</v>
      </c>
      <c r="N1064">
        <f t="shared" si="48"/>
        <v>2</v>
      </c>
      <c r="O1064">
        <v>2017</v>
      </c>
      <c r="P1064">
        <f t="shared" si="49"/>
        <v>6.3733197895770122</v>
      </c>
      <c r="Q1064">
        <f t="shared" si="50"/>
        <v>3.4015306594522756</v>
      </c>
    </row>
    <row r="1065" spans="1:17" x14ac:dyDescent="0.3">
      <c r="A1065">
        <v>1064</v>
      </c>
      <c r="B1065">
        <v>1056848</v>
      </c>
      <c r="C1065" t="s">
        <v>2132</v>
      </c>
      <c r="D1065" t="s">
        <v>2133</v>
      </c>
      <c r="E1065">
        <v>95</v>
      </c>
      <c r="F1065">
        <v>583</v>
      </c>
      <c r="G1065">
        <v>7</v>
      </c>
      <c r="H1065">
        <v>35</v>
      </c>
      <c r="I1065">
        <v>1</v>
      </c>
      <c r="J1065" t="s">
        <v>13</v>
      </c>
      <c r="K1065">
        <v>0.99</v>
      </c>
      <c r="L1065">
        <v>3.5</v>
      </c>
      <c r="M1065" t="s">
        <v>20</v>
      </c>
      <c r="N1065">
        <f t="shared" si="48"/>
        <v>2</v>
      </c>
      <c r="O1065">
        <v>2017</v>
      </c>
      <c r="P1065">
        <f t="shared" si="49"/>
        <v>6.3681871863504922</v>
      </c>
      <c r="Q1065">
        <f t="shared" si="50"/>
        <v>4.5539821492186583</v>
      </c>
    </row>
    <row r="1066" spans="1:17" x14ac:dyDescent="0.3">
      <c r="A1066">
        <v>1065</v>
      </c>
      <c r="B1066">
        <v>990532</v>
      </c>
      <c r="C1066" t="s">
        <v>2134</v>
      </c>
      <c r="D1066" t="s">
        <v>2135</v>
      </c>
      <c r="E1066">
        <v>75</v>
      </c>
      <c r="F1066">
        <v>578</v>
      </c>
      <c r="G1066">
        <v>40</v>
      </c>
      <c r="H1066">
        <v>84</v>
      </c>
      <c r="I1066">
        <v>1</v>
      </c>
      <c r="J1066" t="s">
        <v>13</v>
      </c>
      <c r="K1066">
        <v>0.44</v>
      </c>
      <c r="L1066">
        <v>5.5</v>
      </c>
      <c r="M1066" t="s">
        <v>20</v>
      </c>
      <c r="N1066">
        <f t="shared" si="48"/>
        <v>2</v>
      </c>
      <c r="O1066">
        <v>2017</v>
      </c>
      <c r="P1066">
        <f t="shared" si="49"/>
        <v>6.3595738686723777</v>
      </c>
      <c r="Q1066">
        <f t="shared" si="50"/>
        <v>4.3176214379815452</v>
      </c>
    </row>
    <row r="1067" spans="1:17" hidden="1" x14ac:dyDescent="0.3">
      <c r="A1067">
        <v>1066</v>
      </c>
      <c r="B1067">
        <v>1035940</v>
      </c>
      <c r="C1067" t="s">
        <v>2136</v>
      </c>
      <c r="D1067" t="s">
        <v>2137</v>
      </c>
      <c r="E1067">
        <v>120</v>
      </c>
      <c r="F1067">
        <v>578</v>
      </c>
      <c r="G1067">
        <v>25</v>
      </c>
      <c r="H1067">
        <v>36</v>
      </c>
      <c r="I1067">
        <v>4</v>
      </c>
      <c r="J1067" t="s">
        <v>23</v>
      </c>
      <c r="K1067">
        <v>0.18</v>
      </c>
      <c r="L1067">
        <v>4.5</v>
      </c>
      <c r="M1067" t="s">
        <v>20</v>
      </c>
      <c r="N1067">
        <f t="shared" si="48"/>
        <v>2</v>
      </c>
      <c r="O1067">
        <v>2017</v>
      </c>
      <c r="P1067">
        <f t="shared" si="49"/>
        <v>6.3595738686723777</v>
      </c>
      <c r="Q1067">
        <f t="shared" si="50"/>
        <v>4.7875750726433504</v>
      </c>
    </row>
    <row r="1068" spans="1:17" x14ac:dyDescent="0.3">
      <c r="A1068">
        <v>1067</v>
      </c>
      <c r="B1068">
        <v>1007766</v>
      </c>
      <c r="C1068" t="s">
        <v>2138</v>
      </c>
      <c r="D1068" t="s">
        <v>2139</v>
      </c>
      <c r="E1068">
        <v>65</v>
      </c>
      <c r="F1068">
        <v>578</v>
      </c>
      <c r="G1068">
        <v>6</v>
      </c>
      <c r="H1068">
        <v>8</v>
      </c>
      <c r="I1068">
        <v>1</v>
      </c>
      <c r="J1068" t="s">
        <v>13</v>
      </c>
      <c r="K1068">
        <v>0.37</v>
      </c>
      <c r="L1068">
        <v>1</v>
      </c>
      <c r="M1068" t="s">
        <v>20</v>
      </c>
      <c r="N1068">
        <f t="shared" si="48"/>
        <v>2</v>
      </c>
      <c r="O1068">
        <v>2016</v>
      </c>
      <c r="P1068">
        <f t="shared" si="49"/>
        <v>6.3595738686723777</v>
      </c>
      <c r="Q1068">
        <f t="shared" si="50"/>
        <v>4.1745411042163774</v>
      </c>
    </row>
    <row r="1069" spans="1:17" x14ac:dyDescent="0.3">
      <c r="A1069">
        <v>1068</v>
      </c>
      <c r="B1069">
        <v>846412</v>
      </c>
      <c r="C1069" t="s">
        <v>2140</v>
      </c>
      <c r="D1069" t="s">
        <v>2141</v>
      </c>
      <c r="E1069">
        <v>50</v>
      </c>
      <c r="F1069">
        <v>577</v>
      </c>
      <c r="G1069">
        <v>97</v>
      </c>
      <c r="H1069">
        <v>101</v>
      </c>
      <c r="I1069">
        <v>1</v>
      </c>
      <c r="J1069" t="s">
        <v>13</v>
      </c>
      <c r="K1069">
        <v>0.8</v>
      </c>
      <c r="L1069">
        <v>9.5</v>
      </c>
      <c r="M1069" t="s">
        <v>20</v>
      </c>
      <c r="N1069">
        <f t="shared" si="48"/>
        <v>2</v>
      </c>
      <c r="O1069">
        <v>2016</v>
      </c>
      <c r="P1069">
        <f t="shared" si="49"/>
        <v>6.3578422665080998</v>
      </c>
      <c r="Q1069">
        <f t="shared" si="50"/>
        <v>3.9122229854308124</v>
      </c>
    </row>
    <row r="1070" spans="1:17" hidden="1" x14ac:dyDescent="0.3">
      <c r="A1070">
        <v>1069</v>
      </c>
      <c r="B1070">
        <v>1009166</v>
      </c>
      <c r="C1070" t="s">
        <v>2142</v>
      </c>
      <c r="D1070" t="s">
        <v>2143</v>
      </c>
      <c r="E1070">
        <v>185</v>
      </c>
      <c r="F1070">
        <v>567</v>
      </c>
      <c r="G1070">
        <v>63</v>
      </c>
      <c r="H1070">
        <v>34</v>
      </c>
      <c r="I1070">
        <v>4</v>
      </c>
      <c r="J1070" t="s">
        <v>23</v>
      </c>
      <c r="K1070">
        <v>0.15</v>
      </c>
      <c r="L1070">
        <v>8</v>
      </c>
      <c r="M1070" t="s">
        <v>20</v>
      </c>
      <c r="N1070">
        <f t="shared" si="48"/>
        <v>2</v>
      </c>
      <c r="O1070">
        <v>2016</v>
      </c>
      <c r="P1070">
        <f t="shared" si="49"/>
        <v>6.3403593037277517</v>
      </c>
      <c r="Q1070">
        <f t="shared" si="50"/>
        <v>5.2204098776715107</v>
      </c>
    </row>
    <row r="1071" spans="1:17" x14ac:dyDescent="0.3">
      <c r="A1071">
        <v>1070</v>
      </c>
      <c r="B1071">
        <v>929016</v>
      </c>
      <c r="C1071" t="s">
        <v>2144</v>
      </c>
      <c r="D1071" t="s">
        <v>2145</v>
      </c>
      <c r="E1071">
        <v>200</v>
      </c>
      <c r="F1071">
        <v>563</v>
      </c>
      <c r="G1071">
        <v>178</v>
      </c>
      <c r="H1071">
        <v>32</v>
      </c>
      <c r="I1071">
        <v>1</v>
      </c>
      <c r="J1071" t="s">
        <v>13</v>
      </c>
      <c r="K1071">
        <v>0.01</v>
      </c>
      <c r="L1071">
        <v>3</v>
      </c>
      <c r="M1071" t="s">
        <v>20</v>
      </c>
      <c r="N1071">
        <f t="shared" si="48"/>
        <v>2</v>
      </c>
      <c r="O1071">
        <v>2016</v>
      </c>
      <c r="P1071">
        <f t="shared" si="49"/>
        <v>6.3332796281396906</v>
      </c>
      <c r="Q1071">
        <f t="shared" si="50"/>
        <v>5.2983673652980787</v>
      </c>
    </row>
    <row r="1072" spans="1:17" hidden="1" x14ac:dyDescent="0.3">
      <c r="A1072">
        <v>1071</v>
      </c>
      <c r="B1072">
        <v>1055322</v>
      </c>
      <c r="C1072" t="s">
        <v>2146</v>
      </c>
      <c r="D1072" t="s">
        <v>2147</v>
      </c>
      <c r="E1072">
        <v>100</v>
      </c>
      <c r="F1072">
        <v>557</v>
      </c>
      <c r="G1072">
        <v>92</v>
      </c>
      <c r="H1072">
        <v>133</v>
      </c>
      <c r="I1072">
        <v>4</v>
      </c>
      <c r="J1072" t="s">
        <v>23</v>
      </c>
      <c r="K1072">
        <v>0.15</v>
      </c>
      <c r="L1072">
        <v>9.5</v>
      </c>
      <c r="M1072" t="s">
        <v>20</v>
      </c>
      <c r="N1072">
        <f t="shared" si="48"/>
        <v>2</v>
      </c>
      <c r="O1072">
        <v>2017</v>
      </c>
      <c r="P1072">
        <f t="shared" si="49"/>
        <v>6.3225652399272843</v>
      </c>
      <c r="Q1072">
        <f t="shared" si="50"/>
        <v>4.6052701809884251</v>
      </c>
    </row>
    <row r="1073" spans="1:17" x14ac:dyDescent="0.3">
      <c r="A1073">
        <v>1072</v>
      </c>
      <c r="B1073">
        <v>455680</v>
      </c>
      <c r="C1073" t="s">
        <v>2148</v>
      </c>
      <c r="D1073" t="s">
        <v>2149</v>
      </c>
      <c r="E1073">
        <v>95</v>
      </c>
      <c r="F1073">
        <v>557</v>
      </c>
      <c r="G1073">
        <v>39</v>
      </c>
      <c r="H1073">
        <v>28</v>
      </c>
      <c r="I1073">
        <v>1</v>
      </c>
      <c r="J1073" t="s">
        <v>13</v>
      </c>
      <c r="K1073">
        <v>0.79</v>
      </c>
      <c r="L1073">
        <v>2.5</v>
      </c>
      <c r="M1073" t="s">
        <v>20</v>
      </c>
      <c r="N1073">
        <f t="shared" si="48"/>
        <v>2</v>
      </c>
      <c r="O1073">
        <v>2015</v>
      </c>
      <c r="P1073">
        <f t="shared" si="49"/>
        <v>6.3225652399272843</v>
      </c>
      <c r="Q1073">
        <f t="shared" si="50"/>
        <v>4.5539821492186583</v>
      </c>
    </row>
    <row r="1074" spans="1:17" x14ac:dyDescent="0.3">
      <c r="A1074">
        <v>1073</v>
      </c>
      <c r="B1074">
        <v>679992</v>
      </c>
      <c r="C1074" t="s">
        <v>2150</v>
      </c>
      <c r="D1074" t="s">
        <v>2151</v>
      </c>
      <c r="E1074">
        <v>50</v>
      </c>
      <c r="F1074">
        <v>555</v>
      </c>
      <c r="G1074">
        <v>89</v>
      </c>
      <c r="H1074">
        <v>16</v>
      </c>
      <c r="I1074">
        <v>1</v>
      </c>
      <c r="J1074" t="s">
        <v>13</v>
      </c>
      <c r="K1074">
        <v>0.3</v>
      </c>
      <c r="L1074">
        <v>2.5</v>
      </c>
      <c r="M1074" t="s">
        <v>20</v>
      </c>
      <c r="N1074">
        <f t="shared" si="48"/>
        <v>2</v>
      </c>
      <c r="O1074">
        <v>2015</v>
      </c>
      <c r="P1074">
        <f t="shared" si="49"/>
        <v>6.3189681137464344</v>
      </c>
      <c r="Q1074">
        <f t="shared" si="50"/>
        <v>3.9122229854308124</v>
      </c>
    </row>
    <row r="1075" spans="1:17" hidden="1" x14ac:dyDescent="0.3">
      <c r="A1075">
        <v>1074</v>
      </c>
      <c r="B1075">
        <v>899534</v>
      </c>
      <c r="C1075" t="s">
        <v>2152</v>
      </c>
      <c r="D1075" t="s">
        <v>2153</v>
      </c>
      <c r="E1075">
        <v>40</v>
      </c>
      <c r="F1075">
        <v>553</v>
      </c>
      <c r="G1075">
        <v>84</v>
      </c>
      <c r="H1075">
        <v>31</v>
      </c>
      <c r="I1075">
        <v>4</v>
      </c>
      <c r="J1075" t="s">
        <v>23</v>
      </c>
      <c r="K1075">
        <v>0.02</v>
      </c>
      <c r="L1075">
        <v>3</v>
      </c>
      <c r="M1075" t="s">
        <v>20</v>
      </c>
      <c r="N1075">
        <f t="shared" si="48"/>
        <v>2</v>
      </c>
      <c r="O1075">
        <v>2016</v>
      </c>
      <c r="P1075">
        <f t="shared" si="49"/>
        <v>6.315358001522335</v>
      </c>
      <c r="Q1075">
        <f t="shared" si="50"/>
        <v>3.6891294228691436</v>
      </c>
    </row>
    <row r="1076" spans="1:17" x14ac:dyDescent="0.3">
      <c r="A1076">
        <v>1075</v>
      </c>
      <c r="B1076">
        <v>1052518</v>
      </c>
      <c r="C1076" t="s">
        <v>2154</v>
      </c>
      <c r="D1076" t="s">
        <v>2155</v>
      </c>
      <c r="E1076">
        <v>145</v>
      </c>
      <c r="F1076">
        <v>550</v>
      </c>
      <c r="G1076">
        <v>15</v>
      </c>
      <c r="H1076">
        <v>59</v>
      </c>
      <c r="I1076">
        <v>1</v>
      </c>
      <c r="J1076" t="s">
        <v>13</v>
      </c>
      <c r="K1076">
        <v>0.92</v>
      </c>
      <c r="L1076">
        <v>3</v>
      </c>
      <c r="M1076" t="s">
        <v>20</v>
      </c>
      <c r="N1076">
        <f t="shared" si="48"/>
        <v>2</v>
      </c>
      <c r="O1076">
        <v>2016</v>
      </c>
      <c r="P1076">
        <f t="shared" si="49"/>
        <v>6.3099182782265162</v>
      </c>
      <c r="Q1076">
        <f t="shared" si="50"/>
        <v>4.9768027055598036</v>
      </c>
    </row>
    <row r="1077" spans="1:17" hidden="1" x14ac:dyDescent="0.3">
      <c r="A1077">
        <v>1076</v>
      </c>
      <c r="B1077">
        <v>1035923</v>
      </c>
      <c r="C1077" t="s">
        <v>2156</v>
      </c>
      <c r="D1077" t="s">
        <v>2157</v>
      </c>
      <c r="E1077">
        <v>30</v>
      </c>
      <c r="F1077">
        <v>550</v>
      </c>
      <c r="G1077">
        <v>97</v>
      </c>
      <c r="H1077">
        <v>70</v>
      </c>
      <c r="I1077">
        <v>4</v>
      </c>
      <c r="J1077" t="s">
        <v>23</v>
      </c>
      <c r="K1077">
        <v>0.24</v>
      </c>
      <c r="L1077">
        <v>9</v>
      </c>
      <c r="M1077" t="s">
        <v>20</v>
      </c>
      <c r="N1077">
        <f t="shared" si="48"/>
        <v>2</v>
      </c>
      <c r="O1077">
        <v>2016</v>
      </c>
      <c r="P1077">
        <f t="shared" si="49"/>
        <v>6.3099182782265162</v>
      </c>
      <c r="Q1077">
        <f t="shared" si="50"/>
        <v>3.4015306594522756</v>
      </c>
    </row>
    <row r="1078" spans="1:17" x14ac:dyDescent="0.3">
      <c r="A1078">
        <v>1077</v>
      </c>
      <c r="B1078">
        <v>592594</v>
      </c>
      <c r="C1078" t="s">
        <v>2158</v>
      </c>
      <c r="D1078" t="s">
        <v>2159</v>
      </c>
      <c r="E1078">
        <v>200</v>
      </c>
      <c r="F1078">
        <v>549</v>
      </c>
      <c r="G1078">
        <v>49</v>
      </c>
      <c r="H1078">
        <v>18</v>
      </c>
      <c r="I1078">
        <v>1</v>
      </c>
      <c r="J1078" t="s">
        <v>13</v>
      </c>
      <c r="K1078">
        <v>0.96</v>
      </c>
      <c r="L1078">
        <v>2</v>
      </c>
      <c r="M1078" t="s">
        <v>20</v>
      </c>
      <c r="N1078">
        <f t="shared" si="48"/>
        <v>2</v>
      </c>
      <c r="O1078">
        <v>2015</v>
      </c>
      <c r="P1078">
        <f t="shared" si="49"/>
        <v>6.3080984415095305</v>
      </c>
      <c r="Q1078">
        <f t="shared" si="50"/>
        <v>5.2983673652980787</v>
      </c>
    </row>
    <row r="1079" spans="1:17" x14ac:dyDescent="0.3">
      <c r="A1079">
        <v>1078</v>
      </c>
      <c r="B1079">
        <v>986742</v>
      </c>
      <c r="C1079" t="s">
        <v>2160</v>
      </c>
      <c r="D1079" t="s">
        <v>2161</v>
      </c>
      <c r="E1079">
        <v>145</v>
      </c>
      <c r="F1079">
        <v>546</v>
      </c>
      <c r="G1079">
        <v>69</v>
      </c>
      <c r="H1079">
        <v>21</v>
      </c>
      <c r="I1079">
        <v>1</v>
      </c>
      <c r="J1079" t="s">
        <v>13</v>
      </c>
      <c r="K1079">
        <v>0.03</v>
      </c>
      <c r="L1079">
        <v>3</v>
      </c>
      <c r="M1079" t="s">
        <v>20</v>
      </c>
      <c r="N1079">
        <f t="shared" si="48"/>
        <v>2</v>
      </c>
      <c r="O1079">
        <v>2016</v>
      </c>
      <c r="P1079">
        <f t="shared" si="49"/>
        <v>6.3026189757449051</v>
      </c>
      <c r="Q1079">
        <f t="shared" si="50"/>
        <v>4.9768027055598036</v>
      </c>
    </row>
    <row r="1080" spans="1:17" x14ac:dyDescent="0.3">
      <c r="A1080">
        <v>1079</v>
      </c>
      <c r="B1080">
        <v>1176460</v>
      </c>
      <c r="C1080" t="s">
        <v>2162</v>
      </c>
      <c r="D1080" t="s">
        <v>2163</v>
      </c>
      <c r="E1080">
        <v>45</v>
      </c>
      <c r="F1080">
        <v>540</v>
      </c>
      <c r="G1080">
        <v>11</v>
      </c>
      <c r="H1080">
        <v>19</v>
      </c>
      <c r="I1080">
        <v>1</v>
      </c>
      <c r="J1080" t="s">
        <v>13</v>
      </c>
      <c r="K1080">
        <v>7.0000000000000007E-2</v>
      </c>
      <c r="L1080">
        <v>1</v>
      </c>
      <c r="M1080" t="s">
        <v>20</v>
      </c>
      <c r="N1080">
        <f t="shared" si="48"/>
        <v>2</v>
      </c>
      <c r="O1080">
        <v>2017</v>
      </c>
      <c r="P1080">
        <f t="shared" si="49"/>
        <v>6.2915691395583204</v>
      </c>
      <c r="Q1080">
        <f t="shared" si="50"/>
        <v>3.8068846873048412</v>
      </c>
    </row>
    <row r="1081" spans="1:17" x14ac:dyDescent="0.3">
      <c r="A1081">
        <v>1080</v>
      </c>
      <c r="B1081">
        <v>667744</v>
      </c>
      <c r="C1081" t="s">
        <v>2164</v>
      </c>
      <c r="D1081" t="s">
        <v>2165</v>
      </c>
      <c r="E1081">
        <v>50</v>
      </c>
      <c r="F1081">
        <v>540</v>
      </c>
      <c r="G1081">
        <v>13</v>
      </c>
      <c r="H1081">
        <v>15</v>
      </c>
      <c r="I1081">
        <v>1</v>
      </c>
      <c r="J1081" t="s">
        <v>13</v>
      </c>
      <c r="K1081">
        <v>0.76</v>
      </c>
      <c r="L1081">
        <v>0.6</v>
      </c>
      <c r="M1081" t="s">
        <v>20</v>
      </c>
      <c r="N1081">
        <f t="shared" si="48"/>
        <v>2</v>
      </c>
      <c r="O1081">
        <v>2015</v>
      </c>
      <c r="P1081">
        <f t="shared" si="49"/>
        <v>6.2915691395583204</v>
      </c>
      <c r="Q1081">
        <f t="shared" si="50"/>
        <v>3.9122229854308124</v>
      </c>
    </row>
    <row r="1082" spans="1:17" x14ac:dyDescent="0.3">
      <c r="A1082">
        <v>1081</v>
      </c>
      <c r="B1082">
        <v>1072248</v>
      </c>
      <c r="C1082" t="s">
        <v>2166</v>
      </c>
      <c r="D1082" t="s">
        <v>2167</v>
      </c>
      <c r="E1082">
        <v>85</v>
      </c>
      <c r="F1082">
        <v>538</v>
      </c>
      <c r="G1082">
        <v>13</v>
      </c>
      <c r="H1082">
        <v>113</v>
      </c>
      <c r="I1082">
        <v>1</v>
      </c>
      <c r="J1082" t="s">
        <v>13</v>
      </c>
      <c r="K1082">
        <v>0.75</v>
      </c>
      <c r="L1082">
        <v>18.5</v>
      </c>
      <c r="M1082" t="s">
        <v>20</v>
      </c>
      <c r="N1082">
        <f t="shared" si="48"/>
        <v>2</v>
      </c>
      <c r="O1082">
        <v>2017</v>
      </c>
      <c r="P1082">
        <f t="shared" si="49"/>
        <v>6.2878585601617845</v>
      </c>
      <c r="Q1082">
        <f t="shared" si="50"/>
        <v>4.4427688966292678</v>
      </c>
    </row>
    <row r="1083" spans="1:17" x14ac:dyDescent="0.3">
      <c r="A1083">
        <v>1082</v>
      </c>
      <c r="B1083">
        <v>924216</v>
      </c>
      <c r="C1083" t="s">
        <v>2168</v>
      </c>
      <c r="D1083" t="s">
        <v>2169</v>
      </c>
      <c r="E1083">
        <v>175</v>
      </c>
      <c r="F1083">
        <v>534</v>
      </c>
      <c r="G1083">
        <v>16</v>
      </c>
      <c r="H1083">
        <v>51</v>
      </c>
      <c r="I1083">
        <v>1</v>
      </c>
      <c r="J1083" t="s">
        <v>13</v>
      </c>
      <c r="K1083">
        <v>0.11</v>
      </c>
      <c r="L1083">
        <v>4</v>
      </c>
      <c r="M1083" t="s">
        <v>20</v>
      </c>
      <c r="N1083">
        <f t="shared" si="48"/>
        <v>2</v>
      </c>
      <c r="O1083">
        <v>2016</v>
      </c>
      <c r="P1083">
        <f t="shared" si="49"/>
        <v>6.280395838960195</v>
      </c>
      <c r="Q1083">
        <f t="shared" si="50"/>
        <v>5.1648431151480656</v>
      </c>
    </row>
    <row r="1084" spans="1:17" hidden="1" x14ac:dyDescent="0.3">
      <c r="A1084">
        <v>1083</v>
      </c>
      <c r="B1084">
        <v>421018</v>
      </c>
      <c r="C1084" t="s">
        <v>2170</v>
      </c>
      <c r="D1084" t="s">
        <v>2171</v>
      </c>
      <c r="E1084">
        <v>75</v>
      </c>
      <c r="F1084">
        <v>533</v>
      </c>
      <c r="G1084">
        <v>54</v>
      </c>
      <c r="H1084">
        <v>23</v>
      </c>
      <c r="I1084">
        <v>4</v>
      </c>
      <c r="J1084" t="s">
        <v>23</v>
      </c>
      <c r="K1084">
        <v>0.34</v>
      </c>
      <c r="L1084">
        <v>3</v>
      </c>
      <c r="M1084" t="s">
        <v>20</v>
      </c>
      <c r="N1084">
        <f t="shared" si="48"/>
        <v>2</v>
      </c>
      <c r="O1084">
        <v>2015</v>
      </c>
      <c r="P1084">
        <f t="shared" si="49"/>
        <v>6.2785214241658442</v>
      </c>
      <c r="Q1084">
        <f t="shared" si="50"/>
        <v>4.3176214379815452</v>
      </c>
    </row>
    <row r="1085" spans="1:17" hidden="1" x14ac:dyDescent="0.3">
      <c r="A1085">
        <v>1084</v>
      </c>
      <c r="B1085">
        <v>344224</v>
      </c>
      <c r="C1085" t="s">
        <v>2172</v>
      </c>
      <c r="D1085" t="s">
        <v>2173</v>
      </c>
      <c r="E1085">
        <v>40</v>
      </c>
      <c r="F1085">
        <v>527</v>
      </c>
      <c r="G1085">
        <v>63</v>
      </c>
      <c r="H1085">
        <v>11</v>
      </c>
      <c r="I1085">
        <v>4</v>
      </c>
      <c r="J1085" t="s">
        <v>23</v>
      </c>
      <c r="K1085">
        <v>0.78</v>
      </c>
      <c r="L1085">
        <v>2.5</v>
      </c>
      <c r="M1085" t="s">
        <v>20</v>
      </c>
      <c r="N1085">
        <f t="shared" si="48"/>
        <v>2</v>
      </c>
      <c r="O1085">
        <v>2014</v>
      </c>
      <c r="P1085">
        <f t="shared" si="49"/>
        <v>6.2672005485413624</v>
      </c>
      <c r="Q1085">
        <f t="shared" si="50"/>
        <v>3.6891294228691436</v>
      </c>
    </row>
    <row r="1086" spans="1:17" x14ac:dyDescent="0.3">
      <c r="A1086">
        <v>1085</v>
      </c>
      <c r="B1086">
        <v>928040</v>
      </c>
      <c r="C1086" t="s">
        <v>2174</v>
      </c>
      <c r="D1086" t="s">
        <v>2175</v>
      </c>
      <c r="E1086">
        <v>145</v>
      </c>
      <c r="F1086">
        <v>522</v>
      </c>
      <c r="G1086">
        <v>50</v>
      </c>
      <c r="H1086">
        <v>48</v>
      </c>
      <c r="I1086">
        <v>1</v>
      </c>
      <c r="J1086" t="s">
        <v>13</v>
      </c>
      <c r="K1086">
        <v>0.79</v>
      </c>
      <c r="L1086">
        <v>5.5</v>
      </c>
      <c r="M1086" t="s">
        <v>20</v>
      </c>
      <c r="N1086">
        <f t="shared" si="48"/>
        <v>2</v>
      </c>
      <c r="O1086">
        <v>2016</v>
      </c>
      <c r="P1086">
        <f t="shared" si="49"/>
        <v>6.2576675878826391</v>
      </c>
      <c r="Q1086">
        <f t="shared" si="50"/>
        <v>4.9768027055598036</v>
      </c>
    </row>
    <row r="1087" spans="1:17" hidden="1" x14ac:dyDescent="0.3">
      <c r="A1087">
        <v>1086</v>
      </c>
      <c r="B1087">
        <v>635248</v>
      </c>
      <c r="C1087" t="s">
        <v>2176</v>
      </c>
      <c r="D1087" t="s">
        <v>2177</v>
      </c>
      <c r="E1087">
        <v>40</v>
      </c>
      <c r="F1087">
        <v>513</v>
      </c>
      <c r="G1087">
        <v>169</v>
      </c>
      <c r="H1087">
        <v>48</v>
      </c>
      <c r="I1087">
        <v>3</v>
      </c>
      <c r="J1087" t="s">
        <v>17</v>
      </c>
      <c r="K1087">
        <v>0.78</v>
      </c>
      <c r="L1087">
        <v>3.5</v>
      </c>
      <c r="M1087" t="s">
        <v>20</v>
      </c>
      <c r="N1087">
        <f t="shared" si="48"/>
        <v>2</v>
      </c>
      <c r="O1087">
        <v>2015</v>
      </c>
      <c r="P1087">
        <f t="shared" si="49"/>
        <v>6.2402758451707694</v>
      </c>
      <c r="Q1087">
        <f t="shared" si="50"/>
        <v>3.6891294228691436</v>
      </c>
    </row>
    <row r="1088" spans="1:17" hidden="1" x14ac:dyDescent="0.3">
      <c r="A1088">
        <v>1087</v>
      </c>
      <c r="B1088">
        <v>1022682</v>
      </c>
      <c r="C1088" t="s">
        <v>2178</v>
      </c>
      <c r="D1088" t="s">
        <v>2179</v>
      </c>
      <c r="E1088">
        <v>45</v>
      </c>
      <c r="F1088">
        <v>511</v>
      </c>
      <c r="G1088">
        <v>12</v>
      </c>
      <c r="H1088">
        <v>7</v>
      </c>
      <c r="I1088">
        <v>3</v>
      </c>
      <c r="J1088" t="s">
        <v>17</v>
      </c>
      <c r="K1088">
        <v>0.34</v>
      </c>
      <c r="L1088">
        <v>0.55000000000000004</v>
      </c>
      <c r="M1088" t="s">
        <v>20</v>
      </c>
      <c r="N1088">
        <f t="shared" si="48"/>
        <v>2</v>
      </c>
      <c r="O1088">
        <v>2016</v>
      </c>
      <c r="P1088">
        <f t="shared" si="49"/>
        <v>6.2363695902037044</v>
      </c>
      <c r="Q1088">
        <f t="shared" si="50"/>
        <v>3.8068846873048412</v>
      </c>
    </row>
    <row r="1089" spans="1:17" hidden="1" x14ac:dyDescent="0.3">
      <c r="A1089">
        <v>1088</v>
      </c>
      <c r="B1089">
        <v>964732</v>
      </c>
      <c r="C1089" t="s">
        <v>2180</v>
      </c>
      <c r="D1089" t="s">
        <v>2181</v>
      </c>
      <c r="E1089">
        <v>95</v>
      </c>
      <c r="F1089">
        <v>502</v>
      </c>
      <c r="G1089">
        <v>62</v>
      </c>
      <c r="H1089">
        <v>59</v>
      </c>
      <c r="I1089">
        <v>2</v>
      </c>
      <c r="J1089" t="s">
        <v>32</v>
      </c>
      <c r="K1089">
        <v>0.3</v>
      </c>
      <c r="L1089">
        <v>5</v>
      </c>
      <c r="M1089" t="s">
        <v>20</v>
      </c>
      <c r="N1089">
        <f t="shared" si="48"/>
        <v>2</v>
      </c>
      <c r="O1089">
        <v>2016</v>
      </c>
      <c r="P1089">
        <f t="shared" si="49"/>
        <v>6.2186001196917289</v>
      </c>
      <c r="Q1089">
        <f t="shared" si="50"/>
        <v>4.5539821492186583</v>
      </c>
    </row>
    <row r="1090" spans="1:17" x14ac:dyDescent="0.3">
      <c r="A1090">
        <v>1089</v>
      </c>
      <c r="B1090">
        <v>330900</v>
      </c>
      <c r="C1090" t="s">
        <v>2182</v>
      </c>
      <c r="D1090" t="s">
        <v>2183</v>
      </c>
      <c r="E1090">
        <v>20</v>
      </c>
      <c r="F1090">
        <v>496</v>
      </c>
      <c r="G1090">
        <v>113</v>
      </c>
      <c r="H1090">
        <v>17</v>
      </c>
      <c r="I1090">
        <v>1</v>
      </c>
      <c r="J1090" t="s">
        <v>13</v>
      </c>
      <c r="K1090">
        <v>0.97</v>
      </c>
      <c r="L1090">
        <v>1</v>
      </c>
      <c r="M1090" t="s">
        <v>20</v>
      </c>
      <c r="N1090">
        <f t="shared" ref="N1090:N1153" si="51">IF(M1090="Free",1,IF(M1090="Paid",2,0))</f>
        <v>2</v>
      </c>
      <c r="O1090">
        <v>2014</v>
      </c>
      <c r="P1090">
        <f t="shared" ref="P1090:P1153" si="52">LN(F1090)</f>
        <v>6.2065759267249279</v>
      </c>
      <c r="Q1090">
        <f t="shared" ref="Q1090:Q1153" si="53">LN(E1090+0.01)</f>
        <v>2.996232148595642</v>
      </c>
    </row>
    <row r="1091" spans="1:17" hidden="1" x14ac:dyDescent="0.3">
      <c r="A1091">
        <v>1090</v>
      </c>
      <c r="B1091">
        <v>693726</v>
      </c>
      <c r="C1091" t="s">
        <v>2184</v>
      </c>
      <c r="D1091" t="s">
        <v>2185</v>
      </c>
      <c r="E1091">
        <v>95</v>
      </c>
      <c r="F1091">
        <v>494</v>
      </c>
      <c r="G1091">
        <v>46</v>
      </c>
      <c r="H1091">
        <v>37</v>
      </c>
      <c r="I1091">
        <v>4</v>
      </c>
      <c r="J1091" t="s">
        <v>23</v>
      </c>
      <c r="K1091">
        <v>0.04</v>
      </c>
      <c r="L1091">
        <v>3</v>
      </c>
      <c r="M1091" t="s">
        <v>20</v>
      </c>
      <c r="N1091">
        <f t="shared" si="51"/>
        <v>2</v>
      </c>
      <c r="O1091">
        <v>2015</v>
      </c>
      <c r="P1091">
        <f t="shared" si="52"/>
        <v>6.2025355171879228</v>
      </c>
      <c r="Q1091">
        <f t="shared" si="53"/>
        <v>4.5539821492186583</v>
      </c>
    </row>
    <row r="1092" spans="1:17" hidden="1" x14ac:dyDescent="0.3">
      <c r="A1092">
        <v>1091</v>
      </c>
      <c r="B1092">
        <v>923146</v>
      </c>
      <c r="C1092" t="s">
        <v>2186</v>
      </c>
      <c r="D1092" t="s">
        <v>2187</v>
      </c>
      <c r="E1092">
        <v>100</v>
      </c>
      <c r="F1092">
        <v>487</v>
      </c>
      <c r="G1092">
        <v>31</v>
      </c>
      <c r="H1092">
        <v>52</v>
      </c>
      <c r="I1092">
        <v>4</v>
      </c>
      <c r="J1092" t="s">
        <v>23</v>
      </c>
      <c r="K1092">
        <v>0.76</v>
      </c>
      <c r="L1092">
        <v>6</v>
      </c>
      <c r="M1092" t="s">
        <v>20</v>
      </c>
      <c r="N1092">
        <f t="shared" si="51"/>
        <v>2</v>
      </c>
      <c r="O1092">
        <v>2016</v>
      </c>
      <c r="P1092">
        <f t="shared" si="52"/>
        <v>6.1882641230825897</v>
      </c>
      <c r="Q1092">
        <f t="shared" si="53"/>
        <v>4.6052701809884251</v>
      </c>
    </row>
    <row r="1093" spans="1:17" hidden="1" x14ac:dyDescent="0.3">
      <c r="A1093">
        <v>1092</v>
      </c>
      <c r="B1093">
        <v>1111844</v>
      </c>
      <c r="C1093" t="s">
        <v>2188</v>
      </c>
      <c r="D1093" t="s">
        <v>2189</v>
      </c>
      <c r="E1093">
        <v>60</v>
      </c>
      <c r="F1093">
        <v>486</v>
      </c>
      <c r="G1093">
        <v>59</v>
      </c>
      <c r="H1093">
        <v>27</v>
      </c>
      <c r="I1093">
        <v>4</v>
      </c>
      <c r="J1093" t="s">
        <v>23</v>
      </c>
      <c r="K1093">
        <v>0.39</v>
      </c>
      <c r="L1093">
        <v>2</v>
      </c>
      <c r="M1093" t="s">
        <v>20</v>
      </c>
      <c r="N1093">
        <f t="shared" si="51"/>
        <v>2</v>
      </c>
      <c r="O1093">
        <v>2017</v>
      </c>
      <c r="P1093">
        <f t="shared" si="52"/>
        <v>6.1862086239004936</v>
      </c>
      <c r="Q1093">
        <f t="shared" si="53"/>
        <v>4.0945112150014218</v>
      </c>
    </row>
    <row r="1094" spans="1:17" hidden="1" x14ac:dyDescent="0.3">
      <c r="A1094">
        <v>1093</v>
      </c>
      <c r="B1094">
        <v>461176</v>
      </c>
      <c r="C1094" t="s">
        <v>2190</v>
      </c>
      <c r="D1094" t="s">
        <v>2191</v>
      </c>
      <c r="E1094">
        <v>95</v>
      </c>
      <c r="F1094">
        <v>481</v>
      </c>
      <c r="G1094">
        <v>75</v>
      </c>
      <c r="H1094">
        <v>77</v>
      </c>
      <c r="I1094">
        <v>4</v>
      </c>
      <c r="J1094" t="s">
        <v>23</v>
      </c>
      <c r="K1094">
        <v>0.77</v>
      </c>
      <c r="L1094">
        <v>6</v>
      </c>
      <c r="M1094" t="s">
        <v>20</v>
      </c>
      <c r="N1094">
        <f t="shared" si="51"/>
        <v>2</v>
      </c>
      <c r="O1094">
        <v>2015</v>
      </c>
      <c r="P1094">
        <f t="shared" si="52"/>
        <v>6.1758672701057611</v>
      </c>
      <c r="Q1094">
        <f t="shared" si="53"/>
        <v>4.5539821492186583</v>
      </c>
    </row>
    <row r="1095" spans="1:17" x14ac:dyDescent="0.3">
      <c r="A1095">
        <v>1094</v>
      </c>
      <c r="B1095">
        <v>934570</v>
      </c>
      <c r="C1095" t="s">
        <v>2192</v>
      </c>
      <c r="D1095" t="s">
        <v>2193</v>
      </c>
      <c r="E1095">
        <v>95</v>
      </c>
      <c r="F1095">
        <v>478</v>
      </c>
      <c r="G1095">
        <v>37</v>
      </c>
      <c r="H1095">
        <v>18</v>
      </c>
      <c r="I1095">
        <v>1</v>
      </c>
      <c r="J1095" t="s">
        <v>13</v>
      </c>
      <c r="K1095">
        <v>0.78</v>
      </c>
      <c r="L1095">
        <v>1.5</v>
      </c>
      <c r="M1095" t="s">
        <v>20</v>
      </c>
      <c r="N1095">
        <f t="shared" si="51"/>
        <v>2</v>
      </c>
      <c r="O1095">
        <v>2016</v>
      </c>
      <c r="P1095">
        <f t="shared" si="52"/>
        <v>6.1696107324914564</v>
      </c>
      <c r="Q1095">
        <f t="shared" si="53"/>
        <v>4.5539821492186583</v>
      </c>
    </row>
    <row r="1096" spans="1:17" hidden="1" x14ac:dyDescent="0.3">
      <c r="A1096">
        <v>1095</v>
      </c>
      <c r="B1096">
        <v>1012096</v>
      </c>
      <c r="C1096" t="s">
        <v>2194</v>
      </c>
      <c r="D1096" t="s">
        <v>2195</v>
      </c>
      <c r="E1096">
        <v>195</v>
      </c>
      <c r="F1096">
        <v>467</v>
      </c>
      <c r="G1096">
        <v>20</v>
      </c>
      <c r="H1096">
        <v>126</v>
      </c>
      <c r="I1096">
        <v>4</v>
      </c>
      <c r="J1096" t="s">
        <v>23</v>
      </c>
      <c r="K1096">
        <v>0.73</v>
      </c>
      <c r="L1096">
        <v>13.5</v>
      </c>
      <c r="M1096" t="s">
        <v>20</v>
      </c>
      <c r="N1096">
        <f t="shared" si="51"/>
        <v>2</v>
      </c>
      <c r="O1096">
        <v>2016</v>
      </c>
      <c r="P1096">
        <f t="shared" si="52"/>
        <v>6.1463292576688975</v>
      </c>
      <c r="Q1096">
        <f t="shared" si="53"/>
        <v>5.273050839300149</v>
      </c>
    </row>
    <row r="1097" spans="1:17" hidden="1" x14ac:dyDescent="0.3">
      <c r="A1097">
        <v>1096</v>
      </c>
      <c r="B1097">
        <v>1182108</v>
      </c>
      <c r="C1097" t="s">
        <v>2196</v>
      </c>
      <c r="D1097" t="s">
        <v>2197</v>
      </c>
      <c r="E1097">
        <v>20</v>
      </c>
      <c r="F1097">
        <v>466</v>
      </c>
      <c r="G1097">
        <v>11</v>
      </c>
      <c r="H1097">
        <v>25</v>
      </c>
      <c r="I1097">
        <v>4</v>
      </c>
      <c r="J1097" t="s">
        <v>23</v>
      </c>
      <c r="K1097">
        <v>0.2</v>
      </c>
      <c r="L1097">
        <v>2</v>
      </c>
      <c r="M1097" t="s">
        <v>20</v>
      </c>
      <c r="N1097">
        <f t="shared" si="51"/>
        <v>2</v>
      </c>
      <c r="O1097">
        <v>2017</v>
      </c>
      <c r="P1097">
        <f t="shared" si="52"/>
        <v>6.1441856341256456</v>
      </c>
      <c r="Q1097">
        <f t="shared" si="53"/>
        <v>2.996232148595642</v>
      </c>
    </row>
    <row r="1098" spans="1:17" hidden="1" x14ac:dyDescent="0.3">
      <c r="A1098">
        <v>1097</v>
      </c>
      <c r="B1098">
        <v>601260</v>
      </c>
      <c r="C1098" t="s">
        <v>2198</v>
      </c>
      <c r="D1098" t="s">
        <v>2199</v>
      </c>
      <c r="E1098">
        <v>95</v>
      </c>
      <c r="F1098">
        <v>464</v>
      </c>
      <c r="G1098">
        <v>26</v>
      </c>
      <c r="H1098">
        <v>22</v>
      </c>
      <c r="I1098">
        <v>4</v>
      </c>
      <c r="J1098" t="s">
        <v>23</v>
      </c>
      <c r="K1098">
        <v>0.86</v>
      </c>
      <c r="L1098">
        <v>1.5</v>
      </c>
      <c r="M1098" t="s">
        <v>20</v>
      </c>
      <c r="N1098">
        <f t="shared" si="51"/>
        <v>2</v>
      </c>
      <c r="O1098">
        <v>2015</v>
      </c>
      <c r="P1098">
        <f t="shared" si="52"/>
        <v>6.1398845522262553</v>
      </c>
      <c r="Q1098">
        <f t="shared" si="53"/>
        <v>4.5539821492186583</v>
      </c>
    </row>
    <row r="1099" spans="1:17" hidden="1" x14ac:dyDescent="0.3">
      <c r="A1099">
        <v>1098</v>
      </c>
      <c r="B1099">
        <v>402508</v>
      </c>
      <c r="C1099" t="s">
        <v>2200</v>
      </c>
      <c r="D1099" t="s">
        <v>2201</v>
      </c>
      <c r="E1099">
        <v>50</v>
      </c>
      <c r="F1099">
        <v>461</v>
      </c>
      <c r="G1099">
        <v>67</v>
      </c>
      <c r="H1099">
        <v>46</v>
      </c>
      <c r="I1099">
        <v>4</v>
      </c>
      <c r="J1099" t="s">
        <v>23</v>
      </c>
      <c r="K1099">
        <v>0.64</v>
      </c>
      <c r="L1099">
        <v>3.5</v>
      </c>
      <c r="M1099" t="s">
        <v>20</v>
      </c>
      <c r="N1099">
        <f t="shared" si="51"/>
        <v>2</v>
      </c>
      <c r="O1099">
        <v>2015</v>
      </c>
      <c r="P1099">
        <f t="shared" si="52"/>
        <v>6.1333980429966486</v>
      </c>
      <c r="Q1099">
        <f t="shared" si="53"/>
        <v>3.9122229854308124</v>
      </c>
    </row>
    <row r="1100" spans="1:17" x14ac:dyDescent="0.3">
      <c r="A1100">
        <v>1099</v>
      </c>
      <c r="B1100">
        <v>525818</v>
      </c>
      <c r="C1100" t="s">
        <v>2202</v>
      </c>
      <c r="D1100" t="s">
        <v>2203</v>
      </c>
      <c r="E1100">
        <v>95</v>
      </c>
      <c r="F1100">
        <v>458</v>
      </c>
      <c r="G1100">
        <v>28</v>
      </c>
      <c r="H1100">
        <v>40</v>
      </c>
      <c r="I1100">
        <v>1</v>
      </c>
      <c r="J1100" t="s">
        <v>13</v>
      </c>
      <c r="K1100">
        <v>0.64</v>
      </c>
      <c r="L1100">
        <v>4.5</v>
      </c>
      <c r="M1100" t="s">
        <v>20</v>
      </c>
      <c r="N1100">
        <f t="shared" si="51"/>
        <v>2</v>
      </c>
      <c r="O1100">
        <v>2015</v>
      </c>
      <c r="P1100">
        <f t="shared" si="52"/>
        <v>6.1268691841141854</v>
      </c>
      <c r="Q1100">
        <f t="shared" si="53"/>
        <v>4.5539821492186583</v>
      </c>
    </row>
    <row r="1101" spans="1:17" hidden="1" x14ac:dyDescent="0.3">
      <c r="A1101">
        <v>1100</v>
      </c>
      <c r="B1101">
        <v>990284</v>
      </c>
      <c r="C1101" t="s">
        <v>2204</v>
      </c>
      <c r="D1101" t="s">
        <v>2205</v>
      </c>
      <c r="E1101">
        <v>20</v>
      </c>
      <c r="F1101">
        <v>458</v>
      </c>
      <c r="G1101">
        <v>2</v>
      </c>
      <c r="H1101">
        <v>12</v>
      </c>
      <c r="I1101">
        <v>4</v>
      </c>
      <c r="J1101" t="s">
        <v>23</v>
      </c>
      <c r="K1101">
        <v>0.75</v>
      </c>
      <c r="L1101">
        <v>1</v>
      </c>
      <c r="M1101" t="s">
        <v>20</v>
      </c>
      <c r="N1101">
        <f t="shared" si="51"/>
        <v>2</v>
      </c>
      <c r="O1101">
        <v>2017</v>
      </c>
      <c r="P1101">
        <f t="shared" si="52"/>
        <v>6.1268691841141854</v>
      </c>
      <c r="Q1101">
        <f t="shared" si="53"/>
        <v>2.996232148595642</v>
      </c>
    </row>
    <row r="1102" spans="1:17" x14ac:dyDescent="0.3">
      <c r="A1102">
        <v>1101</v>
      </c>
      <c r="B1102">
        <v>821788</v>
      </c>
      <c r="C1102" t="s">
        <v>2206</v>
      </c>
      <c r="D1102" t="s">
        <v>2207</v>
      </c>
      <c r="E1102">
        <v>40</v>
      </c>
      <c r="F1102">
        <v>450</v>
      </c>
      <c r="G1102">
        <v>61</v>
      </c>
      <c r="H1102">
        <v>41</v>
      </c>
      <c r="I1102">
        <v>1</v>
      </c>
      <c r="J1102" t="s">
        <v>13</v>
      </c>
      <c r="K1102">
        <v>0.88</v>
      </c>
      <c r="L1102">
        <v>6</v>
      </c>
      <c r="M1102" t="s">
        <v>20</v>
      </c>
      <c r="N1102">
        <f t="shared" si="51"/>
        <v>2</v>
      </c>
      <c r="O1102">
        <v>2016</v>
      </c>
      <c r="P1102">
        <f t="shared" si="52"/>
        <v>6.1092475827643655</v>
      </c>
      <c r="Q1102">
        <f t="shared" si="53"/>
        <v>3.6891294228691436</v>
      </c>
    </row>
    <row r="1103" spans="1:17" x14ac:dyDescent="0.3">
      <c r="A1103">
        <v>1102</v>
      </c>
      <c r="B1103">
        <v>709324</v>
      </c>
      <c r="C1103" t="s">
        <v>2208</v>
      </c>
      <c r="D1103" t="s">
        <v>2209</v>
      </c>
      <c r="E1103">
        <v>200</v>
      </c>
      <c r="F1103">
        <v>442</v>
      </c>
      <c r="G1103">
        <v>48</v>
      </c>
      <c r="H1103">
        <v>80</v>
      </c>
      <c r="I1103">
        <v>1</v>
      </c>
      <c r="J1103" t="s">
        <v>13</v>
      </c>
      <c r="K1103">
        <v>0.45</v>
      </c>
      <c r="L1103">
        <v>6.5</v>
      </c>
      <c r="M1103" t="s">
        <v>20</v>
      </c>
      <c r="N1103">
        <f t="shared" si="51"/>
        <v>2</v>
      </c>
      <c r="O1103">
        <v>2015</v>
      </c>
      <c r="P1103">
        <f t="shared" si="52"/>
        <v>6.0913098820776979</v>
      </c>
      <c r="Q1103">
        <f t="shared" si="53"/>
        <v>5.2983673652980787</v>
      </c>
    </row>
    <row r="1104" spans="1:17" hidden="1" x14ac:dyDescent="0.3">
      <c r="A1104">
        <v>1103</v>
      </c>
      <c r="B1104">
        <v>667122</v>
      </c>
      <c r="C1104" t="s">
        <v>2210</v>
      </c>
      <c r="D1104" t="s">
        <v>2211</v>
      </c>
      <c r="E1104">
        <v>20</v>
      </c>
      <c r="F1104">
        <v>436</v>
      </c>
      <c r="G1104">
        <v>36</v>
      </c>
      <c r="H1104">
        <v>22</v>
      </c>
      <c r="I1104">
        <v>4</v>
      </c>
      <c r="J1104" t="s">
        <v>23</v>
      </c>
      <c r="K1104">
        <v>0.3</v>
      </c>
      <c r="L1104">
        <v>1.5</v>
      </c>
      <c r="M1104" t="s">
        <v>20</v>
      </c>
      <c r="N1104">
        <f t="shared" si="51"/>
        <v>2</v>
      </c>
      <c r="O1104">
        <v>2015</v>
      </c>
      <c r="P1104">
        <f t="shared" si="52"/>
        <v>6.0776422433490342</v>
      </c>
      <c r="Q1104">
        <f t="shared" si="53"/>
        <v>2.996232148595642</v>
      </c>
    </row>
    <row r="1105" spans="1:17" hidden="1" x14ac:dyDescent="0.3">
      <c r="A1105">
        <v>1104</v>
      </c>
      <c r="B1105">
        <v>851560</v>
      </c>
      <c r="C1105" t="s">
        <v>2212</v>
      </c>
      <c r="D1105" t="s">
        <v>2213</v>
      </c>
      <c r="E1105">
        <v>40</v>
      </c>
      <c r="F1105">
        <v>434</v>
      </c>
      <c r="G1105">
        <v>69</v>
      </c>
      <c r="H1105">
        <v>23</v>
      </c>
      <c r="I1105">
        <v>4</v>
      </c>
      <c r="J1105" t="s">
        <v>23</v>
      </c>
      <c r="K1105">
        <v>0.66</v>
      </c>
      <c r="L1105">
        <v>5.5</v>
      </c>
      <c r="M1105" t="s">
        <v>20</v>
      </c>
      <c r="N1105">
        <f t="shared" si="51"/>
        <v>2</v>
      </c>
      <c r="O1105">
        <v>2016</v>
      </c>
      <c r="P1105">
        <f t="shared" si="52"/>
        <v>6.0730445341004051</v>
      </c>
      <c r="Q1105">
        <f t="shared" si="53"/>
        <v>3.6891294228691436</v>
      </c>
    </row>
    <row r="1106" spans="1:17" hidden="1" x14ac:dyDescent="0.3">
      <c r="A1106">
        <v>1105</v>
      </c>
      <c r="B1106">
        <v>1140232</v>
      </c>
      <c r="C1106" t="s">
        <v>2214</v>
      </c>
      <c r="D1106" t="s">
        <v>2215</v>
      </c>
      <c r="E1106">
        <v>125</v>
      </c>
      <c r="F1106">
        <v>430</v>
      </c>
      <c r="G1106">
        <v>54</v>
      </c>
      <c r="H1106">
        <v>39</v>
      </c>
      <c r="I1106">
        <v>2</v>
      </c>
      <c r="J1106" t="s">
        <v>32</v>
      </c>
      <c r="K1106">
        <v>0.96</v>
      </c>
      <c r="L1106">
        <v>2.5</v>
      </c>
      <c r="M1106" t="s">
        <v>20</v>
      </c>
      <c r="N1106">
        <f t="shared" si="51"/>
        <v>2</v>
      </c>
      <c r="O1106">
        <v>2017</v>
      </c>
      <c r="P1106">
        <f t="shared" si="52"/>
        <v>6.0637852086876078</v>
      </c>
      <c r="Q1106">
        <f t="shared" si="53"/>
        <v>4.8283937341024714</v>
      </c>
    </row>
    <row r="1107" spans="1:17" hidden="1" x14ac:dyDescent="0.3">
      <c r="A1107">
        <v>1106</v>
      </c>
      <c r="B1107">
        <v>1115126</v>
      </c>
      <c r="C1107" t="s">
        <v>2216</v>
      </c>
      <c r="D1107" t="s">
        <v>2217</v>
      </c>
      <c r="E1107">
        <v>45</v>
      </c>
      <c r="F1107">
        <v>426</v>
      </c>
      <c r="G1107">
        <v>4</v>
      </c>
      <c r="H1107">
        <v>9</v>
      </c>
      <c r="I1107">
        <v>4</v>
      </c>
      <c r="J1107" t="s">
        <v>23</v>
      </c>
      <c r="K1107">
        <v>0.02</v>
      </c>
      <c r="L1107">
        <v>1</v>
      </c>
      <c r="M1107" t="s">
        <v>20</v>
      </c>
      <c r="N1107">
        <f t="shared" si="51"/>
        <v>2</v>
      </c>
      <c r="O1107">
        <v>2017</v>
      </c>
      <c r="P1107">
        <f t="shared" si="52"/>
        <v>6.0544393462693709</v>
      </c>
      <c r="Q1107">
        <f t="shared" si="53"/>
        <v>3.8068846873048412</v>
      </c>
    </row>
    <row r="1108" spans="1:17" hidden="1" x14ac:dyDescent="0.3">
      <c r="A1108">
        <v>1107</v>
      </c>
      <c r="B1108">
        <v>1115132</v>
      </c>
      <c r="C1108" t="s">
        <v>2218</v>
      </c>
      <c r="D1108" t="s">
        <v>2219</v>
      </c>
      <c r="E1108">
        <v>45</v>
      </c>
      <c r="F1108">
        <v>426</v>
      </c>
      <c r="G1108">
        <v>4</v>
      </c>
      <c r="H1108">
        <v>10</v>
      </c>
      <c r="I1108">
        <v>4</v>
      </c>
      <c r="J1108" t="s">
        <v>23</v>
      </c>
      <c r="K1108">
        <v>0.28999999999999998</v>
      </c>
      <c r="L1108">
        <v>1</v>
      </c>
      <c r="M1108" t="s">
        <v>20</v>
      </c>
      <c r="N1108">
        <f t="shared" si="51"/>
        <v>2</v>
      </c>
      <c r="O1108">
        <v>2017</v>
      </c>
      <c r="P1108">
        <f t="shared" si="52"/>
        <v>6.0544393462693709</v>
      </c>
      <c r="Q1108">
        <f t="shared" si="53"/>
        <v>3.8068846873048412</v>
      </c>
    </row>
    <row r="1109" spans="1:17" hidden="1" x14ac:dyDescent="0.3">
      <c r="A1109">
        <v>1108</v>
      </c>
      <c r="B1109">
        <v>963378</v>
      </c>
      <c r="C1109" t="s">
        <v>2220</v>
      </c>
      <c r="D1109" t="s">
        <v>2221</v>
      </c>
      <c r="E1109">
        <v>30</v>
      </c>
      <c r="F1109">
        <v>424</v>
      </c>
      <c r="G1109">
        <v>85</v>
      </c>
      <c r="H1109">
        <v>9</v>
      </c>
      <c r="I1109">
        <v>4</v>
      </c>
      <c r="J1109" t="s">
        <v>23</v>
      </c>
      <c r="K1109">
        <v>0.39</v>
      </c>
      <c r="L1109">
        <v>1</v>
      </c>
      <c r="M1109" t="s">
        <v>20</v>
      </c>
      <c r="N1109">
        <f t="shared" si="51"/>
        <v>2</v>
      </c>
      <c r="O1109">
        <v>2016</v>
      </c>
      <c r="P1109">
        <f t="shared" si="52"/>
        <v>6.0497334552319577</v>
      </c>
      <c r="Q1109">
        <f t="shared" si="53"/>
        <v>3.4015306594522756</v>
      </c>
    </row>
    <row r="1110" spans="1:17" hidden="1" x14ac:dyDescent="0.3">
      <c r="A1110">
        <v>1109</v>
      </c>
      <c r="B1110">
        <v>591116</v>
      </c>
      <c r="C1110" t="s">
        <v>2222</v>
      </c>
      <c r="D1110" t="s">
        <v>2223</v>
      </c>
      <c r="E1110">
        <v>95</v>
      </c>
      <c r="F1110">
        <v>424</v>
      </c>
      <c r="G1110">
        <v>45</v>
      </c>
      <c r="H1110">
        <v>60</v>
      </c>
      <c r="I1110">
        <v>4</v>
      </c>
      <c r="J1110" t="s">
        <v>23</v>
      </c>
      <c r="K1110">
        <v>0.77</v>
      </c>
      <c r="L1110">
        <v>3.5</v>
      </c>
      <c r="M1110" t="s">
        <v>20</v>
      </c>
      <c r="N1110">
        <f t="shared" si="51"/>
        <v>2</v>
      </c>
      <c r="O1110">
        <v>2015</v>
      </c>
      <c r="P1110">
        <f t="shared" si="52"/>
        <v>6.0497334552319577</v>
      </c>
      <c r="Q1110">
        <f t="shared" si="53"/>
        <v>4.5539821492186583</v>
      </c>
    </row>
    <row r="1111" spans="1:17" x14ac:dyDescent="0.3">
      <c r="A1111">
        <v>1110</v>
      </c>
      <c r="B1111">
        <v>835346</v>
      </c>
      <c r="C1111" t="s">
        <v>2224</v>
      </c>
      <c r="D1111" t="s">
        <v>2225</v>
      </c>
      <c r="E1111">
        <v>145</v>
      </c>
      <c r="F1111">
        <v>422</v>
      </c>
      <c r="G1111">
        <v>86</v>
      </c>
      <c r="H1111">
        <v>69</v>
      </c>
      <c r="I1111">
        <v>1</v>
      </c>
      <c r="J1111" t="s">
        <v>13</v>
      </c>
      <c r="K1111">
        <v>0.96</v>
      </c>
      <c r="L1111">
        <v>12.5</v>
      </c>
      <c r="M1111" t="s">
        <v>20</v>
      </c>
      <c r="N1111">
        <f t="shared" si="51"/>
        <v>2</v>
      </c>
      <c r="O1111">
        <v>2016</v>
      </c>
      <c r="P1111">
        <f t="shared" si="52"/>
        <v>6.045005314036012</v>
      </c>
      <c r="Q1111">
        <f t="shared" si="53"/>
        <v>4.9768027055598036</v>
      </c>
    </row>
    <row r="1112" spans="1:17" hidden="1" x14ac:dyDescent="0.3">
      <c r="A1112">
        <v>1111</v>
      </c>
      <c r="B1112">
        <v>1205894</v>
      </c>
      <c r="C1112" t="s">
        <v>2226</v>
      </c>
      <c r="D1112" t="s">
        <v>2227</v>
      </c>
      <c r="E1112">
        <v>50</v>
      </c>
      <c r="F1112">
        <v>421</v>
      </c>
      <c r="G1112">
        <v>26</v>
      </c>
      <c r="H1112">
        <v>33</v>
      </c>
      <c r="I1112">
        <v>4</v>
      </c>
      <c r="J1112" t="s">
        <v>23</v>
      </c>
      <c r="K1112">
        <v>0.47</v>
      </c>
      <c r="L1112">
        <v>3.5</v>
      </c>
      <c r="M1112" t="s">
        <v>20</v>
      </c>
      <c r="N1112">
        <f t="shared" si="51"/>
        <v>2</v>
      </c>
      <c r="O1112">
        <v>2017</v>
      </c>
      <c r="P1112">
        <f t="shared" si="52"/>
        <v>6.0426328336823811</v>
      </c>
      <c r="Q1112">
        <f t="shared" si="53"/>
        <v>3.9122229854308124</v>
      </c>
    </row>
    <row r="1113" spans="1:17" hidden="1" x14ac:dyDescent="0.3">
      <c r="A1113">
        <v>1112</v>
      </c>
      <c r="B1113">
        <v>994634</v>
      </c>
      <c r="C1113" t="s">
        <v>2228</v>
      </c>
      <c r="D1113" t="s">
        <v>2229</v>
      </c>
      <c r="E1113">
        <v>50</v>
      </c>
      <c r="F1113">
        <v>417</v>
      </c>
      <c r="G1113">
        <v>65</v>
      </c>
      <c r="H1113">
        <v>109</v>
      </c>
      <c r="I1113">
        <v>2</v>
      </c>
      <c r="J1113" t="s">
        <v>32</v>
      </c>
      <c r="K1113">
        <v>0.22</v>
      </c>
      <c r="L1113">
        <v>13</v>
      </c>
      <c r="M1113" t="s">
        <v>20</v>
      </c>
      <c r="N1113">
        <f t="shared" si="51"/>
        <v>2</v>
      </c>
      <c r="O1113">
        <v>2016</v>
      </c>
      <c r="P1113">
        <f t="shared" si="52"/>
        <v>6.0330862217988015</v>
      </c>
      <c r="Q1113">
        <f t="shared" si="53"/>
        <v>3.9122229854308124</v>
      </c>
    </row>
    <row r="1114" spans="1:17" x14ac:dyDescent="0.3">
      <c r="A1114">
        <v>1113</v>
      </c>
      <c r="B1114">
        <v>676554</v>
      </c>
      <c r="C1114" t="s">
        <v>2230</v>
      </c>
      <c r="D1114" t="s">
        <v>2231</v>
      </c>
      <c r="E1114">
        <v>50</v>
      </c>
      <c r="F1114">
        <v>415</v>
      </c>
      <c r="G1114">
        <v>67</v>
      </c>
      <c r="H1114">
        <v>53</v>
      </c>
      <c r="I1114">
        <v>1</v>
      </c>
      <c r="J1114" t="s">
        <v>13</v>
      </c>
      <c r="K1114">
        <v>0.17</v>
      </c>
      <c r="L1114">
        <v>7</v>
      </c>
      <c r="M1114" t="s">
        <v>20</v>
      </c>
      <c r="N1114">
        <f t="shared" si="51"/>
        <v>2</v>
      </c>
      <c r="O1114">
        <v>2015</v>
      </c>
      <c r="P1114">
        <f t="shared" si="52"/>
        <v>6.0282785202306979</v>
      </c>
      <c r="Q1114">
        <f t="shared" si="53"/>
        <v>3.9122229854308124</v>
      </c>
    </row>
    <row r="1115" spans="1:17" hidden="1" x14ac:dyDescent="0.3">
      <c r="A1115">
        <v>1114</v>
      </c>
      <c r="B1115">
        <v>1112604</v>
      </c>
      <c r="C1115" t="s">
        <v>2232</v>
      </c>
      <c r="D1115" t="s">
        <v>2233</v>
      </c>
      <c r="E1115">
        <v>200</v>
      </c>
      <c r="F1115">
        <v>408</v>
      </c>
      <c r="G1115">
        <v>39</v>
      </c>
      <c r="H1115">
        <v>80</v>
      </c>
      <c r="I1115">
        <v>4</v>
      </c>
      <c r="J1115" t="s">
        <v>23</v>
      </c>
      <c r="K1115">
        <v>0.32</v>
      </c>
      <c r="L1115">
        <v>8</v>
      </c>
      <c r="M1115" t="s">
        <v>20</v>
      </c>
      <c r="N1115">
        <f t="shared" si="51"/>
        <v>2</v>
      </c>
      <c r="O1115">
        <v>2017</v>
      </c>
      <c r="P1115">
        <f t="shared" si="52"/>
        <v>6.0112671744041615</v>
      </c>
      <c r="Q1115">
        <f t="shared" si="53"/>
        <v>5.2983673652980787</v>
      </c>
    </row>
    <row r="1116" spans="1:17" hidden="1" x14ac:dyDescent="0.3">
      <c r="A1116">
        <v>1115</v>
      </c>
      <c r="B1116">
        <v>877036</v>
      </c>
      <c r="C1116" t="s">
        <v>2234</v>
      </c>
      <c r="D1116" t="s">
        <v>2235</v>
      </c>
      <c r="E1116">
        <v>60</v>
      </c>
      <c r="F1116">
        <v>402</v>
      </c>
      <c r="G1116">
        <v>20</v>
      </c>
      <c r="H1116">
        <v>35</v>
      </c>
      <c r="I1116">
        <v>4</v>
      </c>
      <c r="J1116" t="s">
        <v>23</v>
      </c>
      <c r="K1116">
        <v>0.51</v>
      </c>
      <c r="L1116">
        <v>4</v>
      </c>
      <c r="M1116" t="s">
        <v>20</v>
      </c>
      <c r="N1116">
        <f t="shared" si="51"/>
        <v>2</v>
      </c>
      <c r="O1116">
        <v>2016</v>
      </c>
      <c r="P1116">
        <f t="shared" si="52"/>
        <v>5.9964520886190211</v>
      </c>
      <c r="Q1116">
        <f t="shared" si="53"/>
        <v>4.0945112150014218</v>
      </c>
    </row>
    <row r="1117" spans="1:17" x14ac:dyDescent="0.3">
      <c r="A1117">
        <v>1116</v>
      </c>
      <c r="B1117">
        <v>772224</v>
      </c>
      <c r="C1117" t="s">
        <v>2236</v>
      </c>
      <c r="D1117" t="s">
        <v>2237</v>
      </c>
      <c r="E1117">
        <v>35</v>
      </c>
      <c r="F1117">
        <v>396</v>
      </c>
      <c r="G1117">
        <v>130</v>
      </c>
      <c r="H1117">
        <v>21</v>
      </c>
      <c r="I1117">
        <v>1</v>
      </c>
      <c r="J1117" t="s">
        <v>13</v>
      </c>
      <c r="K1117">
        <v>0.06</v>
      </c>
      <c r="L1117">
        <v>0.71666666999999995</v>
      </c>
      <c r="M1117" t="s">
        <v>20</v>
      </c>
      <c r="N1117">
        <f t="shared" si="51"/>
        <v>2</v>
      </c>
      <c r="O1117">
        <v>2016</v>
      </c>
      <c r="P1117">
        <f t="shared" si="52"/>
        <v>5.9814142112544806</v>
      </c>
      <c r="Q1117">
        <f t="shared" si="53"/>
        <v>3.5556337349665741</v>
      </c>
    </row>
    <row r="1118" spans="1:17" x14ac:dyDescent="0.3">
      <c r="A1118">
        <v>1117</v>
      </c>
      <c r="B1118">
        <v>1115128</v>
      </c>
      <c r="C1118" t="s">
        <v>2238</v>
      </c>
      <c r="D1118" t="s">
        <v>2239</v>
      </c>
      <c r="E1118">
        <v>45</v>
      </c>
      <c r="F1118">
        <v>396</v>
      </c>
      <c r="G1118">
        <v>6</v>
      </c>
      <c r="H1118">
        <v>8</v>
      </c>
      <c r="I1118">
        <v>1</v>
      </c>
      <c r="J1118" t="s">
        <v>13</v>
      </c>
      <c r="K1118">
        <v>0.83</v>
      </c>
      <c r="L1118">
        <v>0.56666667000000004</v>
      </c>
      <c r="M1118" t="s">
        <v>20</v>
      </c>
      <c r="N1118">
        <f t="shared" si="51"/>
        <v>2</v>
      </c>
      <c r="O1118">
        <v>2017</v>
      </c>
      <c r="P1118">
        <f t="shared" si="52"/>
        <v>5.9814142112544806</v>
      </c>
      <c r="Q1118">
        <f t="shared" si="53"/>
        <v>3.8068846873048412</v>
      </c>
    </row>
    <row r="1119" spans="1:17" x14ac:dyDescent="0.3">
      <c r="A1119">
        <v>1118</v>
      </c>
      <c r="B1119">
        <v>655298</v>
      </c>
      <c r="C1119" t="s">
        <v>2240</v>
      </c>
      <c r="D1119" t="s">
        <v>2241</v>
      </c>
      <c r="E1119">
        <v>40</v>
      </c>
      <c r="F1119">
        <v>395</v>
      </c>
      <c r="G1119">
        <v>26</v>
      </c>
      <c r="H1119">
        <v>36</v>
      </c>
      <c r="I1119">
        <v>1</v>
      </c>
      <c r="J1119" t="s">
        <v>13</v>
      </c>
      <c r="K1119">
        <v>0.54</v>
      </c>
      <c r="L1119">
        <v>6.5</v>
      </c>
      <c r="M1119" t="s">
        <v>20</v>
      </c>
      <c r="N1119">
        <f t="shared" si="51"/>
        <v>2</v>
      </c>
      <c r="O1119">
        <v>2015</v>
      </c>
      <c r="P1119">
        <f t="shared" si="52"/>
        <v>5.978885764901122</v>
      </c>
      <c r="Q1119">
        <f t="shared" si="53"/>
        <v>3.6891294228691436</v>
      </c>
    </row>
    <row r="1120" spans="1:17" hidden="1" x14ac:dyDescent="0.3">
      <c r="A1120">
        <v>1119</v>
      </c>
      <c r="B1120">
        <v>1038786</v>
      </c>
      <c r="C1120" t="s">
        <v>2242</v>
      </c>
      <c r="D1120" t="s">
        <v>2243</v>
      </c>
      <c r="E1120">
        <v>195</v>
      </c>
      <c r="F1120">
        <v>395</v>
      </c>
      <c r="G1120">
        <v>18</v>
      </c>
      <c r="H1120">
        <v>57</v>
      </c>
      <c r="I1120">
        <v>4</v>
      </c>
      <c r="J1120" t="s">
        <v>23</v>
      </c>
      <c r="K1120">
        <v>0.56999999999999995</v>
      </c>
      <c r="L1120">
        <v>17</v>
      </c>
      <c r="M1120" t="s">
        <v>20</v>
      </c>
      <c r="N1120">
        <f t="shared" si="51"/>
        <v>2</v>
      </c>
      <c r="O1120">
        <v>2016</v>
      </c>
      <c r="P1120">
        <f t="shared" si="52"/>
        <v>5.978885764901122</v>
      </c>
      <c r="Q1120">
        <f t="shared" si="53"/>
        <v>5.273050839300149</v>
      </c>
    </row>
    <row r="1121" spans="1:17" hidden="1" x14ac:dyDescent="0.3">
      <c r="A1121">
        <v>1120</v>
      </c>
      <c r="B1121">
        <v>755932</v>
      </c>
      <c r="C1121" t="s">
        <v>2244</v>
      </c>
      <c r="D1121" t="s">
        <v>2245</v>
      </c>
      <c r="E1121">
        <v>50</v>
      </c>
      <c r="F1121">
        <v>394</v>
      </c>
      <c r="G1121">
        <v>78</v>
      </c>
      <c r="H1121">
        <v>22</v>
      </c>
      <c r="I1121">
        <v>2</v>
      </c>
      <c r="J1121" t="s">
        <v>32</v>
      </c>
      <c r="K1121">
        <v>0.47</v>
      </c>
      <c r="L1121">
        <v>1.5</v>
      </c>
      <c r="M1121" t="s">
        <v>20</v>
      </c>
      <c r="N1121">
        <f t="shared" si="51"/>
        <v>2</v>
      </c>
      <c r="O1121">
        <v>2016</v>
      </c>
      <c r="P1121">
        <f t="shared" si="52"/>
        <v>5.9763509092979339</v>
      </c>
      <c r="Q1121">
        <f t="shared" si="53"/>
        <v>3.9122229854308124</v>
      </c>
    </row>
    <row r="1122" spans="1:17" hidden="1" x14ac:dyDescent="0.3">
      <c r="A1122">
        <v>1121</v>
      </c>
      <c r="B1122">
        <v>1036028</v>
      </c>
      <c r="C1122" t="s">
        <v>2246</v>
      </c>
      <c r="D1122" t="s">
        <v>2247</v>
      </c>
      <c r="E1122">
        <v>150</v>
      </c>
      <c r="F1122">
        <v>392</v>
      </c>
      <c r="G1122">
        <v>81</v>
      </c>
      <c r="H1122">
        <v>63</v>
      </c>
      <c r="I1122">
        <v>4</v>
      </c>
      <c r="J1122" t="s">
        <v>23</v>
      </c>
      <c r="K1122">
        <v>0.26</v>
      </c>
      <c r="L1122">
        <v>8.5</v>
      </c>
      <c r="M1122" t="s">
        <v>20</v>
      </c>
      <c r="N1122">
        <f t="shared" si="51"/>
        <v>2</v>
      </c>
      <c r="O1122">
        <v>2016</v>
      </c>
      <c r="P1122">
        <f t="shared" si="52"/>
        <v>5.9712618397904622</v>
      </c>
      <c r="Q1122">
        <f t="shared" si="53"/>
        <v>5.0107019585407988</v>
      </c>
    </row>
    <row r="1123" spans="1:17" hidden="1" x14ac:dyDescent="0.3">
      <c r="A1123">
        <v>1122</v>
      </c>
      <c r="B1123">
        <v>1183094</v>
      </c>
      <c r="C1123" t="s">
        <v>2248</v>
      </c>
      <c r="D1123" t="s">
        <v>2249</v>
      </c>
      <c r="E1123">
        <v>20</v>
      </c>
      <c r="F1123">
        <v>387</v>
      </c>
      <c r="G1123">
        <v>5</v>
      </c>
      <c r="H1123">
        <v>30</v>
      </c>
      <c r="I1123">
        <v>4</v>
      </c>
      <c r="J1123" t="s">
        <v>23</v>
      </c>
      <c r="K1123">
        <v>0.74</v>
      </c>
      <c r="L1123">
        <v>2.5</v>
      </c>
      <c r="M1123" t="s">
        <v>20</v>
      </c>
      <c r="N1123">
        <f t="shared" si="51"/>
        <v>2</v>
      </c>
      <c r="O1123">
        <v>2017</v>
      </c>
      <c r="P1123">
        <f t="shared" si="52"/>
        <v>5.9584246930297819</v>
      </c>
      <c r="Q1123">
        <f t="shared" si="53"/>
        <v>2.996232148595642</v>
      </c>
    </row>
    <row r="1124" spans="1:17" hidden="1" x14ac:dyDescent="0.3">
      <c r="A1124">
        <v>1123</v>
      </c>
      <c r="B1124">
        <v>642940</v>
      </c>
      <c r="C1124" t="s">
        <v>2250</v>
      </c>
      <c r="D1124" t="s">
        <v>2251</v>
      </c>
      <c r="E1124">
        <v>20</v>
      </c>
      <c r="F1124">
        <v>385</v>
      </c>
      <c r="G1124">
        <v>39</v>
      </c>
      <c r="H1124">
        <v>32</v>
      </c>
      <c r="I1124">
        <v>2</v>
      </c>
      <c r="J1124" t="s">
        <v>32</v>
      </c>
      <c r="K1124">
        <v>0.3</v>
      </c>
      <c r="L1124">
        <v>2.5</v>
      </c>
      <c r="M1124" t="s">
        <v>20</v>
      </c>
      <c r="N1124">
        <f t="shared" si="51"/>
        <v>2</v>
      </c>
      <c r="O1124">
        <v>2015</v>
      </c>
      <c r="P1124">
        <f t="shared" si="52"/>
        <v>5.9532433342877846</v>
      </c>
      <c r="Q1124">
        <f t="shared" si="53"/>
        <v>2.996232148595642</v>
      </c>
    </row>
    <row r="1125" spans="1:17" x14ac:dyDescent="0.3">
      <c r="A1125">
        <v>1124</v>
      </c>
      <c r="B1125">
        <v>865438</v>
      </c>
      <c r="C1125" t="s">
        <v>2252</v>
      </c>
      <c r="D1125" t="s">
        <v>2253</v>
      </c>
      <c r="E1125">
        <v>150</v>
      </c>
      <c r="F1125">
        <v>382</v>
      </c>
      <c r="G1125">
        <v>28</v>
      </c>
      <c r="H1125">
        <v>140</v>
      </c>
      <c r="I1125">
        <v>1</v>
      </c>
      <c r="J1125" t="s">
        <v>13</v>
      </c>
      <c r="K1125">
        <v>0.37</v>
      </c>
      <c r="L1125">
        <v>15.5</v>
      </c>
      <c r="M1125" t="s">
        <v>20</v>
      </c>
      <c r="N1125">
        <f t="shared" si="51"/>
        <v>2</v>
      </c>
      <c r="O1125">
        <v>2016</v>
      </c>
      <c r="P1125">
        <f t="shared" si="52"/>
        <v>5.9454206086065753</v>
      </c>
      <c r="Q1125">
        <f t="shared" si="53"/>
        <v>5.0107019585407988</v>
      </c>
    </row>
    <row r="1126" spans="1:17" x14ac:dyDescent="0.3">
      <c r="A1126">
        <v>1125</v>
      </c>
      <c r="B1126">
        <v>1085064</v>
      </c>
      <c r="C1126" t="s">
        <v>2254</v>
      </c>
      <c r="D1126" t="s">
        <v>2255</v>
      </c>
      <c r="E1126">
        <v>35</v>
      </c>
      <c r="F1126">
        <v>380</v>
      </c>
      <c r="G1126">
        <v>10</v>
      </c>
      <c r="H1126">
        <v>30</v>
      </c>
      <c r="I1126">
        <v>1</v>
      </c>
      <c r="J1126" t="s">
        <v>13</v>
      </c>
      <c r="K1126">
        <v>0.88</v>
      </c>
      <c r="L1126">
        <v>2</v>
      </c>
      <c r="M1126" t="s">
        <v>20</v>
      </c>
      <c r="N1126">
        <f t="shared" si="51"/>
        <v>2</v>
      </c>
      <c r="O1126">
        <v>2017</v>
      </c>
      <c r="P1126">
        <f t="shared" si="52"/>
        <v>5.9401712527204316</v>
      </c>
      <c r="Q1126">
        <f t="shared" si="53"/>
        <v>3.5556337349665741</v>
      </c>
    </row>
    <row r="1127" spans="1:17" x14ac:dyDescent="0.3">
      <c r="A1127">
        <v>1126</v>
      </c>
      <c r="B1127">
        <v>770526</v>
      </c>
      <c r="C1127" t="s">
        <v>2256</v>
      </c>
      <c r="D1127" t="s">
        <v>2257</v>
      </c>
      <c r="E1127">
        <v>40</v>
      </c>
      <c r="F1127">
        <v>379</v>
      </c>
      <c r="G1127">
        <v>58</v>
      </c>
      <c r="H1127">
        <v>45</v>
      </c>
      <c r="I1127">
        <v>1</v>
      </c>
      <c r="J1127" t="s">
        <v>13</v>
      </c>
      <c r="K1127">
        <v>0.66</v>
      </c>
      <c r="L1127">
        <v>2</v>
      </c>
      <c r="M1127" t="s">
        <v>20</v>
      </c>
      <c r="N1127">
        <f t="shared" si="51"/>
        <v>2</v>
      </c>
      <c r="O1127">
        <v>2016</v>
      </c>
      <c r="P1127">
        <f t="shared" si="52"/>
        <v>5.9375362050824263</v>
      </c>
      <c r="Q1127">
        <f t="shared" si="53"/>
        <v>3.6891294228691436</v>
      </c>
    </row>
    <row r="1128" spans="1:17" hidden="1" x14ac:dyDescent="0.3">
      <c r="A1128">
        <v>1127</v>
      </c>
      <c r="B1128">
        <v>1030774</v>
      </c>
      <c r="C1128" t="s">
        <v>2258</v>
      </c>
      <c r="D1128" t="s">
        <v>2259</v>
      </c>
      <c r="E1128">
        <v>50</v>
      </c>
      <c r="F1128">
        <v>376</v>
      </c>
      <c r="G1128">
        <v>19</v>
      </c>
      <c r="H1128">
        <v>49</v>
      </c>
      <c r="I1128">
        <v>4</v>
      </c>
      <c r="J1128" t="s">
        <v>23</v>
      </c>
      <c r="K1128">
        <v>0.76</v>
      </c>
      <c r="L1128">
        <v>3</v>
      </c>
      <c r="M1128" t="s">
        <v>20</v>
      </c>
      <c r="N1128">
        <f t="shared" si="51"/>
        <v>2</v>
      </c>
      <c r="O1128">
        <v>2017</v>
      </c>
      <c r="P1128">
        <f t="shared" si="52"/>
        <v>5.9295891433898946</v>
      </c>
      <c r="Q1128">
        <f t="shared" si="53"/>
        <v>3.9122229854308124</v>
      </c>
    </row>
    <row r="1129" spans="1:17" x14ac:dyDescent="0.3">
      <c r="A1129">
        <v>1128</v>
      </c>
      <c r="B1129">
        <v>1036170</v>
      </c>
      <c r="C1129" t="s">
        <v>2260</v>
      </c>
      <c r="D1129" t="s">
        <v>2261</v>
      </c>
      <c r="E1129">
        <v>20</v>
      </c>
      <c r="F1129">
        <v>362</v>
      </c>
      <c r="G1129">
        <v>19</v>
      </c>
      <c r="H1129">
        <v>8</v>
      </c>
      <c r="I1129">
        <v>1</v>
      </c>
      <c r="J1129" t="s">
        <v>13</v>
      </c>
      <c r="K1129">
        <v>0.78</v>
      </c>
      <c r="L1129">
        <v>1</v>
      </c>
      <c r="M1129" t="s">
        <v>20</v>
      </c>
      <c r="N1129">
        <f t="shared" si="51"/>
        <v>2</v>
      </c>
      <c r="O1129">
        <v>2017</v>
      </c>
      <c r="P1129">
        <f t="shared" si="52"/>
        <v>5.8916442118257715</v>
      </c>
      <c r="Q1129">
        <f t="shared" si="53"/>
        <v>2.996232148595642</v>
      </c>
    </row>
    <row r="1130" spans="1:17" hidden="1" x14ac:dyDescent="0.3">
      <c r="A1130">
        <v>1129</v>
      </c>
      <c r="B1130">
        <v>1031780</v>
      </c>
      <c r="C1130" t="s">
        <v>2262</v>
      </c>
      <c r="D1130" t="s">
        <v>2263</v>
      </c>
      <c r="E1130">
        <v>55</v>
      </c>
      <c r="F1130">
        <v>361</v>
      </c>
      <c r="G1130">
        <v>26</v>
      </c>
      <c r="H1130">
        <v>49</v>
      </c>
      <c r="I1130">
        <v>3</v>
      </c>
      <c r="J1130" t="s">
        <v>17</v>
      </c>
      <c r="K1130">
        <v>0.31</v>
      </c>
      <c r="L1130">
        <v>2.5</v>
      </c>
      <c r="M1130" t="s">
        <v>20</v>
      </c>
      <c r="N1130">
        <f t="shared" si="51"/>
        <v>2</v>
      </c>
      <c r="O1130">
        <v>2017</v>
      </c>
      <c r="P1130">
        <f t="shared" si="52"/>
        <v>5.8888779583328805</v>
      </c>
      <c r="Q1130">
        <f t="shared" si="53"/>
        <v>4.007514986887367</v>
      </c>
    </row>
    <row r="1131" spans="1:17" hidden="1" x14ac:dyDescent="0.3">
      <c r="A1131">
        <v>1130</v>
      </c>
      <c r="B1131">
        <v>656522</v>
      </c>
      <c r="C1131" t="s">
        <v>2264</v>
      </c>
      <c r="D1131" t="s">
        <v>2265</v>
      </c>
      <c r="E1131">
        <v>20</v>
      </c>
      <c r="F1131">
        <v>359</v>
      </c>
      <c r="G1131">
        <v>45</v>
      </c>
      <c r="H1131">
        <v>73</v>
      </c>
      <c r="I1131">
        <v>4</v>
      </c>
      <c r="J1131" t="s">
        <v>23</v>
      </c>
      <c r="K1131">
        <v>0.4</v>
      </c>
      <c r="L1131">
        <v>6.5</v>
      </c>
      <c r="M1131" t="s">
        <v>20</v>
      </c>
      <c r="N1131">
        <f t="shared" si="51"/>
        <v>2</v>
      </c>
      <c r="O1131">
        <v>2015</v>
      </c>
      <c r="P1131">
        <f t="shared" si="52"/>
        <v>5.8833223884882786</v>
      </c>
      <c r="Q1131">
        <f t="shared" si="53"/>
        <v>2.996232148595642</v>
      </c>
    </row>
    <row r="1132" spans="1:17" x14ac:dyDescent="0.3">
      <c r="A1132">
        <v>1131</v>
      </c>
      <c r="B1132">
        <v>1159822</v>
      </c>
      <c r="C1132" t="s">
        <v>2266</v>
      </c>
      <c r="D1132" t="s">
        <v>2267</v>
      </c>
      <c r="E1132">
        <v>20</v>
      </c>
      <c r="F1132">
        <v>358</v>
      </c>
      <c r="G1132">
        <v>0</v>
      </c>
      <c r="H1132">
        <v>23</v>
      </c>
      <c r="I1132">
        <v>1</v>
      </c>
      <c r="J1132" t="s">
        <v>13</v>
      </c>
      <c r="K1132">
        <v>0.39</v>
      </c>
      <c r="L1132">
        <v>2</v>
      </c>
      <c r="M1132" t="s">
        <v>20</v>
      </c>
      <c r="N1132">
        <f t="shared" si="51"/>
        <v>2</v>
      </c>
      <c r="O1132">
        <v>2017</v>
      </c>
      <c r="P1132">
        <f t="shared" si="52"/>
        <v>5.8805329864007003</v>
      </c>
      <c r="Q1132">
        <f t="shared" si="53"/>
        <v>2.996232148595642</v>
      </c>
    </row>
    <row r="1133" spans="1:17" x14ac:dyDescent="0.3">
      <c r="A1133">
        <v>1132</v>
      </c>
      <c r="B1133">
        <v>708514</v>
      </c>
      <c r="C1133" t="s">
        <v>2268</v>
      </c>
      <c r="D1133" t="s">
        <v>2269</v>
      </c>
      <c r="E1133">
        <v>95</v>
      </c>
      <c r="F1133">
        <v>353</v>
      </c>
      <c r="G1133">
        <v>34</v>
      </c>
      <c r="H1133">
        <v>41</v>
      </c>
      <c r="I1133">
        <v>1</v>
      </c>
      <c r="J1133" t="s">
        <v>13</v>
      </c>
      <c r="K1133">
        <v>0.11</v>
      </c>
      <c r="L1133">
        <v>3</v>
      </c>
      <c r="M1133" t="s">
        <v>20</v>
      </c>
      <c r="N1133">
        <f t="shared" si="51"/>
        <v>2</v>
      </c>
      <c r="O1133">
        <v>2015</v>
      </c>
      <c r="P1133">
        <f t="shared" si="52"/>
        <v>5.8664680569332965</v>
      </c>
      <c r="Q1133">
        <f t="shared" si="53"/>
        <v>4.5539821492186583</v>
      </c>
    </row>
    <row r="1134" spans="1:17" hidden="1" x14ac:dyDescent="0.3">
      <c r="A1134">
        <v>1133</v>
      </c>
      <c r="B1134">
        <v>1210652</v>
      </c>
      <c r="C1134" t="s">
        <v>2270</v>
      </c>
      <c r="D1134" t="s">
        <v>2271</v>
      </c>
      <c r="E1134">
        <v>200</v>
      </c>
      <c r="F1134">
        <v>346</v>
      </c>
      <c r="G1134">
        <v>28</v>
      </c>
      <c r="H1134">
        <v>74</v>
      </c>
      <c r="I1134">
        <v>4</v>
      </c>
      <c r="J1134" t="s">
        <v>23</v>
      </c>
      <c r="K1134">
        <v>0.16</v>
      </c>
      <c r="L1134">
        <v>8.5</v>
      </c>
      <c r="M1134" t="s">
        <v>20</v>
      </c>
      <c r="N1134">
        <f t="shared" si="51"/>
        <v>2</v>
      </c>
      <c r="O1134">
        <v>2017</v>
      </c>
      <c r="P1134">
        <f t="shared" si="52"/>
        <v>5.8464387750577247</v>
      </c>
      <c r="Q1134">
        <f t="shared" si="53"/>
        <v>5.2983673652980787</v>
      </c>
    </row>
    <row r="1135" spans="1:17" hidden="1" x14ac:dyDescent="0.3">
      <c r="A1135">
        <v>1134</v>
      </c>
      <c r="B1135">
        <v>551072</v>
      </c>
      <c r="C1135" t="s">
        <v>2272</v>
      </c>
      <c r="D1135" t="s">
        <v>2273</v>
      </c>
      <c r="E1135">
        <v>50</v>
      </c>
      <c r="F1135">
        <v>342</v>
      </c>
      <c r="G1135">
        <v>53</v>
      </c>
      <c r="H1135">
        <v>60</v>
      </c>
      <c r="I1135">
        <v>4</v>
      </c>
      <c r="J1135" t="s">
        <v>23</v>
      </c>
      <c r="K1135">
        <v>0.24</v>
      </c>
      <c r="L1135">
        <v>3.5</v>
      </c>
      <c r="M1135" t="s">
        <v>20</v>
      </c>
      <c r="N1135">
        <f t="shared" si="51"/>
        <v>2</v>
      </c>
      <c r="O1135">
        <v>2015</v>
      </c>
      <c r="P1135">
        <f t="shared" si="52"/>
        <v>5.8348107370626048</v>
      </c>
      <c r="Q1135">
        <f t="shared" si="53"/>
        <v>3.9122229854308124</v>
      </c>
    </row>
    <row r="1136" spans="1:17" hidden="1" x14ac:dyDescent="0.3">
      <c r="A1136">
        <v>1135</v>
      </c>
      <c r="B1136">
        <v>845794</v>
      </c>
      <c r="C1136" t="s">
        <v>2274</v>
      </c>
      <c r="D1136" t="s">
        <v>2275</v>
      </c>
      <c r="E1136">
        <v>40</v>
      </c>
      <c r="F1136">
        <v>334</v>
      </c>
      <c r="G1136">
        <v>41</v>
      </c>
      <c r="H1136">
        <v>54</v>
      </c>
      <c r="I1136">
        <v>2</v>
      </c>
      <c r="J1136" t="s">
        <v>32</v>
      </c>
      <c r="K1136">
        <v>0.76</v>
      </c>
      <c r="L1136">
        <v>11.5</v>
      </c>
      <c r="M1136" t="s">
        <v>20</v>
      </c>
      <c r="N1136">
        <f t="shared" si="51"/>
        <v>2</v>
      </c>
      <c r="O1136">
        <v>2016</v>
      </c>
      <c r="P1136">
        <f t="shared" si="52"/>
        <v>5.8111409929767008</v>
      </c>
      <c r="Q1136">
        <f t="shared" si="53"/>
        <v>3.6891294228691436</v>
      </c>
    </row>
    <row r="1137" spans="1:17" hidden="1" x14ac:dyDescent="0.3">
      <c r="A1137">
        <v>1136</v>
      </c>
      <c r="B1137">
        <v>1093608</v>
      </c>
      <c r="C1137" t="s">
        <v>2276</v>
      </c>
      <c r="D1137" t="s">
        <v>2277</v>
      </c>
      <c r="E1137">
        <v>200</v>
      </c>
      <c r="F1137">
        <v>333</v>
      </c>
      <c r="G1137">
        <v>22</v>
      </c>
      <c r="H1137">
        <v>353</v>
      </c>
      <c r="I1137">
        <v>4</v>
      </c>
      <c r="J1137" t="s">
        <v>23</v>
      </c>
      <c r="K1137">
        <v>0.34</v>
      </c>
      <c r="L1137">
        <v>42</v>
      </c>
      <c r="M1137" t="s">
        <v>20</v>
      </c>
      <c r="N1137">
        <f t="shared" si="51"/>
        <v>2</v>
      </c>
      <c r="O1137">
        <v>2017</v>
      </c>
      <c r="P1137">
        <f t="shared" si="52"/>
        <v>5.8081424899804439</v>
      </c>
      <c r="Q1137">
        <f t="shared" si="53"/>
        <v>5.2983673652980787</v>
      </c>
    </row>
    <row r="1138" spans="1:17" x14ac:dyDescent="0.3">
      <c r="A1138">
        <v>1137</v>
      </c>
      <c r="B1138">
        <v>551962</v>
      </c>
      <c r="C1138" t="s">
        <v>2278</v>
      </c>
      <c r="D1138" t="s">
        <v>2279</v>
      </c>
      <c r="E1138">
        <v>35</v>
      </c>
      <c r="F1138">
        <v>333</v>
      </c>
      <c r="G1138">
        <v>15</v>
      </c>
      <c r="H1138">
        <v>14</v>
      </c>
      <c r="I1138">
        <v>1</v>
      </c>
      <c r="J1138" t="s">
        <v>13</v>
      </c>
      <c r="K1138">
        <v>0.76</v>
      </c>
      <c r="L1138">
        <v>1</v>
      </c>
      <c r="M1138" t="s">
        <v>20</v>
      </c>
      <c r="N1138">
        <f t="shared" si="51"/>
        <v>2</v>
      </c>
      <c r="O1138">
        <v>2015</v>
      </c>
      <c r="P1138">
        <f t="shared" si="52"/>
        <v>5.8081424899804439</v>
      </c>
      <c r="Q1138">
        <f t="shared" si="53"/>
        <v>3.5556337349665741</v>
      </c>
    </row>
    <row r="1139" spans="1:17" hidden="1" x14ac:dyDescent="0.3">
      <c r="A1139">
        <v>1138</v>
      </c>
      <c r="B1139">
        <v>975916</v>
      </c>
      <c r="C1139" t="s">
        <v>2280</v>
      </c>
      <c r="D1139" t="s">
        <v>2281</v>
      </c>
      <c r="E1139">
        <v>185</v>
      </c>
      <c r="F1139">
        <v>327</v>
      </c>
      <c r="G1139">
        <v>26</v>
      </c>
      <c r="H1139">
        <v>106</v>
      </c>
      <c r="I1139">
        <v>4</v>
      </c>
      <c r="J1139" t="s">
        <v>23</v>
      </c>
      <c r="K1139">
        <v>0.11</v>
      </c>
      <c r="L1139">
        <v>9.5</v>
      </c>
      <c r="M1139" t="s">
        <v>20</v>
      </c>
      <c r="N1139">
        <f t="shared" si="51"/>
        <v>2</v>
      </c>
      <c r="O1139">
        <v>2016</v>
      </c>
      <c r="P1139">
        <f t="shared" si="52"/>
        <v>5.7899601708972535</v>
      </c>
      <c r="Q1139">
        <f t="shared" si="53"/>
        <v>5.2204098776715107</v>
      </c>
    </row>
    <row r="1140" spans="1:17" x14ac:dyDescent="0.3">
      <c r="A1140">
        <v>1139</v>
      </c>
      <c r="B1140">
        <v>672090</v>
      </c>
      <c r="C1140" t="s">
        <v>2282</v>
      </c>
      <c r="D1140" t="s">
        <v>2283</v>
      </c>
      <c r="E1140">
        <v>40</v>
      </c>
      <c r="F1140">
        <v>325</v>
      </c>
      <c r="G1140">
        <v>37</v>
      </c>
      <c r="H1140">
        <v>27</v>
      </c>
      <c r="I1140">
        <v>1</v>
      </c>
      <c r="J1140" t="s">
        <v>13</v>
      </c>
      <c r="K1140">
        <v>0.08</v>
      </c>
      <c r="L1140">
        <v>3.5</v>
      </c>
      <c r="M1140" t="s">
        <v>20</v>
      </c>
      <c r="N1140">
        <f t="shared" si="51"/>
        <v>2</v>
      </c>
      <c r="O1140">
        <v>2015</v>
      </c>
      <c r="P1140">
        <f t="shared" si="52"/>
        <v>5.7838251823297373</v>
      </c>
      <c r="Q1140">
        <f t="shared" si="53"/>
        <v>3.6891294228691436</v>
      </c>
    </row>
    <row r="1141" spans="1:17" hidden="1" x14ac:dyDescent="0.3">
      <c r="A1141">
        <v>1140</v>
      </c>
      <c r="B1141">
        <v>884988</v>
      </c>
      <c r="C1141" t="s">
        <v>2284</v>
      </c>
      <c r="D1141" t="s">
        <v>2285</v>
      </c>
      <c r="E1141">
        <v>80</v>
      </c>
      <c r="F1141">
        <v>325</v>
      </c>
      <c r="G1141">
        <v>50</v>
      </c>
      <c r="H1141">
        <v>106</v>
      </c>
      <c r="I1141">
        <v>2</v>
      </c>
      <c r="J1141" t="s">
        <v>32</v>
      </c>
      <c r="K1141">
        <v>0.6</v>
      </c>
      <c r="L1141">
        <v>5</v>
      </c>
      <c r="M1141" t="s">
        <v>20</v>
      </c>
      <c r="N1141">
        <f t="shared" si="51"/>
        <v>2</v>
      </c>
      <c r="O1141">
        <v>2017</v>
      </c>
      <c r="P1141">
        <f t="shared" si="52"/>
        <v>5.7838251823297373</v>
      </c>
      <c r="Q1141">
        <f t="shared" si="53"/>
        <v>4.3821516268620329</v>
      </c>
    </row>
    <row r="1142" spans="1:17" hidden="1" x14ac:dyDescent="0.3">
      <c r="A1142">
        <v>1141</v>
      </c>
      <c r="B1142">
        <v>910624</v>
      </c>
      <c r="C1142" t="s">
        <v>2286</v>
      </c>
      <c r="D1142" t="s">
        <v>2287</v>
      </c>
      <c r="E1142">
        <v>50</v>
      </c>
      <c r="F1142">
        <v>322</v>
      </c>
      <c r="G1142">
        <v>9</v>
      </c>
      <c r="H1142">
        <v>9</v>
      </c>
      <c r="I1142">
        <v>4</v>
      </c>
      <c r="J1142" t="s">
        <v>23</v>
      </c>
      <c r="K1142">
        <v>0.96</v>
      </c>
      <c r="L1142">
        <v>0.51666666999999999</v>
      </c>
      <c r="M1142" t="s">
        <v>20</v>
      </c>
      <c r="N1142">
        <f t="shared" si="51"/>
        <v>2</v>
      </c>
      <c r="O1142">
        <v>2016</v>
      </c>
      <c r="P1142">
        <f t="shared" si="52"/>
        <v>5.7745515455444085</v>
      </c>
      <c r="Q1142">
        <f t="shared" si="53"/>
        <v>3.9122229854308124</v>
      </c>
    </row>
    <row r="1143" spans="1:17" x14ac:dyDescent="0.3">
      <c r="A1143">
        <v>1142</v>
      </c>
      <c r="B1143">
        <v>826568</v>
      </c>
      <c r="C1143" t="s">
        <v>2288</v>
      </c>
      <c r="D1143" t="s">
        <v>2289</v>
      </c>
      <c r="E1143">
        <v>95</v>
      </c>
      <c r="F1143">
        <v>314</v>
      </c>
      <c r="G1143">
        <v>43</v>
      </c>
      <c r="H1143">
        <v>49</v>
      </c>
      <c r="I1143">
        <v>1</v>
      </c>
      <c r="J1143" t="s">
        <v>13</v>
      </c>
      <c r="K1143">
        <v>0.34</v>
      </c>
      <c r="L1143">
        <v>6.5</v>
      </c>
      <c r="M1143" t="s">
        <v>20</v>
      </c>
      <c r="N1143">
        <f t="shared" si="51"/>
        <v>2</v>
      </c>
      <c r="O1143">
        <v>2016</v>
      </c>
      <c r="P1143">
        <f t="shared" si="52"/>
        <v>5.7493929859082531</v>
      </c>
      <c r="Q1143">
        <f t="shared" si="53"/>
        <v>4.5539821492186583</v>
      </c>
    </row>
    <row r="1144" spans="1:17" hidden="1" x14ac:dyDescent="0.3">
      <c r="A1144">
        <v>1143</v>
      </c>
      <c r="B1144">
        <v>1088178</v>
      </c>
      <c r="C1144" t="s">
        <v>2290</v>
      </c>
      <c r="D1144" t="s">
        <v>2291</v>
      </c>
      <c r="E1144">
        <v>25</v>
      </c>
      <c r="F1144">
        <v>306</v>
      </c>
      <c r="G1144">
        <v>3</v>
      </c>
      <c r="H1144">
        <v>42</v>
      </c>
      <c r="I1144">
        <v>4</v>
      </c>
      <c r="J1144" t="s">
        <v>23</v>
      </c>
      <c r="K1144">
        <v>0.15</v>
      </c>
      <c r="L1144">
        <v>3.5</v>
      </c>
      <c r="M1144" t="s">
        <v>20</v>
      </c>
      <c r="N1144">
        <f t="shared" si="51"/>
        <v>2</v>
      </c>
      <c r="O1144">
        <v>2017</v>
      </c>
      <c r="P1144">
        <f t="shared" si="52"/>
        <v>5.7235851019523807</v>
      </c>
      <c r="Q1144">
        <f t="shared" si="53"/>
        <v>3.2192757448895279</v>
      </c>
    </row>
    <row r="1145" spans="1:17" hidden="1" x14ac:dyDescent="0.3">
      <c r="A1145">
        <v>1144</v>
      </c>
      <c r="B1145">
        <v>520870</v>
      </c>
      <c r="C1145" t="s">
        <v>2292</v>
      </c>
      <c r="D1145" t="s">
        <v>2293</v>
      </c>
      <c r="E1145">
        <v>40</v>
      </c>
      <c r="F1145">
        <v>305</v>
      </c>
      <c r="G1145">
        <v>40</v>
      </c>
      <c r="H1145">
        <v>9</v>
      </c>
      <c r="I1145">
        <v>4</v>
      </c>
      <c r="J1145" t="s">
        <v>23</v>
      </c>
      <c r="K1145">
        <v>0.94</v>
      </c>
      <c r="L1145">
        <v>2</v>
      </c>
      <c r="M1145" t="s">
        <v>20</v>
      </c>
      <c r="N1145">
        <f t="shared" si="51"/>
        <v>2</v>
      </c>
      <c r="O1145">
        <v>2015</v>
      </c>
      <c r="P1145">
        <f t="shared" si="52"/>
        <v>5.7203117766074119</v>
      </c>
      <c r="Q1145">
        <f t="shared" si="53"/>
        <v>3.6891294228691436</v>
      </c>
    </row>
    <row r="1146" spans="1:17" hidden="1" x14ac:dyDescent="0.3">
      <c r="A1146">
        <v>1145</v>
      </c>
      <c r="B1146">
        <v>774648</v>
      </c>
      <c r="C1146" t="s">
        <v>2294</v>
      </c>
      <c r="D1146" t="s">
        <v>2295</v>
      </c>
      <c r="E1146">
        <v>50</v>
      </c>
      <c r="F1146">
        <v>305</v>
      </c>
      <c r="G1146">
        <v>45</v>
      </c>
      <c r="H1146">
        <v>13</v>
      </c>
      <c r="I1146">
        <v>4</v>
      </c>
      <c r="J1146" t="s">
        <v>23</v>
      </c>
      <c r="K1146">
        <v>0.98</v>
      </c>
      <c r="L1146">
        <v>2</v>
      </c>
      <c r="M1146" t="s">
        <v>20</v>
      </c>
      <c r="N1146">
        <f t="shared" si="51"/>
        <v>2</v>
      </c>
      <c r="O1146">
        <v>2016</v>
      </c>
      <c r="P1146">
        <f t="shared" si="52"/>
        <v>5.7203117766074119</v>
      </c>
      <c r="Q1146">
        <f t="shared" si="53"/>
        <v>3.9122229854308124</v>
      </c>
    </row>
    <row r="1147" spans="1:17" hidden="1" x14ac:dyDescent="0.3">
      <c r="A1147">
        <v>1146</v>
      </c>
      <c r="B1147">
        <v>866384</v>
      </c>
      <c r="C1147" t="s">
        <v>2296</v>
      </c>
      <c r="D1147" t="s">
        <v>2297</v>
      </c>
      <c r="E1147">
        <v>95</v>
      </c>
      <c r="F1147">
        <v>301</v>
      </c>
      <c r="G1147">
        <v>44</v>
      </c>
      <c r="H1147">
        <v>91</v>
      </c>
      <c r="I1147">
        <v>4</v>
      </c>
      <c r="J1147" t="s">
        <v>23</v>
      </c>
      <c r="K1147">
        <v>0.98</v>
      </c>
      <c r="L1147">
        <v>7.5</v>
      </c>
      <c r="M1147" t="s">
        <v>20</v>
      </c>
      <c r="N1147">
        <f t="shared" si="51"/>
        <v>2</v>
      </c>
      <c r="O1147">
        <v>2016</v>
      </c>
      <c r="P1147">
        <f t="shared" si="52"/>
        <v>5.7071102647488754</v>
      </c>
      <c r="Q1147">
        <f t="shared" si="53"/>
        <v>4.5539821492186583</v>
      </c>
    </row>
    <row r="1148" spans="1:17" hidden="1" x14ac:dyDescent="0.3">
      <c r="A1148">
        <v>1147</v>
      </c>
      <c r="B1148">
        <v>1089652</v>
      </c>
      <c r="C1148" t="s">
        <v>2298</v>
      </c>
      <c r="D1148" t="s">
        <v>2299</v>
      </c>
      <c r="E1148">
        <v>200</v>
      </c>
      <c r="F1148">
        <v>300</v>
      </c>
      <c r="G1148">
        <v>16</v>
      </c>
      <c r="H1148">
        <v>66</v>
      </c>
      <c r="I1148">
        <v>4</v>
      </c>
      <c r="J1148" t="s">
        <v>23</v>
      </c>
      <c r="K1148">
        <v>0.98</v>
      </c>
      <c r="L1148">
        <v>6</v>
      </c>
      <c r="M1148" t="s">
        <v>20</v>
      </c>
      <c r="N1148">
        <f t="shared" si="51"/>
        <v>2</v>
      </c>
      <c r="O1148">
        <v>2017</v>
      </c>
      <c r="P1148">
        <f t="shared" si="52"/>
        <v>5.7037824746562009</v>
      </c>
      <c r="Q1148">
        <f t="shared" si="53"/>
        <v>5.2983673652980787</v>
      </c>
    </row>
    <row r="1149" spans="1:17" hidden="1" x14ac:dyDescent="0.3">
      <c r="A1149">
        <v>1148</v>
      </c>
      <c r="B1149">
        <v>905096</v>
      </c>
      <c r="C1149" t="s">
        <v>2300</v>
      </c>
      <c r="D1149" t="s">
        <v>2301</v>
      </c>
      <c r="E1149">
        <v>50</v>
      </c>
      <c r="F1149">
        <v>300</v>
      </c>
      <c r="G1149">
        <v>31</v>
      </c>
      <c r="H1149">
        <v>38</v>
      </c>
      <c r="I1149">
        <v>4</v>
      </c>
      <c r="J1149" t="s">
        <v>23</v>
      </c>
      <c r="K1149">
        <v>0.98</v>
      </c>
      <c r="L1149">
        <v>3</v>
      </c>
      <c r="M1149" t="s">
        <v>20</v>
      </c>
      <c r="N1149">
        <f t="shared" si="51"/>
        <v>2</v>
      </c>
      <c r="O1149">
        <v>2016</v>
      </c>
      <c r="P1149">
        <f t="shared" si="52"/>
        <v>5.7037824746562009</v>
      </c>
      <c r="Q1149">
        <f t="shared" si="53"/>
        <v>3.9122229854308124</v>
      </c>
    </row>
    <row r="1150" spans="1:17" hidden="1" x14ac:dyDescent="0.3">
      <c r="A1150">
        <v>1149</v>
      </c>
      <c r="B1150">
        <v>806536</v>
      </c>
      <c r="C1150" t="s">
        <v>2302</v>
      </c>
      <c r="D1150" t="s">
        <v>2303</v>
      </c>
      <c r="E1150">
        <v>125</v>
      </c>
      <c r="F1150">
        <v>299</v>
      </c>
      <c r="G1150">
        <v>75</v>
      </c>
      <c r="H1150">
        <v>34</v>
      </c>
      <c r="I1150">
        <v>4</v>
      </c>
      <c r="J1150" t="s">
        <v>23</v>
      </c>
      <c r="K1150">
        <v>0.98</v>
      </c>
      <c r="L1150">
        <v>3.5</v>
      </c>
      <c r="M1150" t="s">
        <v>20</v>
      </c>
      <c r="N1150">
        <f t="shared" si="51"/>
        <v>2</v>
      </c>
      <c r="O1150">
        <v>2016</v>
      </c>
      <c r="P1150">
        <f t="shared" si="52"/>
        <v>5.7004435733906869</v>
      </c>
      <c r="Q1150">
        <f t="shared" si="53"/>
        <v>4.8283937341024714</v>
      </c>
    </row>
    <row r="1151" spans="1:17" hidden="1" x14ac:dyDescent="0.3">
      <c r="A1151">
        <v>1150</v>
      </c>
      <c r="B1151">
        <v>687642</v>
      </c>
      <c r="C1151" t="s">
        <v>2304</v>
      </c>
      <c r="D1151" t="s">
        <v>2305</v>
      </c>
      <c r="E1151">
        <v>35</v>
      </c>
      <c r="F1151">
        <v>298</v>
      </c>
      <c r="G1151">
        <v>20</v>
      </c>
      <c r="H1151">
        <v>24</v>
      </c>
      <c r="I1151">
        <v>4</v>
      </c>
      <c r="J1151" t="s">
        <v>23</v>
      </c>
      <c r="K1151">
        <v>0.98</v>
      </c>
      <c r="L1151">
        <v>1.5</v>
      </c>
      <c r="M1151" t="s">
        <v>20</v>
      </c>
      <c r="N1151">
        <f t="shared" si="51"/>
        <v>2</v>
      </c>
      <c r="O1151">
        <v>2015</v>
      </c>
      <c r="P1151">
        <f t="shared" si="52"/>
        <v>5.6970934865054046</v>
      </c>
      <c r="Q1151">
        <f t="shared" si="53"/>
        <v>3.5556337349665741</v>
      </c>
    </row>
    <row r="1152" spans="1:17" hidden="1" x14ac:dyDescent="0.3">
      <c r="A1152">
        <v>1151</v>
      </c>
      <c r="B1152">
        <v>1107986</v>
      </c>
      <c r="C1152" t="s">
        <v>2306</v>
      </c>
      <c r="D1152" t="s">
        <v>2307</v>
      </c>
      <c r="E1152">
        <v>125</v>
      </c>
      <c r="F1152">
        <v>293</v>
      </c>
      <c r="G1152">
        <v>30</v>
      </c>
      <c r="H1152">
        <v>31</v>
      </c>
      <c r="I1152">
        <v>4</v>
      </c>
      <c r="J1152" t="s">
        <v>23</v>
      </c>
      <c r="K1152">
        <v>0.98</v>
      </c>
      <c r="L1152">
        <v>3.5</v>
      </c>
      <c r="M1152" t="s">
        <v>20</v>
      </c>
      <c r="N1152">
        <f t="shared" si="51"/>
        <v>2</v>
      </c>
      <c r="O1152">
        <v>2017</v>
      </c>
      <c r="P1152">
        <f t="shared" si="52"/>
        <v>5.6801726090170677</v>
      </c>
      <c r="Q1152">
        <f t="shared" si="53"/>
        <v>4.8283937341024714</v>
      </c>
    </row>
    <row r="1153" spans="1:17" hidden="1" x14ac:dyDescent="0.3">
      <c r="A1153">
        <v>1152</v>
      </c>
      <c r="B1153">
        <v>966794</v>
      </c>
      <c r="C1153" t="s">
        <v>2308</v>
      </c>
      <c r="D1153" t="s">
        <v>2309</v>
      </c>
      <c r="E1153">
        <v>25</v>
      </c>
      <c r="F1153">
        <v>289</v>
      </c>
      <c r="G1153">
        <v>30</v>
      </c>
      <c r="H1153">
        <v>30</v>
      </c>
      <c r="I1153">
        <v>4</v>
      </c>
      <c r="J1153" t="s">
        <v>23</v>
      </c>
      <c r="K1153">
        <v>0.98</v>
      </c>
      <c r="L1153">
        <v>4</v>
      </c>
      <c r="M1153" t="s">
        <v>20</v>
      </c>
      <c r="N1153">
        <f t="shared" si="51"/>
        <v>2</v>
      </c>
      <c r="O1153">
        <v>2016</v>
      </c>
      <c r="P1153">
        <f t="shared" si="52"/>
        <v>5.6664266881124323</v>
      </c>
      <c r="Q1153">
        <f t="shared" si="53"/>
        <v>3.2192757448895279</v>
      </c>
    </row>
    <row r="1154" spans="1:17" hidden="1" x14ac:dyDescent="0.3">
      <c r="A1154">
        <v>1153</v>
      </c>
      <c r="B1154">
        <v>919354</v>
      </c>
      <c r="C1154" t="s">
        <v>2310</v>
      </c>
      <c r="D1154" t="s">
        <v>2311</v>
      </c>
      <c r="E1154">
        <v>200</v>
      </c>
      <c r="F1154">
        <v>279</v>
      </c>
      <c r="G1154">
        <v>37</v>
      </c>
      <c r="H1154">
        <v>119</v>
      </c>
      <c r="I1154">
        <v>4</v>
      </c>
      <c r="J1154" t="s">
        <v>23</v>
      </c>
      <c r="K1154">
        <v>0.98</v>
      </c>
      <c r="L1154">
        <v>10</v>
      </c>
      <c r="M1154" t="s">
        <v>20</v>
      </c>
      <c r="N1154">
        <f t="shared" ref="N1154:N1204" si="54">IF(M1154="Free",1,IF(M1154="Paid",2,0))</f>
        <v>2</v>
      </c>
      <c r="O1154">
        <v>2017</v>
      </c>
      <c r="P1154">
        <f t="shared" ref="P1154:P1204" si="55">LN(F1154)</f>
        <v>5.6312117818213654</v>
      </c>
      <c r="Q1154">
        <f t="shared" ref="Q1154:Q1204" si="56">LN(E1154+0.01)</f>
        <v>5.2983673652980787</v>
      </c>
    </row>
    <row r="1155" spans="1:17" hidden="1" x14ac:dyDescent="0.3">
      <c r="A1155">
        <v>1154</v>
      </c>
      <c r="B1155">
        <v>1031620</v>
      </c>
      <c r="C1155" t="s">
        <v>2312</v>
      </c>
      <c r="D1155" t="s">
        <v>2313</v>
      </c>
      <c r="E1155">
        <v>20</v>
      </c>
      <c r="F1155">
        <v>263</v>
      </c>
      <c r="G1155">
        <v>14</v>
      </c>
      <c r="H1155">
        <v>7</v>
      </c>
      <c r="I1155">
        <v>4</v>
      </c>
      <c r="J1155" t="s">
        <v>23</v>
      </c>
      <c r="K1155">
        <v>0.98</v>
      </c>
      <c r="L1155">
        <v>1</v>
      </c>
      <c r="M1155" t="s">
        <v>20</v>
      </c>
      <c r="N1155">
        <f t="shared" si="54"/>
        <v>2</v>
      </c>
      <c r="O1155">
        <v>2017</v>
      </c>
      <c r="P1155">
        <f t="shared" si="55"/>
        <v>5.5721540321777647</v>
      </c>
      <c r="Q1155">
        <f t="shared" si="56"/>
        <v>2.996232148595642</v>
      </c>
    </row>
    <row r="1156" spans="1:17" hidden="1" x14ac:dyDescent="0.3">
      <c r="A1156">
        <v>1155</v>
      </c>
      <c r="B1156">
        <v>1002210</v>
      </c>
      <c r="C1156" t="s">
        <v>2314</v>
      </c>
      <c r="D1156" t="s">
        <v>2315</v>
      </c>
      <c r="E1156">
        <v>200</v>
      </c>
      <c r="F1156">
        <v>260</v>
      </c>
      <c r="G1156">
        <v>22</v>
      </c>
      <c r="H1156">
        <v>64</v>
      </c>
      <c r="I1156">
        <v>4</v>
      </c>
      <c r="J1156" t="s">
        <v>23</v>
      </c>
      <c r="K1156">
        <v>0.98</v>
      </c>
      <c r="L1156">
        <v>11</v>
      </c>
      <c r="M1156" t="s">
        <v>20</v>
      </c>
      <c r="N1156">
        <f t="shared" si="54"/>
        <v>2</v>
      </c>
      <c r="O1156">
        <v>2016</v>
      </c>
      <c r="P1156">
        <f t="shared" si="55"/>
        <v>5.5606816310155276</v>
      </c>
      <c r="Q1156">
        <f t="shared" si="56"/>
        <v>5.2983673652980787</v>
      </c>
    </row>
    <row r="1157" spans="1:17" x14ac:dyDescent="0.3">
      <c r="A1157">
        <v>1156</v>
      </c>
      <c r="B1157">
        <v>982328</v>
      </c>
      <c r="C1157" t="s">
        <v>2316</v>
      </c>
      <c r="D1157" t="s">
        <v>2317</v>
      </c>
      <c r="E1157">
        <v>30</v>
      </c>
      <c r="F1157">
        <v>255</v>
      </c>
      <c r="G1157">
        <v>5</v>
      </c>
      <c r="H1157">
        <v>9</v>
      </c>
      <c r="I1157">
        <v>1</v>
      </c>
      <c r="J1157" t="s">
        <v>13</v>
      </c>
      <c r="K1157">
        <v>0.11</v>
      </c>
      <c r="L1157">
        <v>1</v>
      </c>
      <c r="M1157" t="s">
        <v>20</v>
      </c>
      <c r="N1157">
        <f t="shared" si="54"/>
        <v>2</v>
      </c>
      <c r="O1157">
        <v>2016</v>
      </c>
      <c r="P1157">
        <f t="shared" si="55"/>
        <v>5.5412635451584258</v>
      </c>
      <c r="Q1157">
        <f t="shared" si="56"/>
        <v>3.4015306594522756</v>
      </c>
    </row>
    <row r="1158" spans="1:17" x14ac:dyDescent="0.3">
      <c r="A1158">
        <v>1157</v>
      </c>
      <c r="B1158">
        <v>1012040</v>
      </c>
      <c r="C1158" t="s">
        <v>2318</v>
      </c>
      <c r="D1158" t="s">
        <v>2319</v>
      </c>
      <c r="E1158">
        <v>100</v>
      </c>
      <c r="F1158">
        <v>253</v>
      </c>
      <c r="G1158">
        <v>34</v>
      </c>
      <c r="H1158">
        <v>45</v>
      </c>
      <c r="I1158">
        <v>1</v>
      </c>
      <c r="J1158" t="s">
        <v>13</v>
      </c>
      <c r="K1158">
        <v>0.3</v>
      </c>
      <c r="L1158">
        <v>7</v>
      </c>
      <c r="M1158" t="s">
        <v>20</v>
      </c>
      <c r="N1158">
        <f t="shared" si="54"/>
        <v>2</v>
      </c>
      <c r="O1158">
        <v>2016</v>
      </c>
      <c r="P1158">
        <f t="shared" si="55"/>
        <v>5.5333894887275203</v>
      </c>
      <c r="Q1158">
        <f t="shared" si="56"/>
        <v>4.6052701809884251</v>
      </c>
    </row>
    <row r="1159" spans="1:17" hidden="1" x14ac:dyDescent="0.3">
      <c r="A1159">
        <v>1158</v>
      </c>
      <c r="B1159">
        <v>1037666</v>
      </c>
      <c r="C1159" t="s">
        <v>2320</v>
      </c>
      <c r="D1159" t="s">
        <v>2321</v>
      </c>
      <c r="E1159">
        <v>40</v>
      </c>
      <c r="F1159">
        <v>252</v>
      </c>
      <c r="G1159">
        <v>46</v>
      </c>
      <c r="H1159">
        <v>79</v>
      </c>
      <c r="I1159">
        <v>2</v>
      </c>
      <c r="J1159" t="s">
        <v>32</v>
      </c>
      <c r="K1159">
        <v>0.71</v>
      </c>
      <c r="L1159">
        <v>6.5</v>
      </c>
      <c r="M1159" t="s">
        <v>20</v>
      </c>
      <c r="N1159">
        <f t="shared" si="54"/>
        <v>2</v>
      </c>
      <c r="O1159">
        <v>2017</v>
      </c>
      <c r="P1159">
        <f t="shared" si="55"/>
        <v>5.5294290875114234</v>
      </c>
      <c r="Q1159">
        <f t="shared" si="56"/>
        <v>3.6891294228691436</v>
      </c>
    </row>
    <row r="1160" spans="1:17" x14ac:dyDescent="0.3">
      <c r="A1160">
        <v>1159</v>
      </c>
      <c r="B1160">
        <v>1024844</v>
      </c>
      <c r="C1160" t="s">
        <v>2322</v>
      </c>
      <c r="D1160" t="s">
        <v>2323</v>
      </c>
      <c r="E1160">
        <v>145</v>
      </c>
      <c r="F1160">
        <v>251</v>
      </c>
      <c r="G1160">
        <v>32</v>
      </c>
      <c r="H1160">
        <v>25</v>
      </c>
      <c r="I1160">
        <v>1</v>
      </c>
      <c r="J1160" t="s">
        <v>13</v>
      </c>
      <c r="K1160">
        <v>0.8</v>
      </c>
      <c r="L1160">
        <v>3.5</v>
      </c>
      <c r="M1160" t="s">
        <v>20</v>
      </c>
      <c r="N1160">
        <f t="shared" si="54"/>
        <v>2</v>
      </c>
      <c r="O1160">
        <v>2016</v>
      </c>
      <c r="P1160">
        <f t="shared" si="55"/>
        <v>5.5254529391317835</v>
      </c>
      <c r="Q1160">
        <f t="shared" si="56"/>
        <v>4.9768027055598036</v>
      </c>
    </row>
    <row r="1161" spans="1:17" hidden="1" x14ac:dyDescent="0.3">
      <c r="A1161">
        <v>1160</v>
      </c>
      <c r="B1161">
        <v>469678</v>
      </c>
      <c r="C1161" t="s">
        <v>2324</v>
      </c>
      <c r="D1161" t="s">
        <v>2325</v>
      </c>
      <c r="E1161">
        <v>40</v>
      </c>
      <c r="F1161">
        <v>245</v>
      </c>
      <c r="G1161">
        <v>23</v>
      </c>
      <c r="H1161">
        <v>36</v>
      </c>
      <c r="I1161">
        <v>4</v>
      </c>
      <c r="J1161" t="s">
        <v>23</v>
      </c>
      <c r="K1161">
        <v>0.55000000000000004</v>
      </c>
      <c r="L1161">
        <v>1</v>
      </c>
      <c r="M1161" t="s">
        <v>20</v>
      </c>
      <c r="N1161">
        <f t="shared" si="54"/>
        <v>2</v>
      </c>
      <c r="O1161">
        <v>2015</v>
      </c>
      <c r="P1161">
        <f t="shared" si="55"/>
        <v>5.5012582105447274</v>
      </c>
      <c r="Q1161">
        <f t="shared" si="56"/>
        <v>3.6891294228691436</v>
      </c>
    </row>
    <row r="1162" spans="1:17" x14ac:dyDescent="0.3">
      <c r="A1162">
        <v>1161</v>
      </c>
      <c r="B1162">
        <v>1270392</v>
      </c>
      <c r="C1162" t="s">
        <v>2326</v>
      </c>
      <c r="D1162" t="s">
        <v>2327</v>
      </c>
      <c r="E1162">
        <v>35</v>
      </c>
      <c r="F1162">
        <v>244</v>
      </c>
      <c r="G1162">
        <v>44</v>
      </c>
      <c r="H1162">
        <v>21</v>
      </c>
      <c r="I1162">
        <v>1</v>
      </c>
      <c r="J1162" t="s">
        <v>13</v>
      </c>
      <c r="K1162">
        <v>0.3</v>
      </c>
      <c r="L1162">
        <v>3</v>
      </c>
      <c r="M1162" t="s">
        <v>20</v>
      </c>
      <c r="N1162">
        <f t="shared" si="54"/>
        <v>2</v>
      </c>
      <c r="O1162">
        <v>2017</v>
      </c>
      <c r="P1162">
        <f t="shared" si="55"/>
        <v>5.4971682252932021</v>
      </c>
      <c r="Q1162">
        <f t="shared" si="56"/>
        <v>3.5556337349665741</v>
      </c>
    </row>
    <row r="1163" spans="1:17" hidden="1" x14ac:dyDescent="0.3">
      <c r="A1163">
        <v>1162</v>
      </c>
      <c r="B1163">
        <v>1008246</v>
      </c>
      <c r="C1163" t="s">
        <v>2328</v>
      </c>
      <c r="D1163" t="s">
        <v>2329</v>
      </c>
      <c r="E1163">
        <v>50</v>
      </c>
      <c r="F1163">
        <v>240</v>
      </c>
      <c r="G1163">
        <v>45</v>
      </c>
      <c r="H1163">
        <v>358</v>
      </c>
      <c r="I1163">
        <v>4</v>
      </c>
      <c r="J1163" t="s">
        <v>23</v>
      </c>
      <c r="K1163">
        <v>0.7</v>
      </c>
      <c r="L1163">
        <v>66.5</v>
      </c>
      <c r="M1163" t="s">
        <v>20</v>
      </c>
      <c r="N1163">
        <f t="shared" si="54"/>
        <v>2</v>
      </c>
      <c r="O1163">
        <v>2016</v>
      </c>
      <c r="P1163">
        <f t="shared" si="55"/>
        <v>5.4806389233419912</v>
      </c>
      <c r="Q1163">
        <f t="shared" si="56"/>
        <v>3.9122229854308124</v>
      </c>
    </row>
    <row r="1164" spans="1:17" x14ac:dyDescent="0.3">
      <c r="A1164">
        <v>1163</v>
      </c>
      <c r="B1164">
        <v>897314</v>
      </c>
      <c r="C1164" t="s">
        <v>2330</v>
      </c>
      <c r="D1164" t="s">
        <v>2331</v>
      </c>
      <c r="E1164">
        <v>65</v>
      </c>
      <c r="F1164">
        <v>237</v>
      </c>
      <c r="G1164">
        <v>22</v>
      </c>
      <c r="H1164">
        <v>52</v>
      </c>
      <c r="I1164">
        <v>1</v>
      </c>
      <c r="J1164" t="s">
        <v>13</v>
      </c>
      <c r="K1164">
        <v>0.34</v>
      </c>
      <c r="L1164">
        <v>3.5</v>
      </c>
      <c r="M1164" t="s">
        <v>20</v>
      </c>
      <c r="N1164">
        <f t="shared" si="54"/>
        <v>2</v>
      </c>
      <c r="O1164">
        <v>2016</v>
      </c>
      <c r="P1164">
        <f t="shared" si="55"/>
        <v>5.4680601411351315</v>
      </c>
      <c r="Q1164">
        <f t="shared" si="56"/>
        <v>4.1745411042163774</v>
      </c>
    </row>
    <row r="1165" spans="1:17" hidden="1" x14ac:dyDescent="0.3">
      <c r="A1165">
        <v>1164</v>
      </c>
      <c r="B1165">
        <v>980114</v>
      </c>
      <c r="C1165" t="s">
        <v>2332</v>
      </c>
      <c r="D1165" t="s">
        <v>2333</v>
      </c>
      <c r="E1165">
        <v>40</v>
      </c>
      <c r="F1165">
        <v>236</v>
      </c>
      <c r="G1165">
        <v>31</v>
      </c>
      <c r="H1165">
        <v>35</v>
      </c>
      <c r="I1165">
        <v>4</v>
      </c>
      <c r="J1165" t="s">
        <v>23</v>
      </c>
      <c r="K1165">
        <v>0.96</v>
      </c>
      <c r="L1165">
        <v>4</v>
      </c>
      <c r="M1165" t="s">
        <v>20</v>
      </c>
      <c r="N1165">
        <f t="shared" si="54"/>
        <v>2</v>
      </c>
      <c r="O1165">
        <v>2016</v>
      </c>
      <c r="P1165">
        <f t="shared" si="55"/>
        <v>5.4638318050256105</v>
      </c>
      <c r="Q1165">
        <f t="shared" si="56"/>
        <v>3.6891294228691436</v>
      </c>
    </row>
    <row r="1166" spans="1:17" x14ac:dyDescent="0.3">
      <c r="A1166">
        <v>1165</v>
      </c>
      <c r="B1166">
        <v>1204590</v>
      </c>
      <c r="C1166" t="s">
        <v>2334</v>
      </c>
      <c r="D1166" t="s">
        <v>2335</v>
      </c>
      <c r="E1166">
        <v>150</v>
      </c>
      <c r="F1166">
        <v>228</v>
      </c>
      <c r="G1166">
        <v>9</v>
      </c>
      <c r="H1166">
        <v>72</v>
      </c>
      <c r="I1166">
        <v>1</v>
      </c>
      <c r="J1166" t="s">
        <v>13</v>
      </c>
      <c r="K1166">
        <v>0.61</v>
      </c>
      <c r="L1166">
        <v>6.5</v>
      </c>
      <c r="M1166" t="s">
        <v>20</v>
      </c>
      <c r="N1166">
        <f t="shared" si="54"/>
        <v>2</v>
      </c>
      <c r="O1166">
        <v>2017</v>
      </c>
      <c r="P1166">
        <f t="shared" si="55"/>
        <v>5.4293456289544411</v>
      </c>
      <c r="Q1166">
        <f t="shared" si="56"/>
        <v>5.0107019585407988</v>
      </c>
    </row>
    <row r="1167" spans="1:17" hidden="1" x14ac:dyDescent="0.3">
      <c r="A1167">
        <v>1166</v>
      </c>
      <c r="B1167">
        <v>973932</v>
      </c>
      <c r="C1167" t="s">
        <v>2336</v>
      </c>
      <c r="D1167" t="s">
        <v>2337</v>
      </c>
      <c r="E1167">
        <v>95</v>
      </c>
      <c r="F1167">
        <v>227</v>
      </c>
      <c r="G1167">
        <v>16</v>
      </c>
      <c r="H1167">
        <v>20</v>
      </c>
      <c r="I1167">
        <v>4</v>
      </c>
      <c r="J1167" t="s">
        <v>23</v>
      </c>
      <c r="K1167">
        <v>0.96</v>
      </c>
      <c r="L1167">
        <v>2</v>
      </c>
      <c r="M1167" t="s">
        <v>20</v>
      </c>
      <c r="N1167">
        <f t="shared" si="54"/>
        <v>2</v>
      </c>
      <c r="O1167">
        <v>2016</v>
      </c>
      <c r="P1167">
        <f t="shared" si="55"/>
        <v>5.4249500174814029</v>
      </c>
      <c r="Q1167">
        <f t="shared" si="56"/>
        <v>4.5539821492186583</v>
      </c>
    </row>
    <row r="1168" spans="1:17" hidden="1" x14ac:dyDescent="0.3">
      <c r="A1168">
        <v>1167</v>
      </c>
      <c r="B1168">
        <v>1039596</v>
      </c>
      <c r="C1168" t="s">
        <v>2338</v>
      </c>
      <c r="D1168" t="s">
        <v>2339</v>
      </c>
      <c r="E1168">
        <v>125</v>
      </c>
      <c r="F1168">
        <v>223</v>
      </c>
      <c r="G1168">
        <v>26</v>
      </c>
      <c r="H1168">
        <v>27</v>
      </c>
      <c r="I1168">
        <v>3</v>
      </c>
      <c r="J1168" t="s">
        <v>17</v>
      </c>
      <c r="K1168">
        <v>0.26</v>
      </c>
      <c r="L1168">
        <v>3.5</v>
      </c>
      <c r="M1168" t="s">
        <v>20</v>
      </c>
      <c r="N1168">
        <f t="shared" si="54"/>
        <v>2</v>
      </c>
      <c r="O1168">
        <v>2016</v>
      </c>
      <c r="P1168">
        <f t="shared" si="55"/>
        <v>5.4071717714601188</v>
      </c>
      <c r="Q1168">
        <f t="shared" si="56"/>
        <v>4.8283937341024714</v>
      </c>
    </row>
    <row r="1169" spans="1:17" hidden="1" x14ac:dyDescent="0.3">
      <c r="A1169">
        <v>1168</v>
      </c>
      <c r="B1169">
        <v>1009236</v>
      </c>
      <c r="C1169" t="s">
        <v>2340</v>
      </c>
      <c r="D1169" t="s">
        <v>2341</v>
      </c>
      <c r="E1169">
        <v>50</v>
      </c>
      <c r="F1169">
        <v>222</v>
      </c>
      <c r="G1169">
        <v>9</v>
      </c>
      <c r="H1169">
        <v>60</v>
      </c>
      <c r="I1169">
        <v>4</v>
      </c>
      <c r="J1169" t="s">
        <v>23</v>
      </c>
      <c r="K1169">
        <v>0.78</v>
      </c>
      <c r="L1169">
        <v>8.5</v>
      </c>
      <c r="M1169" t="s">
        <v>20</v>
      </c>
      <c r="N1169">
        <f t="shared" si="54"/>
        <v>2</v>
      </c>
      <c r="O1169">
        <v>2017</v>
      </c>
      <c r="P1169">
        <f t="shared" si="55"/>
        <v>5.4026773818722793</v>
      </c>
      <c r="Q1169">
        <f t="shared" si="56"/>
        <v>3.9122229854308124</v>
      </c>
    </row>
    <row r="1170" spans="1:17" hidden="1" x14ac:dyDescent="0.3">
      <c r="A1170">
        <v>1169</v>
      </c>
      <c r="B1170">
        <v>961508</v>
      </c>
      <c r="C1170" t="s">
        <v>2342</v>
      </c>
      <c r="D1170" t="s">
        <v>2343</v>
      </c>
      <c r="E1170">
        <v>95</v>
      </c>
      <c r="F1170">
        <v>216</v>
      </c>
      <c r="G1170">
        <v>28</v>
      </c>
      <c r="H1170">
        <v>16</v>
      </c>
      <c r="I1170">
        <v>2</v>
      </c>
      <c r="J1170" t="s">
        <v>32</v>
      </c>
      <c r="K1170">
        <v>0.89</v>
      </c>
      <c r="L1170">
        <v>2</v>
      </c>
      <c r="M1170" t="s">
        <v>20</v>
      </c>
      <c r="N1170">
        <f t="shared" si="54"/>
        <v>2</v>
      </c>
      <c r="O1170">
        <v>2016</v>
      </c>
      <c r="P1170">
        <f t="shared" si="55"/>
        <v>5.3752784076841653</v>
      </c>
      <c r="Q1170">
        <f t="shared" si="56"/>
        <v>4.5539821492186583</v>
      </c>
    </row>
    <row r="1171" spans="1:17" x14ac:dyDescent="0.3">
      <c r="A1171">
        <v>1170</v>
      </c>
      <c r="B1171">
        <v>858762</v>
      </c>
      <c r="C1171" t="s">
        <v>2344</v>
      </c>
      <c r="D1171" t="s">
        <v>2345</v>
      </c>
      <c r="E1171">
        <v>25</v>
      </c>
      <c r="F1171">
        <v>214</v>
      </c>
      <c r="G1171">
        <v>34</v>
      </c>
      <c r="H1171">
        <v>24</v>
      </c>
      <c r="I1171">
        <v>1</v>
      </c>
      <c r="J1171" t="s">
        <v>13</v>
      </c>
      <c r="K1171">
        <v>0.1</v>
      </c>
      <c r="L1171">
        <v>2</v>
      </c>
      <c r="M1171" t="s">
        <v>20</v>
      </c>
      <c r="N1171">
        <f t="shared" si="54"/>
        <v>2</v>
      </c>
      <c r="O1171">
        <v>2016</v>
      </c>
      <c r="P1171">
        <f t="shared" si="55"/>
        <v>5.3659760150218512</v>
      </c>
      <c r="Q1171">
        <f t="shared" si="56"/>
        <v>3.2192757448895279</v>
      </c>
    </row>
    <row r="1172" spans="1:17" hidden="1" x14ac:dyDescent="0.3">
      <c r="A1172">
        <v>1171</v>
      </c>
      <c r="B1172">
        <v>1097778</v>
      </c>
      <c r="C1172" t="s">
        <v>2346</v>
      </c>
      <c r="D1172" t="s">
        <v>2347</v>
      </c>
      <c r="E1172">
        <v>30</v>
      </c>
      <c r="F1172">
        <v>210</v>
      </c>
      <c r="G1172">
        <v>19</v>
      </c>
      <c r="H1172">
        <v>41</v>
      </c>
      <c r="I1172">
        <v>4</v>
      </c>
      <c r="J1172" t="s">
        <v>23</v>
      </c>
      <c r="K1172">
        <v>0.47</v>
      </c>
      <c r="L1172">
        <v>5</v>
      </c>
      <c r="M1172" t="s">
        <v>20</v>
      </c>
      <c r="N1172">
        <f t="shared" si="54"/>
        <v>2</v>
      </c>
      <c r="O1172">
        <v>2017</v>
      </c>
      <c r="P1172">
        <f t="shared" si="55"/>
        <v>5.3471075307174685</v>
      </c>
      <c r="Q1172">
        <f t="shared" si="56"/>
        <v>3.4015306594522756</v>
      </c>
    </row>
    <row r="1173" spans="1:17" hidden="1" x14ac:dyDescent="0.3">
      <c r="A1173">
        <v>1172</v>
      </c>
      <c r="B1173">
        <v>873824</v>
      </c>
      <c r="C1173" t="s">
        <v>2348</v>
      </c>
      <c r="D1173" t="s">
        <v>2349</v>
      </c>
      <c r="E1173">
        <v>50</v>
      </c>
      <c r="F1173">
        <v>208</v>
      </c>
      <c r="G1173">
        <v>48</v>
      </c>
      <c r="H1173">
        <v>29</v>
      </c>
      <c r="I1173">
        <v>4</v>
      </c>
      <c r="J1173" t="s">
        <v>23</v>
      </c>
      <c r="K1173">
        <v>0.35</v>
      </c>
      <c r="L1173">
        <v>2</v>
      </c>
      <c r="M1173" t="s">
        <v>20</v>
      </c>
      <c r="N1173">
        <f t="shared" si="54"/>
        <v>2</v>
      </c>
      <c r="O1173">
        <v>2016</v>
      </c>
      <c r="P1173">
        <f t="shared" si="55"/>
        <v>5.3375380797013179</v>
      </c>
      <c r="Q1173">
        <f t="shared" si="56"/>
        <v>3.9122229854308124</v>
      </c>
    </row>
    <row r="1174" spans="1:17" x14ac:dyDescent="0.3">
      <c r="A1174">
        <v>1173</v>
      </c>
      <c r="B1174">
        <v>961996</v>
      </c>
      <c r="C1174" t="s">
        <v>2350</v>
      </c>
      <c r="D1174" t="s">
        <v>2351</v>
      </c>
      <c r="E1174">
        <v>40</v>
      </c>
      <c r="F1174">
        <v>207</v>
      </c>
      <c r="G1174">
        <v>32</v>
      </c>
      <c r="H1174">
        <v>32</v>
      </c>
      <c r="I1174">
        <v>1</v>
      </c>
      <c r="J1174" t="s">
        <v>13</v>
      </c>
      <c r="K1174">
        <v>0.74</v>
      </c>
      <c r="L1174">
        <v>5</v>
      </c>
      <c r="M1174" t="s">
        <v>20</v>
      </c>
      <c r="N1174">
        <f t="shared" si="54"/>
        <v>2</v>
      </c>
      <c r="O1174">
        <v>2016</v>
      </c>
      <c r="P1174">
        <f t="shared" si="55"/>
        <v>5.3327187932653688</v>
      </c>
      <c r="Q1174">
        <f t="shared" si="56"/>
        <v>3.6891294228691436</v>
      </c>
    </row>
    <row r="1175" spans="1:17" x14ac:dyDescent="0.3">
      <c r="A1175">
        <v>1174</v>
      </c>
      <c r="B1175">
        <v>1004008</v>
      </c>
      <c r="C1175" t="s">
        <v>2352</v>
      </c>
      <c r="D1175" t="s">
        <v>2353</v>
      </c>
      <c r="E1175">
        <v>100</v>
      </c>
      <c r="F1175">
        <v>205</v>
      </c>
      <c r="G1175">
        <v>38</v>
      </c>
      <c r="H1175">
        <v>97</v>
      </c>
      <c r="I1175">
        <v>1</v>
      </c>
      <c r="J1175" t="s">
        <v>13</v>
      </c>
      <c r="K1175">
        <v>0.7</v>
      </c>
      <c r="L1175">
        <v>13.5</v>
      </c>
      <c r="M1175" t="s">
        <v>20</v>
      </c>
      <c r="N1175">
        <f t="shared" si="54"/>
        <v>2</v>
      </c>
      <c r="O1175">
        <v>2017</v>
      </c>
      <c r="P1175">
        <f t="shared" si="55"/>
        <v>5.3230099791384085</v>
      </c>
      <c r="Q1175">
        <f t="shared" si="56"/>
        <v>4.6052701809884251</v>
      </c>
    </row>
    <row r="1176" spans="1:17" x14ac:dyDescent="0.3">
      <c r="A1176">
        <v>1175</v>
      </c>
      <c r="B1176">
        <v>628356</v>
      </c>
      <c r="C1176" t="s">
        <v>2354</v>
      </c>
      <c r="D1176" t="s">
        <v>2355</v>
      </c>
      <c r="E1176">
        <v>50</v>
      </c>
      <c r="F1176">
        <v>203</v>
      </c>
      <c r="G1176">
        <v>33</v>
      </c>
      <c r="H1176">
        <v>15</v>
      </c>
      <c r="I1176">
        <v>1</v>
      </c>
      <c r="J1176" t="s">
        <v>13</v>
      </c>
      <c r="K1176">
        <v>0.34</v>
      </c>
      <c r="L1176">
        <v>3</v>
      </c>
      <c r="M1176" t="s">
        <v>20</v>
      </c>
      <c r="N1176">
        <f t="shared" si="54"/>
        <v>2</v>
      </c>
      <c r="O1176">
        <v>2015</v>
      </c>
      <c r="P1176">
        <f t="shared" si="55"/>
        <v>5.3132059790417872</v>
      </c>
      <c r="Q1176">
        <f t="shared" si="56"/>
        <v>3.9122229854308124</v>
      </c>
    </row>
    <row r="1177" spans="1:17" hidden="1" x14ac:dyDescent="0.3">
      <c r="A1177">
        <v>1176</v>
      </c>
      <c r="B1177">
        <v>1038538</v>
      </c>
      <c r="C1177" t="s">
        <v>2356</v>
      </c>
      <c r="D1177" t="s">
        <v>2357</v>
      </c>
      <c r="E1177">
        <v>85</v>
      </c>
      <c r="F1177">
        <v>197</v>
      </c>
      <c r="G1177">
        <v>26</v>
      </c>
      <c r="H1177">
        <v>28</v>
      </c>
      <c r="I1177">
        <v>4</v>
      </c>
      <c r="J1177" t="s">
        <v>23</v>
      </c>
      <c r="K1177">
        <v>0.78</v>
      </c>
      <c r="L1177">
        <v>3.5</v>
      </c>
      <c r="M1177" t="s">
        <v>20</v>
      </c>
      <c r="N1177">
        <f t="shared" si="54"/>
        <v>2</v>
      </c>
      <c r="O1177">
        <v>2016</v>
      </c>
      <c r="P1177">
        <f t="shared" si="55"/>
        <v>5.2832037287379885</v>
      </c>
      <c r="Q1177">
        <f t="shared" si="56"/>
        <v>4.4427688966292678</v>
      </c>
    </row>
    <row r="1178" spans="1:17" x14ac:dyDescent="0.3">
      <c r="A1178">
        <v>1177</v>
      </c>
      <c r="B1178">
        <v>1158836</v>
      </c>
      <c r="C1178" t="s">
        <v>2358</v>
      </c>
      <c r="D1178" t="s">
        <v>2359</v>
      </c>
      <c r="E1178">
        <v>100</v>
      </c>
      <c r="F1178">
        <v>197</v>
      </c>
      <c r="G1178">
        <v>11</v>
      </c>
      <c r="H1178">
        <v>53</v>
      </c>
      <c r="I1178">
        <v>1</v>
      </c>
      <c r="J1178" t="s">
        <v>13</v>
      </c>
      <c r="K1178">
        <v>0.64</v>
      </c>
      <c r="L1178">
        <v>3.5</v>
      </c>
      <c r="M1178" t="s">
        <v>20</v>
      </c>
      <c r="N1178">
        <f t="shared" si="54"/>
        <v>2</v>
      </c>
      <c r="O1178">
        <v>2017</v>
      </c>
      <c r="P1178">
        <f t="shared" si="55"/>
        <v>5.2832037287379885</v>
      </c>
      <c r="Q1178">
        <f t="shared" si="56"/>
        <v>4.6052701809884251</v>
      </c>
    </row>
    <row r="1179" spans="1:17" hidden="1" x14ac:dyDescent="0.3">
      <c r="A1179">
        <v>1178</v>
      </c>
      <c r="B1179">
        <v>954710</v>
      </c>
      <c r="C1179" t="s">
        <v>2360</v>
      </c>
      <c r="D1179" t="s">
        <v>2361</v>
      </c>
      <c r="E1179">
        <v>40</v>
      </c>
      <c r="F1179">
        <v>194</v>
      </c>
      <c r="G1179">
        <v>26</v>
      </c>
      <c r="H1179">
        <v>87</v>
      </c>
      <c r="I1179">
        <v>4</v>
      </c>
      <c r="J1179" t="s">
        <v>23</v>
      </c>
      <c r="K1179">
        <v>0.36</v>
      </c>
      <c r="L1179">
        <v>10</v>
      </c>
      <c r="M1179" t="s">
        <v>20</v>
      </c>
      <c r="N1179">
        <f t="shared" si="54"/>
        <v>2</v>
      </c>
      <c r="O1179">
        <v>2016</v>
      </c>
      <c r="P1179">
        <f t="shared" si="55"/>
        <v>5.2678581590633282</v>
      </c>
      <c r="Q1179">
        <f t="shared" si="56"/>
        <v>3.6891294228691436</v>
      </c>
    </row>
    <row r="1180" spans="1:17" x14ac:dyDescent="0.3">
      <c r="A1180">
        <v>1179</v>
      </c>
      <c r="B1180">
        <v>1160196</v>
      </c>
      <c r="C1180" t="s">
        <v>2362</v>
      </c>
      <c r="D1180" t="s">
        <v>2363</v>
      </c>
      <c r="E1180">
        <v>35</v>
      </c>
      <c r="F1180">
        <v>189</v>
      </c>
      <c r="G1180">
        <v>7</v>
      </c>
      <c r="H1180">
        <v>16</v>
      </c>
      <c r="I1180">
        <v>1</v>
      </c>
      <c r="J1180" t="s">
        <v>13</v>
      </c>
      <c r="K1180">
        <v>0.76</v>
      </c>
      <c r="L1180">
        <v>1</v>
      </c>
      <c r="M1180" t="s">
        <v>20</v>
      </c>
      <c r="N1180">
        <f t="shared" si="54"/>
        <v>2</v>
      </c>
      <c r="O1180">
        <v>2017</v>
      </c>
      <c r="P1180">
        <f t="shared" si="55"/>
        <v>5.2417470150596426</v>
      </c>
      <c r="Q1180">
        <f t="shared" si="56"/>
        <v>3.5556337349665741</v>
      </c>
    </row>
    <row r="1181" spans="1:17" x14ac:dyDescent="0.3">
      <c r="A1181">
        <v>1180</v>
      </c>
      <c r="B1181">
        <v>1063430</v>
      </c>
      <c r="C1181" t="s">
        <v>2364</v>
      </c>
      <c r="D1181" t="s">
        <v>2365</v>
      </c>
      <c r="E1181">
        <v>165</v>
      </c>
      <c r="F1181">
        <v>183</v>
      </c>
      <c r="G1181">
        <v>30</v>
      </c>
      <c r="H1181">
        <v>47</v>
      </c>
      <c r="I1181">
        <v>1</v>
      </c>
      <c r="J1181" t="s">
        <v>13</v>
      </c>
      <c r="K1181">
        <v>1</v>
      </c>
      <c r="L1181">
        <v>5.5</v>
      </c>
      <c r="M1181" t="s">
        <v>20</v>
      </c>
      <c r="N1181">
        <f t="shared" si="54"/>
        <v>2</v>
      </c>
      <c r="O1181">
        <v>2017</v>
      </c>
      <c r="P1181">
        <f t="shared" si="55"/>
        <v>5.2094861528414214</v>
      </c>
      <c r="Q1181">
        <f t="shared" si="56"/>
        <v>5.1060060781247136</v>
      </c>
    </row>
    <row r="1182" spans="1:17" hidden="1" x14ac:dyDescent="0.3">
      <c r="A1182">
        <v>1181</v>
      </c>
      <c r="B1182">
        <v>921560</v>
      </c>
      <c r="C1182" t="s">
        <v>2366</v>
      </c>
      <c r="D1182" t="s">
        <v>2367</v>
      </c>
      <c r="E1182">
        <v>95</v>
      </c>
      <c r="F1182">
        <v>177</v>
      </c>
      <c r="G1182">
        <v>19</v>
      </c>
      <c r="H1182">
        <v>10</v>
      </c>
      <c r="I1182">
        <v>4</v>
      </c>
      <c r="J1182" t="s">
        <v>23</v>
      </c>
      <c r="K1182">
        <v>0.98</v>
      </c>
      <c r="L1182">
        <v>1</v>
      </c>
      <c r="M1182" t="s">
        <v>20</v>
      </c>
      <c r="N1182">
        <f t="shared" si="54"/>
        <v>2</v>
      </c>
      <c r="O1182">
        <v>2016</v>
      </c>
      <c r="P1182">
        <f t="shared" si="55"/>
        <v>5.1761497325738288</v>
      </c>
      <c r="Q1182">
        <f t="shared" si="56"/>
        <v>4.5539821492186583</v>
      </c>
    </row>
    <row r="1183" spans="1:17" hidden="1" x14ac:dyDescent="0.3">
      <c r="A1183">
        <v>1182</v>
      </c>
      <c r="B1183">
        <v>1071060</v>
      </c>
      <c r="C1183" t="s">
        <v>2368</v>
      </c>
      <c r="D1183" t="s">
        <v>2369</v>
      </c>
      <c r="E1183">
        <v>125</v>
      </c>
      <c r="F1183">
        <v>170</v>
      </c>
      <c r="G1183">
        <v>21</v>
      </c>
      <c r="H1183">
        <v>78</v>
      </c>
      <c r="I1183">
        <v>4</v>
      </c>
      <c r="J1183" t="s">
        <v>23</v>
      </c>
      <c r="K1183">
        <v>1</v>
      </c>
      <c r="L1183">
        <v>9</v>
      </c>
      <c r="M1183" t="s">
        <v>20</v>
      </c>
      <c r="N1183">
        <f t="shared" si="54"/>
        <v>2</v>
      </c>
      <c r="O1183">
        <v>2017</v>
      </c>
      <c r="P1183">
        <f t="shared" si="55"/>
        <v>5.1357984370502621</v>
      </c>
      <c r="Q1183">
        <f t="shared" si="56"/>
        <v>4.8283937341024714</v>
      </c>
    </row>
    <row r="1184" spans="1:17" hidden="1" x14ac:dyDescent="0.3">
      <c r="A1184">
        <v>1183</v>
      </c>
      <c r="B1184">
        <v>873844</v>
      </c>
      <c r="C1184" t="s">
        <v>2370</v>
      </c>
      <c r="D1184" t="s">
        <v>2371</v>
      </c>
      <c r="E1184">
        <v>50</v>
      </c>
      <c r="F1184">
        <v>166</v>
      </c>
      <c r="G1184">
        <v>21</v>
      </c>
      <c r="H1184">
        <v>37</v>
      </c>
      <c r="I1184">
        <v>4</v>
      </c>
      <c r="J1184" t="s">
        <v>23</v>
      </c>
      <c r="K1184">
        <v>0.75</v>
      </c>
      <c r="L1184">
        <v>2.5</v>
      </c>
      <c r="M1184" t="s">
        <v>20</v>
      </c>
      <c r="N1184">
        <f t="shared" si="54"/>
        <v>2</v>
      </c>
      <c r="O1184">
        <v>2016</v>
      </c>
      <c r="P1184">
        <f t="shared" si="55"/>
        <v>5.1119877883565437</v>
      </c>
      <c r="Q1184">
        <f t="shared" si="56"/>
        <v>3.9122229854308124</v>
      </c>
    </row>
    <row r="1185" spans="1:17" x14ac:dyDescent="0.3">
      <c r="A1185">
        <v>1184</v>
      </c>
      <c r="B1185">
        <v>1163894</v>
      </c>
      <c r="C1185" t="s">
        <v>2372</v>
      </c>
      <c r="D1185" t="s">
        <v>2373</v>
      </c>
      <c r="E1185">
        <v>50</v>
      </c>
      <c r="F1185">
        <v>165</v>
      </c>
      <c r="G1185">
        <v>13</v>
      </c>
      <c r="H1185">
        <v>28</v>
      </c>
      <c r="I1185">
        <v>1</v>
      </c>
      <c r="J1185" t="s">
        <v>13</v>
      </c>
      <c r="K1185">
        <v>0.89</v>
      </c>
      <c r="L1185">
        <v>3</v>
      </c>
      <c r="M1185" t="s">
        <v>20</v>
      </c>
      <c r="N1185">
        <f t="shared" si="54"/>
        <v>2</v>
      </c>
      <c r="O1185">
        <v>2017</v>
      </c>
      <c r="P1185">
        <f t="shared" si="55"/>
        <v>5.1059454739005803</v>
      </c>
      <c r="Q1185">
        <f t="shared" si="56"/>
        <v>3.9122229854308124</v>
      </c>
    </row>
    <row r="1186" spans="1:17" hidden="1" x14ac:dyDescent="0.3">
      <c r="A1186">
        <v>1185</v>
      </c>
      <c r="B1186">
        <v>1225030</v>
      </c>
      <c r="C1186" t="s">
        <v>2374</v>
      </c>
      <c r="D1186" t="s">
        <v>2375</v>
      </c>
      <c r="E1186">
        <v>200</v>
      </c>
      <c r="F1186">
        <v>155</v>
      </c>
      <c r="G1186">
        <v>9</v>
      </c>
      <c r="H1186">
        <v>37</v>
      </c>
      <c r="I1186">
        <v>2</v>
      </c>
      <c r="J1186" t="s">
        <v>32</v>
      </c>
      <c r="K1186">
        <v>0.89</v>
      </c>
      <c r="L1186">
        <v>6</v>
      </c>
      <c r="M1186" t="s">
        <v>20</v>
      </c>
      <c r="N1186">
        <f t="shared" si="54"/>
        <v>2</v>
      </c>
      <c r="O1186">
        <v>2017</v>
      </c>
      <c r="P1186">
        <f t="shared" si="55"/>
        <v>5.0434251169192468</v>
      </c>
      <c r="Q1186">
        <f t="shared" si="56"/>
        <v>5.2983673652980787</v>
      </c>
    </row>
    <row r="1187" spans="1:17" hidden="1" x14ac:dyDescent="0.3">
      <c r="A1187">
        <v>1186</v>
      </c>
      <c r="B1187">
        <v>735796</v>
      </c>
      <c r="C1187" t="s">
        <v>2376</v>
      </c>
      <c r="D1187" t="s">
        <v>2377</v>
      </c>
      <c r="E1187">
        <v>20</v>
      </c>
      <c r="F1187">
        <v>151</v>
      </c>
      <c r="G1187">
        <v>40</v>
      </c>
      <c r="H1187">
        <v>30</v>
      </c>
      <c r="I1187">
        <v>4</v>
      </c>
      <c r="J1187" t="s">
        <v>23</v>
      </c>
      <c r="K1187">
        <v>0.89</v>
      </c>
      <c r="L1187">
        <v>5</v>
      </c>
      <c r="M1187" t="s">
        <v>20</v>
      </c>
      <c r="N1187">
        <f t="shared" si="54"/>
        <v>2</v>
      </c>
      <c r="O1187">
        <v>2016</v>
      </c>
      <c r="P1187">
        <f t="shared" si="55"/>
        <v>5.0172798368149243</v>
      </c>
      <c r="Q1187">
        <f t="shared" si="56"/>
        <v>2.996232148595642</v>
      </c>
    </row>
    <row r="1188" spans="1:17" hidden="1" x14ac:dyDescent="0.3">
      <c r="A1188">
        <v>1187</v>
      </c>
      <c r="B1188">
        <v>598970</v>
      </c>
      <c r="C1188" t="s">
        <v>2378</v>
      </c>
      <c r="D1188" t="s">
        <v>2379</v>
      </c>
      <c r="E1188">
        <v>20</v>
      </c>
      <c r="F1188">
        <v>130</v>
      </c>
      <c r="G1188">
        <v>14</v>
      </c>
      <c r="H1188">
        <v>20</v>
      </c>
      <c r="I1188">
        <v>4</v>
      </c>
      <c r="J1188" t="s">
        <v>23</v>
      </c>
      <c r="K1188">
        <v>0.89</v>
      </c>
      <c r="L1188">
        <v>0.61666666999999997</v>
      </c>
      <c r="M1188" t="s">
        <v>20</v>
      </c>
      <c r="N1188">
        <f t="shared" si="54"/>
        <v>2</v>
      </c>
      <c r="O1188">
        <v>2015</v>
      </c>
      <c r="P1188">
        <f t="shared" si="55"/>
        <v>4.8675344504555822</v>
      </c>
      <c r="Q1188">
        <f t="shared" si="56"/>
        <v>2.996232148595642</v>
      </c>
    </row>
    <row r="1189" spans="1:17" x14ac:dyDescent="0.3">
      <c r="A1189">
        <v>1188</v>
      </c>
      <c r="B1189">
        <v>1076424</v>
      </c>
      <c r="C1189" t="s">
        <v>2380</v>
      </c>
      <c r="D1189" t="s">
        <v>2381</v>
      </c>
      <c r="E1189">
        <v>50</v>
      </c>
      <c r="F1189">
        <v>122</v>
      </c>
      <c r="G1189">
        <v>10</v>
      </c>
      <c r="H1189">
        <v>116</v>
      </c>
      <c r="I1189">
        <v>1</v>
      </c>
      <c r="J1189" t="s">
        <v>13</v>
      </c>
      <c r="K1189">
        <v>0.89</v>
      </c>
      <c r="L1189">
        <v>10.5</v>
      </c>
      <c r="M1189" t="s">
        <v>20</v>
      </c>
      <c r="N1189">
        <f t="shared" si="54"/>
        <v>2</v>
      </c>
      <c r="O1189">
        <v>2017</v>
      </c>
      <c r="P1189">
        <f t="shared" si="55"/>
        <v>4.8040210447332568</v>
      </c>
      <c r="Q1189">
        <f t="shared" si="56"/>
        <v>3.9122229854308124</v>
      </c>
    </row>
    <row r="1190" spans="1:17" x14ac:dyDescent="0.3">
      <c r="A1190">
        <v>1189</v>
      </c>
      <c r="B1190">
        <v>1250824</v>
      </c>
      <c r="C1190" t="s">
        <v>2382</v>
      </c>
      <c r="D1190" t="s">
        <v>2383</v>
      </c>
      <c r="E1190">
        <v>50</v>
      </c>
      <c r="F1190">
        <v>119</v>
      </c>
      <c r="G1190">
        <v>6</v>
      </c>
      <c r="H1190">
        <v>70</v>
      </c>
      <c r="I1190">
        <v>1</v>
      </c>
      <c r="J1190" t="s">
        <v>13</v>
      </c>
      <c r="K1190">
        <v>0.89</v>
      </c>
      <c r="L1190">
        <v>10.5</v>
      </c>
      <c r="M1190" t="s">
        <v>20</v>
      </c>
      <c r="N1190">
        <f t="shared" si="54"/>
        <v>2</v>
      </c>
      <c r="O1190">
        <v>2017</v>
      </c>
      <c r="P1190">
        <f t="shared" si="55"/>
        <v>4.7791234931115296</v>
      </c>
      <c r="Q1190">
        <f t="shared" si="56"/>
        <v>3.9122229854308124</v>
      </c>
    </row>
    <row r="1191" spans="1:17" x14ac:dyDescent="0.3">
      <c r="A1191">
        <v>1190</v>
      </c>
      <c r="B1191">
        <v>1013380</v>
      </c>
      <c r="C1191" t="s">
        <v>2384</v>
      </c>
      <c r="D1191" t="s">
        <v>2385</v>
      </c>
      <c r="E1191">
        <v>30</v>
      </c>
      <c r="F1191">
        <v>116</v>
      </c>
      <c r="G1191">
        <v>12</v>
      </c>
      <c r="H1191">
        <v>7</v>
      </c>
      <c r="I1191">
        <v>1</v>
      </c>
      <c r="J1191" t="s">
        <v>13</v>
      </c>
      <c r="K1191">
        <v>0.89</v>
      </c>
      <c r="L1191">
        <v>1</v>
      </c>
      <c r="M1191" t="s">
        <v>20</v>
      </c>
      <c r="N1191">
        <f t="shared" si="54"/>
        <v>2</v>
      </c>
      <c r="O1191">
        <v>2016</v>
      </c>
      <c r="P1191">
        <f t="shared" si="55"/>
        <v>4.7535901911063645</v>
      </c>
      <c r="Q1191">
        <f t="shared" si="56"/>
        <v>3.4015306594522756</v>
      </c>
    </row>
    <row r="1192" spans="1:17" hidden="1" x14ac:dyDescent="0.3">
      <c r="A1192">
        <v>1191</v>
      </c>
      <c r="B1192">
        <v>1193538</v>
      </c>
      <c r="C1192" t="s">
        <v>2386</v>
      </c>
      <c r="D1192" t="s">
        <v>2387</v>
      </c>
      <c r="E1192">
        <v>175</v>
      </c>
      <c r="F1192">
        <v>109</v>
      </c>
      <c r="G1192">
        <v>17</v>
      </c>
      <c r="H1192">
        <v>69</v>
      </c>
      <c r="I1192">
        <v>4</v>
      </c>
      <c r="J1192" t="s">
        <v>23</v>
      </c>
      <c r="K1192">
        <v>0.96</v>
      </c>
      <c r="L1192">
        <v>9.5</v>
      </c>
      <c r="M1192" t="s">
        <v>20</v>
      </c>
      <c r="N1192">
        <f t="shared" si="54"/>
        <v>2</v>
      </c>
      <c r="O1192">
        <v>2017</v>
      </c>
      <c r="P1192">
        <f t="shared" si="55"/>
        <v>4.6913478822291435</v>
      </c>
      <c r="Q1192">
        <f t="shared" si="56"/>
        <v>5.1648431151480656</v>
      </c>
    </row>
    <row r="1193" spans="1:17" hidden="1" x14ac:dyDescent="0.3">
      <c r="A1193">
        <v>1192</v>
      </c>
      <c r="B1193">
        <v>1178762</v>
      </c>
      <c r="C1193" t="s">
        <v>2388</v>
      </c>
      <c r="D1193" t="s">
        <v>2389</v>
      </c>
      <c r="E1193">
        <v>200</v>
      </c>
      <c r="F1193">
        <v>103</v>
      </c>
      <c r="G1193">
        <v>11</v>
      </c>
      <c r="H1193">
        <v>72</v>
      </c>
      <c r="I1193">
        <v>4</v>
      </c>
      <c r="J1193" t="s">
        <v>23</v>
      </c>
      <c r="K1193">
        <v>0.47</v>
      </c>
      <c r="L1193">
        <v>5.5</v>
      </c>
      <c r="M1193" t="s">
        <v>20</v>
      </c>
      <c r="N1193">
        <f t="shared" si="54"/>
        <v>2</v>
      </c>
      <c r="O1193">
        <v>2017</v>
      </c>
      <c r="P1193">
        <f t="shared" si="55"/>
        <v>4.6347289882296359</v>
      </c>
      <c r="Q1193">
        <f t="shared" si="56"/>
        <v>5.2983673652980787</v>
      </c>
    </row>
    <row r="1194" spans="1:17" hidden="1" x14ac:dyDescent="0.3">
      <c r="A1194">
        <v>1193</v>
      </c>
      <c r="B1194">
        <v>1019918</v>
      </c>
      <c r="C1194" t="s">
        <v>2390</v>
      </c>
      <c r="D1194" t="s">
        <v>2391</v>
      </c>
      <c r="E1194">
        <v>25</v>
      </c>
      <c r="F1194">
        <v>102</v>
      </c>
      <c r="G1194">
        <v>27</v>
      </c>
      <c r="H1194">
        <v>36</v>
      </c>
      <c r="I1194">
        <v>4</v>
      </c>
      <c r="J1194" t="s">
        <v>23</v>
      </c>
      <c r="K1194">
        <v>0.62</v>
      </c>
      <c r="L1194">
        <v>2.5</v>
      </c>
      <c r="M1194" t="s">
        <v>20</v>
      </c>
      <c r="N1194">
        <f t="shared" si="54"/>
        <v>2</v>
      </c>
      <c r="O1194">
        <v>2016</v>
      </c>
      <c r="P1194">
        <f t="shared" si="55"/>
        <v>4.6249728132842707</v>
      </c>
      <c r="Q1194">
        <f t="shared" si="56"/>
        <v>3.2192757448895279</v>
      </c>
    </row>
    <row r="1195" spans="1:17" x14ac:dyDescent="0.3">
      <c r="A1195">
        <v>1194</v>
      </c>
      <c r="B1195">
        <v>1179104</v>
      </c>
      <c r="C1195" t="s">
        <v>2392</v>
      </c>
      <c r="D1195" t="s">
        <v>2393</v>
      </c>
      <c r="E1195">
        <v>200</v>
      </c>
      <c r="F1195">
        <v>91</v>
      </c>
      <c r="G1195">
        <v>5</v>
      </c>
      <c r="H1195">
        <v>53</v>
      </c>
      <c r="I1195">
        <v>1</v>
      </c>
      <c r="J1195" t="s">
        <v>13</v>
      </c>
      <c r="K1195">
        <v>0.55000000000000004</v>
      </c>
      <c r="L1195">
        <v>6.5</v>
      </c>
      <c r="M1195" t="s">
        <v>20</v>
      </c>
      <c r="N1195">
        <f t="shared" si="54"/>
        <v>2</v>
      </c>
      <c r="O1195">
        <v>2017</v>
      </c>
      <c r="P1195">
        <f t="shared" si="55"/>
        <v>4.5108595065168497</v>
      </c>
      <c r="Q1195">
        <f t="shared" si="56"/>
        <v>5.2983673652980787</v>
      </c>
    </row>
    <row r="1196" spans="1:17" x14ac:dyDescent="0.3">
      <c r="A1196">
        <v>1195</v>
      </c>
      <c r="B1196">
        <v>1194232</v>
      </c>
      <c r="C1196" t="s">
        <v>2394</v>
      </c>
      <c r="D1196" t="s">
        <v>2395</v>
      </c>
      <c r="E1196">
        <v>200</v>
      </c>
      <c r="F1196">
        <v>88</v>
      </c>
      <c r="G1196">
        <v>8</v>
      </c>
      <c r="H1196">
        <v>55</v>
      </c>
      <c r="I1196">
        <v>1</v>
      </c>
      <c r="J1196" t="s">
        <v>13</v>
      </c>
      <c r="K1196">
        <v>0.19</v>
      </c>
      <c r="L1196">
        <v>4.5</v>
      </c>
      <c r="M1196" t="s">
        <v>20</v>
      </c>
      <c r="N1196">
        <f t="shared" si="54"/>
        <v>2</v>
      </c>
      <c r="O1196">
        <v>2017</v>
      </c>
      <c r="P1196">
        <f t="shared" si="55"/>
        <v>4.4773368144782069</v>
      </c>
      <c r="Q1196">
        <f t="shared" si="56"/>
        <v>5.2983673652980787</v>
      </c>
    </row>
    <row r="1197" spans="1:17" hidden="1" x14ac:dyDescent="0.3">
      <c r="A1197">
        <v>1196</v>
      </c>
      <c r="B1197">
        <v>1152012</v>
      </c>
      <c r="C1197" t="s">
        <v>2396</v>
      </c>
      <c r="D1197" t="s">
        <v>2397</v>
      </c>
      <c r="E1197">
        <v>35</v>
      </c>
      <c r="F1197">
        <v>81</v>
      </c>
      <c r="G1197">
        <v>14</v>
      </c>
      <c r="H1197">
        <v>33</v>
      </c>
      <c r="I1197">
        <v>4</v>
      </c>
      <c r="J1197" t="s">
        <v>23</v>
      </c>
      <c r="K1197">
        <v>0.46</v>
      </c>
      <c r="L1197">
        <v>1</v>
      </c>
      <c r="M1197" t="s">
        <v>20</v>
      </c>
      <c r="N1197">
        <f t="shared" si="54"/>
        <v>2</v>
      </c>
      <c r="O1197">
        <v>2017</v>
      </c>
      <c r="P1197">
        <f t="shared" si="55"/>
        <v>4.3944491546724391</v>
      </c>
      <c r="Q1197">
        <f t="shared" si="56"/>
        <v>3.5556337349665741</v>
      </c>
    </row>
    <row r="1198" spans="1:17" hidden="1" x14ac:dyDescent="0.3">
      <c r="A1198">
        <v>1197</v>
      </c>
      <c r="B1198">
        <v>1170920</v>
      </c>
      <c r="C1198" t="s">
        <v>2398</v>
      </c>
      <c r="D1198" t="s">
        <v>2399</v>
      </c>
      <c r="E1198">
        <v>100</v>
      </c>
      <c r="F1198">
        <v>61</v>
      </c>
      <c r="G1198">
        <v>9</v>
      </c>
      <c r="H1198">
        <v>44</v>
      </c>
      <c r="I1198">
        <v>4</v>
      </c>
      <c r="J1198" t="s">
        <v>23</v>
      </c>
      <c r="K1198">
        <v>0.11</v>
      </c>
      <c r="L1198">
        <v>2</v>
      </c>
      <c r="M1198" t="s">
        <v>20</v>
      </c>
      <c r="N1198">
        <f t="shared" si="54"/>
        <v>2</v>
      </c>
      <c r="O1198">
        <v>2017</v>
      </c>
      <c r="P1198">
        <f t="shared" si="55"/>
        <v>4.1108738641733114</v>
      </c>
      <c r="Q1198">
        <f t="shared" si="56"/>
        <v>4.6052701809884251</v>
      </c>
    </row>
    <row r="1199" spans="1:17" hidden="1" x14ac:dyDescent="0.3">
      <c r="A1199">
        <v>1198</v>
      </c>
      <c r="B1199">
        <v>1131732</v>
      </c>
      <c r="C1199" t="s">
        <v>2400</v>
      </c>
      <c r="D1199" t="s">
        <v>2401</v>
      </c>
      <c r="E1199">
        <v>30</v>
      </c>
      <c r="F1199">
        <v>55</v>
      </c>
      <c r="G1199">
        <v>13</v>
      </c>
      <c r="H1199">
        <v>31</v>
      </c>
      <c r="I1199">
        <v>4</v>
      </c>
      <c r="J1199" t="s">
        <v>23</v>
      </c>
      <c r="K1199">
        <v>0.88</v>
      </c>
      <c r="L1199">
        <v>1.5</v>
      </c>
      <c r="M1199" t="s">
        <v>20</v>
      </c>
      <c r="N1199">
        <f t="shared" si="54"/>
        <v>2</v>
      </c>
      <c r="O1199">
        <v>2017</v>
      </c>
      <c r="P1199">
        <f t="shared" si="55"/>
        <v>4.0073331852324712</v>
      </c>
      <c r="Q1199">
        <f t="shared" si="56"/>
        <v>3.4015306594522756</v>
      </c>
    </row>
    <row r="1200" spans="1:17" x14ac:dyDescent="0.3">
      <c r="A1200">
        <v>1199</v>
      </c>
      <c r="B1200">
        <v>1227578</v>
      </c>
      <c r="C1200" t="s">
        <v>2402</v>
      </c>
      <c r="D1200" t="s">
        <v>2403</v>
      </c>
      <c r="E1200">
        <v>200</v>
      </c>
      <c r="F1200">
        <v>50</v>
      </c>
      <c r="G1200">
        <v>5</v>
      </c>
      <c r="H1200">
        <v>60</v>
      </c>
      <c r="I1200">
        <v>1</v>
      </c>
      <c r="J1200" t="s">
        <v>13</v>
      </c>
      <c r="K1200">
        <v>0.96</v>
      </c>
      <c r="L1200">
        <v>5</v>
      </c>
      <c r="M1200" t="s">
        <v>20</v>
      </c>
      <c r="N1200">
        <f t="shared" si="54"/>
        <v>2</v>
      </c>
      <c r="O1200">
        <v>2017</v>
      </c>
      <c r="P1200">
        <f t="shared" si="55"/>
        <v>3.912023005428146</v>
      </c>
      <c r="Q1200">
        <f t="shared" si="56"/>
        <v>5.2983673652980787</v>
      </c>
    </row>
    <row r="1201" spans="1:17" hidden="1" x14ac:dyDescent="0.3">
      <c r="A1201">
        <v>1200</v>
      </c>
      <c r="B1201">
        <v>1277924</v>
      </c>
      <c r="C1201" t="s">
        <v>2404</v>
      </c>
      <c r="D1201" t="s">
        <v>2405</v>
      </c>
      <c r="E1201">
        <v>40</v>
      </c>
      <c r="F1201">
        <v>44</v>
      </c>
      <c r="G1201">
        <v>0</v>
      </c>
      <c r="H1201">
        <v>68</v>
      </c>
      <c r="I1201">
        <v>4</v>
      </c>
      <c r="J1201" t="s">
        <v>23</v>
      </c>
      <c r="K1201">
        <v>0.15</v>
      </c>
      <c r="L1201">
        <v>8.5</v>
      </c>
      <c r="M1201" t="s">
        <v>20</v>
      </c>
      <c r="N1201">
        <f t="shared" si="54"/>
        <v>2</v>
      </c>
      <c r="O1201">
        <v>2017</v>
      </c>
      <c r="P1201">
        <f t="shared" si="55"/>
        <v>3.784189633918261</v>
      </c>
      <c r="Q1201">
        <f t="shared" si="56"/>
        <v>3.6891294228691436</v>
      </c>
    </row>
    <row r="1202" spans="1:17" x14ac:dyDescent="0.3">
      <c r="A1202">
        <v>1201</v>
      </c>
      <c r="B1202">
        <v>1248172</v>
      </c>
      <c r="C1202" t="s">
        <v>2406</v>
      </c>
      <c r="D1202" t="s">
        <v>2407</v>
      </c>
      <c r="E1202">
        <v>125</v>
      </c>
      <c r="F1202">
        <v>34</v>
      </c>
      <c r="G1202">
        <v>2</v>
      </c>
      <c r="H1202">
        <v>21</v>
      </c>
      <c r="I1202">
        <v>1</v>
      </c>
      <c r="J1202" t="s">
        <v>13</v>
      </c>
      <c r="K1202">
        <v>0.46</v>
      </c>
      <c r="L1202">
        <v>1.5</v>
      </c>
      <c r="M1202" t="s">
        <v>20</v>
      </c>
      <c r="N1202">
        <f t="shared" si="54"/>
        <v>2</v>
      </c>
      <c r="O1202">
        <v>2017</v>
      </c>
      <c r="P1202">
        <f t="shared" si="55"/>
        <v>3.5263605246161616</v>
      </c>
      <c r="Q1202">
        <f t="shared" si="56"/>
        <v>4.8283937341024714</v>
      </c>
    </row>
    <row r="1203" spans="1:17" x14ac:dyDescent="0.3">
      <c r="A1203">
        <v>1202</v>
      </c>
      <c r="B1203">
        <v>1250934</v>
      </c>
      <c r="C1203" t="s">
        <v>2408</v>
      </c>
      <c r="D1203" t="s">
        <v>2409</v>
      </c>
      <c r="E1203">
        <v>100</v>
      </c>
      <c r="F1203">
        <v>25</v>
      </c>
      <c r="G1203">
        <v>4</v>
      </c>
      <c r="H1203">
        <v>66</v>
      </c>
      <c r="I1203">
        <v>1</v>
      </c>
      <c r="J1203" t="s">
        <v>13</v>
      </c>
      <c r="K1203">
        <v>0.67</v>
      </c>
      <c r="L1203">
        <v>12.5</v>
      </c>
      <c r="M1203" t="s">
        <v>20</v>
      </c>
      <c r="N1203">
        <f t="shared" si="54"/>
        <v>2</v>
      </c>
      <c r="O1203">
        <v>2017</v>
      </c>
      <c r="P1203">
        <f t="shared" si="55"/>
        <v>3.2188758248682006</v>
      </c>
      <c r="Q1203">
        <f t="shared" si="56"/>
        <v>4.6052701809884251</v>
      </c>
    </row>
    <row r="1204" spans="1:17" x14ac:dyDescent="0.3">
      <c r="A1204">
        <v>1203</v>
      </c>
      <c r="B1204">
        <v>1270222</v>
      </c>
      <c r="C1204" t="s">
        <v>2410</v>
      </c>
      <c r="D1204" t="s">
        <v>2411</v>
      </c>
      <c r="E1204">
        <v>200</v>
      </c>
      <c r="F1204">
        <v>19</v>
      </c>
      <c r="G1204">
        <v>2</v>
      </c>
      <c r="H1204">
        <v>33</v>
      </c>
      <c r="I1204">
        <v>1</v>
      </c>
      <c r="J1204" t="s">
        <v>13</v>
      </c>
      <c r="K1204">
        <v>0.12</v>
      </c>
      <c r="L1204">
        <v>4</v>
      </c>
      <c r="M1204" t="s">
        <v>20</v>
      </c>
      <c r="N1204">
        <f t="shared" si="54"/>
        <v>2</v>
      </c>
      <c r="O1204">
        <v>2017</v>
      </c>
      <c r="P1204">
        <f t="shared" si="55"/>
        <v>2.9444389791664403</v>
      </c>
      <c r="Q1204">
        <f t="shared" si="56"/>
        <v>5.2983673652980787</v>
      </c>
    </row>
  </sheetData>
  <autoFilter ref="A1:Q1204" xr:uid="{FCEA9F9C-1DEB-41E1-BC8B-1BEC99D521C2}">
    <filterColumn colId="8">
      <filters>
        <filter val="1"/>
      </filters>
    </filterColumn>
  </autoFilter>
  <sortState xmlns:xlrd2="http://schemas.microsoft.com/office/spreadsheetml/2017/richdata2" ref="A2:Q1205">
    <sortCondition ref="A1:A1205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E4D95-A7A9-4B81-A169-F610D733A1C3}">
  <dimension ref="A1:V1204"/>
  <sheetViews>
    <sheetView topLeftCell="E24" zoomScale="55" zoomScaleNormal="55" workbookViewId="0">
      <selection activeCell="Z15" sqref="Z15"/>
    </sheetView>
  </sheetViews>
  <sheetFormatPr defaultRowHeight="14.4" x14ac:dyDescent="0.3"/>
  <cols>
    <col min="1" max="1" width="7.21875" bestFit="1" customWidth="1"/>
    <col min="2" max="2" width="16.88671875" bestFit="1" customWidth="1"/>
    <col min="3" max="3" width="14" bestFit="1" customWidth="1"/>
    <col min="4" max="4" width="14.21875" bestFit="1" customWidth="1"/>
    <col min="5" max="5" width="15.6640625" bestFit="1" customWidth="1"/>
    <col min="6" max="6" width="7.88671875" bestFit="1" customWidth="1"/>
    <col min="7" max="7" width="17.5546875" bestFit="1" customWidth="1"/>
    <col min="8" max="8" width="16.5546875" bestFit="1" customWidth="1"/>
    <col min="9" max="9" width="19.33203125" bestFit="1" customWidth="1"/>
    <col min="10" max="10" width="13.44140625" bestFit="1" customWidth="1"/>
    <col min="11" max="11" width="19.33203125" bestFit="1" customWidth="1"/>
    <col min="12" max="12" width="14" bestFit="1" customWidth="1"/>
    <col min="13" max="13" width="19.33203125" bestFit="1" customWidth="1"/>
    <col min="14" max="14" width="14.6640625" bestFit="1" customWidth="1"/>
    <col min="15" max="15" width="19.33203125" bestFit="1" customWidth="1"/>
    <col min="16" max="16" width="10.44140625" bestFit="1" customWidth="1"/>
    <col min="17" max="17" width="19.33203125" bestFit="1" customWidth="1"/>
    <col min="18" max="18" width="9.21875" bestFit="1" customWidth="1"/>
    <col min="19" max="19" width="19.33203125" bestFit="1" customWidth="1"/>
    <col min="20" max="20" width="8.77734375" bestFit="1" customWidth="1"/>
    <col min="21" max="21" width="19.33203125" bestFit="1" customWidth="1"/>
    <col min="22" max="22" width="9.21875" bestFit="1" customWidth="1"/>
  </cols>
  <sheetData>
    <row r="1" spans="1:22" x14ac:dyDescent="0.3">
      <c r="A1" s="3" t="s">
        <v>3</v>
      </c>
      <c r="B1" s="3" t="s">
        <v>4</v>
      </c>
      <c r="C1" s="3" t="s">
        <v>5</v>
      </c>
      <c r="D1" s="3" t="s">
        <v>6</v>
      </c>
      <c r="E1" s="3" t="s">
        <v>2416</v>
      </c>
      <c r="F1" s="3" t="s">
        <v>7</v>
      </c>
      <c r="G1" s="3" t="s">
        <v>8</v>
      </c>
    </row>
    <row r="2" spans="1:22" x14ac:dyDescent="0.3">
      <c r="A2">
        <v>0</v>
      </c>
      <c r="B2">
        <v>268923</v>
      </c>
      <c r="C2">
        <v>8629</v>
      </c>
      <c r="D2">
        <v>45</v>
      </c>
      <c r="E2">
        <v>1</v>
      </c>
      <c r="F2">
        <v>0.82</v>
      </c>
      <c r="G2">
        <v>10.5</v>
      </c>
    </row>
    <row r="3" spans="1:22" ht="15" thickBot="1" x14ac:dyDescent="0.35">
      <c r="A3">
        <v>0</v>
      </c>
      <c r="B3">
        <v>161029</v>
      </c>
      <c r="C3">
        <v>279</v>
      </c>
      <c r="D3">
        <v>27</v>
      </c>
      <c r="E3">
        <v>3</v>
      </c>
      <c r="F3">
        <v>0.69</v>
      </c>
      <c r="G3">
        <v>3.5</v>
      </c>
      <c r="I3" t="s">
        <v>2431</v>
      </c>
    </row>
    <row r="4" spans="1:22" x14ac:dyDescent="0.3">
      <c r="A4">
        <v>200</v>
      </c>
      <c r="B4">
        <v>121584</v>
      </c>
      <c r="C4">
        <v>27445</v>
      </c>
      <c r="D4">
        <v>342</v>
      </c>
      <c r="E4">
        <v>1</v>
      </c>
      <c r="F4">
        <v>0.89</v>
      </c>
      <c r="G4">
        <v>43</v>
      </c>
      <c r="I4" s="15" t="s">
        <v>3</v>
      </c>
      <c r="J4" s="15"/>
      <c r="K4" s="15" t="s">
        <v>4</v>
      </c>
      <c r="L4" s="15"/>
      <c r="M4" s="15" t="s">
        <v>5</v>
      </c>
      <c r="N4" s="15"/>
      <c r="O4" s="15" t="s">
        <v>6</v>
      </c>
      <c r="P4" s="15"/>
      <c r="Q4" s="15" t="s">
        <v>2416</v>
      </c>
      <c r="R4" s="15"/>
      <c r="S4" s="15" t="s">
        <v>7</v>
      </c>
      <c r="T4" s="15"/>
      <c r="U4" s="15" t="s">
        <v>8</v>
      </c>
      <c r="V4" s="15"/>
    </row>
    <row r="5" spans="1:22" x14ac:dyDescent="0.3">
      <c r="A5">
        <v>0</v>
      </c>
      <c r="B5">
        <v>120291</v>
      </c>
      <c r="C5">
        <v>5924</v>
      </c>
      <c r="D5">
        <v>30</v>
      </c>
      <c r="E5">
        <v>4</v>
      </c>
      <c r="F5">
        <v>0.78</v>
      </c>
      <c r="G5">
        <v>3</v>
      </c>
    </row>
    <row r="6" spans="1:22" x14ac:dyDescent="0.3">
      <c r="A6">
        <v>200</v>
      </c>
      <c r="B6">
        <v>114512</v>
      </c>
      <c r="C6">
        <v>22412</v>
      </c>
      <c r="D6">
        <v>304</v>
      </c>
      <c r="E6">
        <v>1</v>
      </c>
      <c r="F6">
        <v>0.55000000000000004</v>
      </c>
      <c r="G6">
        <v>30.5</v>
      </c>
      <c r="I6" t="s">
        <v>2418</v>
      </c>
      <c r="J6" s="9">
        <v>77.036575228595183</v>
      </c>
      <c r="K6" t="s">
        <v>2418</v>
      </c>
      <c r="L6" s="9">
        <v>6635.0249376558604</v>
      </c>
      <c r="M6" t="s">
        <v>2418</v>
      </c>
      <c r="N6" s="9">
        <v>357.35577722360767</v>
      </c>
      <c r="O6" t="s">
        <v>2418</v>
      </c>
      <c r="P6" s="9">
        <v>52.76724854530341</v>
      </c>
      <c r="Q6" t="s">
        <v>2418</v>
      </c>
      <c r="R6" s="9">
        <v>2.7132169576059852</v>
      </c>
      <c r="S6" t="s">
        <v>2418</v>
      </c>
      <c r="T6" s="9">
        <v>0.64305070656691732</v>
      </c>
      <c r="U6" t="s">
        <v>2418</v>
      </c>
      <c r="V6" s="9">
        <v>5.5866583541230241</v>
      </c>
    </row>
    <row r="7" spans="1:22" x14ac:dyDescent="0.3">
      <c r="A7">
        <v>0</v>
      </c>
      <c r="B7">
        <v>98867</v>
      </c>
      <c r="C7">
        <v>6512</v>
      </c>
      <c r="D7">
        <v>20</v>
      </c>
      <c r="E7">
        <v>4</v>
      </c>
      <c r="F7">
        <v>0.82</v>
      </c>
      <c r="G7">
        <v>3</v>
      </c>
      <c r="I7" t="s">
        <v>2419</v>
      </c>
      <c r="J7" s="9">
        <v>1.9070714604954129</v>
      </c>
      <c r="K7" t="s">
        <v>2419</v>
      </c>
      <c r="L7" s="9">
        <v>419.76983939000439</v>
      </c>
      <c r="M7" t="s">
        <v>2419</v>
      </c>
      <c r="N7" s="9">
        <v>45.349570872311688</v>
      </c>
      <c r="O7" t="s">
        <v>2419</v>
      </c>
      <c r="P7" s="9">
        <v>1.8095300932851759</v>
      </c>
      <c r="Q7" t="s">
        <v>2419</v>
      </c>
      <c r="R7" s="9">
        <v>4.0365293233291376E-2</v>
      </c>
      <c r="S7" t="s">
        <v>2419</v>
      </c>
      <c r="T7" s="9">
        <v>8.8225411074712642E-3</v>
      </c>
      <c r="U7" t="s">
        <v>2419</v>
      </c>
      <c r="V7" s="9">
        <v>0.2088223546961441</v>
      </c>
    </row>
    <row r="8" spans="1:22" x14ac:dyDescent="0.3">
      <c r="A8">
        <v>30</v>
      </c>
      <c r="B8">
        <v>84897</v>
      </c>
      <c r="C8">
        <v>2685</v>
      </c>
      <c r="D8">
        <v>10</v>
      </c>
      <c r="E8">
        <v>4</v>
      </c>
      <c r="F8">
        <v>0.79</v>
      </c>
      <c r="G8">
        <v>2</v>
      </c>
      <c r="I8" t="s">
        <v>2420</v>
      </c>
      <c r="J8" s="9">
        <v>50</v>
      </c>
      <c r="K8" t="s">
        <v>2420</v>
      </c>
      <c r="L8" s="9">
        <v>2430</v>
      </c>
      <c r="M8" t="s">
        <v>2420</v>
      </c>
      <c r="N8" s="9">
        <v>65</v>
      </c>
      <c r="O8" t="s">
        <v>2420</v>
      </c>
      <c r="P8" s="9">
        <v>32</v>
      </c>
      <c r="Q8" t="s">
        <v>2420</v>
      </c>
      <c r="R8" s="9">
        <v>4</v>
      </c>
      <c r="S8" t="s">
        <v>2420</v>
      </c>
      <c r="T8" s="9">
        <v>0.76</v>
      </c>
      <c r="U8" t="s">
        <v>2420</v>
      </c>
      <c r="V8" s="9">
        <v>3</v>
      </c>
    </row>
    <row r="9" spans="1:22" x14ac:dyDescent="0.3">
      <c r="A9">
        <v>0</v>
      </c>
      <c r="B9">
        <v>83737</v>
      </c>
      <c r="C9">
        <v>4598</v>
      </c>
      <c r="D9">
        <v>45</v>
      </c>
      <c r="E9">
        <v>2</v>
      </c>
      <c r="F9">
        <v>0.85</v>
      </c>
      <c r="G9">
        <v>6.5</v>
      </c>
      <c r="I9" t="s">
        <v>2421</v>
      </c>
      <c r="J9" s="9">
        <v>20</v>
      </c>
      <c r="K9" t="s">
        <v>2421</v>
      </c>
      <c r="L9" s="9">
        <v>1703</v>
      </c>
      <c r="M9" t="s">
        <v>2421</v>
      </c>
      <c r="N9" s="9">
        <v>16</v>
      </c>
      <c r="O9" t="s">
        <v>2421</v>
      </c>
      <c r="P9" s="9">
        <v>20</v>
      </c>
      <c r="Q9" t="s">
        <v>2421</v>
      </c>
      <c r="R9" s="9">
        <v>4</v>
      </c>
      <c r="S9" t="s">
        <v>2421</v>
      </c>
      <c r="T9" s="9">
        <v>0.96</v>
      </c>
      <c r="U9" t="s">
        <v>2421</v>
      </c>
      <c r="V9" s="9">
        <v>1</v>
      </c>
    </row>
    <row r="10" spans="1:22" x14ac:dyDescent="0.3">
      <c r="A10">
        <v>175</v>
      </c>
      <c r="B10">
        <v>79612</v>
      </c>
      <c r="C10">
        <v>16976</v>
      </c>
      <c r="D10">
        <v>85</v>
      </c>
      <c r="E10">
        <v>4</v>
      </c>
      <c r="F10">
        <v>0.69</v>
      </c>
      <c r="G10">
        <v>11.5</v>
      </c>
      <c r="I10" t="s">
        <v>2422</v>
      </c>
      <c r="J10" s="9">
        <v>66.145420334212375</v>
      </c>
      <c r="K10" t="s">
        <v>2422</v>
      </c>
      <c r="L10" s="9">
        <v>14559.419007226785</v>
      </c>
      <c r="M10" t="s">
        <v>2422</v>
      </c>
      <c r="N10" s="9">
        <v>1572.9176852900769</v>
      </c>
      <c r="O10" t="s">
        <v>2422</v>
      </c>
      <c r="P10" s="9">
        <v>62.762267228655006</v>
      </c>
      <c r="Q10" t="s">
        <v>2422</v>
      </c>
      <c r="R10" s="9">
        <v>1.4000415522636986</v>
      </c>
      <c r="S10" t="s">
        <v>2422</v>
      </c>
      <c r="T10" s="9">
        <v>0.30600357776732512</v>
      </c>
      <c r="U10" t="s">
        <v>2422</v>
      </c>
      <c r="V10" s="9">
        <v>7.2428551906325715</v>
      </c>
    </row>
    <row r="11" spans="1:22" x14ac:dyDescent="0.3">
      <c r="A11">
        <v>190</v>
      </c>
      <c r="B11">
        <v>73783</v>
      </c>
      <c r="C11">
        <v>19649</v>
      </c>
      <c r="D11">
        <v>329</v>
      </c>
      <c r="E11">
        <v>1</v>
      </c>
      <c r="F11">
        <v>0.9</v>
      </c>
      <c r="G11">
        <v>22</v>
      </c>
      <c r="I11" t="s">
        <v>2423</v>
      </c>
      <c r="J11" s="9">
        <v>4375.2166311896353</v>
      </c>
      <c r="K11" t="s">
        <v>2423</v>
      </c>
      <c r="L11" s="9">
        <v>211976681.82799655</v>
      </c>
      <c r="M11" t="s">
        <v>2423</v>
      </c>
      <c r="N11" s="9">
        <v>2474070.0446982933</v>
      </c>
      <c r="O11" t="s">
        <v>2423</v>
      </c>
      <c r="P11" s="9">
        <v>3939.1021876811019</v>
      </c>
      <c r="Q11" t="s">
        <v>2423</v>
      </c>
      <c r="R11" s="9">
        <v>1.9601163480649466</v>
      </c>
      <c r="S11" t="s">
        <v>2423</v>
      </c>
      <c r="T11" s="9">
        <v>9.3638189606403383E-2</v>
      </c>
      <c r="U11" t="s">
        <v>2423</v>
      </c>
      <c r="V11" s="9">
        <v>52.458951312473182</v>
      </c>
    </row>
    <row r="12" spans="1:22" x14ac:dyDescent="0.3">
      <c r="A12">
        <v>0</v>
      </c>
      <c r="B12">
        <v>73110</v>
      </c>
      <c r="C12">
        <v>1716</v>
      </c>
      <c r="D12">
        <v>22</v>
      </c>
      <c r="E12">
        <v>4</v>
      </c>
      <c r="F12">
        <v>0.94</v>
      </c>
      <c r="G12">
        <v>2</v>
      </c>
      <c r="I12" t="s">
        <v>2424</v>
      </c>
      <c r="J12" s="9">
        <v>-0.75196692236423068</v>
      </c>
      <c r="K12" t="s">
        <v>2424</v>
      </c>
      <c r="L12" s="9">
        <v>110.91108378275257</v>
      </c>
      <c r="M12" t="s">
        <v>2424</v>
      </c>
      <c r="N12" s="9">
        <v>145.16964070839535</v>
      </c>
      <c r="O12" t="s">
        <v>2424</v>
      </c>
      <c r="P12" s="9">
        <v>27.252818608251751</v>
      </c>
      <c r="Q12" t="s">
        <v>2424</v>
      </c>
      <c r="R12" s="9">
        <v>-1.8311002424765594</v>
      </c>
      <c r="S12" t="s">
        <v>2424</v>
      </c>
      <c r="T12" s="9">
        <v>-1.1022347793956331</v>
      </c>
      <c r="U12" t="s">
        <v>2424</v>
      </c>
      <c r="V12" s="9">
        <v>22.181013216324324</v>
      </c>
    </row>
    <row r="13" spans="1:22" x14ac:dyDescent="0.3">
      <c r="A13">
        <v>0</v>
      </c>
      <c r="B13">
        <v>72932</v>
      </c>
      <c r="C13">
        <v>2575</v>
      </c>
      <c r="D13">
        <v>21</v>
      </c>
      <c r="E13">
        <v>4</v>
      </c>
      <c r="F13">
        <v>0.39</v>
      </c>
      <c r="G13">
        <v>1</v>
      </c>
      <c r="I13" t="s">
        <v>2425</v>
      </c>
      <c r="J13" s="9">
        <v>0.7627018929113496</v>
      </c>
      <c r="K13" t="s">
        <v>2425</v>
      </c>
      <c r="L13" s="9">
        <v>8.4429684585141409</v>
      </c>
      <c r="M13" t="s">
        <v>2425</v>
      </c>
      <c r="N13" s="9">
        <v>10.956618079045544</v>
      </c>
      <c r="O13" t="s">
        <v>2425</v>
      </c>
      <c r="P13" s="9">
        <v>4.1806432675854905</v>
      </c>
      <c r="Q13" t="s">
        <v>2425</v>
      </c>
      <c r="R13" s="9">
        <v>-0.24948898148318535</v>
      </c>
      <c r="S13" t="s">
        <v>2425</v>
      </c>
      <c r="T13" s="9">
        <v>-0.59478940656278967</v>
      </c>
      <c r="U13" t="s">
        <v>2425</v>
      </c>
      <c r="V13" s="9">
        <v>3.8564711365189552</v>
      </c>
    </row>
    <row r="14" spans="1:22" x14ac:dyDescent="0.3">
      <c r="A14">
        <v>0</v>
      </c>
      <c r="B14">
        <v>70773</v>
      </c>
      <c r="C14">
        <v>5660</v>
      </c>
      <c r="D14">
        <v>50</v>
      </c>
      <c r="E14">
        <v>4</v>
      </c>
      <c r="F14">
        <v>0.56999999999999995</v>
      </c>
      <c r="G14">
        <v>6</v>
      </c>
      <c r="I14" t="s">
        <v>2426</v>
      </c>
      <c r="J14" s="9">
        <v>200</v>
      </c>
      <c r="K14" t="s">
        <v>2426</v>
      </c>
      <c r="L14" s="9">
        <v>268904</v>
      </c>
      <c r="M14" t="s">
        <v>2426</v>
      </c>
      <c r="N14" s="9">
        <v>27445</v>
      </c>
      <c r="O14" t="s">
        <v>2426</v>
      </c>
      <c r="P14" s="9">
        <v>774</v>
      </c>
      <c r="Q14" t="s">
        <v>2426</v>
      </c>
      <c r="R14" s="9">
        <v>3</v>
      </c>
      <c r="S14" t="s">
        <v>2426</v>
      </c>
      <c r="T14" s="9">
        <v>1</v>
      </c>
      <c r="U14" t="s">
        <v>2426</v>
      </c>
      <c r="V14" s="9">
        <v>76</v>
      </c>
    </row>
    <row r="15" spans="1:22" x14ac:dyDescent="0.3">
      <c r="A15">
        <v>120</v>
      </c>
      <c r="B15">
        <v>69186</v>
      </c>
      <c r="C15">
        <v>2408</v>
      </c>
      <c r="D15">
        <v>197</v>
      </c>
      <c r="E15">
        <v>4</v>
      </c>
      <c r="F15">
        <v>0.61</v>
      </c>
      <c r="G15">
        <v>27.5</v>
      </c>
      <c r="I15" t="s">
        <v>2427</v>
      </c>
      <c r="J15" s="9">
        <v>0</v>
      </c>
      <c r="K15" t="s">
        <v>2427</v>
      </c>
      <c r="L15" s="9">
        <v>19</v>
      </c>
      <c r="M15" t="s">
        <v>2427</v>
      </c>
      <c r="N15" s="9">
        <v>0</v>
      </c>
      <c r="O15" t="s">
        <v>2427</v>
      </c>
      <c r="P15" s="9">
        <v>5</v>
      </c>
      <c r="Q15" t="s">
        <v>2427</v>
      </c>
      <c r="R15" s="9">
        <v>1</v>
      </c>
      <c r="S15" t="s">
        <v>2427</v>
      </c>
      <c r="T15" s="9">
        <v>0</v>
      </c>
      <c r="U15" t="s">
        <v>2427</v>
      </c>
      <c r="V15" s="9">
        <v>0.5</v>
      </c>
    </row>
    <row r="16" spans="1:22" x14ac:dyDescent="0.3">
      <c r="A16">
        <v>0</v>
      </c>
      <c r="B16">
        <v>64128</v>
      </c>
      <c r="C16">
        <v>4047</v>
      </c>
      <c r="D16">
        <v>17</v>
      </c>
      <c r="E16">
        <v>1</v>
      </c>
      <c r="F16">
        <v>0.96</v>
      </c>
      <c r="G16">
        <v>1.5</v>
      </c>
      <c r="I16" t="s">
        <v>2428</v>
      </c>
      <c r="J16" s="9">
        <v>200</v>
      </c>
      <c r="K16" t="s">
        <v>2428</v>
      </c>
      <c r="L16" s="9">
        <v>268923</v>
      </c>
      <c r="M16" t="s">
        <v>2428</v>
      </c>
      <c r="N16" s="9">
        <v>27445</v>
      </c>
      <c r="O16" t="s">
        <v>2428</v>
      </c>
      <c r="P16" s="9">
        <v>779</v>
      </c>
      <c r="Q16" t="s">
        <v>2428</v>
      </c>
      <c r="R16" s="9">
        <v>4</v>
      </c>
      <c r="S16" t="s">
        <v>2428</v>
      </c>
      <c r="T16" s="9">
        <v>1</v>
      </c>
      <c r="U16" t="s">
        <v>2428</v>
      </c>
      <c r="V16" s="9">
        <v>76.5</v>
      </c>
    </row>
    <row r="17" spans="1:22" x14ac:dyDescent="0.3">
      <c r="A17">
        <v>0</v>
      </c>
      <c r="B17">
        <v>59639</v>
      </c>
      <c r="C17">
        <v>2692</v>
      </c>
      <c r="D17">
        <v>24</v>
      </c>
      <c r="E17">
        <v>4</v>
      </c>
      <c r="F17">
        <v>0.55000000000000004</v>
      </c>
      <c r="G17">
        <v>4.5</v>
      </c>
      <c r="I17" t="s">
        <v>2429</v>
      </c>
      <c r="J17" s="9">
        <v>92675</v>
      </c>
      <c r="K17" t="s">
        <v>2429</v>
      </c>
      <c r="L17" s="9">
        <v>7981935</v>
      </c>
      <c r="M17" t="s">
        <v>2429</v>
      </c>
      <c r="N17" s="9">
        <v>429899</v>
      </c>
      <c r="O17" t="s">
        <v>2429</v>
      </c>
      <c r="P17" s="9">
        <v>63479</v>
      </c>
      <c r="Q17" t="s">
        <v>2429</v>
      </c>
      <c r="R17" s="9">
        <v>3264</v>
      </c>
      <c r="S17" t="s">
        <v>2429</v>
      </c>
      <c r="T17" s="9">
        <v>773.59000000000151</v>
      </c>
      <c r="U17" t="s">
        <v>2429</v>
      </c>
      <c r="V17" s="9">
        <v>6720.7500000099981</v>
      </c>
    </row>
    <row r="18" spans="1:22" ht="15" thickBot="1" x14ac:dyDescent="0.35">
      <c r="A18">
        <v>175</v>
      </c>
      <c r="B18">
        <v>59361</v>
      </c>
      <c r="C18">
        <v>11580</v>
      </c>
      <c r="D18">
        <v>55</v>
      </c>
      <c r="E18">
        <v>1</v>
      </c>
      <c r="F18">
        <v>0.87</v>
      </c>
      <c r="G18">
        <v>7</v>
      </c>
      <c r="I18" s="1" t="s">
        <v>2430</v>
      </c>
      <c r="J18" s="10">
        <v>1203</v>
      </c>
      <c r="K18" s="1" t="s">
        <v>2430</v>
      </c>
      <c r="L18" s="10">
        <v>1203</v>
      </c>
      <c r="M18" s="1" t="s">
        <v>2430</v>
      </c>
      <c r="N18" s="10">
        <v>1203</v>
      </c>
      <c r="O18" s="1" t="s">
        <v>2430</v>
      </c>
      <c r="P18" s="10">
        <v>1203</v>
      </c>
      <c r="Q18" s="1" t="s">
        <v>2430</v>
      </c>
      <c r="R18" s="10">
        <v>1203</v>
      </c>
      <c r="S18" s="1" t="s">
        <v>2430</v>
      </c>
      <c r="T18" s="10">
        <v>1203</v>
      </c>
      <c r="U18" s="1" t="s">
        <v>2430</v>
      </c>
      <c r="V18" s="10">
        <v>1203</v>
      </c>
    </row>
    <row r="19" spans="1:22" x14ac:dyDescent="0.3">
      <c r="A19">
        <v>195</v>
      </c>
      <c r="B19">
        <v>58208</v>
      </c>
      <c r="C19">
        <v>11123</v>
      </c>
      <c r="D19">
        <v>98</v>
      </c>
      <c r="E19">
        <v>1</v>
      </c>
      <c r="F19">
        <v>0.73</v>
      </c>
      <c r="G19">
        <v>13</v>
      </c>
    </row>
    <row r="20" spans="1:22" x14ac:dyDescent="0.3">
      <c r="A20">
        <v>195</v>
      </c>
      <c r="B20">
        <v>57422</v>
      </c>
      <c r="C20">
        <v>874</v>
      </c>
      <c r="D20">
        <v>84</v>
      </c>
      <c r="E20">
        <v>4</v>
      </c>
      <c r="F20">
        <v>0.82</v>
      </c>
      <c r="G20">
        <v>7.5</v>
      </c>
    </row>
    <row r="21" spans="1:22" ht="15" thickBot="1" x14ac:dyDescent="0.35">
      <c r="A21">
        <v>195</v>
      </c>
      <c r="B21">
        <v>55332</v>
      </c>
      <c r="C21">
        <v>1225</v>
      </c>
      <c r="D21">
        <v>144</v>
      </c>
      <c r="E21">
        <v>2</v>
      </c>
      <c r="F21">
        <v>0.28000000000000003</v>
      </c>
      <c r="G21">
        <v>20</v>
      </c>
    </row>
    <row r="22" spans="1:22" x14ac:dyDescent="0.3">
      <c r="A22">
        <v>145</v>
      </c>
      <c r="B22">
        <v>51257</v>
      </c>
      <c r="C22">
        <v>1955</v>
      </c>
      <c r="D22">
        <v>77</v>
      </c>
      <c r="E22">
        <v>4</v>
      </c>
      <c r="F22">
        <v>0.76</v>
      </c>
      <c r="G22">
        <v>8</v>
      </c>
      <c r="I22" s="2" t="s">
        <v>2471</v>
      </c>
      <c r="J22" s="2" t="s">
        <v>2433</v>
      </c>
    </row>
    <row r="23" spans="1:22" x14ac:dyDescent="0.3">
      <c r="A23">
        <v>180</v>
      </c>
      <c r="B23">
        <v>50815</v>
      </c>
      <c r="C23">
        <v>15117</v>
      </c>
      <c r="D23">
        <v>150</v>
      </c>
      <c r="E23">
        <v>4</v>
      </c>
      <c r="F23">
        <v>0.62</v>
      </c>
      <c r="G23">
        <v>26.5</v>
      </c>
      <c r="I23">
        <v>25</v>
      </c>
      <c r="J23">
        <v>357</v>
      </c>
    </row>
    <row r="24" spans="1:22" x14ac:dyDescent="0.3">
      <c r="A24">
        <v>0</v>
      </c>
      <c r="B24">
        <v>48650</v>
      </c>
      <c r="C24">
        <v>1236</v>
      </c>
      <c r="D24">
        <v>9</v>
      </c>
      <c r="E24">
        <v>4</v>
      </c>
      <c r="F24">
        <v>0</v>
      </c>
      <c r="G24">
        <v>2</v>
      </c>
      <c r="I24">
        <v>30</v>
      </c>
      <c r="J24">
        <v>43</v>
      </c>
    </row>
    <row r="25" spans="1:22" x14ac:dyDescent="0.3">
      <c r="A25">
        <v>50</v>
      </c>
      <c r="B25">
        <v>47886</v>
      </c>
      <c r="C25">
        <v>285</v>
      </c>
      <c r="D25">
        <v>125</v>
      </c>
      <c r="E25">
        <v>4</v>
      </c>
      <c r="F25">
        <v>0.41</v>
      </c>
      <c r="G25">
        <v>12.5</v>
      </c>
      <c r="I25">
        <v>35</v>
      </c>
      <c r="J25">
        <v>34</v>
      </c>
    </row>
    <row r="26" spans="1:22" x14ac:dyDescent="0.3">
      <c r="A26">
        <v>0</v>
      </c>
      <c r="B26">
        <v>47062</v>
      </c>
      <c r="C26">
        <v>5590</v>
      </c>
      <c r="D26">
        <v>41</v>
      </c>
      <c r="E26">
        <v>4</v>
      </c>
      <c r="F26">
        <v>0.18</v>
      </c>
      <c r="G26">
        <v>8.5</v>
      </c>
      <c r="I26">
        <v>40</v>
      </c>
      <c r="J26">
        <v>63</v>
      </c>
    </row>
    <row r="27" spans="1:22" x14ac:dyDescent="0.3">
      <c r="A27">
        <v>195</v>
      </c>
      <c r="B27">
        <v>43977</v>
      </c>
      <c r="C27">
        <v>7106</v>
      </c>
      <c r="D27">
        <v>77</v>
      </c>
      <c r="E27">
        <v>4</v>
      </c>
      <c r="F27">
        <v>0.34</v>
      </c>
      <c r="G27">
        <v>12</v>
      </c>
      <c r="I27">
        <v>45</v>
      </c>
      <c r="J27">
        <v>23</v>
      </c>
    </row>
    <row r="28" spans="1:22" x14ac:dyDescent="0.3">
      <c r="A28">
        <v>75</v>
      </c>
      <c r="B28">
        <v>43285</v>
      </c>
      <c r="C28">
        <v>525</v>
      </c>
      <c r="D28">
        <v>24</v>
      </c>
      <c r="E28">
        <v>1</v>
      </c>
      <c r="F28">
        <v>0.31</v>
      </c>
      <c r="G28">
        <v>4</v>
      </c>
      <c r="I28">
        <v>50</v>
      </c>
      <c r="J28">
        <v>121</v>
      </c>
    </row>
    <row r="29" spans="1:22" x14ac:dyDescent="0.3">
      <c r="A29">
        <v>0</v>
      </c>
      <c r="B29">
        <v>41478</v>
      </c>
      <c r="C29">
        <v>2104</v>
      </c>
      <c r="D29">
        <v>13</v>
      </c>
      <c r="E29">
        <v>4</v>
      </c>
      <c r="F29">
        <v>0.52</v>
      </c>
      <c r="G29">
        <v>3</v>
      </c>
      <c r="I29">
        <v>55</v>
      </c>
      <c r="J29">
        <v>12</v>
      </c>
    </row>
    <row r="30" spans="1:22" x14ac:dyDescent="0.3">
      <c r="A30">
        <v>150</v>
      </c>
      <c r="B30">
        <v>40070</v>
      </c>
      <c r="C30">
        <v>8341</v>
      </c>
      <c r="D30">
        <v>194</v>
      </c>
      <c r="E30">
        <v>4</v>
      </c>
      <c r="F30">
        <v>0.74</v>
      </c>
      <c r="G30">
        <v>9.5</v>
      </c>
      <c r="I30">
        <v>60</v>
      </c>
      <c r="J30">
        <v>25</v>
      </c>
    </row>
    <row r="31" spans="1:22" x14ac:dyDescent="0.3">
      <c r="A31">
        <v>195</v>
      </c>
      <c r="B31">
        <v>37141</v>
      </c>
      <c r="C31">
        <v>1813</v>
      </c>
      <c r="D31">
        <v>316</v>
      </c>
      <c r="E31">
        <v>1</v>
      </c>
      <c r="F31">
        <v>7.0000000000000007E-2</v>
      </c>
      <c r="G31">
        <v>51</v>
      </c>
      <c r="I31">
        <v>65</v>
      </c>
      <c r="J31">
        <v>13</v>
      </c>
    </row>
    <row r="32" spans="1:22" x14ac:dyDescent="0.3">
      <c r="A32">
        <v>0</v>
      </c>
      <c r="B32">
        <v>36322</v>
      </c>
      <c r="C32">
        <v>2618</v>
      </c>
      <c r="D32">
        <v>32</v>
      </c>
      <c r="E32">
        <v>4</v>
      </c>
      <c r="F32">
        <v>0.68</v>
      </c>
      <c r="G32">
        <v>4.5</v>
      </c>
      <c r="I32">
        <v>70</v>
      </c>
      <c r="J32">
        <v>6</v>
      </c>
    </row>
    <row r="33" spans="1:10" x14ac:dyDescent="0.3">
      <c r="A33">
        <v>50</v>
      </c>
      <c r="B33">
        <v>35267</v>
      </c>
      <c r="C33">
        <v>217</v>
      </c>
      <c r="D33">
        <v>53</v>
      </c>
      <c r="E33">
        <v>1</v>
      </c>
      <c r="F33">
        <v>0.78</v>
      </c>
      <c r="G33">
        <v>4</v>
      </c>
      <c r="I33">
        <v>75</v>
      </c>
      <c r="J33">
        <v>38</v>
      </c>
    </row>
    <row r="34" spans="1:10" x14ac:dyDescent="0.3">
      <c r="A34">
        <v>200</v>
      </c>
      <c r="B34">
        <v>33788</v>
      </c>
      <c r="C34">
        <v>4434</v>
      </c>
      <c r="D34">
        <v>246</v>
      </c>
      <c r="E34">
        <v>1</v>
      </c>
      <c r="F34">
        <v>0.31</v>
      </c>
      <c r="G34">
        <v>32.5</v>
      </c>
      <c r="I34">
        <v>80</v>
      </c>
      <c r="J34">
        <v>11</v>
      </c>
    </row>
    <row r="35" spans="1:10" x14ac:dyDescent="0.3">
      <c r="A35">
        <v>195</v>
      </c>
      <c r="B35">
        <v>33677</v>
      </c>
      <c r="C35">
        <v>3809</v>
      </c>
      <c r="D35">
        <v>283</v>
      </c>
      <c r="E35">
        <v>4</v>
      </c>
      <c r="F35">
        <v>0.77</v>
      </c>
      <c r="G35">
        <v>31.5</v>
      </c>
      <c r="I35">
        <v>85</v>
      </c>
      <c r="J35">
        <v>14</v>
      </c>
    </row>
    <row r="36" spans="1:10" x14ac:dyDescent="0.3">
      <c r="A36">
        <v>195</v>
      </c>
      <c r="B36">
        <v>32696</v>
      </c>
      <c r="C36">
        <v>526</v>
      </c>
      <c r="D36">
        <v>67</v>
      </c>
      <c r="E36">
        <v>1</v>
      </c>
      <c r="F36">
        <v>0.7</v>
      </c>
      <c r="G36">
        <v>10</v>
      </c>
      <c r="I36">
        <v>90</v>
      </c>
      <c r="J36">
        <v>6</v>
      </c>
    </row>
    <row r="37" spans="1:10" x14ac:dyDescent="0.3">
      <c r="A37">
        <v>0</v>
      </c>
      <c r="B37">
        <v>32260</v>
      </c>
      <c r="C37">
        <v>1005</v>
      </c>
      <c r="D37">
        <v>12</v>
      </c>
      <c r="E37">
        <v>4</v>
      </c>
      <c r="F37">
        <v>0.94</v>
      </c>
      <c r="G37">
        <v>1.5</v>
      </c>
      <c r="I37">
        <v>95</v>
      </c>
      <c r="J37">
        <v>56</v>
      </c>
    </row>
    <row r="38" spans="1:10" x14ac:dyDescent="0.3">
      <c r="A38">
        <v>195</v>
      </c>
      <c r="B38">
        <v>31499</v>
      </c>
      <c r="C38">
        <v>450</v>
      </c>
      <c r="D38">
        <v>46</v>
      </c>
      <c r="E38">
        <v>1</v>
      </c>
      <c r="F38">
        <v>0.76</v>
      </c>
      <c r="G38">
        <v>4</v>
      </c>
      <c r="I38">
        <v>100</v>
      </c>
      <c r="J38">
        <v>67</v>
      </c>
    </row>
    <row r="39" spans="1:10" x14ac:dyDescent="0.3">
      <c r="A39">
        <v>20</v>
      </c>
      <c r="B39">
        <v>31070</v>
      </c>
      <c r="C39">
        <v>742</v>
      </c>
      <c r="D39">
        <v>195</v>
      </c>
      <c r="E39">
        <v>1</v>
      </c>
      <c r="F39">
        <v>7.0000000000000007E-2</v>
      </c>
      <c r="G39">
        <v>18</v>
      </c>
      <c r="I39">
        <v>105</v>
      </c>
      <c r="J39">
        <v>2</v>
      </c>
    </row>
    <row r="40" spans="1:10" x14ac:dyDescent="0.3">
      <c r="A40">
        <v>0</v>
      </c>
      <c r="B40">
        <v>30531</v>
      </c>
      <c r="C40">
        <v>1948</v>
      </c>
      <c r="D40">
        <v>53</v>
      </c>
      <c r="E40">
        <v>4</v>
      </c>
      <c r="F40">
        <v>0.78</v>
      </c>
      <c r="G40">
        <v>3</v>
      </c>
      <c r="I40">
        <v>110</v>
      </c>
      <c r="J40">
        <v>7</v>
      </c>
    </row>
    <row r="41" spans="1:10" x14ac:dyDescent="0.3">
      <c r="A41">
        <v>0</v>
      </c>
      <c r="B41">
        <v>29990</v>
      </c>
      <c r="C41">
        <v>1342</v>
      </c>
      <c r="D41">
        <v>87</v>
      </c>
      <c r="E41">
        <v>1</v>
      </c>
      <c r="F41">
        <v>0.95</v>
      </c>
      <c r="G41">
        <v>17.5</v>
      </c>
      <c r="I41">
        <v>115</v>
      </c>
      <c r="J41">
        <v>7</v>
      </c>
    </row>
    <row r="42" spans="1:10" x14ac:dyDescent="0.3">
      <c r="A42">
        <v>195</v>
      </c>
      <c r="B42">
        <v>29348</v>
      </c>
      <c r="C42">
        <v>780</v>
      </c>
      <c r="D42">
        <v>66</v>
      </c>
      <c r="E42">
        <v>1</v>
      </c>
      <c r="F42">
        <v>0.31</v>
      </c>
      <c r="G42">
        <v>3</v>
      </c>
      <c r="I42">
        <v>120</v>
      </c>
      <c r="J42">
        <v>20</v>
      </c>
    </row>
    <row r="43" spans="1:10" x14ac:dyDescent="0.3">
      <c r="A43">
        <v>200</v>
      </c>
      <c r="B43">
        <v>28880</v>
      </c>
      <c r="C43">
        <v>4316</v>
      </c>
      <c r="D43">
        <v>286</v>
      </c>
      <c r="E43">
        <v>1</v>
      </c>
      <c r="F43">
        <v>0.4</v>
      </c>
      <c r="G43">
        <v>30.5</v>
      </c>
      <c r="I43">
        <v>125</v>
      </c>
      <c r="J43">
        <v>12</v>
      </c>
    </row>
    <row r="44" spans="1:10" x14ac:dyDescent="0.3">
      <c r="A44">
        <v>195</v>
      </c>
      <c r="B44">
        <v>28694</v>
      </c>
      <c r="C44">
        <v>688</v>
      </c>
      <c r="D44">
        <v>77</v>
      </c>
      <c r="E44">
        <v>4</v>
      </c>
      <c r="F44">
        <v>0.05</v>
      </c>
      <c r="G44">
        <v>11.5</v>
      </c>
      <c r="I44">
        <v>135</v>
      </c>
      <c r="J44">
        <v>1</v>
      </c>
    </row>
    <row r="45" spans="1:10" x14ac:dyDescent="0.3">
      <c r="A45">
        <v>80</v>
      </c>
      <c r="B45">
        <v>28125</v>
      </c>
      <c r="C45">
        <v>115</v>
      </c>
      <c r="D45">
        <v>21</v>
      </c>
      <c r="E45">
        <v>1</v>
      </c>
      <c r="F45">
        <v>0.38</v>
      </c>
      <c r="G45">
        <v>2</v>
      </c>
      <c r="I45">
        <v>140</v>
      </c>
      <c r="J45">
        <v>5</v>
      </c>
    </row>
    <row r="46" spans="1:10" x14ac:dyDescent="0.3">
      <c r="A46">
        <v>195</v>
      </c>
      <c r="B46">
        <v>27801</v>
      </c>
      <c r="C46">
        <v>4340</v>
      </c>
      <c r="D46">
        <v>113</v>
      </c>
      <c r="E46">
        <v>1</v>
      </c>
      <c r="F46">
        <v>0.21</v>
      </c>
      <c r="G46">
        <v>17.5</v>
      </c>
      <c r="I46">
        <v>145</v>
      </c>
      <c r="J46">
        <v>14</v>
      </c>
    </row>
    <row r="47" spans="1:10" x14ac:dyDescent="0.3">
      <c r="A47">
        <v>20</v>
      </c>
      <c r="B47">
        <v>26800</v>
      </c>
      <c r="C47">
        <v>333</v>
      </c>
      <c r="D47">
        <v>55</v>
      </c>
      <c r="E47">
        <v>4</v>
      </c>
      <c r="F47">
        <v>0.32</v>
      </c>
      <c r="G47">
        <v>3</v>
      </c>
      <c r="I47">
        <v>150</v>
      </c>
      <c r="J47">
        <v>36</v>
      </c>
    </row>
    <row r="48" spans="1:10" x14ac:dyDescent="0.3">
      <c r="A48">
        <v>0</v>
      </c>
      <c r="B48">
        <v>26697</v>
      </c>
      <c r="C48">
        <v>1097</v>
      </c>
      <c r="D48">
        <v>20</v>
      </c>
      <c r="E48">
        <v>1</v>
      </c>
      <c r="F48">
        <v>0.15</v>
      </c>
      <c r="G48">
        <v>1</v>
      </c>
      <c r="I48">
        <v>160</v>
      </c>
      <c r="J48">
        <v>1</v>
      </c>
    </row>
    <row r="49" spans="1:10" x14ac:dyDescent="0.3">
      <c r="A49">
        <v>100</v>
      </c>
      <c r="B49">
        <v>26673</v>
      </c>
      <c r="C49">
        <v>1090</v>
      </c>
      <c r="D49">
        <v>185</v>
      </c>
      <c r="E49">
        <v>4</v>
      </c>
      <c r="F49">
        <v>0.22</v>
      </c>
      <c r="G49">
        <v>12</v>
      </c>
      <c r="I49">
        <v>165</v>
      </c>
      <c r="J49">
        <v>3</v>
      </c>
    </row>
    <row r="50" spans="1:10" x14ac:dyDescent="0.3">
      <c r="A50">
        <v>0</v>
      </c>
      <c r="B50">
        <v>26541</v>
      </c>
      <c r="C50">
        <v>750</v>
      </c>
      <c r="D50">
        <v>38</v>
      </c>
      <c r="E50">
        <v>4</v>
      </c>
      <c r="F50">
        <v>0.15</v>
      </c>
      <c r="G50">
        <v>3</v>
      </c>
      <c r="I50">
        <v>170</v>
      </c>
      <c r="J50">
        <v>2</v>
      </c>
    </row>
    <row r="51" spans="1:10" x14ac:dyDescent="0.3">
      <c r="A51">
        <v>20</v>
      </c>
      <c r="B51">
        <v>25864</v>
      </c>
      <c r="C51">
        <v>188</v>
      </c>
      <c r="D51">
        <v>32</v>
      </c>
      <c r="E51">
        <v>4</v>
      </c>
      <c r="F51">
        <v>0.78</v>
      </c>
      <c r="G51">
        <v>5</v>
      </c>
      <c r="I51">
        <v>175</v>
      </c>
      <c r="J51">
        <v>8</v>
      </c>
    </row>
    <row r="52" spans="1:10" x14ac:dyDescent="0.3">
      <c r="A52">
        <v>20</v>
      </c>
      <c r="B52">
        <v>25854</v>
      </c>
      <c r="C52">
        <v>306</v>
      </c>
      <c r="D52">
        <v>17</v>
      </c>
      <c r="E52">
        <v>4</v>
      </c>
      <c r="F52">
        <v>0.28000000000000003</v>
      </c>
      <c r="G52">
        <v>2</v>
      </c>
      <c r="I52">
        <v>180</v>
      </c>
      <c r="J52">
        <v>2</v>
      </c>
    </row>
    <row r="53" spans="1:10" x14ac:dyDescent="0.3">
      <c r="A53">
        <v>195</v>
      </c>
      <c r="B53">
        <v>25799</v>
      </c>
      <c r="C53">
        <v>382</v>
      </c>
      <c r="D53">
        <v>42</v>
      </c>
      <c r="E53">
        <v>2</v>
      </c>
      <c r="F53">
        <v>0.21</v>
      </c>
      <c r="G53">
        <v>4.5</v>
      </c>
      <c r="I53">
        <v>185</v>
      </c>
      <c r="J53">
        <v>2</v>
      </c>
    </row>
    <row r="54" spans="1:10" x14ac:dyDescent="0.3">
      <c r="A54">
        <v>195</v>
      </c>
      <c r="B54">
        <v>24978</v>
      </c>
      <c r="C54">
        <v>540</v>
      </c>
      <c r="D54">
        <v>67</v>
      </c>
      <c r="E54">
        <v>4</v>
      </c>
      <c r="F54">
        <v>0.89</v>
      </c>
      <c r="G54">
        <v>7</v>
      </c>
      <c r="I54">
        <v>190</v>
      </c>
      <c r="J54">
        <v>6</v>
      </c>
    </row>
    <row r="55" spans="1:10" x14ac:dyDescent="0.3">
      <c r="A55">
        <v>200</v>
      </c>
      <c r="B55">
        <v>24861</v>
      </c>
      <c r="C55">
        <v>423</v>
      </c>
      <c r="D55">
        <v>281</v>
      </c>
      <c r="E55">
        <v>1</v>
      </c>
      <c r="F55">
        <v>0.85</v>
      </c>
      <c r="G55">
        <v>22.5</v>
      </c>
      <c r="I55">
        <v>195</v>
      </c>
      <c r="J55">
        <v>73</v>
      </c>
    </row>
    <row r="56" spans="1:10" x14ac:dyDescent="0.3">
      <c r="A56">
        <v>150</v>
      </c>
      <c r="B56">
        <v>24575</v>
      </c>
      <c r="C56">
        <v>525</v>
      </c>
      <c r="D56">
        <v>98</v>
      </c>
      <c r="E56">
        <v>4</v>
      </c>
      <c r="F56">
        <v>0.12</v>
      </c>
      <c r="G56">
        <v>19.5</v>
      </c>
      <c r="I56">
        <v>200</v>
      </c>
      <c r="J56">
        <v>113</v>
      </c>
    </row>
    <row r="57" spans="1:10" ht="15" thickBot="1" x14ac:dyDescent="0.35">
      <c r="A57">
        <v>20</v>
      </c>
      <c r="B57">
        <v>23764</v>
      </c>
      <c r="C57">
        <v>490</v>
      </c>
      <c r="D57">
        <v>58</v>
      </c>
      <c r="E57">
        <v>1</v>
      </c>
      <c r="F57">
        <v>0.14000000000000001</v>
      </c>
      <c r="G57">
        <v>5.5</v>
      </c>
      <c r="I57" s="1" t="s">
        <v>2470</v>
      </c>
      <c r="J57" s="1">
        <v>0</v>
      </c>
    </row>
    <row r="58" spans="1:10" x14ac:dyDescent="0.3">
      <c r="A58">
        <v>0</v>
      </c>
      <c r="B58">
        <v>23669</v>
      </c>
      <c r="C58">
        <v>521</v>
      </c>
      <c r="D58">
        <v>9</v>
      </c>
      <c r="E58">
        <v>1</v>
      </c>
      <c r="F58">
        <v>0.96</v>
      </c>
      <c r="G58">
        <v>1</v>
      </c>
    </row>
    <row r="59" spans="1:10" x14ac:dyDescent="0.3">
      <c r="A59">
        <v>95</v>
      </c>
      <c r="B59">
        <v>23572</v>
      </c>
      <c r="C59">
        <v>210</v>
      </c>
      <c r="D59">
        <v>20</v>
      </c>
      <c r="E59">
        <v>4</v>
      </c>
      <c r="F59">
        <v>0.71</v>
      </c>
      <c r="G59">
        <v>2</v>
      </c>
    </row>
    <row r="60" spans="1:10" x14ac:dyDescent="0.3">
      <c r="A60">
        <v>195</v>
      </c>
      <c r="B60">
        <v>23412</v>
      </c>
      <c r="C60">
        <v>799</v>
      </c>
      <c r="D60">
        <v>251</v>
      </c>
      <c r="E60">
        <v>4</v>
      </c>
      <c r="F60">
        <v>7.0000000000000007E-2</v>
      </c>
      <c r="G60">
        <v>45</v>
      </c>
    </row>
    <row r="61" spans="1:10" x14ac:dyDescent="0.3">
      <c r="A61">
        <v>200</v>
      </c>
      <c r="B61">
        <v>22999</v>
      </c>
      <c r="C61">
        <v>602</v>
      </c>
      <c r="D61">
        <v>18</v>
      </c>
      <c r="E61">
        <v>4</v>
      </c>
      <c r="F61">
        <v>0.24</v>
      </c>
      <c r="G61">
        <v>1</v>
      </c>
    </row>
    <row r="62" spans="1:10" x14ac:dyDescent="0.3">
      <c r="A62">
        <v>95</v>
      </c>
      <c r="B62">
        <v>22623</v>
      </c>
      <c r="C62">
        <v>783</v>
      </c>
      <c r="D62">
        <v>73</v>
      </c>
      <c r="E62">
        <v>4</v>
      </c>
      <c r="F62">
        <v>0.81</v>
      </c>
      <c r="G62">
        <v>8</v>
      </c>
    </row>
    <row r="63" spans="1:10" x14ac:dyDescent="0.3">
      <c r="A63">
        <v>75</v>
      </c>
      <c r="B63">
        <v>22355</v>
      </c>
      <c r="C63">
        <v>54</v>
      </c>
      <c r="D63">
        <v>26</v>
      </c>
      <c r="E63">
        <v>1</v>
      </c>
      <c r="F63">
        <v>0.04</v>
      </c>
      <c r="G63">
        <v>1.5</v>
      </c>
    </row>
    <row r="64" spans="1:10" x14ac:dyDescent="0.3">
      <c r="A64">
        <v>100</v>
      </c>
      <c r="B64">
        <v>22213</v>
      </c>
      <c r="C64">
        <v>142</v>
      </c>
      <c r="D64">
        <v>16</v>
      </c>
      <c r="E64">
        <v>4</v>
      </c>
      <c r="F64">
        <v>0.78</v>
      </c>
      <c r="G64">
        <v>1</v>
      </c>
    </row>
    <row r="65" spans="1:7" x14ac:dyDescent="0.3">
      <c r="A65">
        <v>140</v>
      </c>
      <c r="B65">
        <v>21998</v>
      </c>
      <c r="C65">
        <v>3326</v>
      </c>
      <c r="D65">
        <v>119</v>
      </c>
      <c r="E65">
        <v>4</v>
      </c>
      <c r="F65">
        <v>0.8</v>
      </c>
      <c r="G65">
        <v>12</v>
      </c>
    </row>
    <row r="66" spans="1:7" x14ac:dyDescent="0.3">
      <c r="A66">
        <v>200</v>
      </c>
      <c r="B66">
        <v>21730</v>
      </c>
      <c r="C66">
        <v>61</v>
      </c>
      <c r="D66">
        <v>35</v>
      </c>
      <c r="E66">
        <v>4</v>
      </c>
      <c r="F66">
        <v>0.36</v>
      </c>
      <c r="G66">
        <v>2.5</v>
      </c>
    </row>
    <row r="67" spans="1:7" x14ac:dyDescent="0.3">
      <c r="A67">
        <v>0</v>
      </c>
      <c r="B67">
        <v>21689</v>
      </c>
      <c r="C67">
        <v>1080</v>
      </c>
      <c r="D67">
        <v>13</v>
      </c>
      <c r="E67">
        <v>1</v>
      </c>
      <c r="F67">
        <v>0.86</v>
      </c>
      <c r="G67">
        <v>1</v>
      </c>
    </row>
    <row r="68" spans="1:7" x14ac:dyDescent="0.3">
      <c r="A68">
        <v>0</v>
      </c>
      <c r="B68">
        <v>21682</v>
      </c>
      <c r="C68">
        <v>1106</v>
      </c>
      <c r="D68">
        <v>8</v>
      </c>
      <c r="E68">
        <v>1</v>
      </c>
      <c r="F68">
        <v>0.01</v>
      </c>
      <c r="G68">
        <v>0.73333333000000001</v>
      </c>
    </row>
    <row r="69" spans="1:7" x14ac:dyDescent="0.3">
      <c r="A69">
        <v>75</v>
      </c>
      <c r="B69">
        <v>21653</v>
      </c>
      <c r="C69">
        <v>138</v>
      </c>
      <c r="D69">
        <v>35</v>
      </c>
      <c r="E69">
        <v>4</v>
      </c>
      <c r="F69">
        <v>0.55000000000000004</v>
      </c>
      <c r="G69">
        <v>7</v>
      </c>
    </row>
    <row r="70" spans="1:7" x14ac:dyDescent="0.3">
      <c r="A70">
        <v>0</v>
      </c>
      <c r="B70">
        <v>21245</v>
      </c>
      <c r="C70">
        <v>914</v>
      </c>
      <c r="D70">
        <v>9</v>
      </c>
      <c r="E70">
        <v>4</v>
      </c>
      <c r="F70">
        <v>0.19</v>
      </c>
      <c r="G70">
        <v>1</v>
      </c>
    </row>
    <row r="71" spans="1:7" x14ac:dyDescent="0.3">
      <c r="A71">
        <v>0</v>
      </c>
      <c r="B71">
        <v>21147</v>
      </c>
      <c r="C71">
        <v>1220</v>
      </c>
      <c r="D71">
        <v>16</v>
      </c>
      <c r="E71">
        <v>1</v>
      </c>
      <c r="F71">
        <v>0.74</v>
      </c>
      <c r="G71">
        <v>1.5</v>
      </c>
    </row>
    <row r="72" spans="1:7" x14ac:dyDescent="0.3">
      <c r="A72">
        <v>0</v>
      </c>
      <c r="B72">
        <v>21087</v>
      </c>
      <c r="C72">
        <v>154</v>
      </c>
      <c r="D72">
        <v>24</v>
      </c>
      <c r="E72">
        <v>2</v>
      </c>
      <c r="F72">
        <v>0.14000000000000001</v>
      </c>
      <c r="G72">
        <v>3.5</v>
      </c>
    </row>
    <row r="73" spans="1:7" x14ac:dyDescent="0.3">
      <c r="A73">
        <v>0</v>
      </c>
      <c r="B73">
        <v>20890</v>
      </c>
      <c r="C73">
        <v>945</v>
      </c>
      <c r="D73">
        <v>21</v>
      </c>
      <c r="E73">
        <v>1</v>
      </c>
      <c r="F73">
        <v>0.22</v>
      </c>
      <c r="G73">
        <v>3</v>
      </c>
    </row>
    <row r="74" spans="1:7" x14ac:dyDescent="0.3">
      <c r="A74">
        <v>190</v>
      </c>
      <c r="B74">
        <v>20652</v>
      </c>
      <c r="C74">
        <v>6357</v>
      </c>
      <c r="D74">
        <v>138</v>
      </c>
      <c r="E74">
        <v>1</v>
      </c>
      <c r="F74">
        <v>0.63</v>
      </c>
      <c r="G74">
        <v>7.5</v>
      </c>
    </row>
    <row r="75" spans="1:7" x14ac:dyDescent="0.3">
      <c r="A75">
        <v>0</v>
      </c>
      <c r="B75">
        <v>20073</v>
      </c>
      <c r="C75">
        <v>615</v>
      </c>
      <c r="D75">
        <v>28</v>
      </c>
      <c r="E75">
        <v>2</v>
      </c>
      <c r="F75">
        <v>0.03</v>
      </c>
      <c r="G75">
        <v>1.5</v>
      </c>
    </row>
    <row r="76" spans="1:7" x14ac:dyDescent="0.3">
      <c r="A76">
        <v>0</v>
      </c>
      <c r="B76">
        <v>19909</v>
      </c>
      <c r="C76">
        <v>411</v>
      </c>
      <c r="D76">
        <v>17</v>
      </c>
      <c r="E76">
        <v>4</v>
      </c>
      <c r="F76">
        <v>0.46</v>
      </c>
      <c r="G76">
        <v>3</v>
      </c>
    </row>
    <row r="77" spans="1:7" x14ac:dyDescent="0.3">
      <c r="A77">
        <v>30</v>
      </c>
      <c r="B77">
        <v>19210</v>
      </c>
      <c r="C77">
        <v>3137</v>
      </c>
      <c r="D77">
        <v>44</v>
      </c>
      <c r="E77">
        <v>4</v>
      </c>
      <c r="F77">
        <v>0.56999999999999995</v>
      </c>
      <c r="G77">
        <v>3</v>
      </c>
    </row>
    <row r="78" spans="1:7" x14ac:dyDescent="0.3">
      <c r="A78">
        <v>50</v>
      </c>
      <c r="B78">
        <v>18818</v>
      </c>
      <c r="C78">
        <v>407</v>
      </c>
      <c r="D78">
        <v>80</v>
      </c>
      <c r="E78">
        <v>1</v>
      </c>
      <c r="F78">
        <v>0.89</v>
      </c>
      <c r="G78">
        <v>11</v>
      </c>
    </row>
    <row r="79" spans="1:7" x14ac:dyDescent="0.3">
      <c r="A79">
        <v>20</v>
      </c>
      <c r="B79">
        <v>18777</v>
      </c>
      <c r="C79">
        <v>1112</v>
      </c>
      <c r="D79">
        <v>21</v>
      </c>
      <c r="E79">
        <v>1</v>
      </c>
      <c r="F79">
        <v>0.88</v>
      </c>
      <c r="G79">
        <v>1.5</v>
      </c>
    </row>
    <row r="80" spans="1:7" x14ac:dyDescent="0.3">
      <c r="A80">
        <v>0</v>
      </c>
      <c r="B80">
        <v>18496</v>
      </c>
      <c r="C80">
        <v>386</v>
      </c>
      <c r="D80">
        <v>30</v>
      </c>
      <c r="E80">
        <v>4</v>
      </c>
      <c r="F80">
        <v>0.34</v>
      </c>
      <c r="G80">
        <v>2</v>
      </c>
    </row>
    <row r="81" spans="1:7" x14ac:dyDescent="0.3">
      <c r="A81">
        <v>100</v>
      </c>
      <c r="B81">
        <v>18324</v>
      </c>
      <c r="C81">
        <v>333</v>
      </c>
      <c r="D81">
        <v>16</v>
      </c>
      <c r="E81">
        <v>4</v>
      </c>
      <c r="F81">
        <v>0.66</v>
      </c>
      <c r="G81">
        <v>1</v>
      </c>
    </row>
    <row r="82" spans="1:7" x14ac:dyDescent="0.3">
      <c r="A82">
        <v>200</v>
      </c>
      <c r="B82">
        <v>18170</v>
      </c>
      <c r="C82">
        <v>117</v>
      </c>
      <c r="D82">
        <v>779</v>
      </c>
      <c r="E82">
        <v>4</v>
      </c>
      <c r="F82">
        <v>0.4</v>
      </c>
      <c r="G82">
        <v>44.5</v>
      </c>
    </row>
    <row r="83" spans="1:7" x14ac:dyDescent="0.3">
      <c r="A83">
        <v>20</v>
      </c>
      <c r="B83">
        <v>18143</v>
      </c>
      <c r="C83">
        <v>159</v>
      </c>
      <c r="D83">
        <v>15</v>
      </c>
      <c r="E83">
        <v>4</v>
      </c>
      <c r="F83">
        <v>0.67</v>
      </c>
      <c r="G83">
        <v>2</v>
      </c>
    </row>
    <row r="84" spans="1:7" x14ac:dyDescent="0.3">
      <c r="A84">
        <v>150</v>
      </c>
      <c r="B84">
        <v>18101</v>
      </c>
      <c r="C84">
        <v>88</v>
      </c>
      <c r="D84">
        <v>68</v>
      </c>
      <c r="E84">
        <v>4</v>
      </c>
      <c r="F84">
        <v>0.74</v>
      </c>
      <c r="G84">
        <v>5.5</v>
      </c>
    </row>
    <row r="85" spans="1:7" x14ac:dyDescent="0.3">
      <c r="A85">
        <v>195</v>
      </c>
      <c r="B85">
        <v>17895</v>
      </c>
      <c r="C85">
        <v>212</v>
      </c>
      <c r="D85">
        <v>30</v>
      </c>
      <c r="E85">
        <v>1</v>
      </c>
      <c r="F85">
        <v>0.59</v>
      </c>
      <c r="G85">
        <v>4</v>
      </c>
    </row>
    <row r="86" spans="1:7" x14ac:dyDescent="0.3">
      <c r="A86">
        <v>75</v>
      </c>
      <c r="B86">
        <v>17802</v>
      </c>
      <c r="C86">
        <v>2144</v>
      </c>
      <c r="D86">
        <v>113</v>
      </c>
      <c r="E86">
        <v>1</v>
      </c>
      <c r="F86">
        <v>0.02</v>
      </c>
      <c r="G86">
        <v>10</v>
      </c>
    </row>
    <row r="87" spans="1:7" x14ac:dyDescent="0.3">
      <c r="A87">
        <v>195</v>
      </c>
      <c r="B87">
        <v>17784</v>
      </c>
      <c r="C87">
        <v>260</v>
      </c>
      <c r="D87">
        <v>61</v>
      </c>
      <c r="E87">
        <v>1</v>
      </c>
      <c r="F87">
        <v>0.48</v>
      </c>
      <c r="G87">
        <v>12.5</v>
      </c>
    </row>
    <row r="88" spans="1:7" x14ac:dyDescent="0.3">
      <c r="A88">
        <v>120</v>
      </c>
      <c r="B88">
        <v>17759</v>
      </c>
      <c r="C88">
        <v>64</v>
      </c>
      <c r="D88">
        <v>37</v>
      </c>
      <c r="E88">
        <v>4</v>
      </c>
      <c r="F88">
        <v>0.14000000000000001</v>
      </c>
      <c r="G88">
        <v>3</v>
      </c>
    </row>
    <row r="89" spans="1:7" x14ac:dyDescent="0.3">
      <c r="A89">
        <v>70</v>
      </c>
      <c r="B89">
        <v>17714</v>
      </c>
      <c r="C89">
        <v>198</v>
      </c>
      <c r="D89">
        <v>23</v>
      </c>
      <c r="E89">
        <v>4</v>
      </c>
      <c r="F89">
        <v>0.11</v>
      </c>
      <c r="G89">
        <v>3.5</v>
      </c>
    </row>
    <row r="90" spans="1:7" x14ac:dyDescent="0.3">
      <c r="A90">
        <v>190</v>
      </c>
      <c r="B90">
        <v>17671</v>
      </c>
      <c r="C90">
        <v>4675</v>
      </c>
      <c r="D90">
        <v>329</v>
      </c>
      <c r="E90">
        <v>2</v>
      </c>
      <c r="F90">
        <v>0.53</v>
      </c>
      <c r="G90">
        <v>18</v>
      </c>
    </row>
    <row r="91" spans="1:7" x14ac:dyDescent="0.3">
      <c r="A91">
        <v>20</v>
      </c>
      <c r="B91">
        <v>17554</v>
      </c>
      <c r="C91">
        <v>94</v>
      </c>
      <c r="D91">
        <v>16</v>
      </c>
      <c r="E91">
        <v>4</v>
      </c>
      <c r="F91">
        <v>0.11</v>
      </c>
      <c r="G91">
        <v>1.5</v>
      </c>
    </row>
    <row r="92" spans="1:7" x14ac:dyDescent="0.3">
      <c r="A92">
        <v>0</v>
      </c>
      <c r="B92">
        <v>17463</v>
      </c>
      <c r="C92">
        <v>283</v>
      </c>
      <c r="D92">
        <v>30</v>
      </c>
      <c r="E92">
        <v>4</v>
      </c>
      <c r="F92">
        <v>0.18</v>
      </c>
      <c r="G92">
        <v>1.5</v>
      </c>
    </row>
    <row r="93" spans="1:7" x14ac:dyDescent="0.3">
      <c r="A93">
        <v>100</v>
      </c>
      <c r="B93">
        <v>17334</v>
      </c>
      <c r="C93">
        <v>676</v>
      </c>
      <c r="D93">
        <v>96</v>
      </c>
      <c r="E93">
        <v>4</v>
      </c>
      <c r="F93">
        <v>0.45</v>
      </c>
      <c r="G93">
        <v>17</v>
      </c>
    </row>
    <row r="94" spans="1:7" x14ac:dyDescent="0.3">
      <c r="A94">
        <v>150</v>
      </c>
      <c r="B94">
        <v>17297</v>
      </c>
      <c r="C94">
        <v>3166</v>
      </c>
      <c r="D94">
        <v>111</v>
      </c>
      <c r="E94">
        <v>3</v>
      </c>
      <c r="F94">
        <v>0.15</v>
      </c>
      <c r="G94">
        <v>8.5</v>
      </c>
    </row>
    <row r="95" spans="1:7" x14ac:dyDescent="0.3">
      <c r="A95">
        <v>50</v>
      </c>
      <c r="B95">
        <v>17113</v>
      </c>
      <c r="C95">
        <v>380</v>
      </c>
      <c r="D95">
        <v>93</v>
      </c>
      <c r="E95">
        <v>1</v>
      </c>
      <c r="F95">
        <v>0.24</v>
      </c>
      <c r="G95">
        <v>9.5</v>
      </c>
    </row>
    <row r="96" spans="1:7" x14ac:dyDescent="0.3">
      <c r="A96">
        <v>200</v>
      </c>
      <c r="B96">
        <v>17071</v>
      </c>
      <c r="C96">
        <v>17</v>
      </c>
      <c r="D96">
        <v>15</v>
      </c>
      <c r="E96">
        <v>2</v>
      </c>
      <c r="F96">
        <v>0.76</v>
      </c>
      <c r="G96">
        <v>1.5</v>
      </c>
    </row>
    <row r="97" spans="1:7" x14ac:dyDescent="0.3">
      <c r="A97">
        <v>50</v>
      </c>
      <c r="B97">
        <v>16926</v>
      </c>
      <c r="C97">
        <v>126</v>
      </c>
      <c r="D97">
        <v>33</v>
      </c>
      <c r="E97">
        <v>1</v>
      </c>
      <c r="F97">
        <v>0.61</v>
      </c>
      <c r="G97">
        <v>4.5</v>
      </c>
    </row>
    <row r="98" spans="1:7" x14ac:dyDescent="0.3">
      <c r="A98">
        <v>60</v>
      </c>
      <c r="B98">
        <v>16829</v>
      </c>
      <c r="C98">
        <v>820</v>
      </c>
      <c r="D98">
        <v>77</v>
      </c>
      <c r="E98">
        <v>4</v>
      </c>
      <c r="F98">
        <v>0.76</v>
      </c>
      <c r="G98">
        <v>5</v>
      </c>
    </row>
    <row r="99" spans="1:7" x14ac:dyDescent="0.3">
      <c r="A99">
        <v>75</v>
      </c>
      <c r="B99">
        <v>16731</v>
      </c>
      <c r="C99">
        <v>137</v>
      </c>
      <c r="D99">
        <v>10</v>
      </c>
      <c r="E99">
        <v>4</v>
      </c>
      <c r="F99">
        <v>0.66</v>
      </c>
      <c r="G99">
        <v>1</v>
      </c>
    </row>
    <row r="100" spans="1:7" x14ac:dyDescent="0.3">
      <c r="A100">
        <v>75</v>
      </c>
      <c r="B100">
        <v>16590</v>
      </c>
      <c r="C100">
        <v>51</v>
      </c>
      <c r="D100">
        <v>27</v>
      </c>
      <c r="E100">
        <v>4</v>
      </c>
      <c r="F100">
        <v>0.26</v>
      </c>
      <c r="G100">
        <v>2.5</v>
      </c>
    </row>
    <row r="101" spans="1:7" x14ac:dyDescent="0.3">
      <c r="A101">
        <v>0</v>
      </c>
      <c r="B101">
        <v>16527</v>
      </c>
      <c r="C101">
        <v>354</v>
      </c>
      <c r="D101">
        <v>17</v>
      </c>
      <c r="E101">
        <v>4</v>
      </c>
      <c r="F101">
        <v>0.68</v>
      </c>
      <c r="G101">
        <v>2</v>
      </c>
    </row>
    <row r="102" spans="1:7" x14ac:dyDescent="0.3">
      <c r="A102">
        <v>20</v>
      </c>
      <c r="B102">
        <v>16486</v>
      </c>
      <c r="C102">
        <v>86</v>
      </c>
      <c r="D102">
        <v>34</v>
      </c>
      <c r="E102">
        <v>1</v>
      </c>
      <c r="F102">
        <v>0.24</v>
      </c>
      <c r="G102">
        <v>6.5</v>
      </c>
    </row>
    <row r="103" spans="1:7" x14ac:dyDescent="0.3">
      <c r="A103">
        <v>100</v>
      </c>
      <c r="B103">
        <v>16409</v>
      </c>
      <c r="C103">
        <v>589</v>
      </c>
      <c r="D103">
        <v>74</v>
      </c>
      <c r="E103">
        <v>2</v>
      </c>
      <c r="F103">
        <v>0.71</v>
      </c>
      <c r="G103">
        <v>4</v>
      </c>
    </row>
    <row r="104" spans="1:7" x14ac:dyDescent="0.3">
      <c r="A104">
        <v>195</v>
      </c>
      <c r="B104">
        <v>16282</v>
      </c>
      <c r="C104">
        <v>303</v>
      </c>
      <c r="D104">
        <v>159</v>
      </c>
      <c r="E104">
        <v>1</v>
      </c>
      <c r="F104">
        <v>0.35</v>
      </c>
      <c r="G104">
        <v>18.5</v>
      </c>
    </row>
    <row r="105" spans="1:7" x14ac:dyDescent="0.3">
      <c r="A105">
        <v>200</v>
      </c>
      <c r="B105">
        <v>16212</v>
      </c>
      <c r="C105">
        <v>514</v>
      </c>
      <c r="D105">
        <v>20</v>
      </c>
      <c r="E105">
        <v>1</v>
      </c>
      <c r="F105">
        <v>0.34</v>
      </c>
      <c r="G105">
        <v>1</v>
      </c>
    </row>
    <row r="106" spans="1:7" x14ac:dyDescent="0.3">
      <c r="A106">
        <v>200</v>
      </c>
      <c r="B106">
        <v>16158</v>
      </c>
      <c r="C106">
        <v>159</v>
      </c>
      <c r="D106">
        <v>125</v>
      </c>
      <c r="E106">
        <v>4</v>
      </c>
      <c r="F106">
        <v>0.71</v>
      </c>
      <c r="G106">
        <v>19.5</v>
      </c>
    </row>
    <row r="107" spans="1:7" x14ac:dyDescent="0.3">
      <c r="A107">
        <v>40</v>
      </c>
      <c r="B107">
        <v>15724</v>
      </c>
      <c r="C107">
        <v>33</v>
      </c>
      <c r="D107">
        <v>29</v>
      </c>
      <c r="E107">
        <v>1</v>
      </c>
      <c r="F107">
        <v>0.44</v>
      </c>
      <c r="G107">
        <v>1.5</v>
      </c>
    </row>
    <row r="108" spans="1:7" x14ac:dyDescent="0.3">
      <c r="A108">
        <v>0</v>
      </c>
      <c r="B108">
        <v>15715</v>
      </c>
      <c r="C108">
        <v>406</v>
      </c>
      <c r="D108">
        <v>28</v>
      </c>
      <c r="E108">
        <v>4</v>
      </c>
      <c r="F108">
        <v>0.12</v>
      </c>
      <c r="G108">
        <v>3.5</v>
      </c>
    </row>
    <row r="109" spans="1:7" x14ac:dyDescent="0.3">
      <c r="A109">
        <v>0</v>
      </c>
      <c r="B109">
        <v>15493</v>
      </c>
      <c r="C109">
        <v>415</v>
      </c>
      <c r="D109">
        <v>25</v>
      </c>
      <c r="E109">
        <v>4</v>
      </c>
      <c r="F109">
        <v>0.56000000000000005</v>
      </c>
      <c r="G109">
        <v>2</v>
      </c>
    </row>
    <row r="110" spans="1:7" x14ac:dyDescent="0.3">
      <c r="A110">
        <v>0</v>
      </c>
      <c r="B110">
        <v>15462</v>
      </c>
      <c r="C110">
        <v>689</v>
      </c>
      <c r="D110">
        <v>60</v>
      </c>
      <c r="E110">
        <v>1</v>
      </c>
      <c r="F110">
        <v>0.88</v>
      </c>
      <c r="G110">
        <v>4.5</v>
      </c>
    </row>
    <row r="111" spans="1:7" x14ac:dyDescent="0.3">
      <c r="A111">
        <v>200</v>
      </c>
      <c r="B111">
        <v>15276</v>
      </c>
      <c r="C111">
        <v>167</v>
      </c>
      <c r="D111">
        <v>19</v>
      </c>
      <c r="E111">
        <v>4</v>
      </c>
      <c r="F111">
        <v>0.57999999999999996</v>
      </c>
      <c r="G111">
        <v>1.5</v>
      </c>
    </row>
    <row r="112" spans="1:7" x14ac:dyDescent="0.3">
      <c r="A112">
        <v>35</v>
      </c>
      <c r="B112">
        <v>15187</v>
      </c>
      <c r="C112">
        <v>970</v>
      </c>
      <c r="D112">
        <v>64</v>
      </c>
      <c r="E112">
        <v>4</v>
      </c>
      <c r="F112">
        <v>0.12</v>
      </c>
      <c r="G112">
        <v>10</v>
      </c>
    </row>
    <row r="113" spans="1:7" x14ac:dyDescent="0.3">
      <c r="A113">
        <v>0</v>
      </c>
      <c r="B113">
        <v>15134</v>
      </c>
      <c r="C113">
        <v>523</v>
      </c>
      <c r="D113">
        <v>12</v>
      </c>
      <c r="E113">
        <v>1</v>
      </c>
      <c r="F113">
        <v>0.8</v>
      </c>
      <c r="G113">
        <v>2.5</v>
      </c>
    </row>
    <row r="114" spans="1:7" x14ac:dyDescent="0.3">
      <c r="A114">
        <v>75</v>
      </c>
      <c r="B114">
        <v>15106</v>
      </c>
      <c r="C114">
        <v>31</v>
      </c>
      <c r="D114">
        <v>16</v>
      </c>
      <c r="E114">
        <v>1</v>
      </c>
      <c r="F114">
        <v>0.47</v>
      </c>
      <c r="G114">
        <v>1.5</v>
      </c>
    </row>
    <row r="115" spans="1:7" x14ac:dyDescent="0.3">
      <c r="A115">
        <v>0</v>
      </c>
      <c r="B115">
        <v>15092</v>
      </c>
      <c r="C115">
        <v>1234</v>
      </c>
      <c r="D115">
        <v>65</v>
      </c>
      <c r="E115">
        <v>4</v>
      </c>
      <c r="F115">
        <v>0.73</v>
      </c>
      <c r="G115">
        <v>5.5</v>
      </c>
    </row>
    <row r="116" spans="1:7" x14ac:dyDescent="0.3">
      <c r="A116">
        <v>135</v>
      </c>
      <c r="B116">
        <v>15064</v>
      </c>
      <c r="C116">
        <v>237</v>
      </c>
      <c r="D116">
        <v>15</v>
      </c>
      <c r="E116">
        <v>4</v>
      </c>
      <c r="F116">
        <v>0.5</v>
      </c>
      <c r="G116">
        <v>1.5</v>
      </c>
    </row>
    <row r="117" spans="1:7" x14ac:dyDescent="0.3">
      <c r="A117">
        <v>200</v>
      </c>
      <c r="B117">
        <v>14842</v>
      </c>
      <c r="C117">
        <v>131</v>
      </c>
      <c r="D117">
        <v>17</v>
      </c>
      <c r="E117">
        <v>4</v>
      </c>
      <c r="F117">
        <v>0.88</v>
      </c>
      <c r="G117">
        <v>1</v>
      </c>
    </row>
    <row r="118" spans="1:7" x14ac:dyDescent="0.3">
      <c r="A118">
        <v>60</v>
      </c>
      <c r="B118">
        <v>14813</v>
      </c>
      <c r="C118">
        <v>1358</v>
      </c>
      <c r="D118">
        <v>74</v>
      </c>
      <c r="E118">
        <v>1</v>
      </c>
      <c r="F118">
        <v>0.15</v>
      </c>
      <c r="G118">
        <v>13.5</v>
      </c>
    </row>
    <row r="119" spans="1:7" x14ac:dyDescent="0.3">
      <c r="A119">
        <v>150</v>
      </c>
      <c r="B119">
        <v>14606</v>
      </c>
      <c r="C119">
        <v>235</v>
      </c>
      <c r="D119">
        <v>21</v>
      </c>
      <c r="E119">
        <v>2</v>
      </c>
      <c r="F119">
        <v>0.48</v>
      </c>
      <c r="G119">
        <v>3</v>
      </c>
    </row>
    <row r="120" spans="1:7" x14ac:dyDescent="0.3">
      <c r="A120">
        <v>20</v>
      </c>
      <c r="B120">
        <v>14551</v>
      </c>
      <c r="C120">
        <v>169</v>
      </c>
      <c r="D120">
        <v>14</v>
      </c>
      <c r="E120">
        <v>1</v>
      </c>
      <c r="F120">
        <v>0.15</v>
      </c>
      <c r="G120">
        <v>1.5</v>
      </c>
    </row>
    <row r="121" spans="1:7" x14ac:dyDescent="0.3">
      <c r="A121">
        <v>100</v>
      </c>
      <c r="B121">
        <v>14260</v>
      </c>
      <c r="C121">
        <v>44</v>
      </c>
      <c r="D121">
        <v>43</v>
      </c>
      <c r="E121">
        <v>1</v>
      </c>
      <c r="F121">
        <v>0.25</v>
      </c>
      <c r="G121">
        <v>3</v>
      </c>
    </row>
    <row r="122" spans="1:7" x14ac:dyDescent="0.3">
      <c r="A122">
        <v>75</v>
      </c>
      <c r="B122">
        <v>14254</v>
      </c>
      <c r="C122">
        <v>27</v>
      </c>
      <c r="D122">
        <v>20</v>
      </c>
      <c r="E122">
        <v>4</v>
      </c>
      <c r="F122">
        <v>0.3</v>
      </c>
      <c r="G122">
        <v>1.5</v>
      </c>
    </row>
    <row r="123" spans="1:7" x14ac:dyDescent="0.3">
      <c r="A123">
        <v>120</v>
      </c>
      <c r="B123">
        <v>14118</v>
      </c>
      <c r="C123">
        <v>30</v>
      </c>
      <c r="D123">
        <v>27</v>
      </c>
      <c r="E123">
        <v>4</v>
      </c>
      <c r="F123">
        <v>0.64</v>
      </c>
      <c r="G123">
        <v>2</v>
      </c>
    </row>
    <row r="124" spans="1:7" x14ac:dyDescent="0.3">
      <c r="A124">
        <v>190</v>
      </c>
      <c r="B124">
        <v>14103</v>
      </c>
      <c r="C124">
        <v>1548</v>
      </c>
      <c r="D124">
        <v>197</v>
      </c>
      <c r="E124">
        <v>4</v>
      </c>
      <c r="F124">
        <v>0.78</v>
      </c>
      <c r="G124">
        <v>21.5</v>
      </c>
    </row>
    <row r="125" spans="1:7" x14ac:dyDescent="0.3">
      <c r="A125">
        <v>40</v>
      </c>
      <c r="B125">
        <v>14074</v>
      </c>
      <c r="C125">
        <v>106</v>
      </c>
      <c r="D125">
        <v>46</v>
      </c>
      <c r="E125">
        <v>4</v>
      </c>
      <c r="F125">
        <v>0.66</v>
      </c>
      <c r="G125">
        <v>12</v>
      </c>
    </row>
    <row r="126" spans="1:7" x14ac:dyDescent="0.3">
      <c r="A126">
        <v>0</v>
      </c>
      <c r="B126">
        <v>14026</v>
      </c>
      <c r="C126">
        <v>232</v>
      </c>
      <c r="D126">
        <v>25</v>
      </c>
      <c r="E126">
        <v>4</v>
      </c>
      <c r="F126">
        <v>0.66</v>
      </c>
      <c r="G126">
        <v>1</v>
      </c>
    </row>
    <row r="127" spans="1:7" x14ac:dyDescent="0.3">
      <c r="A127">
        <v>20</v>
      </c>
      <c r="B127">
        <v>13960</v>
      </c>
      <c r="C127">
        <v>239</v>
      </c>
      <c r="D127">
        <v>19</v>
      </c>
      <c r="E127">
        <v>4</v>
      </c>
      <c r="F127">
        <v>0.4</v>
      </c>
      <c r="G127">
        <v>2.5</v>
      </c>
    </row>
    <row r="128" spans="1:7" x14ac:dyDescent="0.3">
      <c r="A128">
        <v>75</v>
      </c>
      <c r="B128">
        <v>13920</v>
      </c>
      <c r="C128">
        <v>64</v>
      </c>
      <c r="D128">
        <v>28</v>
      </c>
      <c r="E128">
        <v>4</v>
      </c>
      <c r="F128">
        <v>0.41</v>
      </c>
      <c r="G128">
        <v>2</v>
      </c>
    </row>
    <row r="129" spans="1:7" x14ac:dyDescent="0.3">
      <c r="A129">
        <v>150</v>
      </c>
      <c r="B129">
        <v>13882</v>
      </c>
      <c r="C129">
        <v>63</v>
      </c>
      <c r="D129">
        <v>47</v>
      </c>
      <c r="E129">
        <v>1</v>
      </c>
      <c r="F129">
        <v>0.74</v>
      </c>
      <c r="G129">
        <v>3</v>
      </c>
    </row>
    <row r="130" spans="1:7" x14ac:dyDescent="0.3">
      <c r="A130">
        <v>80</v>
      </c>
      <c r="B130">
        <v>13708</v>
      </c>
      <c r="C130">
        <v>92</v>
      </c>
      <c r="D130">
        <v>62</v>
      </c>
      <c r="E130">
        <v>4</v>
      </c>
      <c r="F130">
        <v>0.78</v>
      </c>
      <c r="G130">
        <v>9</v>
      </c>
    </row>
    <row r="131" spans="1:7" x14ac:dyDescent="0.3">
      <c r="A131">
        <v>0</v>
      </c>
      <c r="B131">
        <v>13535</v>
      </c>
      <c r="C131">
        <v>473</v>
      </c>
      <c r="D131">
        <v>18</v>
      </c>
      <c r="E131">
        <v>1</v>
      </c>
      <c r="F131">
        <v>0.87</v>
      </c>
      <c r="G131">
        <v>1.5</v>
      </c>
    </row>
    <row r="132" spans="1:7" x14ac:dyDescent="0.3">
      <c r="A132">
        <v>80</v>
      </c>
      <c r="B132">
        <v>13457</v>
      </c>
      <c r="C132">
        <v>215</v>
      </c>
      <c r="D132">
        <v>69</v>
      </c>
      <c r="E132">
        <v>4</v>
      </c>
      <c r="F132">
        <v>0.21</v>
      </c>
      <c r="G132">
        <v>4.5</v>
      </c>
    </row>
    <row r="133" spans="1:7" x14ac:dyDescent="0.3">
      <c r="A133">
        <v>150</v>
      </c>
      <c r="B133">
        <v>13439</v>
      </c>
      <c r="C133">
        <v>1981</v>
      </c>
      <c r="D133">
        <v>89</v>
      </c>
      <c r="E133">
        <v>1</v>
      </c>
      <c r="F133">
        <v>0.11</v>
      </c>
      <c r="G133">
        <v>20.5</v>
      </c>
    </row>
    <row r="134" spans="1:7" x14ac:dyDescent="0.3">
      <c r="A134">
        <v>100</v>
      </c>
      <c r="B134">
        <v>13406</v>
      </c>
      <c r="C134">
        <v>78</v>
      </c>
      <c r="D134">
        <v>44</v>
      </c>
      <c r="E134">
        <v>4</v>
      </c>
      <c r="F134">
        <v>0.54</v>
      </c>
      <c r="G134">
        <v>1.5</v>
      </c>
    </row>
    <row r="135" spans="1:7" x14ac:dyDescent="0.3">
      <c r="A135">
        <v>0</v>
      </c>
      <c r="B135">
        <v>13242</v>
      </c>
      <c r="C135">
        <v>131</v>
      </c>
      <c r="D135">
        <v>24</v>
      </c>
      <c r="E135">
        <v>4</v>
      </c>
      <c r="F135">
        <v>0.74</v>
      </c>
      <c r="G135">
        <v>1</v>
      </c>
    </row>
    <row r="136" spans="1:7" x14ac:dyDescent="0.3">
      <c r="A136">
        <v>0</v>
      </c>
      <c r="B136">
        <v>13210</v>
      </c>
      <c r="C136">
        <v>978</v>
      </c>
      <c r="D136">
        <v>8</v>
      </c>
      <c r="E136">
        <v>1</v>
      </c>
      <c r="F136">
        <v>0.54</v>
      </c>
      <c r="G136">
        <v>0.55000000000000004</v>
      </c>
    </row>
    <row r="137" spans="1:7" x14ac:dyDescent="0.3">
      <c r="A137">
        <v>0</v>
      </c>
      <c r="B137">
        <v>13130</v>
      </c>
      <c r="C137">
        <v>346</v>
      </c>
      <c r="D137">
        <v>88</v>
      </c>
      <c r="E137">
        <v>1</v>
      </c>
      <c r="F137">
        <v>0.62</v>
      </c>
      <c r="G137">
        <v>6.5</v>
      </c>
    </row>
    <row r="138" spans="1:7" x14ac:dyDescent="0.3">
      <c r="A138">
        <v>0</v>
      </c>
      <c r="B138">
        <v>13016</v>
      </c>
      <c r="C138">
        <v>286</v>
      </c>
      <c r="D138">
        <v>15</v>
      </c>
      <c r="E138">
        <v>2</v>
      </c>
      <c r="F138">
        <v>0.24</v>
      </c>
      <c r="G138">
        <v>1.5</v>
      </c>
    </row>
    <row r="139" spans="1:7" x14ac:dyDescent="0.3">
      <c r="A139">
        <v>80</v>
      </c>
      <c r="B139">
        <v>13010</v>
      </c>
      <c r="C139">
        <v>2709</v>
      </c>
      <c r="D139">
        <v>68</v>
      </c>
      <c r="E139">
        <v>4</v>
      </c>
      <c r="F139">
        <v>0.41</v>
      </c>
      <c r="G139">
        <v>6.5</v>
      </c>
    </row>
    <row r="140" spans="1:7" x14ac:dyDescent="0.3">
      <c r="A140">
        <v>0</v>
      </c>
      <c r="B140">
        <v>12974</v>
      </c>
      <c r="C140">
        <v>120</v>
      </c>
      <c r="D140">
        <v>13</v>
      </c>
      <c r="E140">
        <v>1</v>
      </c>
      <c r="F140">
        <v>0.15</v>
      </c>
      <c r="G140">
        <v>1</v>
      </c>
    </row>
    <row r="141" spans="1:7" x14ac:dyDescent="0.3">
      <c r="A141">
        <v>65</v>
      </c>
      <c r="B141">
        <v>12953</v>
      </c>
      <c r="C141">
        <v>680</v>
      </c>
      <c r="D141">
        <v>22</v>
      </c>
      <c r="E141">
        <v>4</v>
      </c>
      <c r="F141">
        <v>0.15</v>
      </c>
      <c r="G141">
        <v>1.5</v>
      </c>
    </row>
    <row r="142" spans="1:7" x14ac:dyDescent="0.3">
      <c r="A142">
        <v>0</v>
      </c>
      <c r="B142">
        <v>12952</v>
      </c>
      <c r="C142">
        <v>163</v>
      </c>
      <c r="D142">
        <v>22</v>
      </c>
      <c r="E142">
        <v>4</v>
      </c>
      <c r="F142">
        <v>0.24</v>
      </c>
      <c r="G142">
        <v>1</v>
      </c>
    </row>
    <row r="143" spans="1:7" x14ac:dyDescent="0.3">
      <c r="A143">
        <v>75</v>
      </c>
      <c r="B143">
        <v>12893</v>
      </c>
      <c r="C143">
        <v>220</v>
      </c>
      <c r="D143">
        <v>95</v>
      </c>
      <c r="E143">
        <v>1</v>
      </c>
      <c r="F143">
        <v>0.1</v>
      </c>
      <c r="G143">
        <v>8.5</v>
      </c>
    </row>
    <row r="144" spans="1:7" x14ac:dyDescent="0.3">
      <c r="A144">
        <v>75</v>
      </c>
      <c r="B144">
        <v>12882</v>
      </c>
      <c r="C144">
        <v>95</v>
      </c>
      <c r="D144">
        <v>20</v>
      </c>
      <c r="E144">
        <v>4</v>
      </c>
      <c r="F144">
        <v>0.74</v>
      </c>
      <c r="G144">
        <v>1.5</v>
      </c>
    </row>
    <row r="145" spans="1:7" x14ac:dyDescent="0.3">
      <c r="A145">
        <v>200</v>
      </c>
      <c r="B145">
        <v>12873</v>
      </c>
      <c r="C145">
        <v>106</v>
      </c>
      <c r="D145">
        <v>38</v>
      </c>
      <c r="E145">
        <v>1</v>
      </c>
      <c r="F145">
        <v>0.48</v>
      </c>
      <c r="G145">
        <v>2.5</v>
      </c>
    </row>
    <row r="146" spans="1:7" x14ac:dyDescent="0.3">
      <c r="A146">
        <v>150</v>
      </c>
      <c r="B146">
        <v>12838</v>
      </c>
      <c r="C146">
        <v>96</v>
      </c>
      <c r="D146">
        <v>22</v>
      </c>
      <c r="E146">
        <v>2</v>
      </c>
      <c r="F146">
        <v>0.85</v>
      </c>
      <c r="G146">
        <v>1.5</v>
      </c>
    </row>
    <row r="147" spans="1:7" x14ac:dyDescent="0.3">
      <c r="A147">
        <v>175</v>
      </c>
      <c r="B147">
        <v>12815</v>
      </c>
      <c r="C147">
        <v>262</v>
      </c>
      <c r="D147">
        <v>53</v>
      </c>
      <c r="E147">
        <v>4</v>
      </c>
      <c r="F147">
        <v>0.52</v>
      </c>
      <c r="G147">
        <v>8.5</v>
      </c>
    </row>
    <row r="148" spans="1:7" x14ac:dyDescent="0.3">
      <c r="A148">
        <v>20</v>
      </c>
      <c r="B148">
        <v>12781</v>
      </c>
      <c r="C148">
        <v>145</v>
      </c>
      <c r="D148">
        <v>22</v>
      </c>
      <c r="E148">
        <v>2</v>
      </c>
      <c r="F148">
        <v>0.96</v>
      </c>
      <c r="G148">
        <v>2.5</v>
      </c>
    </row>
    <row r="149" spans="1:7" x14ac:dyDescent="0.3">
      <c r="A149">
        <v>75</v>
      </c>
      <c r="B149">
        <v>12629</v>
      </c>
      <c r="C149">
        <v>88</v>
      </c>
      <c r="D149">
        <v>36</v>
      </c>
      <c r="E149">
        <v>1</v>
      </c>
      <c r="F149">
        <v>0.99</v>
      </c>
      <c r="G149">
        <v>1.5</v>
      </c>
    </row>
    <row r="150" spans="1:7" x14ac:dyDescent="0.3">
      <c r="A150">
        <v>0</v>
      </c>
      <c r="B150">
        <v>12563</v>
      </c>
      <c r="C150">
        <v>239</v>
      </c>
      <c r="D150">
        <v>11</v>
      </c>
      <c r="E150">
        <v>4</v>
      </c>
      <c r="F150">
        <v>0.18</v>
      </c>
      <c r="G150">
        <v>0.56666667000000004</v>
      </c>
    </row>
    <row r="151" spans="1:7" x14ac:dyDescent="0.3">
      <c r="A151">
        <v>20</v>
      </c>
      <c r="B151">
        <v>12458</v>
      </c>
      <c r="C151">
        <v>253</v>
      </c>
      <c r="D151">
        <v>82</v>
      </c>
      <c r="E151">
        <v>1</v>
      </c>
      <c r="F151">
        <v>0.76</v>
      </c>
      <c r="G151">
        <v>4</v>
      </c>
    </row>
    <row r="152" spans="1:7" x14ac:dyDescent="0.3">
      <c r="A152">
        <v>195</v>
      </c>
      <c r="B152">
        <v>12368</v>
      </c>
      <c r="C152">
        <v>89</v>
      </c>
      <c r="D152">
        <v>26</v>
      </c>
      <c r="E152">
        <v>2</v>
      </c>
      <c r="F152">
        <v>0.14000000000000001</v>
      </c>
      <c r="G152">
        <v>3.5</v>
      </c>
    </row>
    <row r="153" spans="1:7" x14ac:dyDescent="0.3">
      <c r="A153">
        <v>120</v>
      </c>
      <c r="B153">
        <v>12366</v>
      </c>
      <c r="C153">
        <v>506</v>
      </c>
      <c r="D153">
        <v>120</v>
      </c>
      <c r="E153">
        <v>1</v>
      </c>
      <c r="F153">
        <v>0.2</v>
      </c>
      <c r="G153">
        <v>9</v>
      </c>
    </row>
    <row r="154" spans="1:7" x14ac:dyDescent="0.3">
      <c r="A154">
        <v>0</v>
      </c>
      <c r="B154">
        <v>12336</v>
      </c>
      <c r="C154">
        <v>271</v>
      </c>
      <c r="D154">
        <v>26</v>
      </c>
      <c r="E154">
        <v>1</v>
      </c>
      <c r="F154">
        <v>0.96</v>
      </c>
      <c r="G154">
        <v>3.5</v>
      </c>
    </row>
    <row r="155" spans="1:7" x14ac:dyDescent="0.3">
      <c r="A155">
        <v>50</v>
      </c>
      <c r="B155">
        <v>12328</v>
      </c>
      <c r="C155">
        <v>15</v>
      </c>
      <c r="D155">
        <v>32</v>
      </c>
      <c r="E155">
        <v>4</v>
      </c>
      <c r="F155">
        <v>0.89</v>
      </c>
      <c r="G155">
        <v>2</v>
      </c>
    </row>
    <row r="156" spans="1:7" x14ac:dyDescent="0.3">
      <c r="A156">
        <v>0</v>
      </c>
      <c r="B156">
        <v>12293</v>
      </c>
      <c r="C156">
        <v>235</v>
      </c>
      <c r="D156">
        <v>18</v>
      </c>
      <c r="E156">
        <v>1</v>
      </c>
      <c r="F156">
        <v>0.49</v>
      </c>
      <c r="G156">
        <v>3</v>
      </c>
    </row>
    <row r="157" spans="1:7" x14ac:dyDescent="0.3">
      <c r="A157">
        <v>0</v>
      </c>
      <c r="B157">
        <v>12201</v>
      </c>
      <c r="C157">
        <v>217</v>
      </c>
      <c r="D157">
        <v>24</v>
      </c>
      <c r="E157">
        <v>4</v>
      </c>
      <c r="F157">
        <v>0.81</v>
      </c>
      <c r="G157">
        <v>5.5</v>
      </c>
    </row>
    <row r="158" spans="1:7" x14ac:dyDescent="0.3">
      <c r="A158">
        <v>35</v>
      </c>
      <c r="B158">
        <v>12105</v>
      </c>
      <c r="C158">
        <v>144</v>
      </c>
      <c r="D158">
        <v>54</v>
      </c>
      <c r="E158">
        <v>1</v>
      </c>
      <c r="F158">
        <v>0.15</v>
      </c>
      <c r="G158">
        <v>7.5</v>
      </c>
    </row>
    <row r="159" spans="1:7" x14ac:dyDescent="0.3">
      <c r="A159">
        <v>195</v>
      </c>
      <c r="B159">
        <v>12068</v>
      </c>
      <c r="C159">
        <v>81</v>
      </c>
      <c r="D159">
        <v>12</v>
      </c>
      <c r="E159">
        <v>2</v>
      </c>
      <c r="F159">
        <v>0.74</v>
      </c>
      <c r="G159">
        <v>1.5</v>
      </c>
    </row>
    <row r="160" spans="1:7" x14ac:dyDescent="0.3">
      <c r="A160">
        <v>195</v>
      </c>
      <c r="B160">
        <v>12021</v>
      </c>
      <c r="C160">
        <v>660</v>
      </c>
      <c r="D160">
        <v>41</v>
      </c>
      <c r="E160">
        <v>4</v>
      </c>
      <c r="F160">
        <v>0.3</v>
      </c>
      <c r="G160">
        <v>4</v>
      </c>
    </row>
    <row r="161" spans="1:7" x14ac:dyDescent="0.3">
      <c r="A161">
        <v>100</v>
      </c>
      <c r="B161">
        <v>11892</v>
      </c>
      <c r="C161">
        <v>50</v>
      </c>
      <c r="D161">
        <v>28</v>
      </c>
      <c r="E161">
        <v>2</v>
      </c>
      <c r="F161">
        <v>0.82</v>
      </c>
      <c r="G161">
        <v>2.5</v>
      </c>
    </row>
    <row r="162" spans="1:7" x14ac:dyDescent="0.3">
      <c r="A162">
        <v>50</v>
      </c>
      <c r="B162">
        <v>11847</v>
      </c>
      <c r="C162">
        <v>57</v>
      </c>
      <c r="D162">
        <v>57</v>
      </c>
      <c r="E162">
        <v>4</v>
      </c>
      <c r="F162">
        <v>0.18</v>
      </c>
      <c r="G162">
        <v>7.5</v>
      </c>
    </row>
    <row r="163" spans="1:7" x14ac:dyDescent="0.3">
      <c r="A163">
        <v>200</v>
      </c>
      <c r="B163">
        <v>11832</v>
      </c>
      <c r="C163">
        <v>1883</v>
      </c>
      <c r="D163">
        <v>191</v>
      </c>
      <c r="E163">
        <v>1</v>
      </c>
      <c r="F163">
        <v>0.28999999999999998</v>
      </c>
      <c r="G163">
        <v>31.5</v>
      </c>
    </row>
    <row r="164" spans="1:7" x14ac:dyDescent="0.3">
      <c r="A164">
        <v>0</v>
      </c>
      <c r="B164">
        <v>11812</v>
      </c>
      <c r="C164">
        <v>152</v>
      </c>
      <c r="D164">
        <v>19</v>
      </c>
      <c r="E164">
        <v>4</v>
      </c>
      <c r="F164">
        <v>0.41</v>
      </c>
      <c r="G164">
        <v>2</v>
      </c>
    </row>
    <row r="165" spans="1:7" x14ac:dyDescent="0.3">
      <c r="A165">
        <v>0</v>
      </c>
      <c r="B165">
        <v>11758</v>
      </c>
      <c r="C165">
        <v>242</v>
      </c>
      <c r="D165">
        <v>8</v>
      </c>
      <c r="E165">
        <v>1</v>
      </c>
      <c r="F165">
        <v>0.24</v>
      </c>
      <c r="G165">
        <v>1</v>
      </c>
    </row>
    <row r="166" spans="1:7" x14ac:dyDescent="0.3">
      <c r="A166">
        <v>0</v>
      </c>
      <c r="B166">
        <v>11666</v>
      </c>
      <c r="C166">
        <v>546</v>
      </c>
      <c r="D166">
        <v>20</v>
      </c>
      <c r="E166">
        <v>4</v>
      </c>
      <c r="F166">
        <v>0.55000000000000004</v>
      </c>
      <c r="G166">
        <v>4</v>
      </c>
    </row>
    <row r="167" spans="1:7" x14ac:dyDescent="0.3">
      <c r="A167">
        <v>100</v>
      </c>
      <c r="B167">
        <v>11643</v>
      </c>
      <c r="C167">
        <v>169</v>
      </c>
      <c r="D167">
        <v>21</v>
      </c>
      <c r="E167">
        <v>4</v>
      </c>
      <c r="F167">
        <v>0.93</v>
      </c>
      <c r="G167">
        <v>1</v>
      </c>
    </row>
    <row r="168" spans="1:7" x14ac:dyDescent="0.3">
      <c r="A168">
        <v>200</v>
      </c>
      <c r="B168">
        <v>11574</v>
      </c>
      <c r="C168">
        <v>78</v>
      </c>
      <c r="D168">
        <v>15</v>
      </c>
      <c r="E168">
        <v>4</v>
      </c>
      <c r="F168">
        <v>0.7</v>
      </c>
      <c r="G168">
        <v>1</v>
      </c>
    </row>
    <row r="169" spans="1:7" x14ac:dyDescent="0.3">
      <c r="A169">
        <v>20</v>
      </c>
      <c r="B169">
        <v>11536</v>
      </c>
      <c r="C169">
        <v>876</v>
      </c>
      <c r="D169">
        <v>60</v>
      </c>
      <c r="E169">
        <v>4</v>
      </c>
      <c r="F169">
        <v>0.95</v>
      </c>
      <c r="G169">
        <v>6.5</v>
      </c>
    </row>
    <row r="170" spans="1:7" x14ac:dyDescent="0.3">
      <c r="A170">
        <v>0</v>
      </c>
      <c r="B170">
        <v>11533</v>
      </c>
      <c r="C170">
        <v>240</v>
      </c>
      <c r="D170">
        <v>18</v>
      </c>
      <c r="E170">
        <v>1</v>
      </c>
      <c r="F170">
        <v>0.21</v>
      </c>
      <c r="G170">
        <v>2</v>
      </c>
    </row>
    <row r="171" spans="1:7" x14ac:dyDescent="0.3">
      <c r="A171">
        <v>200</v>
      </c>
      <c r="B171">
        <v>11492</v>
      </c>
      <c r="C171">
        <v>174</v>
      </c>
      <c r="D171">
        <v>118</v>
      </c>
      <c r="E171">
        <v>4</v>
      </c>
      <c r="F171">
        <v>0.35</v>
      </c>
      <c r="G171">
        <v>24.5</v>
      </c>
    </row>
    <row r="172" spans="1:7" x14ac:dyDescent="0.3">
      <c r="A172">
        <v>50</v>
      </c>
      <c r="B172">
        <v>11384</v>
      </c>
      <c r="C172">
        <v>1846</v>
      </c>
      <c r="D172">
        <v>80</v>
      </c>
      <c r="E172">
        <v>1</v>
      </c>
      <c r="F172">
        <v>0.22</v>
      </c>
      <c r="G172">
        <v>5.5</v>
      </c>
    </row>
    <row r="173" spans="1:7" x14ac:dyDescent="0.3">
      <c r="A173">
        <v>55</v>
      </c>
      <c r="B173">
        <v>11339</v>
      </c>
      <c r="C173">
        <v>43</v>
      </c>
      <c r="D173">
        <v>26</v>
      </c>
      <c r="E173">
        <v>4</v>
      </c>
      <c r="F173">
        <v>0.47</v>
      </c>
      <c r="G173">
        <v>3.5</v>
      </c>
    </row>
    <row r="174" spans="1:7" x14ac:dyDescent="0.3">
      <c r="A174">
        <v>195</v>
      </c>
      <c r="B174">
        <v>11285</v>
      </c>
      <c r="C174">
        <v>102</v>
      </c>
      <c r="D174">
        <v>77</v>
      </c>
      <c r="E174">
        <v>2</v>
      </c>
      <c r="F174">
        <v>0.3</v>
      </c>
      <c r="G174">
        <v>5.5</v>
      </c>
    </row>
    <row r="175" spans="1:7" x14ac:dyDescent="0.3">
      <c r="A175">
        <v>195</v>
      </c>
      <c r="B175">
        <v>11285</v>
      </c>
      <c r="C175">
        <v>102</v>
      </c>
      <c r="D175">
        <v>77</v>
      </c>
      <c r="E175">
        <v>2</v>
      </c>
      <c r="F175">
        <v>0.92</v>
      </c>
      <c r="G175">
        <v>5.5</v>
      </c>
    </row>
    <row r="176" spans="1:7" x14ac:dyDescent="0.3">
      <c r="A176">
        <v>50</v>
      </c>
      <c r="B176">
        <v>11262</v>
      </c>
      <c r="C176">
        <v>142</v>
      </c>
      <c r="D176">
        <v>18</v>
      </c>
      <c r="E176">
        <v>1</v>
      </c>
      <c r="F176">
        <v>0.55000000000000004</v>
      </c>
      <c r="G176">
        <v>2</v>
      </c>
    </row>
    <row r="177" spans="1:7" x14ac:dyDescent="0.3">
      <c r="A177">
        <v>95</v>
      </c>
      <c r="B177">
        <v>11170</v>
      </c>
      <c r="C177">
        <v>35</v>
      </c>
      <c r="D177">
        <v>19</v>
      </c>
      <c r="E177">
        <v>1</v>
      </c>
      <c r="F177">
        <v>0.11</v>
      </c>
      <c r="G177">
        <v>2.5</v>
      </c>
    </row>
    <row r="178" spans="1:7" x14ac:dyDescent="0.3">
      <c r="A178">
        <v>95</v>
      </c>
      <c r="B178">
        <v>11170</v>
      </c>
      <c r="C178">
        <v>35</v>
      </c>
      <c r="D178">
        <v>19</v>
      </c>
      <c r="E178">
        <v>1</v>
      </c>
      <c r="F178">
        <v>0.92</v>
      </c>
      <c r="G178">
        <v>2.5</v>
      </c>
    </row>
    <row r="179" spans="1:7" x14ac:dyDescent="0.3">
      <c r="A179">
        <v>20</v>
      </c>
      <c r="B179">
        <v>11167</v>
      </c>
      <c r="C179">
        <v>34</v>
      </c>
      <c r="D179">
        <v>13</v>
      </c>
      <c r="E179">
        <v>1</v>
      </c>
      <c r="F179">
        <v>0.68</v>
      </c>
      <c r="G179">
        <v>2</v>
      </c>
    </row>
    <row r="180" spans="1:7" x14ac:dyDescent="0.3">
      <c r="A180">
        <v>20</v>
      </c>
      <c r="B180">
        <v>11167</v>
      </c>
      <c r="C180">
        <v>34</v>
      </c>
      <c r="D180">
        <v>13</v>
      </c>
      <c r="E180">
        <v>1</v>
      </c>
      <c r="F180">
        <v>0.92</v>
      </c>
      <c r="G180">
        <v>2</v>
      </c>
    </row>
    <row r="181" spans="1:7" x14ac:dyDescent="0.3">
      <c r="A181">
        <v>0</v>
      </c>
      <c r="B181">
        <v>11080</v>
      </c>
      <c r="C181">
        <v>165</v>
      </c>
      <c r="D181">
        <v>7</v>
      </c>
      <c r="E181">
        <v>4</v>
      </c>
      <c r="F181">
        <v>0.19</v>
      </c>
      <c r="G181">
        <v>1</v>
      </c>
    </row>
    <row r="182" spans="1:7" x14ac:dyDescent="0.3">
      <c r="A182">
        <v>0</v>
      </c>
      <c r="B182">
        <v>11026</v>
      </c>
      <c r="C182">
        <v>228</v>
      </c>
      <c r="D182">
        <v>13</v>
      </c>
      <c r="E182">
        <v>1</v>
      </c>
      <c r="F182">
        <v>0.8</v>
      </c>
      <c r="G182">
        <v>1</v>
      </c>
    </row>
    <row r="183" spans="1:7" x14ac:dyDescent="0.3">
      <c r="A183">
        <v>0</v>
      </c>
      <c r="B183">
        <v>11026</v>
      </c>
      <c r="C183">
        <v>228</v>
      </c>
      <c r="D183">
        <v>13</v>
      </c>
      <c r="E183">
        <v>1</v>
      </c>
      <c r="F183">
        <v>0.92</v>
      </c>
      <c r="G183">
        <v>1</v>
      </c>
    </row>
    <row r="184" spans="1:7" x14ac:dyDescent="0.3">
      <c r="A184">
        <v>200</v>
      </c>
      <c r="B184">
        <v>11011</v>
      </c>
      <c r="C184">
        <v>13</v>
      </c>
      <c r="D184">
        <v>36</v>
      </c>
      <c r="E184">
        <v>4</v>
      </c>
      <c r="F184">
        <v>0.94</v>
      </c>
      <c r="G184">
        <v>2.5</v>
      </c>
    </row>
    <row r="185" spans="1:7" x14ac:dyDescent="0.3">
      <c r="A185">
        <v>150</v>
      </c>
      <c r="B185">
        <v>10945</v>
      </c>
      <c r="C185">
        <v>1286</v>
      </c>
      <c r="D185">
        <v>129</v>
      </c>
      <c r="E185">
        <v>4</v>
      </c>
      <c r="F185">
        <v>0.16</v>
      </c>
      <c r="G185">
        <v>13.5</v>
      </c>
    </row>
    <row r="186" spans="1:7" x14ac:dyDescent="0.3">
      <c r="A186">
        <v>0</v>
      </c>
      <c r="B186">
        <v>10917</v>
      </c>
      <c r="C186">
        <v>319</v>
      </c>
      <c r="D186">
        <v>25</v>
      </c>
      <c r="E186">
        <v>4</v>
      </c>
      <c r="F186">
        <v>0.18</v>
      </c>
      <c r="G186">
        <v>2</v>
      </c>
    </row>
    <row r="187" spans="1:7" x14ac:dyDescent="0.3">
      <c r="A187">
        <v>75</v>
      </c>
      <c r="B187">
        <v>10890</v>
      </c>
      <c r="C187">
        <v>212</v>
      </c>
      <c r="D187">
        <v>33</v>
      </c>
      <c r="E187">
        <v>4</v>
      </c>
      <c r="F187">
        <v>0.1</v>
      </c>
      <c r="G187">
        <v>5</v>
      </c>
    </row>
    <row r="188" spans="1:7" x14ac:dyDescent="0.3">
      <c r="A188">
        <v>195</v>
      </c>
      <c r="B188">
        <v>10874</v>
      </c>
      <c r="C188">
        <v>114</v>
      </c>
      <c r="D188">
        <v>59</v>
      </c>
      <c r="E188">
        <v>4</v>
      </c>
      <c r="F188">
        <v>0.34</v>
      </c>
      <c r="G188">
        <v>7.5</v>
      </c>
    </row>
    <row r="189" spans="1:7" x14ac:dyDescent="0.3">
      <c r="A189">
        <v>50</v>
      </c>
      <c r="B189">
        <v>10864</v>
      </c>
      <c r="C189">
        <v>63</v>
      </c>
      <c r="D189">
        <v>26</v>
      </c>
      <c r="E189">
        <v>1</v>
      </c>
      <c r="F189">
        <v>0.84</v>
      </c>
      <c r="G189">
        <v>2</v>
      </c>
    </row>
    <row r="190" spans="1:7" x14ac:dyDescent="0.3">
      <c r="A190">
        <v>0</v>
      </c>
      <c r="B190">
        <v>10780</v>
      </c>
      <c r="C190">
        <v>110</v>
      </c>
      <c r="D190">
        <v>19</v>
      </c>
      <c r="E190">
        <v>4</v>
      </c>
      <c r="F190">
        <v>0.66</v>
      </c>
      <c r="G190">
        <v>1</v>
      </c>
    </row>
    <row r="191" spans="1:7" x14ac:dyDescent="0.3">
      <c r="A191">
        <v>20</v>
      </c>
      <c r="B191">
        <v>10689</v>
      </c>
      <c r="C191">
        <v>394</v>
      </c>
      <c r="D191">
        <v>17</v>
      </c>
      <c r="E191">
        <v>4</v>
      </c>
      <c r="F191">
        <v>0.32</v>
      </c>
      <c r="G191">
        <v>2</v>
      </c>
    </row>
    <row r="192" spans="1:7" x14ac:dyDescent="0.3">
      <c r="A192">
        <v>200</v>
      </c>
      <c r="B192">
        <v>10674</v>
      </c>
      <c r="C192">
        <v>102</v>
      </c>
      <c r="D192">
        <v>26</v>
      </c>
      <c r="E192">
        <v>1</v>
      </c>
      <c r="F192">
        <v>0.11</v>
      </c>
      <c r="G192">
        <v>2</v>
      </c>
    </row>
    <row r="193" spans="1:7" x14ac:dyDescent="0.3">
      <c r="A193">
        <v>20</v>
      </c>
      <c r="B193">
        <v>10610</v>
      </c>
      <c r="C193">
        <v>83</v>
      </c>
      <c r="D193">
        <v>10</v>
      </c>
      <c r="E193">
        <v>4</v>
      </c>
      <c r="F193">
        <v>0.21</v>
      </c>
      <c r="G193">
        <v>1</v>
      </c>
    </row>
    <row r="194" spans="1:7" x14ac:dyDescent="0.3">
      <c r="A194">
        <v>60</v>
      </c>
      <c r="B194">
        <v>10606</v>
      </c>
      <c r="C194">
        <v>570</v>
      </c>
      <c r="D194">
        <v>88</v>
      </c>
      <c r="E194">
        <v>1</v>
      </c>
      <c r="F194">
        <v>0.76</v>
      </c>
      <c r="G194">
        <v>23</v>
      </c>
    </row>
    <row r="195" spans="1:7" x14ac:dyDescent="0.3">
      <c r="A195">
        <v>145</v>
      </c>
      <c r="B195">
        <v>10576</v>
      </c>
      <c r="C195">
        <v>154</v>
      </c>
      <c r="D195">
        <v>23</v>
      </c>
      <c r="E195">
        <v>1</v>
      </c>
      <c r="F195">
        <v>0.75</v>
      </c>
      <c r="G195">
        <v>2.5</v>
      </c>
    </row>
    <row r="196" spans="1:7" x14ac:dyDescent="0.3">
      <c r="A196">
        <v>195</v>
      </c>
      <c r="B196">
        <v>10518</v>
      </c>
      <c r="C196">
        <v>129</v>
      </c>
      <c r="D196">
        <v>57</v>
      </c>
      <c r="E196">
        <v>4</v>
      </c>
      <c r="F196">
        <v>0.93</v>
      </c>
      <c r="G196">
        <v>4.5</v>
      </c>
    </row>
    <row r="197" spans="1:7" x14ac:dyDescent="0.3">
      <c r="A197">
        <v>90</v>
      </c>
      <c r="B197">
        <v>10394</v>
      </c>
      <c r="C197">
        <v>33</v>
      </c>
      <c r="D197">
        <v>34</v>
      </c>
      <c r="E197">
        <v>1</v>
      </c>
      <c r="F197">
        <v>0.88</v>
      </c>
      <c r="G197">
        <v>3.5</v>
      </c>
    </row>
    <row r="198" spans="1:7" x14ac:dyDescent="0.3">
      <c r="A198">
        <v>20</v>
      </c>
      <c r="B198">
        <v>10247</v>
      </c>
      <c r="C198">
        <v>200</v>
      </c>
      <c r="D198">
        <v>15</v>
      </c>
      <c r="E198">
        <v>1</v>
      </c>
      <c r="F198">
        <v>0.24</v>
      </c>
      <c r="G198">
        <v>1.5</v>
      </c>
    </row>
    <row r="199" spans="1:7" x14ac:dyDescent="0.3">
      <c r="A199">
        <v>0</v>
      </c>
      <c r="B199">
        <v>10179</v>
      </c>
      <c r="C199">
        <v>314</v>
      </c>
      <c r="D199">
        <v>21</v>
      </c>
      <c r="E199">
        <v>4</v>
      </c>
      <c r="F199">
        <v>0.15</v>
      </c>
      <c r="G199">
        <v>1.5</v>
      </c>
    </row>
    <row r="200" spans="1:7" x14ac:dyDescent="0.3">
      <c r="A200">
        <v>95</v>
      </c>
      <c r="B200">
        <v>10179</v>
      </c>
      <c r="C200">
        <v>68</v>
      </c>
      <c r="D200">
        <v>17</v>
      </c>
      <c r="E200">
        <v>1</v>
      </c>
      <c r="F200">
        <v>0.81</v>
      </c>
      <c r="G200">
        <v>1.5</v>
      </c>
    </row>
    <row r="201" spans="1:7" x14ac:dyDescent="0.3">
      <c r="A201">
        <v>50</v>
      </c>
      <c r="B201">
        <v>10150</v>
      </c>
      <c r="C201">
        <v>997</v>
      </c>
      <c r="D201">
        <v>90</v>
      </c>
      <c r="E201">
        <v>1</v>
      </c>
      <c r="F201">
        <v>0.5</v>
      </c>
      <c r="G201">
        <v>16</v>
      </c>
    </row>
    <row r="202" spans="1:7" x14ac:dyDescent="0.3">
      <c r="A202">
        <v>0</v>
      </c>
      <c r="B202">
        <v>10110</v>
      </c>
      <c r="C202">
        <v>379</v>
      </c>
      <c r="D202">
        <v>12</v>
      </c>
      <c r="E202">
        <v>4</v>
      </c>
      <c r="F202">
        <v>0.66</v>
      </c>
      <c r="G202">
        <v>2.5</v>
      </c>
    </row>
    <row r="203" spans="1:7" x14ac:dyDescent="0.3">
      <c r="A203">
        <v>115</v>
      </c>
      <c r="B203">
        <v>10103</v>
      </c>
      <c r="C203">
        <v>75</v>
      </c>
      <c r="D203">
        <v>20</v>
      </c>
      <c r="E203">
        <v>4</v>
      </c>
      <c r="F203">
        <v>0.93</v>
      </c>
      <c r="G203">
        <v>1.5</v>
      </c>
    </row>
    <row r="204" spans="1:7" x14ac:dyDescent="0.3">
      <c r="A204">
        <v>20</v>
      </c>
      <c r="B204">
        <v>10008</v>
      </c>
      <c r="C204">
        <v>53</v>
      </c>
      <c r="D204">
        <v>26</v>
      </c>
      <c r="E204">
        <v>4</v>
      </c>
      <c r="F204">
        <v>0.53</v>
      </c>
      <c r="G204">
        <v>2.5</v>
      </c>
    </row>
    <row r="205" spans="1:7" x14ac:dyDescent="0.3">
      <c r="A205">
        <v>200</v>
      </c>
      <c r="B205">
        <v>9945</v>
      </c>
      <c r="C205">
        <v>101</v>
      </c>
      <c r="D205">
        <v>43</v>
      </c>
      <c r="E205">
        <v>2</v>
      </c>
      <c r="F205">
        <v>0.76</v>
      </c>
      <c r="G205">
        <v>2</v>
      </c>
    </row>
    <row r="206" spans="1:7" x14ac:dyDescent="0.3">
      <c r="A206">
        <v>50</v>
      </c>
      <c r="B206">
        <v>9881</v>
      </c>
      <c r="C206">
        <v>329</v>
      </c>
      <c r="D206">
        <v>136</v>
      </c>
      <c r="E206">
        <v>2</v>
      </c>
      <c r="F206">
        <v>0.28000000000000003</v>
      </c>
      <c r="G206">
        <v>12</v>
      </c>
    </row>
    <row r="207" spans="1:7" x14ac:dyDescent="0.3">
      <c r="A207">
        <v>0</v>
      </c>
      <c r="B207">
        <v>9833</v>
      </c>
      <c r="C207">
        <v>241</v>
      </c>
      <c r="D207">
        <v>15</v>
      </c>
      <c r="E207">
        <v>3</v>
      </c>
      <c r="F207">
        <v>0.64</v>
      </c>
      <c r="G207">
        <v>1</v>
      </c>
    </row>
    <row r="208" spans="1:7" x14ac:dyDescent="0.3">
      <c r="A208">
        <v>95</v>
      </c>
      <c r="B208">
        <v>9832</v>
      </c>
      <c r="C208">
        <v>71</v>
      </c>
      <c r="D208">
        <v>59</v>
      </c>
      <c r="E208">
        <v>4</v>
      </c>
      <c r="F208">
        <v>0.34</v>
      </c>
      <c r="G208">
        <v>2</v>
      </c>
    </row>
    <row r="209" spans="1:7" x14ac:dyDescent="0.3">
      <c r="A209">
        <v>195</v>
      </c>
      <c r="B209">
        <v>9831</v>
      </c>
      <c r="C209">
        <v>56</v>
      </c>
      <c r="D209">
        <v>74</v>
      </c>
      <c r="E209">
        <v>2</v>
      </c>
      <c r="F209">
        <v>1</v>
      </c>
      <c r="G209">
        <v>14.5</v>
      </c>
    </row>
    <row r="210" spans="1:7" x14ac:dyDescent="0.3">
      <c r="A210">
        <v>0</v>
      </c>
      <c r="B210">
        <v>9786</v>
      </c>
      <c r="C210">
        <v>989</v>
      </c>
      <c r="D210">
        <v>7</v>
      </c>
      <c r="E210">
        <v>1</v>
      </c>
      <c r="F210">
        <v>0.14000000000000001</v>
      </c>
      <c r="G210">
        <v>0.7</v>
      </c>
    </row>
    <row r="211" spans="1:7" x14ac:dyDescent="0.3">
      <c r="A211">
        <v>200</v>
      </c>
      <c r="B211">
        <v>9773</v>
      </c>
      <c r="C211">
        <v>117</v>
      </c>
      <c r="D211">
        <v>65</v>
      </c>
      <c r="E211">
        <v>1</v>
      </c>
      <c r="F211">
        <v>0.47</v>
      </c>
      <c r="G211">
        <v>4.5</v>
      </c>
    </row>
    <row r="212" spans="1:7" x14ac:dyDescent="0.3">
      <c r="A212">
        <v>20</v>
      </c>
      <c r="B212">
        <v>9762</v>
      </c>
      <c r="C212">
        <v>94</v>
      </c>
      <c r="D212">
        <v>112</v>
      </c>
      <c r="E212">
        <v>2</v>
      </c>
      <c r="F212">
        <v>0.13</v>
      </c>
      <c r="G212">
        <v>13.5</v>
      </c>
    </row>
    <row r="213" spans="1:7" x14ac:dyDescent="0.3">
      <c r="A213">
        <v>195</v>
      </c>
      <c r="B213">
        <v>9687</v>
      </c>
      <c r="C213">
        <v>59</v>
      </c>
      <c r="D213">
        <v>59</v>
      </c>
      <c r="E213">
        <v>1</v>
      </c>
      <c r="F213">
        <v>0.32</v>
      </c>
      <c r="G213">
        <v>5</v>
      </c>
    </row>
    <row r="214" spans="1:7" x14ac:dyDescent="0.3">
      <c r="A214">
        <v>100</v>
      </c>
      <c r="B214">
        <v>9668</v>
      </c>
      <c r="C214">
        <v>38</v>
      </c>
      <c r="D214">
        <v>52</v>
      </c>
      <c r="E214">
        <v>4</v>
      </c>
      <c r="F214">
        <v>0.57999999999999996</v>
      </c>
      <c r="G214">
        <v>4</v>
      </c>
    </row>
    <row r="215" spans="1:7" x14ac:dyDescent="0.3">
      <c r="A215">
        <v>50</v>
      </c>
      <c r="B215">
        <v>9607</v>
      </c>
      <c r="C215">
        <v>78</v>
      </c>
      <c r="D215">
        <v>40</v>
      </c>
      <c r="E215">
        <v>4</v>
      </c>
      <c r="F215">
        <v>0.17</v>
      </c>
      <c r="G215">
        <v>5.5</v>
      </c>
    </row>
    <row r="216" spans="1:7" x14ac:dyDescent="0.3">
      <c r="A216">
        <v>20</v>
      </c>
      <c r="B216">
        <v>9554</v>
      </c>
      <c r="C216">
        <v>368</v>
      </c>
      <c r="D216">
        <v>16</v>
      </c>
      <c r="E216">
        <v>2</v>
      </c>
      <c r="F216">
        <v>0.8</v>
      </c>
      <c r="G216">
        <v>1.5</v>
      </c>
    </row>
    <row r="217" spans="1:7" x14ac:dyDescent="0.3">
      <c r="A217">
        <v>20</v>
      </c>
      <c r="B217">
        <v>9425</v>
      </c>
      <c r="C217">
        <v>147</v>
      </c>
      <c r="D217">
        <v>14</v>
      </c>
      <c r="E217">
        <v>4</v>
      </c>
      <c r="F217">
        <v>0.67</v>
      </c>
      <c r="G217">
        <v>1.5</v>
      </c>
    </row>
    <row r="218" spans="1:7" x14ac:dyDescent="0.3">
      <c r="A218">
        <v>195</v>
      </c>
      <c r="B218">
        <v>9421</v>
      </c>
      <c r="C218">
        <v>73</v>
      </c>
      <c r="D218">
        <v>36</v>
      </c>
      <c r="E218">
        <v>1</v>
      </c>
      <c r="F218">
        <v>0.34</v>
      </c>
      <c r="G218">
        <v>3.5</v>
      </c>
    </row>
    <row r="219" spans="1:7" x14ac:dyDescent="0.3">
      <c r="A219">
        <v>150</v>
      </c>
      <c r="B219">
        <v>9384</v>
      </c>
      <c r="C219">
        <v>21</v>
      </c>
      <c r="D219">
        <v>16</v>
      </c>
      <c r="E219">
        <v>4</v>
      </c>
      <c r="F219">
        <v>0.76</v>
      </c>
      <c r="G219">
        <v>1.5</v>
      </c>
    </row>
    <row r="220" spans="1:7" x14ac:dyDescent="0.3">
      <c r="A220">
        <v>20</v>
      </c>
      <c r="B220">
        <v>9381</v>
      </c>
      <c r="C220">
        <v>138</v>
      </c>
      <c r="D220">
        <v>131</v>
      </c>
      <c r="E220">
        <v>1</v>
      </c>
      <c r="F220">
        <v>0.8</v>
      </c>
      <c r="G220">
        <v>11</v>
      </c>
    </row>
    <row r="221" spans="1:7" x14ac:dyDescent="0.3">
      <c r="A221">
        <v>95</v>
      </c>
      <c r="B221">
        <v>9375</v>
      </c>
      <c r="C221">
        <v>219</v>
      </c>
      <c r="D221">
        <v>43</v>
      </c>
      <c r="E221">
        <v>2</v>
      </c>
      <c r="F221">
        <v>0.38</v>
      </c>
      <c r="G221">
        <v>7</v>
      </c>
    </row>
    <row r="222" spans="1:7" x14ac:dyDescent="0.3">
      <c r="A222">
        <v>0</v>
      </c>
      <c r="B222">
        <v>9364</v>
      </c>
      <c r="C222">
        <v>311</v>
      </c>
      <c r="D222">
        <v>10</v>
      </c>
      <c r="E222">
        <v>4</v>
      </c>
      <c r="F222">
        <v>0.28000000000000003</v>
      </c>
      <c r="G222">
        <v>0.53333333000000005</v>
      </c>
    </row>
    <row r="223" spans="1:7" x14ac:dyDescent="0.3">
      <c r="A223">
        <v>200</v>
      </c>
      <c r="B223">
        <v>9359</v>
      </c>
      <c r="C223">
        <v>110</v>
      </c>
      <c r="D223">
        <v>402</v>
      </c>
      <c r="E223">
        <v>2</v>
      </c>
      <c r="F223">
        <v>7.0000000000000007E-2</v>
      </c>
      <c r="G223">
        <v>32.5</v>
      </c>
    </row>
    <row r="224" spans="1:7" x14ac:dyDescent="0.3">
      <c r="A224">
        <v>200</v>
      </c>
      <c r="B224">
        <v>9355</v>
      </c>
      <c r="C224">
        <v>390</v>
      </c>
      <c r="D224">
        <v>177</v>
      </c>
      <c r="E224">
        <v>4</v>
      </c>
      <c r="F224">
        <v>0.94</v>
      </c>
      <c r="G224">
        <v>16.5</v>
      </c>
    </row>
    <row r="225" spans="1:7" x14ac:dyDescent="0.3">
      <c r="A225">
        <v>20</v>
      </c>
      <c r="B225">
        <v>9349</v>
      </c>
      <c r="C225">
        <v>206</v>
      </c>
      <c r="D225">
        <v>69</v>
      </c>
      <c r="E225">
        <v>2</v>
      </c>
      <c r="F225">
        <v>0.81</v>
      </c>
      <c r="G225">
        <v>4</v>
      </c>
    </row>
    <row r="226" spans="1:7" x14ac:dyDescent="0.3">
      <c r="A226">
        <v>170</v>
      </c>
      <c r="B226">
        <v>9332</v>
      </c>
      <c r="C226">
        <v>172</v>
      </c>
      <c r="D226">
        <v>33</v>
      </c>
      <c r="E226">
        <v>4</v>
      </c>
      <c r="F226">
        <v>0.04</v>
      </c>
      <c r="G226">
        <v>3.5</v>
      </c>
    </row>
    <row r="227" spans="1:7" x14ac:dyDescent="0.3">
      <c r="A227">
        <v>110</v>
      </c>
      <c r="B227">
        <v>9132</v>
      </c>
      <c r="C227">
        <v>1560</v>
      </c>
      <c r="D227">
        <v>137</v>
      </c>
      <c r="E227">
        <v>4</v>
      </c>
      <c r="F227">
        <v>0.18</v>
      </c>
      <c r="G227">
        <v>7</v>
      </c>
    </row>
    <row r="228" spans="1:7" x14ac:dyDescent="0.3">
      <c r="A228">
        <v>0</v>
      </c>
      <c r="B228">
        <v>9110</v>
      </c>
      <c r="C228">
        <v>411</v>
      </c>
      <c r="D228">
        <v>22</v>
      </c>
      <c r="E228">
        <v>4</v>
      </c>
      <c r="F228">
        <v>0.73</v>
      </c>
      <c r="G228">
        <v>2.5</v>
      </c>
    </row>
    <row r="229" spans="1:7" x14ac:dyDescent="0.3">
      <c r="A229">
        <v>60</v>
      </c>
      <c r="B229">
        <v>9109</v>
      </c>
      <c r="C229">
        <v>620</v>
      </c>
      <c r="D229">
        <v>50</v>
      </c>
      <c r="E229">
        <v>4</v>
      </c>
      <c r="F229">
        <v>0.28000000000000003</v>
      </c>
      <c r="G229">
        <v>9</v>
      </c>
    </row>
    <row r="230" spans="1:7" x14ac:dyDescent="0.3">
      <c r="A230">
        <v>100</v>
      </c>
      <c r="B230">
        <v>9103</v>
      </c>
      <c r="C230">
        <v>1724</v>
      </c>
      <c r="D230">
        <v>58</v>
      </c>
      <c r="E230">
        <v>1</v>
      </c>
      <c r="F230">
        <v>0.23</v>
      </c>
      <c r="G230">
        <v>9</v>
      </c>
    </row>
    <row r="231" spans="1:7" x14ac:dyDescent="0.3">
      <c r="A231">
        <v>100</v>
      </c>
      <c r="B231">
        <v>9067</v>
      </c>
      <c r="C231">
        <v>41</v>
      </c>
      <c r="D231">
        <v>27</v>
      </c>
      <c r="E231">
        <v>4</v>
      </c>
      <c r="F231">
        <v>0.89</v>
      </c>
      <c r="G231">
        <v>3</v>
      </c>
    </row>
    <row r="232" spans="1:7" x14ac:dyDescent="0.3">
      <c r="A232">
        <v>195</v>
      </c>
      <c r="B232">
        <v>9056</v>
      </c>
      <c r="C232">
        <v>96</v>
      </c>
      <c r="D232">
        <v>31</v>
      </c>
      <c r="E232">
        <v>4</v>
      </c>
      <c r="F232">
        <v>0.92</v>
      </c>
      <c r="G232">
        <v>1.5</v>
      </c>
    </row>
    <row r="233" spans="1:7" x14ac:dyDescent="0.3">
      <c r="A233">
        <v>20</v>
      </c>
      <c r="B233">
        <v>9028</v>
      </c>
      <c r="C233">
        <v>87</v>
      </c>
      <c r="D233">
        <v>12</v>
      </c>
      <c r="E233">
        <v>4</v>
      </c>
      <c r="F233">
        <v>0.78</v>
      </c>
      <c r="G233">
        <v>1.5</v>
      </c>
    </row>
    <row r="234" spans="1:7" x14ac:dyDescent="0.3">
      <c r="A234">
        <v>100</v>
      </c>
      <c r="B234">
        <v>8968</v>
      </c>
      <c r="C234">
        <v>35</v>
      </c>
      <c r="D234">
        <v>25</v>
      </c>
      <c r="E234">
        <v>1</v>
      </c>
      <c r="F234">
        <v>0.78</v>
      </c>
      <c r="G234">
        <v>2</v>
      </c>
    </row>
    <row r="235" spans="1:7" x14ac:dyDescent="0.3">
      <c r="A235">
        <v>75</v>
      </c>
      <c r="B235">
        <v>8964</v>
      </c>
      <c r="C235">
        <v>1893</v>
      </c>
      <c r="D235">
        <v>56</v>
      </c>
      <c r="E235">
        <v>1</v>
      </c>
      <c r="F235">
        <v>0.57999999999999996</v>
      </c>
      <c r="G235">
        <v>5.5</v>
      </c>
    </row>
    <row r="236" spans="1:7" x14ac:dyDescent="0.3">
      <c r="A236">
        <v>60</v>
      </c>
      <c r="B236">
        <v>8777</v>
      </c>
      <c r="C236">
        <v>206</v>
      </c>
      <c r="D236">
        <v>75</v>
      </c>
      <c r="E236">
        <v>4</v>
      </c>
      <c r="F236">
        <v>0.79</v>
      </c>
      <c r="G236">
        <v>15.5</v>
      </c>
    </row>
    <row r="237" spans="1:7" x14ac:dyDescent="0.3">
      <c r="A237">
        <v>0</v>
      </c>
      <c r="B237">
        <v>8770</v>
      </c>
      <c r="C237">
        <v>261</v>
      </c>
      <c r="D237">
        <v>13</v>
      </c>
      <c r="E237">
        <v>4</v>
      </c>
      <c r="F237">
        <v>0.62</v>
      </c>
      <c r="G237">
        <v>0.53333333000000005</v>
      </c>
    </row>
    <row r="238" spans="1:7" x14ac:dyDescent="0.3">
      <c r="A238">
        <v>0</v>
      </c>
      <c r="B238">
        <v>8768</v>
      </c>
      <c r="C238">
        <v>173</v>
      </c>
      <c r="D238">
        <v>8</v>
      </c>
      <c r="E238">
        <v>4</v>
      </c>
      <c r="F238">
        <v>0.87</v>
      </c>
      <c r="G238">
        <v>1</v>
      </c>
    </row>
    <row r="239" spans="1:7" x14ac:dyDescent="0.3">
      <c r="A239">
        <v>50</v>
      </c>
      <c r="B239">
        <v>8755</v>
      </c>
      <c r="C239">
        <v>931</v>
      </c>
      <c r="D239">
        <v>133</v>
      </c>
      <c r="E239">
        <v>4</v>
      </c>
      <c r="F239">
        <v>0.12</v>
      </c>
      <c r="G239">
        <v>15.5</v>
      </c>
    </row>
    <row r="240" spans="1:7" x14ac:dyDescent="0.3">
      <c r="A240">
        <v>85</v>
      </c>
      <c r="B240">
        <v>8711</v>
      </c>
      <c r="C240">
        <v>44</v>
      </c>
      <c r="D240">
        <v>22</v>
      </c>
      <c r="E240">
        <v>4</v>
      </c>
      <c r="F240">
        <v>0.04</v>
      </c>
      <c r="G240">
        <v>1.5</v>
      </c>
    </row>
    <row r="241" spans="1:7" x14ac:dyDescent="0.3">
      <c r="A241">
        <v>40</v>
      </c>
      <c r="B241">
        <v>8711</v>
      </c>
      <c r="C241">
        <v>29</v>
      </c>
      <c r="D241">
        <v>12</v>
      </c>
      <c r="E241">
        <v>4</v>
      </c>
      <c r="F241">
        <v>0.96</v>
      </c>
      <c r="G241">
        <v>1</v>
      </c>
    </row>
    <row r="242" spans="1:7" x14ac:dyDescent="0.3">
      <c r="A242">
        <v>0</v>
      </c>
      <c r="B242">
        <v>8693</v>
      </c>
      <c r="C242">
        <v>522</v>
      </c>
      <c r="D242">
        <v>11</v>
      </c>
      <c r="E242">
        <v>4</v>
      </c>
      <c r="F242">
        <v>0.24</v>
      </c>
      <c r="G242">
        <v>1.5</v>
      </c>
    </row>
    <row r="243" spans="1:7" x14ac:dyDescent="0.3">
      <c r="A243">
        <v>100</v>
      </c>
      <c r="B243">
        <v>8691</v>
      </c>
      <c r="C243">
        <v>836</v>
      </c>
      <c r="D243">
        <v>63</v>
      </c>
      <c r="E243">
        <v>4</v>
      </c>
      <c r="F243">
        <v>0.69</v>
      </c>
      <c r="G243">
        <v>11</v>
      </c>
    </row>
    <row r="244" spans="1:7" x14ac:dyDescent="0.3">
      <c r="A244">
        <v>170</v>
      </c>
      <c r="B244">
        <v>8625</v>
      </c>
      <c r="C244">
        <v>94</v>
      </c>
      <c r="D244">
        <v>73</v>
      </c>
      <c r="E244">
        <v>4</v>
      </c>
      <c r="F244">
        <v>0.98</v>
      </c>
      <c r="G244">
        <v>5</v>
      </c>
    </row>
    <row r="245" spans="1:7" x14ac:dyDescent="0.3">
      <c r="A245">
        <v>95</v>
      </c>
      <c r="B245">
        <v>8594</v>
      </c>
      <c r="C245">
        <v>37</v>
      </c>
      <c r="D245">
        <v>18</v>
      </c>
      <c r="E245">
        <v>1</v>
      </c>
      <c r="F245">
        <v>0.77</v>
      </c>
      <c r="G245">
        <v>2</v>
      </c>
    </row>
    <row r="246" spans="1:7" x14ac:dyDescent="0.3">
      <c r="A246">
        <v>0</v>
      </c>
      <c r="B246">
        <v>8592</v>
      </c>
      <c r="C246">
        <v>336</v>
      </c>
      <c r="D246">
        <v>35</v>
      </c>
      <c r="E246">
        <v>1</v>
      </c>
      <c r="F246">
        <v>0.8</v>
      </c>
      <c r="G246">
        <v>2.5</v>
      </c>
    </row>
    <row r="247" spans="1:7" x14ac:dyDescent="0.3">
      <c r="A247">
        <v>200</v>
      </c>
      <c r="B247">
        <v>8577</v>
      </c>
      <c r="C247">
        <v>69</v>
      </c>
      <c r="D247">
        <v>31</v>
      </c>
      <c r="E247">
        <v>4</v>
      </c>
      <c r="F247">
        <v>0.22</v>
      </c>
      <c r="G247">
        <v>1.5</v>
      </c>
    </row>
    <row r="248" spans="1:7" x14ac:dyDescent="0.3">
      <c r="A248">
        <v>150</v>
      </c>
      <c r="B248">
        <v>8496</v>
      </c>
      <c r="C248">
        <v>1838</v>
      </c>
      <c r="D248">
        <v>308</v>
      </c>
      <c r="E248">
        <v>4</v>
      </c>
      <c r="F248">
        <v>0.93</v>
      </c>
      <c r="G248">
        <v>29.5</v>
      </c>
    </row>
    <row r="249" spans="1:7" x14ac:dyDescent="0.3">
      <c r="A249">
        <v>20</v>
      </c>
      <c r="B249">
        <v>8462</v>
      </c>
      <c r="C249">
        <v>50</v>
      </c>
      <c r="D249">
        <v>21</v>
      </c>
      <c r="E249">
        <v>1</v>
      </c>
      <c r="F249">
        <v>0.68</v>
      </c>
      <c r="G249">
        <v>2</v>
      </c>
    </row>
    <row r="250" spans="1:7" x14ac:dyDescent="0.3">
      <c r="A250">
        <v>0</v>
      </c>
      <c r="B250">
        <v>8415</v>
      </c>
      <c r="C250">
        <v>56</v>
      </c>
      <c r="D250">
        <v>13</v>
      </c>
      <c r="E250">
        <v>4</v>
      </c>
      <c r="F250">
        <v>0.66</v>
      </c>
      <c r="G250">
        <v>1</v>
      </c>
    </row>
    <row r="251" spans="1:7" x14ac:dyDescent="0.3">
      <c r="A251">
        <v>0</v>
      </c>
      <c r="B251">
        <v>8371</v>
      </c>
      <c r="C251">
        <v>212</v>
      </c>
      <c r="D251">
        <v>18</v>
      </c>
      <c r="E251">
        <v>4</v>
      </c>
      <c r="F251">
        <v>0.78</v>
      </c>
      <c r="G251">
        <v>1.5</v>
      </c>
    </row>
    <row r="252" spans="1:7" x14ac:dyDescent="0.3">
      <c r="A252">
        <v>0</v>
      </c>
      <c r="B252">
        <v>8337</v>
      </c>
      <c r="C252">
        <v>300</v>
      </c>
      <c r="D252">
        <v>129</v>
      </c>
      <c r="E252">
        <v>4</v>
      </c>
      <c r="F252">
        <v>0.53</v>
      </c>
      <c r="G252">
        <v>20.5</v>
      </c>
    </row>
    <row r="253" spans="1:7" x14ac:dyDescent="0.3">
      <c r="A253">
        <v>20</v>
      </c>
      <c r="B253">
        <v>8320</v>
      </c>
      <c r="C253">
        <v>73</v>
      </c>
      <c r="D253">
        <v>11</v>
      </c>
      <c r="E253">
        <v>4</v>
      </c>
      <c r="F253">
        <v>0.3</v>
      </c>
      <c r="G253">
        <v>0.71666666999999995</v>
      </c>
    </row>
    <row r="254" spans="1:7" x14ac:dyDescent="0.3">
      <c r="A254">
        <v>25</v>
      </c>
      <c r="B254">
        <v>8234</v>
      </c>
      <c r="C254">
        <v>1111</v>
      </c>
      <c r="D254">
        <v>110</v>
      </c>
      <c r="E254">
        <v>4</v>
      </c>
      <c r="F254">
        <v>0.78</v>
      </c>
      <c r="G254">
        <v>7.5</v>
      </c>
    </row>
    <row r="255" spans="1:7" x14ac:dyDescent="0.3">
      <c r="A255">
        <v>75</v>
      </c>
      <c r="B255">
        <v>8067</v>
      </c>
      <c r="C255">
        <v>30</v>
      </c>
      <c r="D255">
        <v>44</v>
      </c>
      <c r="E255">
        <v>4</v>
      </c>
      <c r="F255">
        <v>0.24</v>
      </c>
      <c r="G255">
        <v>3.5</v>
      </c>
    </row>
    <row r="256" spans="1:7" x14ac:dyDescent="0.3">
      <c r="A256">
        <v>40</v>
      </c>
      <c r="B256">
        <v>8059</v>
      </c>
      <c r="C256">
        <v>231</v>
      </c>
      <c r="D256">
        <v>39</v>
      </c>
      <c r="E256">
        <v>4</v>
      </c>
      <c r="F256">
        <v>0.05</v>
      </c>
      <c r="G256">
        <v>2</v>
      </c>
    </row>
    <row r="257" spans="1:7" x14ac:dyDescent="0.3">
      <c r="A257">
        <v>0</v>
      </c>
      <c r="B257">
        <v>7922</v>
      </c>
      <c r="C257">
        <v>183</v>
      </c>
      <c r="D257">
        <v>16</v>
      </c>
      <c r="E257">
        <v>1</v>
      </c>
      <c r="F257">
        <v>0.69</v>
      </c>
      <c r="G257">
        <v>1.5</v>
      </c>
    </row>
    <row r="258" spans="1:7" x14ac:dyDescent="0.3">
      <c r="A258">
        <v>0</v>
      </c>
      <c r="B258">
        <v>7905</v>
      </c>
      <c r="C258">
        <v>561</v>
      </c>
      <c r="D258">
        <v>5</v>
      </c>
      <c r="E258">
        <v>4</v>
      </c>
      <c r="F258">
        <v>0.66</v>
      </c>
      <c r="G258">
        <v>0.68333332999999996</v>
      </c>
    </row>
    <row r="259" spans="1:7" x14ac:dyDescent="0.3">
      <c r="A259">
        <v>150</v>
      </c>
      <c r="B259">
        <v>7884</v>
      </c>
      <c r="C259">
        <v>44</v>
      </c>
      <c r="D259">
        <v>28</v>
      </c>
      <c r="E259">
        <v>1</v>
      </c>
      <c r="F259">
        <v>0.53</v>
      </c>
      <c r="G259">
        <v>2</v>
      </c>
    </row>
    <row r="260" spans="1:7" x14ac:dyDescent="0.3">
      <c r="A260">
        <v>20</v>
      </c>
      <c r="B260">
        <v>7867</v>
      </c>
      <c r="C260">
        <v>147</v>
      </c>
      <c r="D260">
        <v>23</v>
      </c>
      <c r="E260">
        <v>1</v>
      </c>
      <c r="F260">
        <v>0.95</v>
      </c>
      <c r="G260">
        <v>3</v>
      </c>
    </row>
    <row r="261" spans="1:7" x14ac:dyDescent="0.3">
      <c r="A261">
        <v>0</v>
      </c>
      <c r="B261">
        <v>7865</v>
      </c>
      <c r="C261">
        <v>241</v>
      </c>
      <c r="D261">
        <v>36</v>
      </c>
      <c r="E261">
        <v>4</v>
      </c>
      <c r="F261">
        <v>0.76</v>
      </c>
      <c r="G261">
        <v>5</v>
      </c>
    </row>
    <row r="262" spans="1:7" x14ac:dyDescent="0.3">
      <c r="A262">
        <v>125</v>
      </c>
      <c r="B262">
        <v>7852</v>
      </c>
      <c r="C262">
        <v>46</v>
      </c>
      <c r="D262">
        <v>31</v>
      </c>
      <c r="E262">
        <v>3</v>
      </c>
      <c r="F262">
        <v>0.78</v>
      </c>
      <c r="G262">
        <v>3.5</v>
      </c>
    </row>
    <row r="263" spans="1:7" x14ac:dyDescent="0.3">
      <c r="A263">
        <v>195</v>
      </c>
      <c r="B263">
        <v>7827</v>
      </c>
      <c r="C263">
        <v>268</v>
      </c>
      <c r="D263">
        <v>66</v>
      </c>
      <c r="E263">
        <v>4</v>
      </c>
      <c r="F263">
        <v>0.76</v>
      </c>
      <c r="G263">
        <v>11</v>
      </c>
    </row>
    <row r="264" spans="1:7" x14ac:dyDescent="0.3">
      <c r="A264">
        <v>90</v>
      </c>
      <c r="B264">
        <v>7789</v>
      </c>
      <c r="C264">
        <v>59</v>
      </c>
      <c r="D264">
        <v>23</v>
      </c>
      <c r="E264">
        <v>2</v>
      </c>
      <c r="F264">
        <v>0.15</v>
      </c>
      <c r="G264">
        <v>1.5</v>
      </c>
    </row>
    <row r="265" spans="1:7" x14ac:dyDescent="0.3">
      <c r="A265">
        <v>75</v>
      </c>
      <c r="B265">
        <v>7785</v>
      </c>
      <c r="C265">
        <v>416</v>
      </c>
      <c r="D265">
        <v>33</v>
      </c>
      <c r="E265">
        <v>4</v>
      </c>
      <c r="F265">
        <v>0.76</v>
      </c>
      <c r="G265">
        <v>4.5</v>
      </c>
    </row>
    <row r="266" spans="1:7" x14ac:dyDescent="0.3">
      <c r="A266">
        <v>140</v>
      </c>
      <c r="B266">
        <v>7741</v>
      </c>
      <c r="C266">
        <v>9</v>
      </c>
      <c r="D266">
        <v>36</v>
      </c>
      <c r="E266">
        <v>4</v>
      </c>
      <c r="F266">
        <v>0.67</v>
      </c>
      <c r="G266">
        <v>2.5</v>
      </c>
    </row>
    <row r="267" spans="1:7" x14ac:dyDescent="0.3">
      <c r="A267">
        <v>150</v>
      </c>
      <c r="B267">
        <v>7720</v>
      </c>
      <c r="C267">
        <v>58</v>
      </c>
      <c r="D267">
        <v>17</v>
      </c>
      <c r="E267">
        <v>1</v>
      </c>
      <c r="F267">
        <v>0.73</v>
      </c>
      <c r="G267">
        <v>1.5</v>
      </c>
    </row>
    <row r="268" spans="1:7" x14ac:dyDescent="0.3">
      <c r="A268">
        <v>50</v>
      </c>
      <c r="B268">
        <v>7706</v>
      </c>
      <c r="C268">
        <v>62</v>
      </c>
      <c r="D268">
        <v>45</v>
      </c>
      <c r="E268">
        <v>4</v>
      </c>
      <c r="F268">
        <v>0.12</v>
      </c>
      <c r="G268">
        <v>5</v>
      </c>
    </row>
    <row r="269" spans="1:7" x14ac:dyDescent="0.3">
      <c r="A269">
        <v>50</v>
      </c>
      <c r="B269">
        <v>7660</v>
      </c>
      <c r="C269">
        <v>7</v>
      </c>
      <c r="D269">
        <v>19</v>
      </c>
      <c r="E269">
        <v>4</v>
      </c>
      <c r="F269">
        <v>0.08</v>
      </c>
      <c r="G269">
        <v>2</v>
      </c>
    </row>
    <row r="270" spans="1:7" x14ac:dyDescent="0.3">
      <c r="A270">
        <v>95</v>
      </c>
      <c r="B270">
        <v>7517</v>
      </c>
      <c r="C270">
        <v>89</v>
      </c>
      <c r="D270">
        <v>47</v>
      </c>
      <c r="E270">
        <v>2</v>
      </c>
      <c r="F270">
        <v>0.89</v>
      </c>
      <c r="G270">
        <v>4.5</v>
      </c>
    </row>
    <row r="271" spans="1:7" x14ac:dyDescent="0.3">
      <c r="A271">
        <v>200</v>
      </c>
      <c r="B271">
        <v>7501</v>
      </c>
      <c r="C271">
        <v>1213</v>
      </c>
      <c r="D271">
        <v>384</v>
      </c>
      <c r="E271">
        <v>4</v>
      </c>
      <c r="F271">
        <v>0.42</v>
      </c>
      <c r="G271">
        <v>76.5</v>
      </c>
    </row>
    <row r="272" spans="1:7" x14ac:dyDescent="0.3">
      <c r="A272">
        <v>110</v>
      </c>
      <c r="B272">
        <v>7489</v>
      </c>
      <c r="C272">
        <v>941</v>
      </c>
      <c r="D272">
        <v>173</v>
      </c>
      <c r="E272">
        <v>4</v>
      </c>
      <c r="F272">
        <v>0.42</v>
      </c>
      <c r="G272">
        <v>16</v>
      </c>
    </row>
    <row r="273" spans="1:7" x14ac:dyDescent="0.3">
      <c r="A273">
        <v>0</v>
      </c>
      <c r="B273">
        <v>7484</v>
      </c>
      <c r="C273">
        <v>304</v>
      </c>
      <c r="D273">
        <v>5</v>
      </c>
      <c r="E273">
        <v>1</v>
      </c>
      <c r="F273">
        <v>0.24</v>
      </c>
      <c r="G273">
        <v>1</v>
      </c>
    </row>
    <row r="274" spans="1:7" x14ac:dyDescent="0.3">
      <c r="A274">
        <v>20</v>
      </c>
      <c r="B274">
        <v>7449</v>
      </c>
      <c r="C274">
        <v>111</v>
      </c>
      <c r="D274">
        <v>13</v>
      </c>
      <c r="E274">
        <v>3</v>
      </c>
      <c r="F274">
        <v>0.3</v>
      </c>
      <c r="G274">
        <v>1</v>
      </c>
    </row>
    <row r="275" spans="1:7" x14ac:dyDescent="0.3">
      <c r="A275">
        <v>200</v>
      </c>
      <c r="B275">
        <v>7449</v>
      </c>
      <c r="C275">
        <v>91</v>
      </c>
      <c r="D275">
        <v>32</v>
      </c>
      <c r="E275">
        <v>1</v>
      </c>
      <c r="F275">
        <v>0.38</v>
      </c>
      <c r="G275">
        <v>4</v>
      </c>
    </row>
    <row r="276" spans="1:7" x14ac:dyDescent="0.3">
      <c r="A276">
        <v>0</v>
      </c>
      <c r="B276">
        <v>7438</v>
      </c>
      <c r="C276">
        <v>441</v>
      </c>
      <c r="D276">
        <v>37</v>
      </c>
      <c r="E276">
        <v>4</v>
      </c>
      <c r="F276">
        <v>0.78</v>
      </c>
      <c r="G276">
        <v>2.5</v>
      </c>
    </row>
    <row r="277" spans="1:7" x14ac:dyDescent="0.3">
      <c r="A277">
        <v>20</v>
      </c>
      <c r="B277">
        <v>7416</v>
      </c>
      <c r="C277">
        <v>65</v>
      </c>
      <c r="D277">
        <v>14</v>
      </c>
      <c r="E277">
        <v>4</v>
      </c>
      <c r="F277">
        <v>0.96</v>
      </c>
      <c r="G277">
        <v>0.65</v>
      </c>
    </row>
    <row r="278" spans="1:7" x14ac:dyDescent="0.3">
      <c r="A278">
        <v>50</v>
      </c>
      <c r="B278">
        <v>7407</v>
      </c>
      <c r="C278">
        <v>172</v>
      </c>
      <c r="D278">
        <v>147</v>
      </c>
      <c r="E278">
        <v>1</v>
      </c>
      <c r="F278">
        <v>0.68</v>
      </c>
      <c r="G278">
        <v>20</v>
      </c>
    </row>
    <row r="279" spans="1:7" x14ac:dyDescent="0.3">
      <c r="A279">
        <v>75</v>
      </c>
      <c r="B279">
        <v>7380</v>
      </c>
      <c r="C279">
        <v>43</v>
      </c>
      <c r="D279">
        <v>59</v>
      </c>
      <c r="E279">
        <v>4</v>
      </c>
      <c r="F279">
        <v>0.68</v>
      </c>
      <c r="G279">
        <v>2.5</v>
      </c>
    </row>
    <row r="280" spans="1:7" x14ac:dyDescent="0.3">
      <c r="A280">
        <v>40</v>
      </c>
      <c r="B280">
        <v>7375</v>
      </c>
      <c r="C280">
        <v>52</v>
      </c>
      <c r="D280">
        <v>17</v>
      </c>
      <c r="E280">
        <v>1</v>
      </c>
      <c r="F280">
        <v>0.24</v>
      </c>
      <c r="G280">
        <v>1.5</v>
      </c>
    </row>
    <row r="281" spans="1:7" x14ac:dyDescent="0.3">
      <c r="A281">
        <v>20</v>
      </c>
      <c r="B281">
        <v>7368</v>
      </c>
      <c r="C281">
        <v>216</v>
      </c>
      <c r="D281">
        <v>52</v>
      </c>
      <c r="E281">
        <v>4</v>
      </c>
      <c r="F281">
        <v>0.61</v>
      </c>
      <c r="G281">
        <v>2</v>
      </c>
    </row>
    <row r="282" spans="1:7" x14ac:dyDescent="0.3">
      <c r="A282">
        <v>200</v>
      </c>
      <c r="B282">
        <v>7331</v>
      </c>
      <c r="C282">
        <v>55</v>
      </c>
      <c r="D282">
        <v>18</v>
      </c>
      <c r="E282">
        <v>4</v>
      </c>
      <c r="F282">
        <v>0.12</v>
      </c>
      <c r="G282">
        <v>1.5</v>
      </c>
    </row>
    <row r="283" spans="1:7" x14ac:dyDescent="0.3">
      <c r="A283">
        <v>0</v>
      </c>
      <c r="B283">
        <v>7318</v>
      </c>
      <c r="C283">
        <v>205</v>
      </c>
      <c r="D283">
        <v>8</v>
      </c>
      <c r="E283">
        <v>1</v>
      </c>
      <c r="F283">
        <v>0.23</v>
      </c>
      <c r="G283">
        <v>0.58333332999999998</v>
      </c>
    </row>
    <row r="284" spans="1:7" x14ac:dyDescent="0.3">
      <c r="A284">
        <v>0</v>
      </c>
      <c r="B284">
        <v>7304</v>
      </c>
      <c r="C284">
        <v>368</v>
      </c>
      <c r="D284">
        <v>28</v>
      </c>
      <c r="E284">
        <v>1</v>
      </c>
      <c r="F284">
        <v>0.64</v>
      </c>
      <c r="G284">
        <v>2</v>
      </c>
    </row>
    <row r="285" spans="1:7" x14ac:dyDescent="0.3">
      <c r="A285">
        <v>100</v>
      </c>
      <c r="B285">
        <v>7213</v>
      </c>
      <c r="C285">
        <v>50</v>
      </c>
      <c r="D285">
        <v>38</v>
      </c>
      <c r="E285">
        <v>4</v>
      </c>
      <c r="F285">
        <v>0.73</v>
      </c>
      <c r="G285">
        <v>3</v>
      </c>
    </row>
    <row r="286" spans="1:7" x14ac:dyDescent="0.3">
      <c r="A286">
        <v>200</v>
      </c>
      <c r="B286">
        <v>7211</v>
      </c>
      <c r="C286">
        <v>52</v>
      </c>
      <c r="D286">
        <v>491</v>
      </c>
      <c r="E286">
        <v>4</v>
      </c>
      <c r="F286">
        <v>0.28999999999999998</v>
      </c>
      <c r="G286">
        <v>57</v>
      </c>
    </row>
    <row r="287" spans="1:7" x14ac:dyDescent="0.3">
      <c r="A287">
        <v>30</v>
      </c>
      <c r="B287">
        <v>7196</v>
      </c>
      <c r="C287">
        <v>8</v>
      </c>
      <c r="D287">
        <v>38</v>
      </c>
      <c r="E287">
        <v>4</v>
      </c>
      <c r="F287">
        <v>0.47</v>
      </c>
      <c r="G287">
        <v>6.5</v>
      </c>
    </row>
    <row r="288" spans="1:7" x14ac:dyDescent="0.3">
      <c r="A288">
        <v>70</v>
      </c>
      <c r="B288">
        <v>7184</v>
      </c>
      <c r="C288">
        <v>22</v>
      </c>
      <c r="D288">
        <v>29</v>
      </c>
      <c r="E288">
        <v>4</v>
      </c>
      <c r="F288">
        <v>0.34</v>
      </c>
      <c r="G288">
        <v>4</v>
      </c>
    </row>
    <row r="289" spans="1:7" x14ac:dyDescent="0.3">
      <c r="A289">
        <v>80</v>
      </c>
      <c r="B289">
        <v>7169</v>
      </c>
      <c r="C289">
        <v>277</v>
      </c>
      <c r="D289">
        <v>20</v>
      </c>
      <c r="E289">
        <v>4</v>
      </c>
      <c r="F289">
        <v>0.16</v>
      </c>
      <c r="G289">
        <v>1</v>
      </c>
    </row>
    <row r="290" spans="1:7" x14ac:dyDescent="0.3">
      <c r="A290">
        <v>40</v>
      </c>
      <c r="B290">
        <v>7146</v>
      </c>
      <c r="C290">
        <v>629</v>
      </c>
      <c r="D290">
        <v>77</v>
      </c>
      <c r="E290">
        <v>1</v>
      </c>
      <c r="F290">
        <v>0.89</v>
      </c>
      <c r="G290">
        <v>14.5</v>
      </c>
    </row>
    <row r="291" spans="1:7" x14ac:dyDescent="0.3">
      <c r="A291">
        <v>0</v>
      </c>
      <c r="B291">
        <v>7142</v>
      </c>
      <c r="C291">
        <v>41</v>
      </c>
      <c r="D291">
        <v>25</v>
      </c>
      <c r="E291">
        <v>4</v>
      </c>
      <c r="F291">
        <v>0.18</v>
      </c>
      <c r="G291">
        <v>4</v>
      </c>
    </row>
    <row r="292" spans="1:7" x14ac:dyDescent="0.3">
      <c r="A292">
        <v>100</v>
      </c>
      <c r="B292">
        <v>7130</v>
      </c>
      <c r="C292">
        <v>30</v>
      </c>
      <c r="D292">
        <v>17</v>
      </c>
      <c r="E292">
        <v>2</v>
      </c>
      <c r="F292">
        <v>0.8</v>
      </c>
      <c r="G292">
        <v>1</v>
      </c>
    </row>
    <row r="293" spans="1:7" x14ac:dyDescent="0.3">
      <c r="A293">
        <v>95</v>
      </c>
      <c r="B293">
        <v>7130</v>
      </c>
      <c r="C293">
        <v>39</v>
      </c>
      <c r="D293">
        <v>24</v>
      </c>
      <c r="E293">
        <v>2</v>
      </c>
      <c r="F293">
        <v>0.3</v>
      </c>
      <c r="G293">
        <v>2</v>
      </c>
    </row>
    <row r="294" spans="1:7" x14ac:dyDescent="0.3">
      <c r="A294">
        <v>50</v>
      </c>
      <c r="B294">
        <v>7090</v>
      </c>
      <c r="C294">
        <v>52</v>
      </c>
      <c r="D294">
        <v>30</v>
      </c>
      <c r="E294">
        <v>4</v>
      </c>
      <c r="F294">
        <v>0.78</v>
      </c>
      <c r="G294">
        <v>8.5</v>
      </c>
    </row>
    <row r="295" spans="1:7" x14ac:dyDescent="0.3">
      <c r="A295">
        <v>200</v>
      </c>
      <c r="B295">
        <v>7062</v>
      </c>
      <c r="C295">
        <v>72</v>
      </c>
      <c r="D295">
        <v>172</v>
      </c>
      <c r="E295">
        <v>1</v>
      </c>
      <c r="F295">
        <v>0.61</v>
      </c>
      <c r="G295">
        <v>11</v>
      </c>
    </row>
    <row r="296" spans="1:7" x14ac:dyDescent="0.3">
      <c r="A296">
        <v>100</v>
      </c>
      <c r="B296">
        <v>7059</v>
      </c>
      <c r="C296">
        <v>116</v>
      </c>
      <c r="D296">
        <v>58</v>
      </c>
      <c r="E296">
        <v>1</v>
      </c>
      <c r="F296">
        <v>0.75</v>
      </c>
      <c r="G296">
        <v>5</v>
      </c>
    </row>
    <row r="297" spans="1:7" x14ac:dyDescent="0.3">
      <c r="A297">
        <v>165</v>
      </c>
      <c r="B297">
        <v>7057</v>
      </c>
      <c r="C297">
        <v>655</v>
      </c>
      <c r="D297">
        <v>65</v>
      </c>
      <c r="E297">
        <v>1</v>
      </c>
      <c r="F297">
        <v>0.74</v>
      </c>
      <c r="G297">
        <v>18.5</v>
      </c>
    </row>
    <row r="298" spans="1:7" x14ac:dyDescent="0.3">
      <c r="A298">
        <v>0</v>
      </c>
      <c r="B298">
        <v>7055</v>
      </c>
      <c r="C298">
        <v>166</v>
      </c>
      <c r="D298">
        <v>24</v>
      </c>
      <c r="E298">
        <v>4</v>
      </c>
      <c r="F298">
        <v>0.96</v>
      </c>
      <c r="G298">
        <v>2</v>
      </c>
    </row>
    <row r="299" spans="1:7" x14ac:dyDescent="0.3">
      <c r="A299">
        <v>20</v>
      </c>
      <c r="B299">
        <v>7018</v>
      </c>
      <c r="C299">
        <v>28</v>
      </c>
      <c r="D299">
        <v>38</v>
      </c>
      <c r="E299">
        <v>4</v>
      </c>
      <c r="F299">
        <v>0.16</v>
      </c>
      <c r="G299">
        <v>3</v>
      </c>
    </row>
    <row r="300" spans="1:7" x14ac:dyDescent="0.3">
      <c r="A300">
        <v>20</v>
      </c>
      <c r="B300">
        <v>7017</v>
      </c>
      <c r="C300">
        <v>37</v>
      </c>
      <c r="D300">
        <v>28</v>
      </c>
      <c r="E300">
        <v>2</v>
      </c>
      <c r="F300">
        <v>0.71</v>
      </c>
      <c r="G300">
        <v>3.5</v>
      </c>
    </row>
    <row r="301" spans="1:7" x14ac:dyDescent="0.3">
      <c r="A301">
        <v>50</v>
      </c>
      <c r="B301">
        <v>7014</v>
      </c>
      <c r="C301">
        <v>95</v>
      </c>
      <c r="D301">
        <v>62</v>
      </c>
      <c r="E301">
        <v>4</v>
      </c>
      <c r="F301">
        <v>0.54</v>
      </c>
      <c r="G301">
        <v>4.5</v>
      </c>
    </row>
    <row r="302" spans="1:7" x14ac:dyDescent="0.3">
      <c r="A302">
        <v>0</v>
      </c>
      <c r="B302">
        <v>6958</v>
      </c>
      <c r="C302">
        <v>132</v>
      </c>
      <c r="D302">
        <v>30</v>
      </c>
      <c r="E302">
        <v>4</v>
      </c>
      <c r="F302">
        <v>0.53</v>
      </c>
      <c r="G302">
        <v>3.5</v>
      </c>
    </row>
    <row r="303" spans="1:7" x14ac:dyDescent="0.3">
      <c r="A303">
        <v>25</v>
      </c>
      <c r="B303">
        <v>6937</v>
      </c>
      <c r="C303">
        <v>22</v>
      </c>
      <c r="D303">
        <v>7</v>
      </c>
      <c r="E303">
        <v>1</v>
      </c>
      <c r="F303">
        <v>0.76</v>
      </c>
      <c r="G303">
        <v>1</v>
      </c>
    </row>
    <row r="304" spans="1:7" x14ac:dyDescent="0.3">
      <c r="A304">
        <v>0</v>
      </c>
      <c r="B304">
        <v>6909</v>
      </c>
      <c r="C304">
        <v>401</v>
      </c>
      <c r="D304">
        <v>14</v>
      </c>
      <c r="E304">
        <v>1</v>
      </c>
      <c r="F304">
        <v>0.78</v>
      </c>
      <c r="G304">
        <v>2</v>
      </c>
    </row>
    <row r="305" spans="1:7" x14ac:dyDescent="0.3">
      <c r="A305">
        <v>100</v>
      </c>
      <c r="B305">
        <v>6890</v>
      </c>
      <c r="C305">
        <v>99</v>
      </c>
      <c r="D305">
        <v>90</v>
      </c>
      <c r="E305">
        <v>1</v>
      </c>
      <c r="F305">
        <v>0.96</v>
      </c>
      <c r="G305">
        <v>10.5</v>
      </c>
    </row>
    <row r="306" spans="1:7" x14ac:dyDescent="0.3">
      <c r="A306">
        <v>0</v>
      </c>
      <c r="B306">
        <v>6856</v>
      </c>
      <c r="C306">
        <v>137</v>
      </c>
      <c r="D306">
        <v>19</v>
      </c>
      <c r="E306">
        <v>4</v>
      </c>
      <c r="F306">
        <v>0.62</v>
      </c>
      <c r="G306">
        <v>2</v>
      </c>
    </row>
    <row r="307" spans="1:7" x14ac:dyDescent="0.3">
      <c r="A307">
        <v>200</v>
      </c>
      <c r="B307">
        <v>6851</v>
      </c>
      <c r="C307">
        <v>276</v>
      </c>
      <c r="D307">
        <v>454</v>
      </c>
      <c r="E307">
        <v>4</v>
      </c>
      <c r="F307">
        <v>0.94</v>
      </c>
      <c r="G307">
        <v>60</v>
      </c>
    </row>
    <row r="308" spans="1:7" x14ac:dyDescent="0.3">
      <c r="A308">
        <v>20</v>
      </c>
      <c r="B308">
        <v>6760</v>
      </c>
      <c r="C308">
        <v>84</v>
      </c>
      <c r="D308">
        <v>27</v>
      </c>
      <c r="E308">
        <v>1</v>
      </c>
      <c r="F308">
        <v>0.47</v>
      </c>
      <c r="G308">
        <v>3</v>
      </c>
    </row>
    <row r="309" spans="1:7" x14ac:dyDescent="0.3">
      <c r="A309">
        <v>200</v>
      </c>
      <c r="B309">
        <v>6751</v>
      </c>
      <c r="C309">
        <v>44</v>
      </c>
      <c r="D309">
        <v>353</v>
      </c>
      <c r="E309">
        <v>2</v>
      </c>
      <c r="F309">
        <v>0.17</v>
      </c>
      <c r="G309">
        <v>48.5</v>
      </c>
    </row>
    <row r="310" spans="1:7" x14ac:dyDescent="0.3">
      <c r="A310">
        <v>0</v>
      </c>
      <c r="B310">
        <v>6742</v>
      </c>
      <c r="C310">
        <v>1036</v>
      </c>
      <c r="D310">
        <v>6</v>
      </c>
      <c r="E310">
        <v>1</v>
      </c>
      <c r="F310">
        <v>0.63</v>
      </c>
      <c r="G310">
        <v>0.68333332999999996</v>
      </c>
    </row>
    <row r="311" spans="1:7" x14ac:dyDescent="0.3">
      <c r="A311">
        <v>40</v>
      </c>
      <c r="B311">
        <v>6648</v>
      </c>
      <c r="C311">
        <v>16</v>
      </c>
      <c r="D311">
        <v>22</v>
      </c>
      <c r="E311">
        <v>4</v>
      </c>
      <c r="F311">
        <v>0.15</v>
      </c>
      <c r="G311">
        <v>1.5</v>
      </c>
    </row>
    <row r="312" spans="1:7" x14ac:dyDescent="0.3">
      <c r="A312">
        <v>195</v>
      </c>
      <c r="B312">
        <v>6636</v>
      </c>
      <c r="C312">
        <v>302</v>
      </c>
      <c r="D312">
        <v>50</v>
      </c>
      <c r="E312">
        <v>4</v>
      </c>
      <c r="F312">
        <v>0.66</v>
      </c>
      <c r="G312">
        <v>6</v>
      </c>
    </row>
    <row r="313" spans="1:7" x14ac:dyDescent="0.3">
      <c r="A313">
        <v>20</v>
      </c>
      <c r="B313">
        <v>6628</v>
      </c>
      <c r="C313">
        <v>53</v>
      </c>
      <c r="D313">
        <v>19</v>
      </c>
      <c r="E313">
        <v>1</v>
      </c>
      <c r="F313">
        <v>0.82</v>
      </c>
      <c r="G313">
        <v>1</v>
      </c>
    </row>
    <row r="314" spans="1:7" x14ac:dyDescent="0.3">
      <c r="A314">
        <v>200</v>
      </c>
      <c r="B314">
        <v>6601</v>
      </c>
      <c r="C314">
        <v>1304</v>
      </c>
      <c r="D314">
        <v>26</v>
      </c>
      <c r="E314">
        <v>1</v>
      </c>
      <c r="F314">
        <v>0.15</v>
      </c>
      <c r="G314">
        <v>3.5</v>
      </c>
    </row>
    <row r="315" spans="1:7" x14ac:dyDescent="0.3">
      <c r="A315">
        <v>20</v>
      </c>
      <c r="B315">
        <v>6588</v>
      </c>
      <c r="C315">
        <v>721</v>
      </c>
      <c r="D315">
        <v>36</v>
      </c>
      <c r="E315">
        <v>1</v>
      </c>
      <c r="F315">
        <v>0.43</v>
      </c>
      <c r="G315">
        <v>2</v>
      </c>
    </row>
    <row r="316" spans="1:7" x14ac:dyDescent="0.3">
      <c r="A316">
        <v>20</v>
      </c>
      <c r="B316">
        <v>6548</v>
      </c>
      <c r="C316">
        <v>44</v>
      </c>
      <c r="D316">
        <v>38</v>
      </c>
      <c r="E316">
        <v>4</v>
      </c>
      <c r="F316">
        <v>0.79</v>
      </c>
      <c r="G316">
        <v>4</v>
      </c>
    </row>
    <row r="317" spans="1:7" x14ac:dyDescent="0.3">
      <c r="A317">
        <v>140</v>
      </c>
      <c r="B317">
        <v>6527</v>
      </c>
      <c r="C317">
        <v>1384</v>
      </c>
      <c r="D317">
        <v>111</v>
      </c>
      <c r="E317">
        <v>4</v>
      </c>
      <c r="F317">
        <v>0.24</v>
      </c>
      <c r="G317">
        <v>9</v>
      </c>
    </row>
    <row r="318" spans="1:7" x14ac:dyDescent="0.3">
      <c r="A318">
        <v>195</v>
      </c>
      <c r="B318">
        <v>6510</v>
      </c>
      <c r="C318">
        <v>45</v>
      </c>
      <c r="D318">
        <v>22</v>
      </c>
      <c r="E318">
        <v>4</v>
      </c>
      <c r="F318">
        <v>0.27</v>
      </c>
      <c r="G318">
        <v>2</v>
      </c>
    </row>
    <row r="319" spans="1:7" x14ac:dyDescent="0.3">
      <c r="A319">
        <v>200</v>
      </c>
      <c r="B319">
        <v>6508</v>
      </c>
      <c r="C319">
        <v>137</v>
      </c>
      <c r="D319">
        <v>90</v>
      </c>
      <c r="E319">
        <v>1</v>
      </c>
      <c r="F319">
        <v>0.87</v>
      </c>
      <c r="G319">
        <v>6.5</v>
      </c>
    </row>
    <row r="320" spans="1:7" x14ac:dyDescent="0.3">
      <c r="A320">
        <v>200</v>
      </c>
      <c r="B320">
        <v>6497</v>
      </c>
      <c r="C320">
        <v>901</v>
      </c>
      <c r="D320">
        <v>221</v>
      </c>
      <c r="E320">
        <v>2</v>
      </c>
      <c r="F320">
        <v>0.11</v>
      </c>
      <c r="G320">
        <v>18</v>
      </c>
    </row>
    <row r="321" spans="1:7" x14ac:dyDescent="0.3">
      <c r="A321">
        <v>0</v>
      </c>
      <c r="B321">
        <v>6474</v>
      </c>
      <c r="C321">
        <v>86</v>
      </c>
      <c r="D321">
        <v>15</v>
      </c>
      <c r="E321">
        <v>1</v>
      </c>
      <c r="F321">
        <v>0.05</v>
      </c>
      <c r="G321">
        <v>1</v>
      </c>
    </row>
    <row r="322" spans="1:7" x14ac:dyDescent="0.3">
      <c r="A322">
        <v>0</v>
      </c>
      <c r="B322">
        <v>6437</v>
      </c>
      <c r="C322">
        <v>313</v>
      </c>
      <c r="D322">
        <v>22</v>
      </c>
      <c r="E322">
        <v>4</v>
      </c>
      <c r="F322">
        <v>0.34</v>
      </c>
      <c r="G322">
        <v>1.5</v>
      </c>
    </row>
    <row r="323" spans="1:7" x14ac:dyDescent="0.3">
      <c r="A323">
        <v>200</v>
      </c>
      <c r="B323">
        <v>6420</v>
      </c>
      <c r="C323">
        <v>134</v>
      </c>
      <c r="D323">
        <v>188</v>
      </c>
      <c r="E323">
        <v>4</v>
      </c>
      <c r="F323">
        <v>0.75</v>
      </c>
      <c r="G323">
        <v>22.5</v>
      </c>
    </row>
    <row r="324" spans="1:7" x14ac:dyDescent="0.3">
      <c r="A324">
        <v>30</v>
      </c>
      <c r="B324">
        <v>6413</v>
      </c>
      <c r="C324">
        <v>107</v>
      </c>
      <c r="D324">
        <v>123</v>
      </c>
      <c r="E324">
        <v>4</v>
      </c>
      <c r="F324">
        <v>0.31</v>
      </c>
      <c r="G324">
        <v>9</v>
      </c>
    </row>
    <row r="325" spans="1:7" x14ac:dyDescent="0.3">
      <c r="A325">
        <v>150</v>
      </c>
      <c r="B325">
        <v>6412</v>
      </c>
      <c r="C325">
        <v>987</v>
      </c>
      <c r="D325">
        <v>114</v>
      </c>
      <c r="E325">
        <v>1</v>
      </c>
      <c r="F325">
        <v>0.77</v>
      </c>
      <c r="G325">
        <v>13</v>
      </c>
    </row>
    <row r="326" spans="1:7" x14ac:dyDescent="0.3">
      <c r="A326">
        <v>0</v>
      </c>
      <c r="B326">
        <v>6402</v>
      </c>
      <c r="C326">
        <v>104</v>
      </c>
      <c r="D326">
        <v>23</v>
      </c>
      <c r="E326">
        <v>1</v>
      </c>
      <c r="F326">
        <v>0.5</v>
      </c>
      <c r="G326">
        <v>1.5</v>
      </c>
    </row>
    <row r="327" spans="1:7" x14ac:dyDescent="0.3">
      <c r="A327">
        <v>0</v>
      </c>
      <c r="B327">
        <v>6315</v>
      </c>
      <c r="C327">
        <v>53</v>
      </c>
      <c r="D327">
        <v>16</v>
      </c>
      <c r="E327">
        <v>4</v>
      </c>
      <c r="F327">
        <v>0.06</v>
      </c>
      <c r="G327">
        <v>1.5</v>
      </c>
    </row>
    <row r="328" spans="1:7" x14ac:dyDescent="0.3">
      <c r="A328">
        <v>65</v>
      </c>
      <c r="B328">
        <v>6293</v>
      </c>
      <c r="C328">
        <v>165</v>
      </c>
      <c r="D328">
        <v>8</v>
      </c>
      <c r="E328">
        <v>1</v>
      </c>
      <c r="F328">
        <v>0.6</v>
      </c>
      <c r="G328">
        <v>1</v>
      </c>
    </row>
    <row r="329" spans="1:7" x14ac:dyDescent="0.3">
      <c r="A329">
        <v>120</v>
      </c>
      <c r="B329">
        <v>6162</v>
      </c>
      <c r="C329">
        <v>324</v>
      </c>
      <c r="D329">
        <v>43</v>
      </c>
      <c r="E329">
        <v>3</v>
      </c>
      <c r="F329">
        <v>0</v>
      </c>
      <c r="G329">
        <v>4</v>
      </c>
    </row>
    <row r="330" spans="1:7" x14ac:dyDescent="0.3">
      <c r="A330">
        <v>150</v>
      </c>
      <c r="B330">
        <v>6153</v>
      </c>
      <c r="C330">
        <v>125</v>
      </c>
      <c r="D330">
        <v>84</v>
      </c>
      <c r="E330">
        <v>4</v>
      </c>
      <c r="F330">
        <v>0</v>
      </c>
      <c r="G330">
        <v>5</v>
      </c>
    </row>
    <row r="331" spans="1:7" x14ac:dyDescent="0.3">
      <c r="A331">
        <v>50</v>
      </c>
      <c r="B331">
        <v>6134</v>
      </c>
      <c r="C331">
        <v>93</v>
      </c>
      <c r="D331">
        <v>15</v>
      </c>
      <c r="E331">
        <v>1</v>
      </c>
      <c r="F331">
        <v>0.98</v>
      </c>
      <c r="G331">
        <v>2</v>
      </c>
    </row>
    <row r="332" spans="1:7" x14ac:dyDescent="0.3">
      <c r="A332">
        <v>195</v>
      </c>
      <c r="B332">
        <v>6134</v>
      </c>
      <c r="C332">
        <v>160</v>
      </c>
      <c r="D332">
        <v>50</v>
      </c>
      <c r="E332">
        <v>4</v>
      </c>
      <c r="F332">
        <v>0.14000000000000001</v>
      </c>
      <c r="G332">
        <v>6.5</v>
      </c>
    </row>
    <row r="333" spans="1:7" x14ac:dyDescent="0.3">
      <c r="A333">
        <v>45</v>
      </c>
      <c r="B333">
        <v>6117</v>
      </c>
      <c r="C333">
        <v>188</v>
      </c>
      <c r="D333">
        <v>28</v>
      </c>
      <c r="E333">
        <v>4</v>
      </c>
      <c r="F333">
        <v>0.76</v>
      </c>
      <c r="G333">
        <v>2.5</v>
      </c>
    </row>
    <row r="334" spans="1:7" x14ac:dyDescent="0.3">
      <c r="A334">
        <v>190</v>
      </c>
      <c r="B334">
        <v>6082</v>
      </c>
      <c r="C334">
        <v>848</v>
      </c>
      <c r="D334">
        <v>135</v>
      </c>
      <c r="E334">
        <v>1</v>
      </c>
      <c r="F334">
        <v>0.3</v>
      </c>
      <c r="G334">
        <v>9.5</v>
      </c>
    </row>
    <row r="335" spans="1:7" x14ac:dyDescent="0.3">
      <c r="A335">
        <v>195</v>
      </c>
      <c r="B335">
        <v>6073</v>
      </c>
      <c r="C335">
        <v>627</v>
      </c>
      <c r="D335">
        <v>66</v>
      </c>
      <c r="E335">
        <v>4</v>
      </c>
      <c r="F335">
        <v>0.51</v>
      </c>
      <c r="G335">
        <v>9</v>
      </c>
    </row>
    <row r="336" spans="1:7" x14ac:dyDescent="0.3">
      <c r="A336">
        <v>20</v>
      </c>
      <c r="B336">
        <v>6008</v>
      </c>
      <c r="C336">
        <v>203</v>
      </c>
      <c r="D336">
        <v>35</v>
      </c>
      <c r="E336">
        <v>4</v>
      </c>
      <c r="F336">
        <v>0.76</v>
      </c>
      <c r="G336">
        <v>4</v>
      </c>
    </row>
    <row r="337" spans="1:7" x14ac:dyDescent="0.3">
      <c r="A337">
        <v>95</v>
      </c>
      <c r="B337">
        <v>6000</v>
      </c>
      <c r="C337">
        <v>21</v>
      </c>
      <c r="D337">
        <v>25</v>
      </c>
      <c r="E337">
        <v>4</v>
      </c>
      <c r="F337">
        <v>0.2</v>
      </c>
      <c r="G337">
        <v>1.5</v>
      </c>
    </row>
    <row r="338" spans="1:7" x14ac:dyDescent="0.3">
      <c r="A338">
        <v>100</v>
      </c>
      <c r="B338">
        <v>5962</v>
      </c>
      <c r="C338">
        <v>466</v>
      </c>
      <c r="D338">
        <v>132</v>
      </c>
      <c r="E338">
        <v>1</v>
      </c>
      <c r="F338">
        <v>1</v>
      </c>
      <c r="G338">
        <v>16</v>
      </c>
    </row>
    <row r="339" spans="1:7" x14ac:dyDescent="0.3">
      <c r="A339">
        <v>50</v>
      </c>
      <c r="B339">
        <v>5921</v>
      </c>
      <c r="C339">
        <v>35</v>
      </c>
      <c r="D339">
        <v>42</v>
      </c>
      <c r="E339">
        <v>4</v>
      </c>
      <c r="F339">
        <v>0.01</v>
      </c>
      <c r="G339">
        <v>4.5</v>
      </c>
    </row>
    <row r="340" spans="1:7" x14ac:dyDescent="0.3">
      <c r="A340">
        <v>110</v>
      </c>
      <c r="B340">
        <v>5811</v>
      </c>
      <c r="C340">
        <v>850</v>
      </c>
      <c r="D340">
        <v>114</v>
      </c>
      <c r="E340">
        <v>4</v>
      </c>
      <c r="F340">
        <v>0.76</v>
      </c>
      <c r="G340">
        <v>6</v>
      </c>
    </row>
    <row r="341" spans="1:7" x14ac:dyDescent="0.3">
      <c r="A341">
        <v>200</v>
      </c>
      <c r="B341">
        <v>5809</v>
      </c>
      <c r="C341">
        <v>1445</v>
      </c>
      <c r="D341">
        <v>61</v>
      </c>
      <c r="E341">
        <v>4</v>
      </c>
      <c r="F341">
        <v>0.36</v>
      </c>
      <c r="G341">
        <v>15</v>
      </c>
    </row>
    <row r="342" spans="1:7" x14ac:dyDescent="0.3">
      <c r="A342">
        <v>100</v>
      </c>
      <c r="B342">
        <v>5800</v>
      </c>
      <c r="C342">
        <v>185</v>
      </c>
      <c r="D342">
        <v>32</v>
      </c>
      <c r="E342">
        <v>2</v>
      </c>
      <c r="F342">
        <v>0.88</v>
      </c>
      <c r="G342">
        <v>3.5</v>
      </c>
    </row>
    <row r="343" spans="1:7" x14ac:dyDescent="0.3">
      <c r="A343">
        <v>20</v>
      </c>
      <c r="B343">
        <v>5795</v>
      </c>
      <c r="C343">
        <v>79</v>
      </c>
      <c r="D343">
        <v>29</v>
      </c>
      <c r="E343">
        <v>4</v>
      </c>
      <c r="F343">
        <v>0</v>
      </c>
      <c r="G343">
        <v>2.5</v>
      </c>
    </row>
    <row r="344" spans="1:7" x14ac:dyDescent="0.3">
      <c r="A344">
        <v>200</v>
      </c>
      <c r="B344">
        <v>5739</v>
      </c>
      <c r="C344">
        <v>26</v>
      </c>
      <c r="D344">
        <v>29</v>
      </c>
      <c r="E344">
        <v>1</v>
      </c>
      <c r="F344">
        <v>0.94</v>
      </c>
      <c r="G344">
        <v>2.5</v>
      </c>
    </row>
    <row r="345" spans="1:7" x14ac:dyDescent="0.3">
      <c r="A345">
        <v>95</v>
      </c>
      <c r="B345">
        <v>5738</v>
      </c>
      <c r="C345">
        <v>9</v>
      </c>
      <c r="D345">
        <v>35</v>
      </c>
      <c r="E345">
        <v>4</v>
      </c>
      <c r="F345">
        <v>0.5</v>
      </c>
      <c r="G345">
        <v>4</v>
      </c>
    </row>
    <row r="346" spans="1:7" x14ac:dyDescent="0.3">
      <c r="A346">
        <v>100</v>
      </c>
      <c r="B346">
        <v>5715</v>
      </c>
      <c r="C346">
        <v>52</v>
      </c>
      <c r="D346">
        <v>31</v>
      </c>
      <c r="E346">
        <v>2</v>
      </c>
      <c r="F346">
        <v>0.89</v>
      </c>
      <c r="G346">
        <v>3</v>
      </c>
    </row>
    <row r="347" spans="1:7" x14ac:dyDescent="0.3">
      <c r="A347">
        <v>200</v>
      </c>
      <c r="B347">
        <v>5603</v>
      </c>
      <c r="C347">
        <v>46</v>
      </c>
      <c r="D347">
        <v>47</v>
      </c>
      <c r="E347">
        <v>1</v>
      </c>
      <c r="F347">
        <v>0.76</v>
      </c>
      <c r="G347">
        <v>4</v>
      </c>
    </row>
    <row r="348" spans="1:7" x14ac:dyDescent="0.3">
      <c r="A348">
        <v>200</v>
      </c>
      <c r="B348">
        <v>5559</v>
      </c>
      <c r="C348">
        <v>35</v>
      </c>
      <c r="D348">
        <v>21</v>
      </c>
      <c r="E348">
        <v>4</v>
      </c>
      <c r="F348">
        <v>0.88</v>
      </c>
      <c r="G348">
        <v>2</v>
      </c>
    </row>
    <row r="349" spans="1:7" x14ac:dyDescent="0.3">
      <c r="A349">
        <v>50</v>
      </c>
      <c r="B349">
        <v>5549</v>
      </c>
      <c r="C349">
        <v>92</v>
      </c>
      <c r="D349">
        <v>143</v>
      </c>
      <c r="E349">
        <v>4</v>
      </c>
      <c r="F349">
        <v>0.76</v>
      </c>
      <c r="G349">
        <v>15.5</v>
      </c>
    </row>
    <row r="350" spans="1:7" x14ac:dyDescent="0.3">
      <c r="A350">
        <v>40</v>
      </c>
      <c r="B350">
        <v>5547</v>
      </c>
      <c r="C350">
        <v>80</v>
      </c>
      <c r="D350">
        <v>40</v>
      </c>
      <c r="E350">
        <v>4</v>
      </c>
      <c r="F350">
        <v>0.8</v>
      </c>
      <c r="G350">
        <v>3.5</v>
      </c>
    </row>
    <row r="351" spans="1:7" x14ac:dyDescent="0.3">
      <c r="A351">
        <v>0</v>
      </c>
      <c r="B351">
        <v>5542</v>
      </c>
      <c r="C351">
        <v>54</v>
      </c>
      <c r="D351">
        <v>9</v>
      </c>
      <c r="E351">
        <v>4</v>
      </c>
      <c r="F351">
        <v>0.18</v>
      </c>
      <c r="G351">
        <v>1</v>
      </c>
    </row>
    <row r="352" spans="1:7" x14ac:dyDescent="0.3">
      <c r="A352">
        <v>0</v>
      </c>
      <c r="B352">
        <v>5533</v>
      </c>
      <c r="C352">
        <v>137</v>
      </c>
      <c r="D352">
        <v>11</v>
      </c>
      <c r="E352">
        <v>1</v>
      </c>
      <c r="F352">
        <v>0.14000000000000001</v>
      </c>
      <c r="G352">
        <v>1</v>
      </c>
    </row>
    <row r="353" spans="1:7" x14ac:dyDescent="0.3">
      <c r="A353">
        <v>150</v>
      </c>
      <c r="B353">
        <v>5495</v>
      </c>
      <c r="C353">
        <v>52</v>
      </c>
      <c r="D353">
        <v>18</v>
      </c>
      <c r="E353">
        <v>1</v>
      </c>
      <c r="F353">
        <v>0.89</v>
      </c>
      <c r="G353">
        <v>1.5</v>
      </c>
    </row>
    <row r="354" spans="1:7" x14ac:dyDescent="0.3">
      <c r="A354">
        <v>125</v>
      </c>
      <c r="B354">
        <v>5484</v>
      </c>
      <c r="C354">
        <v>439</v>
      </c>
      <c r="D354">
        <v>92</v>
      </c>
      <c r="E354">
        <v>4</v>
      </c>
      <c r="F354">
        <v>0.67</v>
      </c>
      <c r="G354">
        <v>12.5</v>
      </c>
    </row>
    <row r="355" spans="1:7" x14ac:dyDescent="0.3">
      <c r="A355">
        <v>100</v>
      </c>
      <c r="B355">
        <v>5456</v>
      </c>
      <c r="C355">
        <v>133</v>
      </c>
      <c r="D355">
        <v>25</v>
      </c>
      <c r="E355">
        <v>1</v>
      </c>
      <c r="F355">
        <v>0.8</v>
      </c>
      <c r="G355">
        <v>1</v>
      </c>
    </row>
    <row r="356" spans="1:7" x14ac:dyDescent="0.3">
      <c r="A356">
        <v>200</v>
      </c>
      <c r="B356">
        <v>5439</v>
      </c>
      <c r="C356">
        <v>22</v>
      </c>
      <c r="D356">
        <v>24</v>
      </c>
      <c r="E356">
        <v>1</v>
      </c>
      <c r="F356">
        <v>0.94</v>
      </c>
      <c r="G356">
        <v>4</v>
      </c>
    </row>
    <row r="357" spans="1:7" x14ac:dyDescent="0.3">
      <c r="A357">
        <v>0</v>
      </c>
      <c r="B357">
        <v>5421</v>
      </c>
      <c r="C357">
        <v>93</v>
      </c>
      <c r="D357">
        <v>20</v>
      </c>
      <c r="E357">
        <v>1</v>
      </c>
      <c r="F357">
        <v>0.34</v>
      </c>
      <c r="G357">
        <v>1.5</v>
      </c>
    </row>
    <row r="358" spans="1:7" x14ac:dyDescent="0.3">
      <c r="A358">
        <v>50</v>
      </c>
      <c r="B358">
        <v>5398</v>
      </c>
      <c r="C358">
        <v>358</v>
      </c>
      <c r="D358">
        <v>83</v>
      </c>
      <c r="E358">
        <v>1</v>
      </c>
      <c r="F358">
        <v>0.57999999999999996</v>
      </c>
      <c r="G358">
        <v>10.5</v>
      </c>
    </row>
    <row r="359" spans="1:7" x14ac:dyDescent="0.3">
      <c r="A359">
        <v>0</v>
      </c>
      <c r="B359">
        <v>5397</v>
      </c>
      <c r="C359">
        <v>112</v>
      </c>
      <c r="D359">
        <v>36</v>
      </c>
      <c r="E359">
        <v>4</v>
      </c>
      <c r="F359">
        <v>0.14000000000000001</v>
      </c>
      <c r="G359">
        <v>2.5</v>
      </c>
    </row>
    <row r="360" spans="1:7" x14ac:dyDescent="0.3">
      <c r="A360">
        <v>40</v>
      </c>
      <c r="B360">
        <v>5387</v>
      </c>
      <c r="C360">
        <v>38</v>
      </c>
      <c r="D360">
        <v>15</v>
      </c>
      <c r="E360">
        <v>4</v>
      </c>
      <c r="F360">
        <v>0.96</v>
      </c>
      <c r="G360">
        <v>1</v>
      </c>
    </row>
    <row r="361" spans="1:7" x14ac:dyDescent="0.3">
      <c r="A361">
        <v>35</v>
      </c>
      <c r="B361">
        <v>5368</v>
      </c>
      <c r="C361">
        <v>78</v>
      </c>
      <c r="D361">
        <v>20</v>
      </c>
      <c r="E361">
        <v>4</v>
      </c>
      <c r="F361">
        <v>0.32</v>
      </c>
      <c r="G361">
        <v>2</v>
      </c>
    </row>
    <row r="362" spans="1:7" x14ac:dyDescent="0.3">
      <c r="A362">
        <v>0</v>
      </c>
      <c r="B362">
        <v>5351</v>
      </c>
      <c r="C362">
        <v>235</v>
      </c>
      <c r="D362">
        <v>13</v>
      </c>
      <c r="E362">
        <v>2</v>
      </c>
      <c r="F362">
        <v>0.76</v>
      </c>
      <c r="G362">
        <v>1.5</v>
      </c>
    </row>
    <row r="363" spans="1:7" x14ac:dyDescent="0.3">
      <c r="A363">
        <v>195</v>
      </c>
      <c r="B363">
        <v>5335</v>
      </c>
      <c r="C363">
        <v>105</v>
      </c>
      <c r="D363">
        <v>117</v>
      </c>
      <c r="E363">
        <v>4</v>
      </c>
      <c r="F363">
        <v>0.7</v>
      </c>
      <c r="G363">
        <v>14</v>
      </c>
    </row>
    <row r="364" spans="1:7" x14ac:dyDescent="0.3">
      <c r="A364">
        <v>190</v>
      </c>
      <c r="B364">
        <v>5332</v>
      </c>
      <c r="C364">
        <v>828</v>
      </c>
      <c r="D364">
        <v>160</v>
      </c>
      <c r="E364">
        <v>1</v>
      </c>
      <c r="F364">
        <v>0.52</v>
      </c>
      <c r="G364">
        <v>10.5</v>
      </c>
    </row>
    <row r="365" spans="1:7" x14ac:dyDescent="0.3">
      <c r="A365">
        <v>20</v>
      </c>
      <c r="B365">
        <v>5328</v>
      </c>
      <c r="C365">
        <v>47</v>
      </c>
      <c r="D365">
        <v>28</v>
      </c>
      <c r="E365">
        <v>1</v>
      </c>
      <c r="F365">
        <v>0.78</v>
      </c>
      <c r="G365">
        <v>3.5</v>
      </c>
    </row>
    <row r="366" spans="1:7" x14ac:dyDescent="0.3">
      <c r="A366">
        <v>30</v>
      </c>
      <c r="B366">
        <v>5324</v>
      </c>
      <c r="C366">
        <v>52</v>
      </c>
      <c r="D366">
        <v>14</v>
      </c>
      <c r="E366">
        <v>4</v>
      </c>
      <c r="F366">
        <v>0.47</v>
      </c>
      <c r="G366">
        <v>2.5</v>
      </c>
    </row>
    <row r="367" spans="1:7" x14ac:dyDescent="0.3">
      <c r="A367">
        <v>20</v>
      </c>
      <c r="B367">
        <v>5318</v>
      </c>
      <c r="C367">
        <v>56</v>
      </c>
      <c r="D367">
        <v>13</v>
      </c>
      <c r="E367">
        <v>4</v>
      </c>
      <c r="F367">
        <v>0.78</v>
      </c>
      <c r="G367">
        <v>1.5</v>
      </c>
    </row>
    <row r="368" spans="1:7" x14ac:dyDescent="0.3">
      <c r="A368">
        <v>0</v>
      </c>
      <c r="B368">
        <v>5301</v>
      </c>
      <c r="C368">
        <v>174</v>
      </c>
      <c r="D368">
        <v>6</v>
      </c>
      <c r="E368">
        <v>1</v>
      </c>
      <c r="F368">
        <v>0.57999999999999996</v>
      </c>
      <c r="G368">
        <v>0.5</v>
      </c>
    </row>
    <row r="369" spans="1:7" x14ac:dyDescent="0.3">
      <c r="A369">
        <v>50</v>
      </c>
      <c r="B369">
        <v>5279</v>
      </c>
      <c r="C369">
        <v>1375</v>
      </c>
      <c r="D369">
        <v>123</v>
      </c>
      <c r="E369">
        <v>1</v>
      </c>
      <c r="F369">
        <v>0.33</v>
      </c>
      <c r="G369">
        <v>14.5</v>
      </c>
    </row>
    <row r="370" spans="1:7" x14ac:dyDescent="0.3">
      <c r="A370">
        <v>20</v>
      </c>
      <c r="B370">
        <v>5272</v>
      </c>
      <c r="C370">
        <v>111</v>
      </c>
      <c r="D370">
        <v>24</v>
      </c>
      <c r="E370">
        <v>1</v>
      </c>
      <c r="F370">
        <v>0.47</v>
      </c>
      <c r="G370">
        <v>2</v>
      </c>
    </row>
    <row r="371" spans="1:7" x14ac:dyDescent="0.3">
      <c r="A371">
        <v>75</v>
      </c>
      <c r="B371">
        <v>5263</v>
      </c>
      <c r="C371">
        <v>29</v>
      </c>
      <c r="D371">
        <v>29</v>
      </c>
      <c r="E371">
        <v>4</v>
      </c>
      <c r="F371">
        <v>0.14000000000000001</v>
      </c>
      <c r="G371">
        <v>2</v>
      </c>
    </row>
    <row r="372" spans="1:7" x14ac:dyDescent="0.3">
      <c r="A372">
        <v>20</v>
      </c>
      <c r="B372">
        <v>5228</v>
      </c>
      <c r="C372">
        <v>180</v>
      </c>
      <c r="D372">
        <v>27</v>
      </c>
      <c r="E372">
        <v>4</v>
      </c>
      <c r="F372">
        <v>0.3</v>
      </c>
      <c r="G372">
        <v>2.5</v>
      </c>
    </row>
    <row r="373" spans="1:7" x14ac:dyDescent="0.3">
      <c r="A373">
        <v>200</v>
      </c>
      <c r="B373">
        <v>5211</v>
      </c>
      <c r="C373">
        <v>414</v>
      </c>
      <c r="D373">
        <v>133</v>
      </c>
      <c r="E373">
        <v>4</v>
      </c>
      <c r="F373">
        <v>0.46</v>
      </c>
      <c r="G373">
        <v>19.5</v>
      </c>
    </row>
    <row r="374" spans="1:7" x14ac:dyDescent="0.3">
      <c r="A374">
        <v>0</v>
      </c>
      <c r="B374">
        <v>5181</v>
      </c>
      <c r="C374">
        <v>64</v>
      </c>
      <c r="D374">
        <v>22</v>
      </c>
      <c r="E374">
        <v>1</v>
      </c>
      <c r="F374">
        <v>0.37</v>
      </c>
      <c r="G374">
        <v>2.5</v>
      </c>
    </row>
    <row r="375" spans="1:7" x14ac:dyDescent="0.3">
      <c r="A375">
        <v>95</v>
      </c>
      <c r="B375">
        <v>5177</v>
      </c>
      <c r="C375">
        <v>318</v>
      </c>
      <c r="D375">
        <v>70</v>
      </c>
      <c r="E375">
        <v>1</v>
      </c>
      <c r="F375">
        <v>0.67</v>
      </c>
      <c r="G375">
        <v>13.5</v>
      </c>
    </row>
    <row r="376" spans="1:7" x14ac:dyDescent="0.3">
      <c r="A376">
        <v>110</v>
      </c>
      <c r="B376">
        <v>5151</v>
      </c>
      <c r="C376">
        <v>737</v>
      </c>
      <c r="D376">
        <v>115</v>
      </c>
      <c r="E376">
        <v>4</v>
      </c>
      <c r="F376">
        <v>0.14000000000000001</v>
      </c>
      <c r="G376">
        <v>12.5</v>
      </c>
    </row>
    <row r="377" spans="1:7" x14ac:dyDescent="0.3">
      <c r="A377">
        <v>50</v>
      </c>
      <c r="B377">
        <v>5143</v>
      </c>
      <c r="C377">
        <v>941</v>
      </c>
      <c r="D377">
        <v>80</v>
      </c>
      <c r="E377">
        <v>1</v>
      </c>
      <c r="F377">
        <v>0.66</v>
      </c>
      <c r="G377">
        <v>12</v>
      </c>
    </row>
    <row r="378" spans="1:7" x14ac:dyDescent="0.3">
      <c r="A378">
        <v>200</v>
      </c>
      <c r="B378">
        <v>5129</v>
      </c>
      <c r="C378">
        <v>183</v>
      </c>
      <c r="D378">
        <v>35</v>
      </c>
      <c r="E378">
        <v>1</v>
      </c>
      <c r="F378">
        <v>0.68</v>
      </c>
      <c r="G378">
        <v>1.5</v>
      </c>
    </row>
    <row r="379" spans="1:7" x14ac:dyDescent="0.3">
      <c r="A379">
        <v>20</v>
      </c>
      <c r="B379">
        <v>5125</v>
      </c>
      <c r="C379">
        <v>395</v>
      </c>
      <c r="D379">
        <v>53</v>
      </c>
      <c r="E379">
        <v>3</v>
      </c>
      <c r="F379">
        <v>0.74</v>
      </c>
      <c r="G379">
        <v>7</v>
      </c>
    </row>
    <row r="380" spans="1:7" x14ac:dyDescent="0.3">
      <c r="A380">
        <v>100</v>
      </c>
      <c r="B380">
        <v>5117</v>
      </c>
      <c r="C380">
        <v>463</v>
      </c>
      <c r="D380">
        <v>138</v>
      </c>
      <c r="E380">
        <v>1</v>
      </c>
      <c r="F380">
        <v>0.53</v>
      </c>
      <c r="G380">
        <v>14.5</v>
      </c>
    </row>
    <row r="381" spans="1:7" x14ac:dyDescent="0.3">
      <c r="A381">
        <v>100</v>
      </c>
      <c r="B381">
        <v>5097</v>
      </c>
      <c r="C381">
        <v>196</v>
      </c>
      <c r="D381">
        <v>37</v>
      </c>
      <c r="E381">
        <v>1</v>
      </c>
      <c r="F381">
        <v>0.56000000000000005</v>
      </c>
      <c r="G381">
        <v>2</v>
      </c>
    </row>
    <row r="382" spans="1:7" x14ac:dyDescent="0.3">
      <c r="A382">
        <v>100</v>
      </c>
      <c r="B382">
        <v>5089</v>
      </c>
      <c r="C382">
        <v>685</v>
      </c>
      <c r="D382">
        <v>29</v>
      </c>
      <c r="E382">
        <v>4</v>
      </c>
      <c r="F382">
        <v>0.74</v>
      </c>
      <c r="G382">
        <v>3.5</v>
      </c>
    </row>
    <row r="383" spans="1:7" x14ac:dyDescent="0.3">
      <c r="A383">
        <v>195</v>
      </c>
      <c r="B383">
        <v>5085</v>
      </c>
      <c r="C383">
        <v>106</v>
      </c>
      <c r="D383">
        <v>27</v>
      </c>
      <c r="E383">
        <v>4</v>
      </c>
      <c r="F383">
        <v>0.64</v>
      </c>
      <c r="G383">
        <v>6.5</v>
      </c>
    </row>
    <row r="384" spans="1:7" x14ac:dyDescent="0.3">
      <c r="A384">
        <v>45</v>
      </c>
      <c r="B384">
        <v>5077</v>
      </c>
      <c r="C384">
        <v>126</v>
      </c>
      <c r="D384">
        <v>66</v>
      </c>
      <c r="E384">
        <v>4</v>
      </c>
      <c r="F384">
        <v>0.99</v>
      </c>
      <c r="G384">
        <v>3.5</v>
      </c>
    </row>
    <row r="385" spans="1:7" x14ac:dyDescent="0.3">
      <c r="A385">
        <v>95</v>
      </c>
      <c r="B385">
        <v>5065</v>
      </c>
      <c r="C385">
        <v>40</v>
      </c>
      <c r="D385">
        <v>12</v>
      </c>
      <c r="E385">
        <v>4</v>
      </c>
      <c r="F385">
        <v>0.99</v>
      </c>
      <c r="G385">
        <v>0.53333333000000005</v>
      </c>
    </row>
    <row r="386" spans="1:7" x14ac:dyDescent="0.3">
      <c r="A386">
        <v>20</v>
      </c>
      <c r="B386">
        <v>5056</v>
      </c>
      <c r="C386">
        <v>74</v>
      </c>
      <c r="D386">
        <v>11</v>
      </c>
      <c r="E386">
        <v>4</v>
      </c>
      <c r="F386">
        <v>0.99</v>
      </c>
      <c r="G386">
        <v>2</v>
      </c>
    </row>
    <row r="387" spans="1:7" x14ac:dyDescent="0.3">
      <c r="A387">
        <v>0</v>
      </c>
      <c r="B387">
        <v>5052</v>
      </c>
      <c r="C387">
        <v>92</v>
      </c>
      <c r="D387">
        <v>23</v>
      </c>
      <c r="E387">
        <v>2</v>
      </c>
      <c r="F387">
        <v>0.99</v>
      </c>
      <c r="G387">
        <v>1.5</v>
      </c>
    </row>
    <row r="388" spans="1:7" x14ac:dyDescent="0.3">
      <c r="A388">
        <v>80</v>
      </c>
      <c r="B388">
        <v>5026</v>
      </c>
      <c r="C388">
        <v>72</v>
      </c>
      <c r="D388">
        <v>43</v>
      </c>
      <c r="E388">
        <v>2</v>
      </c>
      <c r="F388">
        <v>0.99</v>
      </c>
      <c r="G388">
        <v>3</v>
      </c>
    </row>
    <row r="389" spans="1:7" x14ac:dyDescent="0.3">
      <c r="A389">
        <v>75</v>
      </c>
      <c r="B389">
        <v>5022</v>
      </c>
      <c r="C389">
        <v>38</v>
      </c>
      <c r="D389">
        <v>13</v>
      </c>
      <c r="E389">
        <v>1</v>
      </c>
      <c r="F389">
        <v>0.99</v>
      </c>
      <c r="G389">
        <v>1</v>
      </c>
    </row>
    <row r="390" spans="1:7" x14ac:dyDescent="0.3">
      <c r="A390">
        <v>0</v>
      </c>
      <c r="B390">
        <v>5014</v>
      </c>
      <c r="C390">
        <v>196</v>
      </c>
      <c r="D390">
        <v>32</v>
      </c>
      <c r="E390">
        <v>2</v>
      </c>
      <c r="F390">
        <v>0.99</v>
      </c>
      <c r="G390">
        <v>3</v>
      </c>
    </row>
    <row r="391" spans="1:7" x14ac:dyDescent="0.3">
      <c r="A391">
        <v>0</v>
      </c>
      <c r="B391">
        <v>5004</v>
      </c>
      <c r="C391">
        <v>52</v>
      </c>
      <c r="D391">
        <v>21</v>
      </c>
      <c r="E391">
        <v>4</v>
      </c>
      <c r="F391">
        <v>0.99</v>
      </c>
      <c r="G391">
        <v>3</v>
      </c>
    </row>
    <row r="392" spans="1:7" x14ac:dyDescent="0.3">
      <c r="A392">
        <v>90</v>
      </c>
      <c r="B392">
        <v>4957</v>
      </c>
      <c r="C392">
        <v>634</v>
      </c>
      <c r="D392">
        <v>60</v>
      </c>
      <c r="E392">
        <v>1</v>
      </c>
      <c r="F392">
        <v>0.99</v>
      </c>
      <c r="G392">
        <v>5.5</v>
      </c>
    </row>
    <row r="393" spans="1:7" x14ac:dyDescent="0.3">
      <c r="A393">
        <v>0</v>
      </c>
      <c r="B393">
        <v>4905</v>
      </c>
      <c r="C393">
        <v>101</v>
      </c>
      <c r="D393">
        <v>13</v>
      </c>
      <c r="E393">
        <v>1</v>
      </c>
      <c r="F393">
        <v>0.99</v>
      </c>
      <c r="G393">
        <v>1</v>
      </c>
    </row>
    <row r="394" spans="1:7" x14ac:dyDescent="0.3">
      <c r="A394">
        <v>50</v>
      </c>
      <c r="B394">
        <v>4892</v>
      </c>
      <c r="C394">
        <v>49</v>
      </c>
      <c r="D394">
        <v>32</v>
      </c>
      <c r="E394">
        <v>1</v>
      </c>
      <c r="F394">
        <v>0.99</v>
      </c>
      <c r="G394">
        <v>2</v>
      </c>
    </row>
    <row r="395" spans="1:7" x14ac:dyDescent="0.3">
      <c r="A395">
        <v>65</v>
      </c>
      <c r="B395">
        <v>4872</v>
      </c>
      <c r="C395">
        <v>662</v>
      </c>
      <c r="D395">
        <v>171</v>
      </c>
      <c r="E395">
        <v>4</v>
      </c>
      <c r="F395">
        <v>0.99</v>
      </c>
      <c r="G395">
        <v>19</v>
      </c>
    </row>
    <row r="396" spans="1:7" x14ac:dyDescent="0.3">
      <c r="A396">
        <v>20</v>
      </c>
      <c r="B396">
        <v>4867</v>
      </c>
      <c r="C396">
        <v>128</v>
      </c>
      <c r="D396">
        <v>12</v>
      </c>
      <c r="E396">
        <v>4</v>
      </c>
      <c r="F396">
        <v>0.99</v>
      </c>
      <c r="G396">
        <v>1</v>
      </c>
    </row>
    <row r="397" spans="1:7" x14ac:dyDescent="0.3">
      <c r="A397">
        <v>20</v>
      </c>
      <c r="B397">
        <v>4848</v>
      </c>
      <c r="C397">
        <v>33</v>
      </c>
      <c r="D397">
        <v>17</v>
      </c>
      <c r="E397">
        <v>1</v>
      </c>
      <c r="F397">
        <v>0.99</v>
      </c>
      <c r="G397">
        <v>1.5</v>
      </c>
    </row>
    <row r="398" spans="1:7" x14ac:dyDescent="0.3">
      <c r="A398">
        <v>30</v>
      </c>
      <c r="B398">
        <v>4848</v>
      </c>
      <c r="C398">
        <v>105</v>
      </c>
      <c r="D398">
        <v>123</v>
      </c>
      <c r="E398">
        <v>4</v>
      </c>
      <c r="F398">
        <v>0.99</v>
      </c>
      <c r="G398">
        <v>16.5</v>
      </c>
    </row>
    <row r="399" spans="1:7" x14ac:dyDescent="0.3">
      <c r="A399">
        <v>35</v>
      </c>
      <c r="B399">
        <v>4839</v>
      </c>
      <c r="C399">
        <v>129</v>
      </c>
      <c r="D399">
        <v>84</v>
      </c>
      <c r="E399">
        <v>1</v>
      </c>
      <c r="F399">
        <v>0.99</v>
      </c>
      <c r="G399">
        <v>4</v>
      </c>
    </row>
    <row r="400" spans="1:7" x14ac:dyDescent="0.3">
      <c r="A400">
        <v>0</v>
      </c>
      <c r="B400">
        <v>4830</v>
      </c>
      <c r="C400">
        <v>38</v>
      </c>
      <c r="D400">
        <v>7</v>
      </c>
      <c r="E400">
        <v>1</v>
      </c>
      <c r="F400">
        <v>0.99</v>
      </c>
      <c r="G400">
        <v>0.53333333000000005</v>
      </c>
    </row>
    <row r="401" spans="1:7" x14ac:dyDescent="0.3">
      <c r="A401">
        <v>75</v>
      </c>
      <c r="B401">
        <v>4820</v>
      </c>
      <c r="C401">
        <v>983</v>
      </c>
      <c r="D401">
        <v>53</v>
      </c>
      <c r="E401">
        <v>4</v>
      </c>
      <c r="F401">
        <v>0.99</v>
      </c>
      <c r="G401">
        <v>11.5</v>
      </c>
    </row>
    <row r="402" spans="1:7" x14ac:dyDescent="0.3">
      <c r="A402">
        <v>65</v>
      </c>
      <c r="B402">
        <v>4797</v>
      </c>
      <c r="C402">
        <v>97</v>
      </c>
      <c r="D402">
        <v>11</v>
      </c>
      <c r="E402">
        <v>4</v>
      </c>
      <c r="F402">
        <v>0.99</v>
      </c>
      <c r="G402">
        <v>1</v>
      </c>
    </row>
    <row r="403" spans="1:7" x14ac:dyDescent="0.3">
      <c r="A403">
        <v>175</v>
      </c>
      <c r="B403">
        <v>4783</v>
      </c>
      <c r="C403">
        <v>41</v>
      </c>
      <c r="D403">
        <v>48</v>
      </c>
      <c r="E403">
        <v>4</v>
      </c>
      <c r="F403">
        <v>0.99</v>
      </c>
      <c r="G403">
        <v>7</v>
      </c>
    </row>
    <row r="404" spans="1:7" x14ac:dyDescent="0.3">
      <c r="A404">
        <v>75</v>
      </c>
      <c r="B404">
        <v>4743</v>
      </c>
      <c r="C404">
        <v>393</v>
      </c>
      <c r="D404">
        <v>28</v>
      </c>
      <c r="E404">
        <v>4</v>
      </c>
      <c r="F404">
        <v>0.99</v>
      </c>
      <c r="G404">
        <v>3</v>
      </c>
    </row>
    <row r="405" spans="1:7" x14ac:dyDescent="0.3">
      <c r="A405">
        <v>0</v>
      </c>
      <c r="B405">
        <v>4735</v>
      </c>
      <c r="C405">
        <v>81</v>
      </c>
      <c r="D405">
        <v>69</v>
      </c>
      <c r="E405">
        <v>2</v>
      </c>
      <c r="F405">
        <v>0.99</v>
      </c>
      <c r="G405">
        <v>5</v>
      </c>
    </row>
    <row r="406" spans="1:7" x14ac:dyDescent="0.3">
      <c r="A406">
        <v>50</v>
      </c>
      <c r="B406">
        <v>4732</v>
      </c>
      <c r="C406">
        <v>5</v>
      </c>
      <c r="D406">
        <v>14</v>
      </c>
      <c r="E406">
        <v>4</v>
      </c>
      <c r="F406">
        <v>0.99</v>
      </c>
      <c r="G406">
        <v>2</v>
      </c>
    </row>
    <row r="407" spans="1:7" x14ac:dyDescent="0.3">
      <c r="A407">
        <v>110</v>
      </c>
      <c r="B407">
        <v>4720</v>
      </c>
      <c r="C407">
        <v>1017</v>
      </c>
      <c r="D407">
        <v>126</v>
      </c>
      <c r="E407">
        <v>1</v>
      </c>
      <c r="F407">
        <v>0.99</v>
      </c>
      <c r="G407">
        <v>7.5</v>
      </c>
    </row>
    <row r="408" spans="1:7" x14ac:dyDescent="0.3">
      <c r="A408">
        <v>200</v>
      </c>
      <c r="B408">
        <v>4714</v>
      </c>
      <c r="C408">
        <v>149</v>
      </c>
      <c r="D408">
        <v>28</v>
      </c>
      <c r="E408">
        <v>1</v>
      </c>
      <c r="F408">
        <v>0.99</v>
      </c>
      <c r="G408">
        <v>4</v>
      </c>
    </row>
    <row r="409" spans="1:7" x14ac:dyDescent="0.3">
      <c r="A409">
        <v>195</v>
      </c>
      <c r="B409">
        <v>4708</v>
      </c>
      <c r="C409">
        <v>111</v>
      </c>
      <c r="D409">
        <v>18</v>
      </c>
      <c r="E409">
        <v>1</v>
      </c>
      <c r="F409">
        <v>0.21</v>
      </c>
      <c r="G409">
        <v>2.5</v>
      </c>
    </row>
    <row r="410" spans="1:7" x14ac:dyDescent="0.3">
      <c r="A410">
        <v>60</v>
      </c>
      <c r="B410">
        <v>4689</v>
      </c>
      <c r="C410">
        <v>216</v>
      </c>
      <c r="D410">
        <v>54</v>
      </c>
      <c r="E410">
        <v>1</v>
      </c>
      <c r="F410">
        <v>0.52</v>
      </c>
      <c r="G410">
        <v>10</v>
      </c>
    </row>
    <row r="411" spans="1:7" x14ac:dyDescent="0.3">
      <c r="A411">
        <v>195</v>
      </c>
      <c r="B411">
        <v>4687</v>
      </c>
      <c r="C411">
        <v>99</v>
      </c>
      <c r="D411">
        <v>24</v>
      </c>
      <c r="E411">
        <v>4</v>
      </c>
      <c r="F411">
        <v>0.14000000000000001</v>
      </c>
      <c r="G411">
        <v>4</v>
      </c>
    </row>
    <row r="412" spans="1:7" x14ac:dyDescent="0.3">
      <c r="A412">
        <v>95</v>
      </c>
      <c r="B412">
        <v>4675</v>
      </c>
      <c r="C412">
        <v>15</v>
      </c>
      <c r="D412">
        <v>56</v>
      </c>
      <c r="E412">
        <v>1</v>
      </c>
      <c r="F412">
        <v>0.15</v>
      </c>
      <c r="G412">
        <v>6</v>
      </c>
    </row>
    <row r="413" spans="1:7" x14ac:dyDescent="0.3">
      <c r="A413">
        <v>0</v>
      </c>
      <c r="B413">
        <v>4645</v>
      </c>
      <c r="C413">
        <v>171</v>
      </c>
      <c r="D413">
        <v>19</v>
      </c>
      <c r="E413">
        <v>4</v>
      </c>
      <c r="F413">
        <v>0.96</v>
      </c>
      <c r="G413">
        <v>2</v>
      </c>
    </row>
    <row r="414" spans="1:7" x14ac:dyDescent="0.3">
      <c r="A414">
        <v>50</v>
      </c>
      <c r="B414">
        <v>4628</v>
      </c>
      <c r="C414">
        <v>247</v>
      </c>
      <c r="D414">
        <v>93</v>
      </c>
      <c r="E414">
        <v>2</v>
      </c>
      <c r="F414">
        <v>0.2</v>
      </c>
      <c r="G414">
        <v>12</v>
      </c>
    </row>
    <row r="415" spans="1:7" x14ac:dyDescent="0.3">
      <c r="A415">
        <v>80</v>
      </c>
      <c r="B415">
        <v>4616</v>
      </c>
      <c r="C415">
        <v>20</v>
      </c>
      <c r="D415">
        <v>19</v>
      </c>
      <c r="E415">
        <v>4</v>
      </c>
      <c r="F415">
        <v>0.45</v>
      </c>
      <c r="G415">
        <v>2</v>
      </c>
    </row>
    <row r="416" spans="1:7" x14ac:dyDescent="0.3">
      <c r="A416">
        <v>195</v>
      </c>
      <c r="B416">
        <v>4587</v>
      </c>
      <c r="C416">
        <v>46</v>
      </c>
      <c r="D416">
        <v>49</v>
      </c>
      <c r="E416">
        <v>1</v>
      </c>
      <c r="F416">
        <v>0.14000000000000001</v>
      </c>
      <c r="G416">
        <v>4</v>
      </c>
    </row>
    <row r="417" spans="1:7" x14ac:dyDescent="0.3">
      <c r="A417">
        <v>0</v>
      </c>
      <c r="B417">
        <v>4569</v>
      </c>
      <c r="C417">
        <v>108</v>
      </c>
      <c r="D417">
        <v>18</v>
      </c>
      <c r="E417">
        <v>4</v>
      </c>
      <c r="F417">
        <v>0.11</v>
      </c>
      <c r="G417">
        <v>1</v>
      </c>
    </row>
    <row r="418" spans="1:7" x14ac:dyDescent="0.3">
      <c r="A418">
        <v>100</v>
      </c>
      <c r="B418">
        <v>4563</v>
      </c>
      <c r="C418">
        <v>49</v>
      </c>
      <c r="D418">
        <v>13</v>
      </c>
      <c r="E418">
        <v>1</v>
      </c>
      <c r="F418">
        <v>0.89</v>
      </c>
      <c r="G418">
        <v>1.5</v>
      </c>
    </row>
    <row r="419" spans="1:7" x14ac:dyDescent="0.3">
      <c r="A419">
        <v>100</v>
      </c>
      <c r="B419">
        <v>4537</v>
      </c>
      <c r="C419">
        <v>415</v>
      </c>
      <c r="D419">
        <v>49</v>
      </c>
      <c r="E419">
        <v>1</v>
      </c>
      <c r="F419">
        <v>0.89</v>
      </c>
      <c r="G419">
        <v>9</v>
      </c>
    </row>
    <row r="420" spans="1:7" x14ac:dyDescent="0.3">
      <c r="A420">
        <v>200</v>
      </c>
      <c r="B420">
        <v>4529</v>
      </c>
      <c r="C420">
        <v>54</v>
      </c>
      <c r="D420">
        <v>29</v>
      </c>
      <c r="E420">
        <v>4</v>
      </c>
      <c r="F420">
        <v>0.89</v>
      </c>
      <c r="G420">
        <v>2</v>
      </c>
    </row>
    <row r="421" spans="1:7" x14ac:dyDescent="0.3">
      <c r="A421">
        <v>0</v>
      </c>
      <c r="B421">
        <v>4503</v>
      </c>
      <c r="C421">
        <v>146</v>
      </c>
      <c r="D421">
        <v>122</v>
      </c>
      <c r="E421">
        <v>4</v>
      </c>
      <c r="F421">
        <v>0.89</v>
      </c>
      <c r="G421">
        <v>21</v>
      </c>
    </row>
    <row r="422" spans="1:7" x14ac:dyDescent="0.3">
      <c r="A422">
        <v>0</v>
      </c>
      <c r="B422">
        <v>4499</v>
      </c>
      <c r="C422">
        <v>138</v>
      </c>
      <c r="D422">
        <v>20</v>
      </c>
      <c r="E422">
        <v>1</v>
      </c>
      <c r="F422">
        <v>0.89</v>
      </c>
      <c r="G422">
        <v>2</v>
      </c>
    </row>
    <row r="423" spans="1:7" x14ac:dyDescent="0.3">
      <c r="A423">
        <v>95</v>
      </c>
      <c r="B423">
        <v>4463</v>
      </c>
      <c r="C423">
        <v>59</v>
      </c>
      <c r="D423">
        <v>36</v>
      </c>
      <c r="E423">
        <v>1</v>
      </c>
      <c r="F423">
        <v>0.89</v>
      </c>
      <c r="G423">
        <v>5.5</v>
      </c>
    </row>
    <row r="424" spans="1:7" x14ac:dyDescent="0.3">
      <c r="A424">
        <v>50</v>
      </c>
      <c r="B424">
        <v>4447</v>
      </c>
      <c r="C424">
        <v>76</v>
      </c>
      <c r="D424">
        <v>24</v>
      </c>
      <c r="E424">
        <v>1</v>
      </c>
      <c r="F424">
        <v>0.89</v>
      </c>
      <c r="G424">
        <v>4</v>
      </c>
    </row>
    <row r="425" spans="1:7" x14ac:dyDescent="0.3">
      <c r="A425">
        <v>100</v>
      </c>
      <c r="B425">
        <v>4442</v>
      </c>
      <c r="C425">
        <v>23</v>
      </c>
      <c r="D425">
        <v>28</v>
      </c>
      <c r="E425">
        <v>1</v>
      </c>
      <c r="F425">
        <v>0.89</v>
      </c>
      <c r="G425">
        <v>2</v>
      </c>
    </row>
    <row r="426" spans="1:7" x14ac:dyDescent="0.3">
      <c r="A426">
        <v>0</v>
      </c>
      <c r="B426">
        <v>4410</v>
      </c>
      <c r="C426">
        <v>52</v>
      </c>
      <c r="D426">
        <v>26</v>
      </c>
      <c r="E426">
        <v>1</v>
      </c>
      <c r="F426">
        <v>0.89</v>
      </c>
      <c r="G426">
        <v>3</v>
      </c>
    </row>
    <row r="427" spans="1:7" x14ac:dyDescent="0.3">
      <c r="A427">
        <v>0</v>
      </c>
      <c r="B427">
        <v>4409</v>
      </c>
      <c r="C427">
        <v>71</v>
      </c>
      <c r="D427">
        <v>100</v>
      </c>
      <c r="E427">
        <v>4</v>
      </c>
      <c r="F427">
        <v>0.89</v>
      </c>
      <c r="G427">
        <v>5</v>
      </c>
    </row>
    <row r="428" spans="1:7" x14ac:dyDescent="0.3">
      <c r="A428">
        <v>50</v>
      </c>
      <c r="B428">
        <v>4407</v>
      </c>
      <c r="C428">
        <v>17</v>
      </c>
      <c r="D428">
        <v>29</v>
      </c>
      <c r="E428">
        <v>4</v>
      </c>
      <c r="F428">
        <v>0.89</v>
      </c>
      <c r="G428">
        <v>2.5</v>
      </c>
    </row>
    <row r="429" spans="1:7" x14ac:dyDescent="0.3">
      <c r="A429">
        <v>0</v>
      </c>
      <c r="B429">
        <v>4405</v>
      </c>
      <c r="C429">
        <v>71</v>
      </c>
      <c r="D429">
        <v>12</v>
      </c>
      <c r="E429">
        <v>1</v>
      </c>
      <c r="F429">
        <v>0.89</v>
      </c>
      <c r="G429">
        <v>1.5</v>
      </c>
    </row>
    <row r="430" spans="1:7" x14ac:dyDescent="0.3">
      <c r="A430">
        <v>200</v>
      </c>
      <c r="B430">
        <v>4375</v>
      </c>
      <c r="C430">
        <v>622</v>
      </c>
      <c r="D430">
        <v>129</v>
      </c>
      <c r="E430">
        <v>1</v>
      </c>
      <c r="F430">
        <v>0.89</v>
      </c>
      <c r="G430">
        <v>15.5</v>
      </c>
    </row>
    <row r="431" spans="1:7" x14ac:dyDescent="0.3">
      <c r="A431">
        <v>20</v>
      </c>
      <c r="B431">
        <v>4333</v>
      </c>
      <c r="C431">
        <v>16</v>
      </c>
      <c r="D431">
        <v>17</v>
      </c>
      <c r="E431">
        <v>4</v>
      </c>
      <c r="F431">
        <v>0.89</v>
      </c>
      <c r="G431">
        <v>1</v>
      </c>
    </row>
    <row r="432" spans="1:7" x14ac:dyDescent="0.3">
      <c r="A432">
        <v>0</v>
      </c>
      <c r="B432">
        <v>4306</v>
      </c>
      <c r="C432">
        <v>163</v>
      </c>
      <c r="D432">
        <v>12</v>
      </c>
      <c r="E432">
        <v>1</v>
      </c>
      <c r="F432">
        <v>0.89</v>
      </c>
      <c r="G432">
        <v>0.51666666999999999</v>
      </c>
    </row>
    <row r="433" spans="1:7" x14ac:dyDescent="0.3">
      <c r="A433">
        <v>0</v>
      </c>
      <c r="B433">
        <v>4290</v>
      </c>
      <c r="C433">
        <v>150</v>
      </c>
      <c r="D433">
        <v>15</v>
      </c>
      <c r="E433">
        <v>4</v>
      </c>
      <c r="F433">
        <v>0.89</v>
      </c>
      <c r="G433">
        <v>0.61666666999999997</v>
      </c>
    </row>
    <row r="434" spans="1:7" x14ac:dyDescent="0.3">
      <c r="A434">
        <v>20</v>
      </c>
      <c r="B434">
        <v>4259</v>
      </c>
      <c r="C434">
        <v>0</v>
      </c>
      <c r="D434">
        <v>11</v>
      </c>
      <c r="E434">
        <v>4</v>
      </c>
      <c r="F434">
        <v>0.89</v>
      </c>
      <c r="G434">
        <v>1</v>
      </c>
    </row>
    <row r="435" spans="1:7" x14ac:dyDescent="0.3">
      <c r="A435">
        <v>195</v>
      </c>
      <c r="B435">
        <v>4198</v>
      </c>
      <c r="C435">
        <v>145</v>
      </c>
      <c r="D435">
        <v>161</v>
      </c>
      <c r="E435">
        <v>4</v>
      </c>
      <c r="F435">
        <v>0.89</v>
      </c>
      <c r="G435">
        <v>26</v>
      </c>
    </row>
    <row r="436" spans="1:7" x14ac:dyDescent="0.3">
      <c r="A436">
        <v>20</v>
      </c>
      <c r="B436">
        <v>4193</v>
      </c>
      <c r="C436">
        <v>92</v>
      </c>
      <c r="D436">
        <v>44</v>
      </c>
      <c r="E436">
        <v>1</v>
      </c>
      <c r="F436">
        <v>0.89</v>
      </c>
      <c r="G436">
        <v>2.5</v>
      </c>
    </row>
    <row r="437" spans="1:7" x14ac:dyDescent="0.3">
      <c r="A437">
        <v>35</v>
      </c>
      <c r="B437">
        <v>4183</v>
      </c>
      <c r="C437">
        <v>231</v>
      </c>
      <c r="D437">
        <v>86</v>
      </c>
      <c r="E437">
        <v>1</v>
      </c>
      <c r="F437">
        <v>0.89</v>
      </c>
      <c r="G437">
        <v>14</v>
      </c>
    </row>
    <row r="438" spans="1:7" x14ac:dyDescent="0.3">
      <c r="A438">
        <v>70</v>
      </c>
      <c r="B438">
        <v>4183</v>
      </c>
      <c r="C438">
        <v>292</v>
      </c>
      <c r="D438">
        <v>38</v>
      </c>
      <c r="E438">
        <v>4</v>
      </c>
      <c r="F438">
        <v>0.1</v>
      </c>
      <c r="G438">
        <v>3.5</v>
      </c>
    </row>
    <row r="439" spans="1:7" x14ac:dyDescent="0.3">
      <c r="A439">
        <v>30</v>
      </c>
      <c r="B439">
        <v>4157</v>
      </c>
      <c r="C439">
        <v>206</v>
      </c>
      <c r="D439">
        <v>80</v>
      </c>
      <c r="E439">
        <v>1</v>
      </c>
      <c r="F439">
        <v>0.78</v>
      </c>
      <c r="G439">
        <v>9.5</v>
      </c>
    </row>
    <row r="440" spans="1:7" x14ac:dyDescent="0.3">
      <c r="A440">
        <v>40</v>
      </c>
      <c r="B440">
        <v>4144</v>
      </c>
      <c r="C440">
        <v>383</v>
      </c>
      <c r="D440">
        <v>43</v>
      </c>
      <c r="E440">
        <v>4</v>
      </c>
      <c r="F440">
        <v>0.96</v>
      </c>
      <c r="G440">
        <v>5.5</v>
      </c>
    </row>
    <row r="441" spans="1:7" x14ac:dyDescent="0.3">
      <c r="A441">
        <v>120</v>
      </c>
      <c r="B441">
        <v>4138</v>
      </c>
      <c r="C441">
        <v>307</v>
      </c>
      <c r="D441">
        <v>107</v>
      </c>
      <c r="E441">
        <v>1</v>
      </c>
      <c r="F441">
        <v>0.24</v>
      </c>
      <c r="G441">
        <v>6</v>
      </c>
    </row>
    <row r="442" spans="1:7" x14ac:dyDescent="0.3">
      <c r="A442">
        <v>75</v>
      </c>
      <c r="B442">
        <v>4128</v>
      </c>
      <c r="C442">
        <v>434</v>
      </c>
      <c r="D442">
        <v>61</v>
      </c>
      <c r="E442">
        <v>1</v>
      </c>
      <c r="F442">
        <v>0.8</v>
      </c>
      <c r="G442">
        <v>6</v>
      </c>
    </row>
    <row r="443" spans="1:7" x14ac:dyDescent="0.3">
      <c r="A443">
        <v>50</v>
      </c>
      <c r="B443">
        <v>4123</v>
      </c>
      <c r="C443">
        <v>23</v>
      </c>
      <c r="D443">
        <v>34</v>
      </c>
      <c r="E443">
        <v>4</v>
      </c>
      <c r="F443">
        <v>0.84</v>
      </c>
      <c r="G443">
        <v>3.5</v>
      </c>
    </row>
    <row r="444" spans="1:7" x14ac:dyDescent="0.3">
      <c r="A444">
        <v>50</v>
      </c>
      <c r="B444">
        <v>4123</v>
      </c>
      <c r="C444">
        <v>46</v>
      </c>
      <c r="D444">
        <v>31</v>
      </c>
      <c r="E444">
        <v>1</v>
      </c>
      <c r="F444">
        <v>0.55000000000000004</v>
      </c>
      <c r="G444">
        <v>4.5</v>
      </c>
    </row>
    <row r="445" spans="1:7" x14ac:dyDescent="0.3">
      <c r="A445">
        <v>0</v>
      </c>
      <c r="B445">
        <v>4115</v>
      </c>
      <c r="C445">
        <v>63</v>
      </c>
      <c r="D445">
        <v>13</v>
      </c>
      <c r="E445">
        <v>4</v>
      </c>
      <c r="F445">
        <v>0.67</v>
      </c>
      <c r="G445">
        <v>2</v>
      </c>
    </row>
    <row r="446" spans="1:7" x14ac:dyDescent="0.3">
      <c r="A446">
        <v>50</v>
      </c>
      <c r="B446">
        <v>4106</v>
      </c>
      <c r="C446">
        <v>112</v>
      </c>
      <c r="D446">
        <v>15</v>
      </c>
      <c r="E446">
        <v>2</v>
      </c>
      <c r="F446">
        <v>0.38</v>
      </c>
      <c r="G446">
        <v>1</v>
      </c>
    </row>
    <row r="447" spans="1:7" x14ac:dyDescent="0.3">
      <c r="A447">
        <v>200</v>
      </c>
      <c r="B447">
        <v>4090</v>
      </c>
      <c r="C447">
        <v>178</v>
      </c>
      <c r="D447">
        <v>348</v>
      </c>
      <c r="E447">
        <v>4</v>
      </c>
      <c r="F447">
        <v>0.92</v>
      </c>
      <c r="G447">
        <v>19.5</v>
      </c>
    </row>
    <row r="448" spans="1:7" x14ac:dyDescent="0.3">
      <c r="A448">
        <v>50</v>
      </c>
      <c r="B448">
        <v>4076</v>
      </c>
      <c r="C448">
        <v>39</v>
      </c>
      <c r="D448">
        <v>22</v>
      </c>
      <c r="E448">
        <v>1</v>
      </c>
      <c r="F448">
        <v>0.92</v>
      </c>
      <c r="G448">
        <v>3</v>
      </c>
    </row>
    <row r="449" spans="1:7" x14ac:dyDescent="0.3">
      <c r="A449">
        <v>150</v>
      </c>
      <c r="B449">
        <v>4057</v>
      </c>
      <c r="C449">
        <v>359</v>
      </c>
      <c r="D449">
        <v>99</v>
      </c>
      <c r="E449">
        <v>4</v>
      </c>
      <c r="F449">
        <v>0.92</v>
      </c>
      <c r="G449">
        <v>6.5</v>
      </c>
    </row>
    <row r="450" spans="1:7" x14ac:dyDescent="0.3">
      <c r="A450">
        <v>200</v>
      </c>
      <c r="B450">
        <v>4040</v>
      </c>
      <c r="C450">
        <v>72</v>
      </c>
      <c r="D450">
        <v>20</v>
      </c>
      <c r="E450">
        <v>1</v>
      </c>
      <c r="F450">
        <v>0.92</v>
      </c>
      <c r="G450">
        <v>1.5</v>
      </c>
    </row>
    <row r="451" spans="1:7" x14ac:dyDescent="0.3">
      <c r="A451">
        <v>200</v>
      </c>
      <c r="B451">
        <v>4033</v>
      </c>
      <c r="C451">
        <v>40</v>
      </c>
      <c r="D451">
        <v>25</v>
      </c>
      <c r="E451">
        <v>2</v>
      </c>
      <c r="F451">
        <v>0.92</v>
      </c>
      <c r="G451">
        <v>3</v>
      </c>
    </row>
    <row r="452" spans="1:7" x14ac:dyDescent="0.3">
      <c r="A452">
        <v>30</v>
      </c>
      <c r="B452">
        <v>4030</v>
      </c>
      <c r="C452">
        <v>92</v>
      </c>
      <c r="D452">
        <v>46</v>
      </c>
      <c r="E452">
        <v>4</v>
      </c>
      <c r="F452">
        <v>0.92</v>
      </c>
      <c r="G452">
        <v>9</v>
      </c>
    </row>
    <row r="453" spans="1:7" x14ac:dyDescent="0.3">
      <c r="A453">
        <v>120</v>
      </c>
      <c r="B453">
        <v>4028</v>
      </c>
      <c r="C453">
        <v>674</v>
      </c>
      <c r="D453">
        <v>93</v>
      </c>
      <c r="E453">
        <v>2</v>
      </c>
      <c r="F453">
        <v>0.92</v>
      </c>
      <c r="G453">
        <v>9</v>
      </c>
    </row>
    <row r="454" spans="1:7" x14ac:dyDescent="0.3">
      <c r="A454">
        <v>145</v>
      </c>
      <c r="B454">
        <v>4020</v>
      </c>
      <c r="C454">
        <v>95</v>
      </c>
      <c r="D454">
        <v>52</v>
      </c>
      <c r="E454">
        <v>2</v>
      </c>
      <c r="F454">
        <v>0.92</v>
      </c>
      <c r="G454">
        <v>3.5</v>
      </c>
    </row>
    <row r="455" spans="1:7" x14ac:dyDescent="0.3">
      <c r="A455">
        <v>20</v>
      </c>
      <c r="B455">
        <v>4011</v>
      </c>
      <c r="C455">
        <v>24</v>
      </c>
      <c r="D455">
        <v>17</v>
      </c>
      <c r="E455">
        <v>2</v>
      </c>
      <c r="F455">
        <v>0.92</v>
      </c>
      <c r="G455">
        <v>1.5</v>
      </c>
    </row>
    <row r="456" spans="1:7" x14ac:dyDescent="0.3">
      <c r="A456">
        <v>25</v>
      </c>
      <c r="B456">
        <v>4010</v>
      </c>
      <c r="C456">
        <v>17</v>
      </c>
      <c r="D456">
        <v>12</v>
      </c>
      <c r="E456">
        <v>4</v>
      </c>
      <c r="F456">
        <v>0.92</v>
      </c>
      <c r="G456">
        <v>1</v>
      </c>
    </row>
    <row r="457" spans="1:7" x14ac:dyDescent="0.3">
      <c r="A457">
        <v>195</v>
      </c>
      <c r="B457">
        <v>4001</v>
      </c>
      <c r="C457">
        <v>8</v>
      </c>
      <c r="D457">
        <v>37</v>
      </c>
      <c r="E457">
        <v>4</v>
      </c>
      <c r="F457">
        <v>0.92</v>
      </c>
      <c r="G457">
        <v>4</v>
      </c>
    </row>
    <row r="458" spans="1:7" x14ac:dyDescent="0.3">
      <c r="A458">
        <v>30</v>
      </c>
      <c r="B458">
        <v>3960</v>
      </c>
      <c r="C458">
        <v>220</v>
      </c>
      <c r="D458">
        <v>47</v>
      </c>
      <c r="E458">
        <v>1</v>
      </c>
      <c r="F458">
        <v>0.92</v>
      </c>
      <c r="G458">
        <v>4.5</v>
      </c>
    </row>
    <row r="459" spans="1:7" x14ac:dyDescent="0.3">
      <c r="A459">
        <v>0</v>
      </c>
      <c r="B459">
        <v>3933</v>
      </c>
      <c r="C459">
        <v>23</v>
      </c>
      <c r="D459">
        <v>14</v>
      </c>
      <c r="E459">
        <v>4</v>
      </c>
      <c r="F459">
        <v>0.92</v>
      </c>
      <c r="G459">
        <v>3</v>
      </c>
    </row>
    <row r="460" spans="1:7" x14ac:dyDescent="0.3">
      <c r="A460">
        <v>20</v>
      </c>
      <c r="B460">
        <v>3903</v>
      </c>
      <c r="C460">
        <v>53</v>
      </c>
      <c r="D460">
        <v>107</v>
      </c>
      <c r="E460">
        <v>1</v>
      </c>
      <c r="F460">
        <v>0.57999999999999996</v>
      </c>
      <c r="G460">
        <v>10.5</v>
      </c>
    </row>
    <row r="461" spans="1:7" x14ac:dyDescent="0.3">
      <c r="A461">
        <v>20</v>
      </c>
      <c r="B461">
        <v>3898</v>
      </c>
      <c r="C461">
        <v>95</v>
      </c>
      <c r="D461">
        <v>32</v>
      </c>
      <c r="E461">
        <v>2</v>
      </c>
      <c r="F461">
        <v>0.22</v>
      </c>
      <c r="G461">
        <v>3</v>
      </c>
    </row>
    <row r="462" spans="1:7" x14ac:dyDescent="0.3">
      <c r="A462">
        <v>0</v>
      </c>
      <c r="B462">
        <v>3894</v>
      </c>
      <c r="C462">
        <v>91</v>
      </c>
      <c r="D462">
        <v>29</v>
      </c>
      <c r="E462">
        <v>4</v>
      </c>
      <c r="F462">
        <v>0.97</v>
      </c>
      <c r="G462">
        <v>2</v>
      </c>
    </row>
    <row r="463" spans="1:7" x14ac:dyDescent="0.3">
      <c r="A463">
        <v>200</v>
      </c>
      <c r="B463">
        <v>3887</v>
      </c>
      <c r="C463">
        <v>81</v>
      </c>
      <c r="D463">
        <v>94</v>
      </c>
      <c r="E463">
        <v>4</v>
      </c>
      <c r="F463">
        <v>0.71</v>
      </c>
      <c r="G463">
        <v>8.5</v>
      </c>
    </row>
    <row r="464" spans="1:7" x14ac:dyDescent="0.3">
      <c r="A464">
        <v>0</v>
      </c>
      <c r="B464">
        <v>3883</v>
      </c>
      <c r="C464">
        <v>110</v>
      </c>
      <c r="D464">
        <v>9</v>
      </c>
      <c r="E464">
        <v>1</v>
      </c>
      <c r="F464">
        <v>0.89</v>
      </c>
      <c r="G464">
        <v>1</v>
      </c>
    </row>
    <row r="465" spans="1:7" x14ac:dyDescent="0.3">
      <c r="A465">
        <v>20</v>
      </c>
      <c r="B465">
        <v>3877</v>
      </c>
      <c r="C465">
        <v>92</v>
      </c>
      <c r="D465">
        <v>15</v>
      </c>
      <c r="E465">
        <v>1</v>
      </c>
      <c r="F465">
        <v>0.55000000000000004</v>
      </c>
      <c r="G465">
        <v>1.5</v>
      </c>
    </row>
    <row r="466" spans="1:7" x14ac:dyDescent="0.3">
      <c r="A466">
        <v>60</v>
      </c>
      <c r="B466">
        <v>3854</v>
      </c>
      <c r="C466">
        <v>482</v>
      </c>
      <c r="D466">
        <v>48</v>
      </c>
      <c r="E466">
        <v>1</v>
      </c>
      <c r="F466">
        <v>0.72</v>
      </c>
      <c r="G466">
        <v>3</v>
      </c>
    </row>
    <row r="467" spans="1:7" x14ac:dyDescent="0.3">
      <c r="A467">
        <v>195</v>
      </c>
      <c r="B467">
        <v>3831</v>
      </c>
      <c r="C467">
        <v>15</v>
      </c>
      <c r="D467">
        <v>25</v>
      </c>
      <c r="E467">
        <v>2</v>
      </c>
      <c r="F467">
        <v>0.5</v>
      </c>
      <c r="G467">
        <v>1.5</v>
      </c>
    </row>
    <row r="468" spans="1:7" x14ac:dyDescent="0.3">
      <c r="A468">
        <v>55</v>
      </c>
      <c r="B468">
        <v>3801</v>
      </c>
      <c r="C468">
        <v>43</v>
      </c>
      <c r="D468">
        <v>12</v>
      </c>
      <c r="E468">
        <v>4</v>
      </c>
      <c r="F468">
        <v>0.37</v>
      </c>
      <c r="G468">
        <v>1</v>
      </c>
    </row>
    <row r="469" spans="1:7" x14ac:dyDescent="0.3">
      <c r="A469">
        <v>0</v>
      </c>
      <c r="B469">
        <v>3784</v>
      </c>
      <c r="C469">
        <v>85</v>
      </c>
      <c r="D469">
        <v>32</v>
      </c>
      <c r="E469">
        <v>2</v>
      </c>
      <c r="F469">
        <v>0.13</v>
      </c>
      <c r="G469">
        <v>2</v>
      </c>
    </row>
    <row r="470" spans="1:7" x14ac:dyDescent="0.3">
      <c r="A470">
        <v>0</v>
      </c>
      <c r="B470">
        <v>3782</v>
      </c>
      <c r="C470">
        <v>32</v>
      </c>
      <c r="D470">
        <v>11</v>
      </c>
      <c r="E470">
        <v>1</v>
      </c>
      <c r="F470">
        <v>0.56999999999999995</v>
      </c>
      <c r="G470">
        <v>1.5</v>
      </c>
    </row>
    <row r="471" spans="1:7" x14ac:dyDescent="0.3">
      <c r="A471">
        <v>50</v>
      </c>
      <c r="B471">
        <v>3770</v>
      </c>
      <c r="C471">
        <v>108</v>
      </c>
      <c r="D471">
        <v>72</v>
      </c>
      <c r="E471">
        <v>4</v>
      </c>
      <c r="F471">
        <v>0.73</v>
      </c>
      <c r="G471">
        <v>7</v>
      </c>
    </row>
    <row r="472" spans="1:7" x14ac:dyDescent="0.3">
      <c r="A472">
        <v>0</v>
      </c>
      <c r="B472">
        <v>3766</v>
      </c>
      <c r="C472">
        <v>135</v>
      </c>
      <c r="D472">
        <v>14</v>
      </c>
      <c r="E472">
        <v>4</v>
      </c>
      <c r="F472">
        <v>0.66</v>
      </c>
      <c r="G472">
        <v>0.7</v>
      </c>
    </row>
    <row r="473" spans="1:7" x14ac:dyDescent="0.3">
      <c r="A473">
        <v>20</v>
      </c>
      <c r="B473">
        <v>3759</v>
      </c>
      <c r="C473">
        <v>24</v>
      </c>
      <c r="D473">
        <v>25</v>
      </c>
      <c r="E473">
        <v>4</v>
      </c>
      <c r="F473">
        <v>0.94</v>
      </c>
      <c r="G473">
        <v>4</v>
      </c>
    </row>
    <row r="474" spans="1:7" x14ac:dyDescent="0.3">
      <c r="A474">
        <v>100</v>
      </c>
      <c r="B474">
        <v>3757</v>
      </c>
      <c r="C474">
        <v>28</v>
      </c>
      <c r="D474">
        <v>20</v>
      </c>
      <c r="E474">
        <v>1</v>
      </c>
      <c r="F474">
        <v>0.2</v>
      </c>
      <c r="G474">
        <v>1</v>
      </c>
    </row>
    <row r="475" spans="1:7" x14ac:dyDescent="0.3">
      <c r="A475">
        <v>50</v>
      </c>
      <c r="B475">
        <v>3704</v>
      </c>
      <c r="C475">
        <v>111</v>
      </c>
      <c r="D475">
        <v>18</v>
      </c>
      <c r="E475">
        <v>4</v>
      </c>
      <c r="F475">
        <v>0.72</v>
      </c>
      <c r="G475">
        <v>2</v>
      </c>
    </row>
    <row r="476" spans="1:7" x14ac:dyDescent="0.3">
      <c r="A476">
        <v>100</v>
      </c>
      <c r="B476">
        <v>3701</v>
      </c>
      <c r="C476">
        <v>508</v>
      </c>
      <c r="D476">
        <v>125</v>
      </c>
      <c r="E476">
        <v>2</v>
      </c>
      <c r="F476">
        <v>0.34</v>
      </c>
      <c r="G476">
        <v>10.5</v>
      </c>
    </row>
    <row r="477" spans="1:7" x14ac:dyDescent="0.3">
      <c r="A477">
        <v>20</v>
      </c>
      <c r="B477">
        <v>3699</v>
      </c>
      <c r="C477">
        <v>201</v>
      </c>
      <c r="D477">
        <v>11</v>
      </c>
      <c r="E477">
        <v>2</v>
      </c>
      <c r="F477">
        <v>0.92</v>
      </c>
      <c r="G477">
        <v>1</v>
      </c>
    </row>
    <row r="478" spans="1:7" x14ac:dyDescent="0.3">
      <c r="A478">
        <v>20</v>
      </c>
      <c r="B478">
        <v>3697</v>
      </c>
      <c r="C478">
        <v>195</v>
      </c>
      <c r="D478">
        <v>48</v>
      </c>
      <c r="E478">
        <v>4</v>
      </c>
      <c r="F478">
        <v>0.11</v>
      </c>
      <c r="G478">
        <v>3</v>
      </c>
    </row>
    <row r="479" spans="1:7" x14ac:dyDescent="0.3">
      <c r="A479">
        <v>20</v>
      </c>
      <c r="B479">
        <v>3694</v>
      </c>
      <c r="C479">
        <v>48</v>
      </c>
      <c r="D479">
        <v>39</v>
      </c>
      <c r="E479">
        <v>1</v>
      </c>
      <c r="F479">
        <v>0.11</v>
      </c>
      <c r="G479">
        <v>4</v>
      </c>
    </row>
    <row r="480" spans="1:7" x14ac:dyDescent="0.3">
      <c r="A480">
        <v>50</v>
      </c>
      <c r="B480">
        <v>3688</v>
      </c>
      <c r="C480">
        <v>49</v>
      </c>
      <c r="D480">
        <v>11</v>
      </c>
      <c r="E480">
        <v>4</v>
      </c>
      <c r="F480">
        <v>0.62</v>
      </c>
      <c r="G480">
        <v>1</v>
      </c>
    </row>
    <row r="481" spans="1:7" x14ac:dyDescent="0.3">
      <c r="A481">
        <v>0</v>
      </c>
      <c r="B481">
        <v>3655</v>
      </c>
      <c r="C481">
        <v>85</v>
      </c>
      <c r="D481">
        <v>44</v>
      </c>
      <c r="E481">
        <v>1</v>
      </c>
      <c r="F481">
        <v>0.94</v>
      </c>
      <c r="G481">
        <v>2</v>
      </c>
    </row>
    <row r="482" spans="1:7" x14ac:dyDescent="0.3">
      <c r="A482">
        <v>30</v>
      </c>
      <c r="B482">
        <v>3652</v>
      </c>
      <c r="C482">
        <v>60</v>
      </c>
      <c r="D482">
        <v>7</v>
      </c>
      <c r="E482">
        <v>4</v>
      </c>
      <c r="F482">
        <v>0.94</v>
      </c>
      <c r="G482">
        <v>0.66666667000000002</v>
      </c>
    </row>
    <row r="483" spans="1:7" x14ac:dyDescent="0.3">
      <c r="A483">
        <v>200</v>
      </c>
      <c r="B483">
        <v>3632</v>
      </c>
      <c r="C483">
        <v>28</v>
      </c>
      <c r="D483">
        <v>31</v>
      </c>
      <c r="E483">
        <v>1</v>
      </c>
      <c r="F483">
        <v>0.94</v>
      </c>
      <c r="G483">
        <v>2</v>
      </c>
    </row>
    <row r="484" spans="1:7" x14ac:dyDescent="0.3">
      <c r="A484">
        <v>95</v>
      </c>
      <c r="B484">
        <v>3619</v>
      </c>
      <c r="C484">
        <v>93</v>
      </c>
      <c r="D484">
        <v>19</v>
      </c>
      <c r="E484">
        <v>1</v>
      </c>
      <c r="F484">
        <v>0.94</v>
      </c>
      <c r="G484">
        <v>1</v>
      </c>
    </row>
    <row r="485" spans="1:7" x14ac:dyDescent="0.3">
      <c r="A485">
        <v>50</v>
      </c>
      <c r="B485">
        <v>3601</v>
      </c>
      <c r="C485">
        <v>28</v>
      </c>
      <c r="D485">
        <v>22</v>
      </c>
      <c r="E485">
        <v>4</v>
      </c>
      <c r="F485">
        <v>0.94</v>
      </c>
      <c r="G485">
        <v>2</v>
      </c>
    </row>
    <row r="486" spans="1:7" x14ac:dyDescent="0.3">
      <c r="A486">
        <v>110</v>
      </c>
      <c r="B486">
        <v>3590</v>
      </c>
      <c r="C486">
        <v>36</v>
      </c>
      <c r="D486">
        <v>104</v>
      </c>
      <c r="E486">
        <v>2</v>
      </c>
      <c r="F486">
        <v>0.94</v>
      </c>
      <c r="G486">
        <v>14</v>
      </c>
    </row>
    <row r="487" spans="1:7" x14ac:dyDescent="0.3">
      <c r="A487">
        <v>0</v>
      </c>
      <c r="B487">
        <v>3571</v>
      </c>
      <c r="C487">
        <v>18</v>
      </c>
      <c r="D487">
        <v>8</v>
      </c>
      <c r="E487">
        <v>1</v>
      </c>
      <c r="F487">
        <v>0.94</v>
      </c>
      <c r="G487">
        <v>1</v>
      </c>
    </row>
    <row r="488" spans="1:7" x14ac:dyDescent="0.3">
      <c r="A488">
        <v>100</v>
      </c>
      <c r="B488">
        <v>3559</v>
      </c>
      <c r="C488">
        <v>24</v>
      </c>
      <c r="D488">
        <v>18</v>
      </c>
      <c r="E488">
        <v>2</v>
      </c>
      <c r="F488">
        <v>0.94</v>
      </c>
      <c r="G488">
        <v>1</v>
      </c>
    </row>
    <row r="489" spans="1:7" x14ac:dyDescent="0.3">
      <c r="A489">
        <v>40</v>
      </c>
      <c r="B489">
        <v>3541</v>
      </c>
      <c r="C489">
        <v>202</v>
      </c>
      <c r="D489">
        <v>37</v>
      </c>
      <c r="E489">
        <v>1</v>
      </c>
      <c r="F489">
        <v>0.94</v>
      </c>
      <c r="G489">
        <v>4</v>
      </c>
    </row>
    <row r="490" spans="1:7" x14ac:dyDescent="0.3">
      <c r="A490">
        <v>35</v>
      </c>
      <c r="B490">
        <v>3539</v>
      </c>
      <c r="C490">
        <v>43</v>
      </c>
      <c r="D490">
        <v>20</v>
      </c>
      <c r="E490">
        <v>4</v>
      </c>
      <c r="F490">
        <v>0.94</v>
      </c>
      <c r="G490">
        <v>1</v>
      </c>
    </row>
    <row r="491" spans="1:7" x14ac:dyDescent="0.3">
      <c r="A491">
        <v>30</v>
      </c>
      <c r="B491">
        <v>3503</v>
      </c>
      <c r="C491">
        <v>123</v>
      </c>
      <c r="D491">
        <v>41</v>
      </c>
      <c r="E491">
        <v>4</v>
      </c>
      <c r="F491">
        <v>0.94</v>
      </c>
      <c r="G491">
        <v>4</v>
      </c>
    </row>
    <row r="492" spans="1:7" x14ac:dyDescent="0.3">
      <c r="A492">
        <v>0</v>
      </c>
      <c r="B492">
        <v>3493</v>
      </c>
      <c r="C492">
        <v>43</v>
      </c>
      <c r="D492">
        <v>26</v>
      </c>
      <c r="E492">
        <v>2</v>
      </c>
      <c r="F492">
        <v>0.94</v>
      </c>
      <c r="G492">
        <v>4.5</v>
      </c>
    </row>
    <row r="493" spans="1:7" x14ac:dyDescent="0.3">
      <c r="A493">
        <v>25</v>
      </c>
      <c r="B493">
        <v>3492</v>
      </c>
      <c r="C493">
        <v>61</v>
      </c>
      <c r="D493">
        <v>12</v>
      </c>
      <c r="E493">
        <v>4</v>
      </c>
      <c r="F493">
        <v>0.94</v>
      </c>
      <c r="G493">
        <v>1.5</v>
      </c>
    </row>
    <row r="494" spans="1:7" x14ac:dyDescent="0.3">
      <c r="A494">
        <v>35</v>
      </c>
      <c r="B494">
        <v>3485</v>
      </c>
      <c r="C494">
        <v>22</v>
      </c>
      <c r="D494">
        <v>19</v>
      </c>
      <c r="E494">
        <v>2</v>
      </c>
      <c r="F494">
        <v>0.55000000000000004</v>
      </c>
      <c r="G494">
        <v>2</v>
      </c>
    </row>
    <row r="495" spans="1:7" x14ac:dyDescent="0.3">
      <c r="A495">
        <v>20</v>
      </c>
      <c r="B495">
        <v>3461</v>
      </c>
      <c r="C495">
        <v>11</v>
      </c>
      <c r="D495">
        <v>23</v>
      </c>
      <c r="E495">
        <v>4</v>
      </c>
      <c r="F495">
        <v>0.43</v>
      </c>
      <c r="G495">
        <v>1.5</v>
      </c>
    </row>
    <row r="496" spans="1:7" x14ac:dyDescent="0.3">
      <c r="A496">
        <v>20</v>
      </c>
      <c r="B496">
        <v>3444</v>
      </c>
      <c r="C496">
        <v>35</v>
      </c>
      <c r="D496">
        <v>16</v>
      </c>
      <c r="E496">
        <v>4</v>
      </c>
      <c r="F496">
        <v>0.34</v>
      </c>
      <c r="G496">
        <v>3</v>
      </c>
    </row>
    <row r="497" spans="1:7" x14ac:dyDescent="0.3">
      <c r="A497">
        <v>120</v>
      </c>
      <c r="B497">
        <v>3420</v>
      </c>
      <c r="C497">
        <v>489</v>
      </c>
      <c r="D497">
        <v>102</v>
      </c>
      <c r="E497">
        <v>4</v>
      </c>
      <c r="F497">
        <v>0.18</v>
      </c>
      <c r="G497">
        <v>14.5</v>
      </c>
    </row>
    <row r="498" spans="1:7" x14ac:dyDescent="0.3">
      <c r="A498">
        <v>150</v>
      </c>
      <c r="B498">
        <v>3415</v>
      </c>
      <c r="C498">
        <v>312</v>
      </c>
      <c r="D498">
        <v>160</v>
      </c>
      <c r="E498">
        <v>4</v>
      </c>
      <c r="F498">
        <v>0.88</v>
      </c>
      <c r="G498">
        <v>25</v>
      </c>
    </row>
    <row r="499" spans="1:7" x14ac:dyDescent="0.3">
      <c r="A499">
        <v>50</v>
      </c>
      <c r="B499">
        <v>3411</v>
      </c>
      <c r="C499">
        <v>84</v>
      </c>
      <c r="D499">
        <v>22</v>
      </c>
      <c r="E499">
        <v>2</v>
      </c>
      <c r="F499">
        <v>0.21</v>
      </c>
      <c r="G499">
        <v>1</v>
      </c>
    </row>
    <row r="500" spans="1:7" x14ac:dyDescent="0.3">
      <c r="A500">
        <v>200</v>
      </c>
      <c r="B500">
        <v>3399</v>
      </c>
      <c r="C500">
        <v>85</v>
      </c>
      <c r="D500">
        <v>15</v>
      </c>
      <c r="E500">
        <v>4</v>
      </c>
      <c r="F500">
        <v>0.76</v>
      </c>
      <c r="G500">
        <v>1.5</v>
      </c>
    </row>
    <row r="501" spans="1:7" x14ac:dyDescent="0.3">
      <c r="A501">
        <v>200</v>
      </c>
      <c r="B501">
        <v>3397</v>
      </c>
      <c r="C501">
        <v>12</v>
      </c>
      <c r="D501">
        <v>85</v>
      </c>
      <c r="E501">
        <v>4</v>
      </c>
      <c r="F501">
        <v>0.9</v>
      </c>
      <c r="G501">
        <v>8</v>
      </c>
    </row>
    <row r="502" spans="1:7" x14ac:dyDescent="0.3">
      <c r="A502">
        <v>200</v>
      </c>
      <c r="B502">
        <v>3392</v>
      </c>
      <c r="C502">
        <v>29</v>
      </c>
      <c r="D502">
        <v>19</v>
      </c>
      <c r="E502">
        <v>4</v>
      </c>
      <c r="F502">
        <v>0.93</v>
      </c>
      <c r="G502">
        <v>1.5</v>
      </c>
    </row>
    <row r="503" spans="1:7" x14ac:dyDescent="0.3">
      <c r="A503">
        <v>150</v>
      </c>
      <c r="B503">
        <v>3388</v>
      </c>
      <c r="C503">
        <v>67</v>
      </c>
      <c r="D503">
        <v>39</v>
      </c>
      <c r="E503">
        <v>1</v>
      </c>
      <c r="F503">
        <v>0.73</v>
      </c>
      <c r="G503">
        <v>3</v>
      </c>
    </row>
    <row r="504" spans="1:7" x14ac:dyDescent="0.3">
      <c r="A504">
        <v>65</v>
      </c>
      <c r="B504">
        <v>3380</v>
      </c>
      <c r="C504">
        <v>50</v>
      </c>
      <c r="D504">
        <v>16</v>
      </c>
      <c r="E504">
        <v>1</v>
      </c>
      <c r="F504">
        <v>0.15</v>
      </c>
      <c r="G504">
        <v>2</v>
      </c>
    </row>
    <row r="505" spans="1:7" x14ac:dyDescent="0.3">
      <c r="A505">
        <v>20</v>
      </c>
      <c r="B505">
        <v>3357</v>
      </c>
      <c r="C505">
        <v>82</v>
      </c>
      <c r="D505">
        <v>48</v>
      </c>
      <c r="E505">
        <v>2</v>
      </c>
      <c r="F505">
        <v>0.55000000000000004</v>
      </c>
      <c r="G505">
        <v>12.5</v>
      </c>
    </row>
    <row r="506" spans="1:7" x14ac:dyDescent="0.3">
      <c r="A506">
        <v>0</v>
      </c>
      <c r="B506">
        <v>3357</v>
      </c>
      <c r="C506">
        <v>84</v>
      </c>
      <c r="D506">
        <v>13</v>
      </c>
      <c r="E506">
        <v>4</v>
      </c>
      <c r="F506">
        <v>0.61</v>
      </c>
      <c r="G506">
        <v>0.61666666999999997</v>
      </c>
    </row>
    <row r="507" spans="1:7" x14ac:dyDescent="0.3">
      <c r="A507">
        <v>0</v>
      </c>
      <c r="B507">
        <v>3324</v>
      </c>
      <c r="C507">
        <v>138</v>
      </c>
      <c r="D507">
        <v>19</v>
      </c>
      <c r="E507">
        <v>1</v>
      </c>
      <c r="F507">
        <v>0.2</v>
      </c>
      <c r="G507">
        <v>5</v>
      </c>
    </row>
    <row r="508" spans="1:7" x14ac:dyDescent="0.3">
      <c r="A508">
        <v>45</v>
      </c>
      <c r="B508">
        <v>3323</v>
      </c>
      <c r="C508">
        <v>90</v>
      </c>
      <c r="D508">
        <v>7</v>
      </c>
      <c r="E508">
        <v>1</v>
      </c>
      <c r="F508">
        <v>0.88</v>
      </c>
      <c r="G508">
        <v>0.63333333000000003</v>
      </c>
    </row>
    <row r="509" spans="1:7" x14ac:dyDescent="0.3">
      <c r="A509">
        <v>20</v>
      </c>
      <c r="B509">
        <v>3299</v>
      </c>
      <c r="C509">
        <v>166</v>
      </c>
      <c r="D509">
        <v>34</v>
      </c>
      <c r="E509">
        <v>1</v>
      </c>
      <c r="F509">
        <v>0.21</v>
      </c>
      <c r="G509">
        <v>4</v>
      </c>
    </row>
    <row r="510" spans="1:7" x14ac:dyDescent="0.3">
      <c r="A510">
        <v>85</v>
      </c>
      <c r="B510">
        <v>3295</v>
      </c>
      <c r="C510">
        <v>531</v>
      </c>
      <c r="D510">
        <v>162</v>
      </c>
      <c r="E510">
        <v>1</v>
      </c>
      <c r="F510">
        <v>0.92</v>
      </c>
      <c r="G510">
        <v>31.5</v>
      </c>
    </row>
    <row r="511" spans="1:7" x14ac:dyDescent="0.3">
      <c r="A511">
        <v>20</v>
      </c>
      <c r="B511">
        <v>3271</v>
      </c>
      <c r="C511">
        <v>278</v>
      </c>
      <c r="D511">
        <v>54</v>
      </c>
      <c r="E511">
        <v>1</v>
      </c>
      <c r="F511">
        <v>0.92</v>
      </c>
      <c r="G511">
        <v>2.5</v>
      </c>
    </row>
    <row r="512" spans="1:7" x14ac:dyDescent="0.3">
      <c r="A512">
        <v>20</v>
      </c>
      <c r="B512">
        <v>3258</v>
      </c>
      <c r="C512">
        <v>32</v>
      </c>
      <c r="D512">
        <v>16</v>
      </c>
      <c r="E512">
        <v>3</v>
      </c>
      <c r="F512">
        <v>0.92</v>
      </c>
      <c r="G512">
        <v>2</v>
      </c>
    </row>
    <row r="513" spans="1:7" x14ac:dyDescent="0.3">
      <c r="A513">
        <v>40</v>
      </c>
      <c r="B513">
        <v>3254</v>
      </c>
      <c r="C513">
        <v>92</v>
      </c>
      <c r="D513">
        <v>16</v>
      </c>
      <c r="E513">
        <v>1</v>
      </c>
      <c r="F513">
        <v>0.92</v>
      </c>
      <c r="G513">
        <v>1.5</v>
      </c>
    </row>
    <row r="514" spans="1:7" x14ac:dyDescent="0.3">
      <c r="A514">
        <v>150</v>
      </c>
      <c r="B514">
        <v>3252</v>
      </c>
      <c r="C514">
        <v>401</v>
      </c>
      <c r="D514">
        <v>62</v>
      </c>
      <c r="E514">
        <v>2</v>
      </c>
      <c r="F514">
        <v>0.92</v>
      </c>
      <c r="G514">
        <v>12.5</v>
      </c>
    </row>
    <row r="515" spans="1:7" x14ac:dyDescent="0.3">
      <c r="A515">
        <v>25</v>
      </c>
      <c r="B515">
        <v>3249</v>
      </c>
      <c r="C515">
        <v>27</v>
      </c>
      <c r="D515">
        <v>60</v>
      </c>
      <c r="E515">
        <v>4</v>
      </c>
      <c r="F515">
        <v>0.92</v>
      </c>
      <c r="G515">
        <v>6.5</v>
      </c>
    </row>
    <row r="516" spans="1:7" x14ac:dyDescent="0.3">
      <c r="A516">
        <v>0</v>
      </c>
      <c r="B516">
        <v>3227</v>
      </c>
      <c r="C516">
        <v>19</v>
      </c>
      <c r="D516">
        <v>21</v>
      </c>
      <c r="E516">
        <v>4</v>
      </c>
      <c r="F516">
        <v>0.92</v>
      </c>
      <c r="G516">
        <v>2</v>
      </c>
    </row>
    <row r="517" spans="1:7" x14ac:dyDescent="0.3">
      <c r="A517">
        <v>195</v>
      </c>
      <c r="B517">
        <v>3209</v>
      </c>
      <c r="C517">
        <v>58</v>
      </c>
      <c r="D517">
        <v>96</v>
      </c>
      <c r="E517">
        <v>4</v>
      </c>
      <c r="F517">
        <v>0.92</v>
      </c>
      <c r="G517">
        <v>12.5</v>
      </c>
    </row>
    <row r="518" spans="1:7" x14ac:dyDescent="0.3">
      <c r="A518">
        <v>200</v>
      </c>
      <c r="B518">
        <v>3193</v>
      </c>
      <c r="C518">
        <v>10</v>
      </c>
      <c r="D518">
        <v>23</v>
      </c>
      <c r="E518">
        <v>1</v>
      </c>
      <c r="F518">
        <v>0.92</v>
      </c>
      <c r="G518">
        <v>1.5</v>
      </c>
    </row>
    <row r="519" spans="1:7" x14ac:dyDescent="0.3">
      <c r="A519">
        <v>20</v>
      </c>
      <c r="B519">
        <v>3185</v>
      </c>
      <c r="C519">
        <v>102</v>
      </c>
      <c r="D519">
        <v>94</v>
      </c>
      <c r="E519">
        <v>1</v>
      </c>
      <c r="F519">
        <v>0.92</v>
      </c>
      <c r="G519">
        <v>8</v>
      </c>
    </row>
    <row r="520" spans="1:7" x14ac:dyDescent="0.3">
      <c r="A520">
        <v>200</v>
      </c>
      <c r="B520">
        <v>3179</v>
      </c>
      <c r="C520">
        <v>214</v>
      </c>
      <c r="D520">
        <v>174</v>
      </c>
      <c r="E520">
        <v>4</v>
      </c>
      <c r="F520">
        <v>0.92</v>
      </c>
      <c r="G520">
        <v>20.5</v>
      </c>
    </row>
    <row r="521" spans="1:7" x14ac:dyDescent="0.3">
      <c r="A521">
        <v>195</v>
      </c>
      <c r="B521">
        <v>3169</v>
      </c>
      <c r="C521">
        <v>527</v>
      </c>
      <c r="D521">
        <v>38</v>
      </c>
      <c r="E521">
        <v>1</v>
      </c>
      <c r="F521">
        <v>0.92</v>
      </c>
      <c r="G521">
        <v>3.5</v>
      </c>
    </row>
    <row r="522" spans="1:7" x14ac:dyDescent="0.3">
      <c r="A522">
        <v>20</v>
      </c>
      <c r="B522">
        <v>3150</v>
      </c>
      <c r="C522">
        <v>69</v>
      </c>
      <c r="D522">
        <v>49</v>
      </c>
      <c r="E522">
        <v>4</v>
      </c>
      <c r="F522">
        <v>0.92</v>
      </c>
      <c r="G522">
        <v>3.5</v>
      </c>
    </row>
    <row r="523" spans="1:7" x14ac:dyDescent="0.3">
      <c r="A523">
        <v>0</v>
      </c>
      <c r="B523">
        <v>3142</v>
      </c>
      <c r="C523">
        <v>117</v>
      </c>
      <c r="D523">
        <v>20</v>
      </c>
      <c r="E523">
        <v>1</v>
      </c>
      <c r="F523">
        <v>0.8</v>
      </c>
      <c r="G523">
        <v>0.61666666999999997</v>
      </c>
    </row>
    <row r="524" spans="1:7" x14ac:dyDescent="0.3">
      <c r="A524">
        <v>25</v>
      </c>
      <c r="B524">
        <v>3133</v>
      </c>
      <c r="C524">
        <v>351</v>
      </c>
      <c r="D524">
        <v>63</v>
      </c>
      <c r="E524">
        <v>4</v>
      </c>
      <c r="F524">
        <v>0.8</v>
      </c>
      <c r="G524">
        <v>6</v>
      </c>
    </row>
    <row r="525" spans="1:7" x14ac:dyDescent="0.3">
      <c r="A525">
        <v>60</v>
      </c>
      <c r="B525">
        <v>3119</v>
      </c>
      <c r="C525">
        <v>453</v>
      </c>
      <c r="D525">
        <v>207</v>
      </c>
      <c r="E525">
        <v>4</v>
      </c>
      <c r="F525">
        <v>0.8</v>
      </c>
      <c r="G525">
        <v>33</v>
      </c>
    </row>
    <row r="526" spans="1:7" x14ac:dyDescent="0.3">
      <c r="A526">
        <v>0</v>
      </c>
      <c r="B526">
        <v>3118</v>
      </c>
      <c r="C526">
        <v>8</v>
      </c>
      <c r="D526">
        <v>33</v>
      </c>
      <c r="E526">
        <v>4</v>
      </c>
      <c r="F526">
        <v>0.8</v>
      </c>
      <c r="G526">
        <v>1.5</v>
      </c>
    </row>
    <row r="527" spans="1:7" x14ac:dyDescent="0.3">
      <c r="A527">
        <v>20</v>
      </c>
      <c r="B527">
        <v>3106</v>
      </c>
      <c r="C527">
        <v>31</v>
      </c>
      <c r="D527">
        <v>13</v>
      </c>
      <c r="E527">
        <v>4</v>
      </c>
      <c r="F527">
        <v>0.8</v>
      </c>
      <c r="G527">
        <v>1</v>
      </c>
    </row>
    <row r="528" spans="1:7" x14ac:dyDescent="0.3">
      <c r="A528">
        <v>20</v>
      </c>
      <c r="B528">
        <v>3086</v>
      </c>
      <c r="C528">
        <v>17</v>
      </c>
      <c r="D528">
        <v>73</v>
      </c>
      <c r="E528">
        <v>4</v>
      </c>
      <c r="F528">
        <v>0.8</v>
      </c>
      <c r="G528">
        <v>7.5</v>
      </c>
    </row>
    <row r="529" spans="1:7" x14ac:dyDescent="0.3">
      <c r="A529">
        <v>90</v>
      </c>
      <c r="B529">
        <v>3073</v>
      </c>
      <c r="C529">
        <v>27</v>
      </c>
      <c r="D529">
        <v>13</v>
      </c>
      <c r="E529">
        <v>2</v>
      </c>
      <c r="F529">
        <v>0.8</v>
      </c>
      <c r="G529">
        <v>1.5</v>
      </c>
    </row>
    <row r="530" spans="1:7" x14ac:dyDescent="0.3">
      <c r="A530">
        <v>0</v>
      </c>
      <c r="B530">
        <v>3033</v>
      </c>
      <c r="C530">
        <v>91</v>
      </c>
      <c r="D530">
        <v>9</v>
      </c>
      <c r="E530">
        <v>1</v>
      </c>
      <c r="F530">
        <v>0.8</v>
      </c>
      <c r="G530">
        <v>1</v>
      </c>
    </row>
    <row r="531" spans="1:7" x14ac:dyDescent="0.3">
      <c r="A531">
        <v>50</v>
      </c>
      <c r="B531">
        <v>3026</v>
      </c>
      <c r="C531">
        <v>60</v>
      </c>
      <c r="D531">
        <v>67</v>
      </c>
      <c r="E531">
        <v>4</v>
      </c>
      <c r="F531">
        <v>0.8</v>
      </c>
      <c r="G531">
        <v>7</v>
      </c>
    </row>
    <row r="532" spans="1:7" x14ac:dyDescent="0.3">
      <c r="A532">
        <v>195</v>
      </c>
      <c r="B532">
        <v>3015</v>
      </c>
      <c r="C532">
        <v>30</v>
      </c>
      <c r="D532">
        <v>19</v>
      </c>
      <c r="E532">
        <v>4</v>
      </c>
      <c r="F532">
        <v>0.8</v>
      </c>
      <c r="G532">
        <v>2.5</v>
      </c>
    </row>
    <row r="533" spans="1:7" x14ac:dyDescent="0.3">
      <c r="A533">
        <v>65</v>
      </c>
      <c r="B533">
        <v>3012</v>
      </c>
      <c r="C533">
        <v>260</v>
      </c>
      <c r="D533">
        <v>330</v>
      </c>
      <c r="E533">
        <v>4</v>
      </c>
      <c r="F533">
        <v>0.8</v>
      </c>
      <c r="G533">
        <v>32.5</v>
      </c>
    </row>
    <row r="534" spans="1:7" x14ac:dyDescent="0.3">
      <c r="A534">
        <v>50</v>
      </c>
      <c r="B534">
        <v>3011</v>
      </c>
      <c r="C534">
        <v>57</v>
      </c>
      <c r="D534">
        <v>10</v>
      </c>
      <c r="E534">
        <v>4</v>
      </c>
      <c r="F534">
        <v>0.8</v>
      </c>
      <c r="G534">
        <v>1</v>
      </c>
    </row>
    <row r="535" spans="1:7" x14ac:dyDescent="0.3">
      <c r="A535">
        <v>20</v>
      </c>
      <c r="B535">
        <v>2985</v>
      </c>
      <c r="C535">
        <v>40</v>
      </c>
      <c r="D535">
        <v>27</v>
      </c>
      <c r="E535">
        <v>4</v>
      </c>
      <c r="F535">
        <v>0.8</v>
      </c>
      <c r="G535">
        <v>1.5</v>
      </c>
    </row>
    <row r="536" spans="1:7" x14ac:dyDescent="0.3">
      <c r="A536">
        <v>100</v>
      </c>
      <c r="B536">
        <v>2971</v>
      </c>
      <c r="C536">
        <v>285</v>
      </c>
      <c r="D536">
        <v>28</v>
      </c>
      <c r="E536">
        <v>2</v>
      </c>
      <c r="F536">
        <v>0.8</v>
      </c>
      <c r="G536">
        <v>3</v>
      </c>
    </row>
    <row r="537" spans="1:7" x14ac:dyDescent="0.3">
      <c r="A537">
        <v>40</v>
      </c>
      <c r="B537">
        <v>2965</v>
      </c>
      <c r="C537">
        <v>17</v>
      </c>
      <c r="D537">
        <v>30</v>
      </c>
      <c r="E537">
        <v>1</v>
      </c>
      <c r="F537">
        <v>0.8</v>
      </c>
      <c r="G537">
        <v>2</v>
      </c>
    </row>
    <row r="538" spans="1:7" x14ac:dyDescent="0.3">
      <c r="A538">
        <v>20</v>
      </c>
      <c r="B538">
        <v>2964</v>
      </c>
      <c r="C538">
        <v>8</v>
      </c>
      <c r="D538">
        <v>9</v>
      </c>
      <c r="E538">
        <v>4</v>
      </c>
      <c r="F538">
        <v>0.8</v>
      </c>
      <c r="G538">
        <v>1.5</v>
      </c>
    </row>
    <row r="539" spans="1:7" x14ac:dyDescent="0.3">
      <c r="A539">
        <v>30</v>
      </c>
      <c r="B539">
        <v>2919</v>
      </c>
      <c r="C539">
        <v>136</v>
      </c>
      <c r="D539">
        <v>70</v>
      </c>
      <c r="E539">
        <v>4</v>
      </c>
      <c r="F539">
        <v>0.8</v>
      </c>
      <c r="G539">
        <v>7</v>
      </c>
    </row>
    <row r="540" spans="1:7" x14ac:dyDescent="0.3">
      <c r="A540">
        <v>200</v>
      </c>
      <c r="B540">
        <v>2918</v>
      </c>
      <c r="C540">
        <v>16</v>
      </c>
      <c r="D540">
        <v>17</v>
      </c>
      <c r="E540">
        <v>1</v>
      </c>
      <c r="F540">
        <v>0.8</v>
      </c>
      <c r="G540">
        <v>1</v>
      </c>
    </row>
    <row r="541" spans="1:7" x14ac:dyDescent="0.3">
      <c r="A541">
        <v>100</v>
      </c>
      <c r="B541">
        <v>2912</v>
      </c>
      <c r="C541">
        <v>309</v>
      </c>
      <c r="D541">
        <v>85</v>
      </c>
      <c r="E541">
        <v>4</v>
      </c>
      <c r="F541">
        <v>0.8</v>
      </c>
      <c r="G541">
        <v>6</v>
      </c>
    </row>
    <row r="542" spans="1:7" x14ac:dyDescent="0.3">
      <c r="A542">
        <v>95</v>
      </c>
      <c r="B542">
        <v>2888</v>
      </c>
      <c r="C542">
        <v>26</v>
      </c>
      <c r="D542">
        <v>24</v>
      </c>
      <c r="E542">
        <v>4</v>
      </c>
      <c r="F542">
        <v>0.8</v>
      </c>
      <c r="G542">
        <v>2.5</v>
      </c>
    </row>
    <row r="543" spans="1:7" x14ac:dyDescent="0.3">
      <c r="A543">
        <v>195</v>
      </c>
      <c r="B543">
        <v>2875</v>
      </c>
      <c r="C543">
        <v>20</v>
      </c>
      <c r="D543">
        <v>36</v>
      </c>
      <c r="E543">
        <v>1</v>
      </c>
      <c r="F543">
        <v>0.8</v>
      </c>
      <c r="G543">
        <v>4.5</v>
      </c>
    </row>
    <row r="544" spans="1:7" x14ac:dyDescent="0.3">
      <c r="A544">
        <v>40</v>
      </c>
      <c r="B544">
        <v>2865</v>
      </c>
      <c r="C544">
        <v>95</v>
      </c>
      <c r="D544">
        <v>32</v>
      </c>
      <c r="E544">
        <v>1</v>
      </c>
      <c r="F544">
        <v>0.8</v>
      </c>
      <c r="G544">
        <v>4</v>
      </c>
    </row>
    <row r="545" spans="1:7" x14ac:dyDescent="0.3">
      <c r="A545">
        <v>0</v>
      </c>
      <c r="B545">
        <v>2859</v>
      </c>
      <c r="C545">
        <v>42</v>
      </c>
      <c r="D545">
        <v>17</v>
      </c>
      <c r="E545">
        <v>4</v>
      </c>
      <c r="F545">
        <v>0.8</v>
      </c>
      <c r="G545">
        <v>0.73333333000000001</v>
      </c>
    </row>
    <row r="546" spans="1:7" x14ac:dyDescent="0.3">
      <c r="A546">
        <v>20</v>
      </c>
      <c r="B546">
        <v>2853</v>
      </c>
      <c r="C546">
        <v>47</v>
      </c>
      <c r="D546">
        <v>16</v>
      </c>
      <c r="E546">
        <v>4</v>
      </c>
      <c r="F546">
        <v>0.14000000000000001</v>
      </c>
      <c r="G546">
        <v>1.5</v>
      </c>
    </row>
    <row r="547" spans="1:7" x14ac:dyDescent="0.3">
      <c r="A547">
        <v>120</v>
      </c>
      <c r="B547">
        <v>2837</v>
      </c>
      <c r="C547">
        <v>68</v>
      </c>
      <c r="D547">
        <v>49</v>
      </c>
      <c r="E547">
        <v>4</v>
      </c>
      <c r="F547">
        <v>0.14000000000000001</v>
      </c>
      <c r="G547">
        <v>7</v>
      </c>
    </row>
    <row r="548" spans="1:7" x14ac:dyDescent="0.3">
      <c r="A548">
        <v>95</v>
      </c>
      <c r="B548">
        <v>2814</v>
      </c>
      <c r="C548">
        <v>14</v>
      </c>
      <c r="D548">
        <v>39</v>
      </c>
      <c r="E548">
        <v>4</v>
      </c>
      <c r="F548">
        <v>0.17</v>
      </c>
      <c r="G548">
        <v>2</v>
      </c>
    </row>
    <row r="549" spans="1:7" x14ac:dyDescent="0.3">
      <c r="A549">
        <v>140</v>
      </c>
      <c r="B549">
        <v>2814</v>
      </c>
      <c r="C549">
        <v>107</v>
      </c>
      <c r="D549">
        <v>35</v>
      </c>
      <c r="E549">
        <v>2</v>
      </c>
      <c r="F549">
        <v>0.47</v>
      </c>
      <c r="G549">
        <v>2</v>
      </c>
    </row>
    <row r="550" spans="1:7" x14ac:dyDescent="0.3">
      <c r="A550">
        <v>195</v>
      </c>
      <c r="B550">
        <v>2804</v>
      </c>
      <c r="C550">
        <v>418</v>
      </c>
      <c r="D550">
        <v>212</v>
      </c>
      <c r="E550">
        <v>4</v>
      </c>
      <c r="F550">
        <v>0.92</v>
      </c>
      <c r="G550">
        <v>37.5</v>
      </c>
    </row>
    <row r="551" spans="1:7" x14ac:dyDescent="0.3">
      <c r="A551">
        <v>35</v>
      </c>
      <c r="B551">
        <v>2797</v>
      </c>
      <c r="C551">
        <v>59</v>
      </c>
      <c r="D551">
        <v>10</v>
      </c>
      <c r="E551">
        <v>1</v>
      </c>
      <c r="F551">
        <v>0.92</v>
      </c>
      <c r="G551">
        <v>1</v>
      </c>
    </row>
    <row r="552" spans="1:7" x14ac:dyDescent="0.3">
      <c r="A552">
        <v>95</v>
      </c>
      <c r="B552">
        <v>2789</v>
      </c>
      <c r="C552">
        <v>243</v>
      </c>
      <c r="D552">
        <v>26</v>
      </c>
      <c r="E552">
        <v>1</v>
      </c>
      <c r="F552">
        <v>0.92</v>
      </c>
      <c r="G552">
        <v>3.5</v>
      </c>
    </row>
    <row r="553" spans="1:7" x14ac:dyDescent="0.3">
      <c r="A553">
        <v>200</v>
      </c>
      <c r="B553">
        <v>2786</v>
      </c>
      <c r="C553">
        <v>31</v>
      </c>
      <c r="D553">
        <v>20</v>
      </c>
      <c r="E553">
        <v>2</v>
      </c>
      <c r="F553">
        <v>0.92</v>
      </c>
      <c r="G553">
        <v>3</v>
      </c>
    </row>
    <row r="554" spans="1:7" x14ac:dyDescent="0.3">
      <c r="A554">
        <v>50</v>
      </c>
      <c r="B554">
        <v>2784</v>
      </c>
      <c r="C554">
        <v>221</v>
      </c>
      <c r="D554">
        <v>79</v>
      </c>
      <c r="E554">
        <v>2</v>
      </c>
      <c r="F554">
        <v>0.92</v>
      </c>
      <c r="G554">
        <v>15</v>
      </c>
    </row>
    <row r="555" spans="1:7" x14ac:dyDescent="0.3">
      <c r="A555">
        <v>20</v>
      </c>
      <c r="B555">
        <v>2784</v>
      </c>
      <c r="C555">
        <v>425</v>
      </c>
      <c r="D555">
        <v>29</v>
      </c>
      <c r="E555">
        <v>4</v>
      </c>
      <c r="F555">
        <v>0.92</v>
      </c>
      <c r="G555">
        <v>3.5</v>
      </c>
    </row>
    <row r="556" spans="1:7" x14ac:dyDescent="0.3">
      <c r="A556">
        <v>200</v>
      </c>
      <c r="B556">
        <v>2783</v>
      </c>
      <c r="C556">
        <v>9</v>
      </c>
      <c r="D556">
        <v>21</v>
      </c>
      <c r="E556">
        <v>1</v>
      </c>
      <c r="F556">
        <v>0.92</v>
      </c>
      <c r="G556">
        <v>1.5</v>
      </c>
    </row>
    <row r="557" spans="1:7" x14ac:dyDescent="0.3">
      <c r="A557">
        <v>40</v>
      </c>
      <c r="B557">
        <v>2780</v>
      </c>
      <c r="C557">
        <v>94</v>
      </c>
      <c r="D557">
        <v>29</v>
      </c>
      <c r="E557">
        <v>4</v>
      </c>
      <c r="F557">
        <v>0.92</v>
      </c>
      <c r="G557">
        <v>3</v>
      </c>
    </row>
    <row r="558" spans="1:7" x14ac:dyDescent="0.3">
      <c r="A558">
        <v>100</v>
      </c>
      <c r="B558">
        <v>2760</v>
      </c>
      <c r="C558">
        <v>76</v>
      </c>
      <c r="D558">
        <v>26</v>
      </c>
      <c r="E558">
        <v>4</v>
      </c>
      <c r="F558">
        <v>0.92</v>
      </c>
      <c r="G558">
        <v>3.5</v>
      </c>
    </row>
    <row r="559" spans="1:7" x14ac:dyDescent="0.3">
      <c r="A559">
        <v>20</v>
      </c>
      <c r="B559">
        <v>2760</v>
      </c>
      <c r="C559">
        <v>52</v>
      </c>
      <c r="D559">
        <v>34</v>
      </c>
      <c r="E559">
        <v>4</v>
      </c>
      <c r="F559">
        <v>0.11</v>
      </c>
      <c r="G559">
        <v>1</v>
      </c>
    </row>
    <row r="560" spans="1:7" x14ac:dyDescent="0.3">
      <c r="A560">
        <v>35</v>
      </c>
      <c r="B560">
        <v>2755</v>
      </c>
      <c r="C560">
        <v>57</v>
      </c>
      <c r="D560">
        <v>179</v>
      </c>
      <c r="E560">
        <v>1</v>
      </c>
      <c r="F560">
        <v>0.35</v>
      </c>
      <c r="G560">
        <v>17.5</v>
      </c>
    </row>
    <row r="561" spans="1:7" x14ac:dyDescent="0.3">
      <c r="A561">
        <v>25</v>
      </c>
      <c r="B561">
        <v>2753</v>
      </c>
      <c r="C561">
        <v>10</v>
      </c>
      <c r="D561">
        <v>18</v>
      </c>
      <c r="E561">
        <v>1</v>
      </c>
      <c r="F561">
        <v>0.64</v>
      </c>
      <c r="G561">
        <v>2</v>
      </c>
    </row>
    <row r="562" spans="1:7" x14ac:dyDescent="0.3">
      <c r="A562">
        <v>20</v>
      </c>
      <c r="B562">
        <v>2749</v>
      </c>
      <c r="C562">
        <v>62</v>
      </c>
      <c r="D562">
        <v>7</v>
      </c>
      <c r="E562">
        <v>2</v>
      </c>
      <c r="F562">
        <v>0.66</v>
      </c>
      <c r="G562">
        <v>0.68333332999999996</v>
      </c>
    </row>
    <row r="563" spans="1:7" x14ac:dyDescent="0.3">
      <c r="A563">
        <v>95</v>
      </c>
      <c r="B563">
        <v>2743</v>
      </c>
      <c r="C563">
        <v>589</v>
      </c>
      <c r="D563">
        <v>61</v>
      </c>
      <c r="E563">
        <v>4</v>
      </c>
      <c r="F563">
        <v>0.51</v>
      </c>
      <c r="G563">
        <v>14.5</v>
      </c>
    </row>
    <row r="564" spans="1:7" x14ac:dyDescent="0.3">
      <c r="A564">
        <v>75</v>
      </c>
      <c r="B564">
        <v>2721</v>
      </c>
      <c r="C564">
        <v>96</v>
      </c>
      <c r="D564">
        <v>44</v>
      </c>
      <c r="E564">
        <v>2</v>
      </c>
      <c r="F564">
        <v>0.76</v>
      </c>
      <c r="G564">
        <v>5.5</v>
      </c>
    </row>
    <row r="565" spans="1:7" x14ac:dyDescent="0.3">
      <c r="A565">
        <v>175</v>
      </c>
      <c r="B565">
        <v>2706</v>
      </c>
      <c r="C565">
        <v>179</v>
      </c>
      <c r="D565">
        <v>103</v>
      </c>
      <c r="E565">
        <v>1</v>
      </c>
      <c r="F565">
        <v>0.37</v>
      </c>
      <c r="G565">
        <v>13</v>
      </c>
    </row>
    <row r="566" spans="1:7" x14ac:dyDescent="0.3">
      <c r="A566">
        <v>200</v>
      </c>
      <c r="B566">
        <v>2698</v>
      </c>
      <c r="C566">
        <v>29</v>
      </c>
      <c r="D566">
        <v>57</v>
      </c>
      <c r="E566">
        <v>4</v>
      </c>
      <c r="F566">
        <v>0.72</v>
      </c>
      <c r="G566">
        <v>8</v>
      </c>
    </row>
    <row r="567" spans="1:7" x14ac:dyDescent="0.3">
      <c r="A567">
        <v>75</v>
      </c>
      <c r="B567">
        <v>2697</v>
      </c>
      <c r="C567">
        <v>64</v>
      </c>
      <c r="D567">
        <v>82</v>
      </c>
      <c r="E567">
        <v>4</v>
      </c>
      <c r="F567">
        <v>0.34</v>
      </c>
      <c r="G567">
        <v>11.5</v>
      </c>
    </row>
    <row r="568" spans="1:7" x14ac:dyDescent="0.3">
      <c r="A568">
        <v>200</v>
      </c>
      <c r="B568">
        <v>2687</v>
      </c>
      <c r="C568">
        <v>331</v>
      </c>
      <c r="D568">
        <v>138</v>
      </c>
      <c r="E568">
        <v>1</v>
      </c>
      <c r="F568">
        <v>0.68</v>
      </c>
      <c r="G568">
        <v>25.5</v>
      </c>
    </row>
    <row r="569" spans="1:7" x14ac:dyDescent="0.3">
      <c r="A569">
        <v>50</v>
      </c>
      <c r="B569">
        <v>2669</v>
      </c>
      <c r="C569">
        <v>112</v>
      </c>
      <c r="D569">
        <v>72</v>
      </c>
      <c r="E569">
        <v>1</v>
      </c>
      <c r="F569">
        <v>0.65</v>
      </c>
      <c r="G569">
        <v>5.5</v>
      </c>
    </row>
    <row r="570" spans="1:7" x14ac:dyDescent="0.3">
      <c r="A570">
        <v>20</v>
      </c>
      <c r="B570">
        <v>2660</v>
      </c>
      <c r="C570">
        <v>276</v>
      </c>
      <c r="D570">
        <v>16</v>
      </c>
      <c r="E570">
        <v>1</v>
      </c>
      <c r="F570">
        <v>0.36</v>
      </c>
      <c r="G570">
        <v>1.5</v>
      </c>
    </row>
    <row r="571" spans="1:7" x14ac:dyDescent="0.3">
      <c r="A571">
        <v>120</v>
      </c>
      <c r="B571">
        <v>2652</v>
      </c>
      <c r="C571">
        <v>33</v>
      </c>
      <c r="D571">
        <v>40</v>
      </c>
      <c r="E571">
        <v>4</v>
      </c>
      <c r="F571">
        <v>0.83</v>
      </c>
      <c r="G571">
        <v>3.5</v>
      </c>
    </row>
    <row r="572" spans="1:7" x14ac:dyDescent="0.3">
      <c r="A572">
        <v>40</v>
      </c>
      <c r="B572">
        <v>2650</v>
      </c>
      <c r="C572">
        <v>19</v>
      </c>
      <c r="D572">
        <v>39</v>
      </c>
      <c r="E572">
        <v>1</v>
      </c>
      <c r="F572">
        <v>0.11</v>
      </c>
      <c r="G572">
        <v>2</v>
      </c>
    </row>
    <row r="573" spans="1:7" x14ac:dyDescent="0.3">
      <c r="A573">
        <v>20</v>
      </c>
      <c r="B573">
        <v>2650</v>
      </c>
      <c r="C573">
        <v>61</v>
      </c>
      <c r="D573">
        <v>304</v>
      </c>
      <c r="E573">
        <v>4</v>
      </c>
      <c r="F573">
        <v>0.93</v>
      </c>
      <c r="G573">
        <v>15.5</v>
      </c>
    </row>
    <row r="574" spans="1:7" x14ac:dyDescent="0.3">
      <c r="A574">
        <v>0</v>
      </c>
      <c r="B574">
        <v>2649</v>
      </c>
      <c r="C574">
        <v>16</v>
      </c>
      <c r="D574">
        <v>7</v>
      </c>
      <c r="E574">
        <v>4</v>
      </c>
      <c r="F574">
        <v>0.55000000000000004</v>
      </c>
      <c r="G574">
        <v>0.58333332999999998</v>
      </c>
    </row>
    <row r="575" spans="1:7" x14ac:dyDescent="0.3">
      <c r="A575">
        <v>20</v>
      </c>
      <c r="B575">
        <v>2643</v>
      </c>
      <c r="C575">
        <v>34</v>
      </c>
      <c r="D575">
        <v>83</v>
      </c>
      <c r="E575">
        <v>4</v>
      </c>
      <c r="F575">
        <v>0.97</v>
      </c>
      <c r="G575">
        <v>9</v>
      </c>
    </row>
    <row r="576" spans="1:7" x14ac:dyDescent="0.3">
      <c r="A576">
        <v>50</v>
      </c>
      <c r="B576">
        <v>2643</v>
      </c>
      <c r="C576">
        <v>56</v>
      </c>
      <c r="D576">
        <v>24</v>
      </c>
      <c r="E576">
        <v>4</v>
      </c>
      <c r="F576">
        <v>0.61</v>
      </c>
      <c r="G576">
        <v>3.5</v>
      </c>
    </row>
    <row r="577" spans="1:7" x14ac:dyDescent="0.3">
      <c r="A577">
        <v>150</v>
      </c>
      <c r="B577">
        <v>2641</v>
      </c>
      <c r="C577">
        <v>28</v>
      </c>
      <c r="D577">
        <v>15</v>
      </c>
      <c r="E577">
        <v>2</v>
      </c>
      <c r="F577">
        <v>0.16</v>
      </c>
      <c r="G577">
        <v>0.65</v>
      </c>
    </row>
    <row r="578" spans="1:7" x14ac:dyDescent="0.3">
      <c r="A578">
        <v>95</v>
      </c>
      <c r="B578">
        <v>2635</v>
      </c>
      <c r="C578">
        <v>25</v>
      </c>
      <c r="D578">
        <v>30</v>
      </c>
      <c r="E578">
        <v>4</v>
      </c>
      <c r="F578">
        <v>0.3</v>
      </c>
      <c r="G578">
        <v>2</v>
      </c>
    </row>
    <row r="579" spans="1:7" x14ac:dyDescent="0.3">
      <c r="A579">
        <v>40</v>
      </c>
      <c r="B579">
        <v>2626</v>
      </c>
      <c r="C579">
        <v>95</v>
      </c>
      <c r="D579">
        <v>135</v>
      </c>
      <c r="E579">
        <v>1</v>
      </c>
      <c r="F579">
        <v>0.02</v>
      </c>
      <c r="G579">
        <v>6</v>
      </c>
    </row>
    <row r="580" spans="1:7" x14ac:dyDescent="0.3">
      <c r="A580">
        <v>100</v>
      </c>
      <c r="B580">
        <v>2607</v>
      </c>
      <c r="C580">
        <v>317</v>
      </c>
      <c r="D580">
        <v>49</v>
      </c>
      <c r="E580">
        <v>1</v>
      </c>
      <c r="F580">
        <v>0.15</v>
      </c>
      <c r="G580">
        <v>5</v>
      </c>
    </row>
    <row r="581" spans="1:7" x14ac:dyDescent="0.3">
      <c r="A581">
        <v>50</v>
      </c>
      <c r="B581">
        <v>2606</v>
      </c>
      <c r="C581">
        <v>241</v>
      </c>
      <c r="D581">
        <v>77</v>
      </c>
      <c r="E581">
        <v>4</v>
      </c>
      <c r="F581">
        <v>0.34</v>
      </c>
      <c r="G581">
        <v>8</v>
      </c>
    </row>
    <row r="582" spans="1:7" x14ac:dyDescent="0.3">
      <c r="A582">
        <v>30</v>
      </c>
      <c r="B582">
        <v>2596</v>
      </c>
      <c r="C582">
        <v>11</v>
      </c>
      <c r="D582">
        <v>39</v>
      </c>
      <c r="E582">
        <v>4</v>
      </c>
      <c r="F582">
        <v>0.42</v>
      </c>
      <c r="G582">
        <v>4</v>
      </c>
    </row>
    <row r="583" spans="1:7" x14ac:dyDescent="0.3">
      <c r="A583">
        <v>40</v>
      </c>
      <c r="B583">
        <v>2578</v>
      </c>
      <c r="C583">
        <v>210</v>
      </c>
      <c r="D583">
        <v>39</v>
      </c>
      <c r="E583">
        <v>1</v>
      </c>
      <c r="F583">
        <v>0.18</v>
      </c>
      <c r="G583">
        <v>5.5</v>
      </c>
    </row>
    <row r="584" spans="1:7" x14ac:dyDescent="0.3">
      <c r="A584">
        <v>50</v>
      </c>
      <c r="B584">
        <v>2577</v>
      </c>
      <c r="C584">
        <v>529</v>
      </c>
      <c r="D584">
        <v>64</v>
      </c>
      <c r="E584">
        <v>4</v>
      </c>
      <c r="F584">
        <v>0.77</v>
      </c>
      <c r="G584">
        <v>4.5</v>
      </c>
    </row>
    <row r="585" spans="1:7" x14ac:dyDescent="0.3">
      <c r="A585">
        <v>45</v>
      </c>
      <c r="B585">
        <v>2573</v>
      </c>
      <c r="C585">
        <v>103</v>
      </c>
      <c r="D585">
        <v>46</v>
      </c>
      <c r="E585">
        <v>2</v>
      </c>
      <c r="F585">
        <v>0.34</v>
      </c>
      <c r="G585">
        <v>5.5</v>
      </c>
    </row>
    <row r="586" spans="1:7" x14ac:dyDescent="0.3">
      <c r="A586">
        <v>65</v>
      </c>
      <c r="B586">
        <v>2570</v>
      </c>
      <c r="C586">
        <v>17</v>
      </c>
      <c r="D586">
        <v>87</v>
      </c>
      <c r="E586">
        <v>4</v>
      </c>
      <c r="F586">
        <v>0.66</v>
      </c>
      <c r="G586">
        <v>5</v>
      </c>
    </row>
    <row r="587" spans="1:7" x14ac:dyDescent="0.3">
      <c r="A587">
        <v>55</v>
      </c>
      <c r="B587">
        <v>2565</v>
      </c>
      <c r="C587">
        <v>32</v>
      </c>
      <c r="D587">
        <v>41</v>
      </c>
      <c r="E587">
        <v>4</v>
      </c>
      <c r="F587">
        <v>0.55000000000000004</v>
      </c>
      <c r="G587">
        <v>3</v>
      </c>
    </row>
    <row r="588" spans="1:7" x14ac:dyDescent="0.3">
      <c r="A588">
        <v>100</v>
      </c>
      <c r="B588">
        <v>2558</v>
      </c>
      <c r="C588">
        <v>12</v>
      </c>
      <c r="D588">
        <v>36</v>
      </c>
      <c r="E588">
        <v>1</v>
      </c>
      <c r="F588">
        <v>0.91</v>
      </c>
      <c r="G588">
        <v>3</v>
      </c>
    </row>
    <row r="589" spans="1:7" x14ac:dyDescent="0.3">
      <c r="A589">
        <v>195</v>
      </c>
      <c r="B589">
        <v>2547</v>
      </c>
      <c r="C589">
        <v>62</v>
      </c>
      <c r="D589">
        <v>18</v>
      </c>
      <c r="E589">
        <v>4</v>
      </c>
      <c r="F589">
        <v>0.96</v>
      </c>
      <c r="G589">
        <v>1</v>
      </c>
    </row>
    <row r="590" spans="1:7" x14ac:dyDescent="0.3">
      <c r="A590">
        <v>20</v>
      </c>
      <c r="B590">
        <v>2532</v>
      </c>
      <c r="C590">
        <v>291</v>
      </c>
      <c r="D590">
        <v>30</v>
      </c>
      <c r="E590">
        <v>4</v>
      </c>
      <c r="F590">
        <v>0.96</v>
      </c>
      <c r="G590">
        <v>1</v>
      </c>
    </row>
    <row r="591" spans="1:7" x14ac:dyDescent="0.3">
      <c r="A591">
        <v>20</v>
      </c>
      <c r="B591">
        <v>2528</v>
      </c>
      <c r="C591">
        <v>15</v>
      </c>
      <c r="D591">
        <v>30</v>
      </c>
      <c r="E591">
        <v>4</v>
      </c>
      <c r="F591">
        <v>0.96</v>
      </c>
      <c r="G591">
        <v>2</v>
      </c>
    </row>
    <row r="592" spans="1:7" x14ac:dyDescent="0.3">
      <c r="A592">
        <v>195</v>
      </c>
      <c r="B592">
        <v>2526</v>
      </c>
      <c r="C592">
        <v>185</v>
      </c>
      <c r="D592">
        <v>24</v>
      </c>
      <c r="E592">
        <v>2</v>
      </c>
      <c r="F592">
        <v>0.96</v>
      </c>
      <c r="G592">
        <v>5</v>
      </c>
    </row>
    <row r="593" spans="1:7" x14ac:dyDescent="0.3">
      <c r="A593">
        <v>20</v>
      </c>
      <c r="B593">
        <v>2520</v>
      </c>
      <c r="C593">
        <v>183</v>
      </c>
      <c r="D593">
        <v>34</v>
      </c>
      <c r="E593">
        <v>4</v>
      </c>
      <c r="F593">
        <v>0.96</v>
      </c>
      <c r="G593">
        <v>1.5</v>
      </c>
    </row>
    <row r="594" spans="1:7" x14ac:dyDescent="0.3">
      <c r="A594">
        <v>20</v>
      </c>
      <c r="B594">
        <v>2510</v>
      </c>
      <c r="C594">
        <v>21</v>
      </c>
      <c r="D594">
        <v>23</v>
      </c>
      <c r="E594">
        <v>4</v>
      </c>
      <c r="F594">
        <v>0.96</v>
      </c>
      <c r="G594">
        <v>1.5</v>
      </c>
    </row>
    <row r="595" spans="1:7" x14ac:dyDescent="0.3">
      <c r="A595">
        <v>195</v>
      </c>
      <c r="B595">
        <v>2497</v>
      </c>
      <c r="C595">
        <v>98</v>
      </c>
      <c r="D595">
        <v>154</v>
      </c>
      <c r="E595">
        <v>2</v>
      </c>
      <c r="F595">
        <v>0.96</v>
      </c>
      <c r="G595">
        <v>26</v>
      </c>
    </row>
    <row r="596" spans="1:7" x14ac:dyDescent="0.3">
      <c r="A596">
        <v>50</v>
      </c>
      <c r="B596">
        <v>2494</v>
      </c>
      <c r="C596">
        <v>303</v>
      </c>
      <c r="D596">
        <v>40</v>
      </c>
      <c r="E596">
        <v>4</v>
      </c>
      <c r="F596">
        <v>0.96</v>
      </c>
      <c r="G596">
        <v>4.5</v>
      </c>
    </row>
    <row r="597" spans="1:7" x14ac:dyDescent="0.3">
      <c r="A597">
        <v>40</v>
      </c>
      <c r="B597">
        <v>2472</v>
      </c>
      <c r="C597">
        <v>139</v>
      </c>
      <c r="D597">
        <v>31</v>
      </c>
      <c r="E597">
        <v>2</v>
      </c>
      <c r="F597">
        <v>0.96</v>
      </c>
      <c r="G597">
        <v>4</v>
      </c>
    </row>
    <row r="598" spans="1:7" x14ac:dyDescent="0.3">
      <c r="A598">
        <v>45</v>
      </c>
      <c r="B598">
        <v>2472</v>
      </c>
      <c r="C598">
        <v>41</v>
      </c>
      <c r="D598">
        <v>8</v>
      </c>
      <c r="E598">
        <v>2</v>
      </c>
      <c r="F598">
        <v>0.96</v>
      </c>
      <c r="G598">
        <v>1</v>
      </c>
    </row>
    <row r="599" spans="1:7" x14ac:dyDescent="0.3">
      <c r="A599">
        <v>35</v>
      </c>
      <c r="B599">
        <v>2470</v>
      </c>
      <c r="C599">
        <v>24</v>
      </c>
      <c r="D599">
        <v>19</v>
      </c>
      <c r="E599">
        <v>4</v>
      </c>
      <c r="F599">
        <v>0.96</v>
      </c>
      <c r="G599">
        <v>2.5</v>
      </c>
    </row>
    <row r="600" spans="1:7" x14ac:dyDescent="0.3">
      <c r="A600">
        <v>0</v>
      </c>
      <c r="B600">
        <v>2464</v>
      </c>
      <c r="C600">
        <v>17</v>
      </c>
      <c r="D600">
        <v>9</v>
      </c>
      <c r="E600">
        <v>4</v>
      </c>
      <c r="F600">
        <v>0.96</v>
      </c>
      <c r="G600">
        <v>0.73333333000000001</v>
      </c>
    </row>
    <row r="601" spans="1:7" x14ac:dyDescent="0.3">
      <c r="A601">
        <v>50</v>
      </c>
      <c r="B601">
        <v>2459</v>
      </c>
      <c r="C601">
        <v>107</v>
      </c>
      <c r="D601">
        <v>101</v>
      </c>
      <c r="E601">
        <v>4</v>
      </c>
      <c r="F601">
        <v>0.96</v>
      </c>
      <c r="G601">
        <v>8</v>
      </c>
    </row>
    <row r="602" spans="1:7" x14ac:dyDescent="0.3">
      <c r="A602">
        <v>0</v>
      </c>
      <c r="B602">
        <v>2437</v>
      </c>
      <c r="C602">
        <v>137</v>
      </c>
      <c r="D602">
        <v>10</v>
      </c>
      <c r="E602">
        <v>1</v>
      </c>
      <c r="F602">
        <v>0.96</v>
      </c>
      <c r="G602">
        <v>0.56666667000000004</v>
      </c>
    </row>
    <row r="603" spans="1:7" x14ac:dyDescent="0.3">
      <c r="A603">
        <v>95</v>
      </c>
      <c r="B603">
        <v>2430</v>
      </c>
      <c r="C603">
        <v>15</v>
      </c>
      <c r="D603">
        <v>36</v>
      </c>
      <c r="E603">
        <v>4</v>
      </c>
      <c r="F603">
        <v>0.96</v>
      </c>
      <c r="G603">
        <v>2</v>
      </c>
    </row>
    <row r="604" spans="1:7" x14ac:dyDescent="0.3">
      <c r="A604">
        <v>200</v>
      </c>
      <c r="B604">
        <v>2421</v>
      </c>
      <c r="C604">
        <v>6</v>
      </c>
      <c r="D604">
        <v>28</v>
      </c>
      <c r="E604">
        <v>1</v>
      </c>
      <c r="F604">
        <v>0.96</v>
      </c>
      <c r="G604">
        <v>3</v>
      </c>
    </row>
    <row r="605" spans="1:7" x14ac:dyDescent="0.3">
      <c r="A605">
        <v>100</v>
      </c>
      <c r="B605">
        <v>2412</v>
      </c>
      <c r="C605">
        <v>116</v>
      </c>
      <c r="D605">
        <v>28</v>
      </c>
      <c r="E605">
        <v>4</v>
      </c>
      <c r="F605">
        <v>0.96</v>
      </c>
      <c r="G605">
        <v>2.5</v>
      </c>
    </row>
    <row r="606" spans="1:7" x14ac:dyDescent="0.3">
      <c r="A606">
        <v>45</v>
      </c>
      <c r="B606">
        <v>2409</v>
      </c>
      <c r="C606">
        <v>90</v>
      </c>
      <c r="D606">
        <v>19</v>
      </c>
      <c r="E606">
        <v>4</v>
      </c>
      <c r="F606">
        <v>0.96</v>
      </c>
      <c r="G606">
        <v>2.5</v>
      </c>
    </row>
    <row r="607" spans="1:7" x14ac:dyDescent="0.3">
      <c r="A607">
        <v>20</v>
      </c>
      <c r="B607">
        <v>2402</v>
      </c>
      <c r="C607">
        <v>26</v>
      </c>
      <c r="D607">
        <v>23</v>
      </c>
      <c r="E607">
        <v>1</v>
      </c>
      <c r="F607">
        <v>0.96</v>
      </c>
      <c r="G607">
        <v>2</v>
      </c>
    </row>
    <row r="608" spans="1:7" x14ac:dyDescent="0.3">
      <c r="A608">
        <v>20</v>
      </c>
      <c r="B608">
        <v>2401</v>
      </c>
      <c r="C608">
        <v>15</v>
      </c>
      <c r="D608">
        <v>27</v>
      </c>
      <c r="E608">
        <v>1</v>
      </c>
      <c r="F608">
        <v>0.96</v>
      </c>
      <c r="G608">
        <v>3</v>
      </c>
    </row>
    <row r="609" spans="1:7" x14ac:dyDescent="0.3">
      <c r="A609">
        <v>200</v>
      </c>
      <c r="B609">
        <v>2390</v>
      </c>
      <c r="C609">
        <v>497</v>
      </c>
      <c r="D609">
        <v>82</v>
      </c>
      <c r="E609">
        <v>4</v>
      </c>
      <c r="F609">
        <v>0.96</v>
      </c>
      <c r="G609">
        <v>9</v>
      </c>
    </row>
    <row r="610" spans="1:7" x14ac:dyDescent="0.3">
      <c r="A610">
        <v>20</v>
      </c>
      <c r="B610">
        <v>2389</v>
      </c>
      <c r="C610">
        <v>7</v>
      </c>
      <c r="D610">
        <v>20</v>
      </c>
      <c r="E610">
        <v>4</v>
      </c>
      <c r="F610">
        <v>0.96</v>
      </c>
      <c r="G610">
        <v>2</v>
      </c>
    </row>
    <row r="611" spans="1:7" x14ac:dyDescent="0.3">
      <c r="A611">
        <v>20</v>
      </c>
      <c r="B611">
        <v>2388</v>
      </c>
      <c r="C611">
        <v>139</v>
      </c>
      <c r="D611">
        <v>12</v>
      </c>
      <c r="E611">
        <v>1</v>
      </c>
      <c r="F611">
        <v>0.96</v>
      </c>
      <c r="G611">
        <v>1</v>
      </c>
    </row>
    <row r="612" spans="1:7" x14ac:dyDescent="0.3">
      <c r="A612">
        <v>20</v>
      </c>
      <c r="B612">
        <v>2382</v>
      </c>
      <c r="C612">
        <v>22</v>
      </c>
      <c r="D612">
        <v>16</v>
      </c>
      <c r="E612">
        <v>4</v>
      </c>
      <c r="F612">
        <v>0.96</v>
      </c>
      <c r="G612">
        <v>1.5</v>
      </c>
    </row>
    <row r="613" spans="1:7" x14ac:dyDescent="0.3">
      <c r="A613">
        <v>25</v>
      </c>
      <c r="B613">
        <v>2371</v>
      </c>
      <c r="C613">
        <v>10</v>
      </c>
      <c r="D613">
        <v>12</v>
      </c>
      <c r="E613">
        <v>1</v>
      </c>
      <c r="F613">
        <v>0.96</v>
      </c>
      <c r="G613">
        <v>1</v>
      </c>
    </row>
    <row r="614" spans="1:7" x14ac:dyDescent="0.3">
      <c r="A614">
        <v>95</v>
      </c>
      <c r="B614">
        <v>2362</v>
      </c>
      <c r="C614">
        <v>4</v>
      </c>
      <c r="D614">
        <v>13</v>
      </c>
      <c r="E614">
        <v>4</v>
      </c>
      <c r="F614">
        <v>0.96</v>
      </c>
      <c r="G614">
        <v>1</v>
      </c>
    </row>
    <row r="615" spans="1:7" x14ac:dyDescent="0.3">
      <c r="A615">
        <v>100</v>
      </c>
      <c r="B615">
        <v>2360</v>
      </c>
      <c r="C615">
        <v>12</v>
      </c>
      <c r="D615">
        <v>49</v>
      </c>
      <c r="E615">
        <v>2</v>
      </c>
      <c r="F615">
        <v>0.96</v>
      </c>
      <c r="G615">
        <v>3.5</v>
      </c>
    </row>
    <row r="616" spans="1:7" x14ac:dyDescent="0.3">
      <c r="A616">
        <v>200</v>
      </c>
      <c r="B616">
        <v>2355</v>
      </c>
      <c r="C616">
        <v>143</v>
      </c>
      <c r="D616">
        <v>215</v>
      </c>
      <c r="E616">
        <v>4</v>
      </c>
      <c r="F616">
        <v>0.96</v>
      </c>
      <c r="G616">
        <v>7</v>
      </c>
    </row>
    <row r="617" spans="1:7" x14ac:dyDescent="0.3">
      <c r="A617">
        <v>195</v>
      </c>
      <c r="B617">
        <v>2354</v>
      </c>
      <c r="C617">
        <v>16</v>
      </c>
      <c r="D617">
        <v>45</v>
      </c>
      <c r="E617">
        <v>4</v>
      </c>
      <c r="F617">
        <v>0.96</v>
      </c>
      <c r="G617">
        <v>4</v>
      </c>
    </row>
    <row r="618" spans="1:7" x14ac:dyDescent="0.3">
      <c r="A618">
        <v>200</v>
      </c>
      <c r="B618">
        <v>2353</v>
      </c>
      <c r="C618">
        <v>47</v>
      </c>
      <c r="D618">
        <v>91</v>
      </c>
      <c r="E618">
        <v>4</v>
      </c>
      <c r="F618">
        <v>0.96</v>
      </c>
      <c r="G618">
        <v>10</v>
      </c>
    </row>
    <row r="619" spans="1:7" x14ac:dyDescent="0.3">
      <c r="A619">
        <v>50</v>
      </c>
      <c r="B619">
        <v>2351</v>
      </c>
      <c r="C619">
        <v>302</v>
      </c>
      <c r="D619">
        <v>16</v>
      </c>
      <c r="E619">
        <v>4</v>
      </c>
      <c r="F619">
        <v>0.96</v>
      </c>
      <c r="G619">
        <v>2.5</v>
      </c>
    </row>
    <row r="620" spans="1:7" x14ac:dyDescent="0.3">
      <c r="A620">
        <v>150</v>
      </c>
      <c r="B620">
        <v>2346</v>
      </c>
      <c r="C620">
        <v>10</v>
      </c>
      <c r="D620">
        <v>65</v>
      </c>
      <c r="E620">
        <v>4</v>
      </c>
      <c r="F620">
        <v>0.2</v>
      </c>
      <c r="G620">
        <v>4.5</v>
      </c>
    </row>
    <row r="621" spans="1:7" x14ac:dyDescent="0.3">
      <c r="A621">
        <v>30</v>
      </c>
      <c r="B621">
        <v>2342</v>
      </c>
      <c r="C621">
        <v>15</v>
      </c>
      <c r="D621">
        <v>19</v>
      </c>
      <c r="E621">
        <v>4</v>
      </c>
      <c r="F621">
        <v>0.47</v>
      </c>
      <c r="G621">
        <v>4.5</v>
      </c>
    </row>
    <row r="622" spans="1:7" x14ac:dyDescent="0.3">
      <c r="A622">
        <v>20</v>
      </c>
      <c r="B622">
        <v>2335</v>
      </c>
      <c r="C622">
        <v>13</v>
      </c>
      <c r="D622">
        <v>18</v>
      </c>
      <c r="E622">
        <v>2</v>
      </c>
      <c r="F622">
        <v>0.3</v>
      </c>
      <c r="G622">
        <v>1</v>
      </c>
    </row>
    <row r="623" spans="1:7" x14ac:dyDescent="0.3">
      <c r="A623">
        <v>20</v>
      </c>
      <c r="B623">
        <v>2320</v>
      </c>
      <c r="C623">
        <v>114</v>
      </c>
      <c r="D623">
        <v>43</v>
      </c>
      <c r="E623">
        <v>4</v>
      </c>
      <c r="F623">
        <v>0.76</v>
      </c>
      <c r="G623">
        <v>6</v>
      </c>
    </row>
    <row r="624" spans="1:7" x14ac:dyDescent="0.3">
      <c r="A624">
        <v>20</v>
      </c>
      <c r="B624">
        <v>2314</v>
      </c>
      <c r="C624">
        <v>77</v>
      </c>
      <c r="D624">
        <v>25</v>
      </c>
      <c r="E624">
        <v>1</v>
      </c>
      <c r="F624">
        <v>0.47</v>
      </c>
      <c r="G624">
        <v>2</v>
      </c>
    </row>
    <row r="625" spans="1:7" x14ac:dyDescent="0.3">
      <c r="A625">
        <v>200</v>
      </c>
      <c r="B625">
        <v>2311</v>
      </c>
      <c r="C625">
        <v>8</v>
      </c>
      <c r="D625">
        <v>44</v>
      </c>
      <c r="E625">
        <v>4</v>
      </c>
      <c r="F625">
        <v>0.93</v>
      </c>
      <c r="G625">
        <v>1.5</v>
      </c>
    </row>
    <row r="626" spans="1:7" x14ac:dyDescent="0.3">
      <c r="A626">
        <v>20</v>
      </c>
      <c r="B626">
        <v>2306</v>
      </c>
      <c r="C626">
        <v>3</v>
      </c>
      <c r="D626">
        <v>24</v>
      </c>
      <c r="E626">
        <v>4</v>
      </c>
      <c r="F626">
        <v>0.93</v>
      </c>
      <c r="G626">
        <v>1</v>
      </c>
    </row>
    <row r="627" spans="1:7" x14ac:dyDescent="0.3">
      <c r="A627">
        <v>20</v>
      </c>
      <c r="B627">
        <v>2299</v>
      </c>
      <c r="C627">
        <v>11</v>
      </c>
      <c r="D627">
        <v>22</v>
      </c>
      <c r="E627">
        <v>1</v>
      </c>
      <c r="F627">
        <v>0.93</v>
      </c>
      <c r="G627">
        <v>2</v>
      </c>
    </row>
    <row r="628" spans="1:7" x14ac:dyDescent="0.3">
      <c r="A628">
        <v>40</v>
      </c>
      <c r="B628">
        <v>2296</v>
      </c>
      <c r="C628">
        <v>28</v>
      </c>
      <c r="D628">
        <v>14</v>
      </c>
      <c r="E628">
        <v>4</v>
      </c>
      <c r="F628">
        <v>0.93</v>
      </c>
      <c r="G628">
        <v>1.5</v>
      </c>
    </row>
    <row r="629" spans="1:7" x14ac:dyDescent="0.3">
      <c r="A629">
        <v>20</v>
      </c>
      <c r="B629">
        <v>2281</v>
      </c>
      <c r="C629">
        <v>32</v>
      </c>
      <c r="D629">
        <v>21</v>
      </c>
      <c r="E629">
        <v>4</v>
      </c>
      <c r="F629">
        <v>0.93</v>
      </c>
      <c r="G629">
        <v>1.5</v>
      </c>
    </row>
    <row r="630" spans="1:7" x14ac:dyDescent="0.3">
      <c r="A630">
        <v>160</v>
      </c>
      <c r="B630">
        <v>2273</v>
      </c>
      <c r="C630">
        <v>288</v>
      </c>
      <c r="D630">
        <v>142</v>
      </c>
      <c r="E630">
        <v>1</v>
      </c>
      <c r="F630">
        <v>0.93</v>
      </c>
      <c r="G630">
        <v>8</v>
      </c>
    </row>
    <row r="631" spans="1:7" x14ac:dyDescent="0.3">
      <c r="A631">
        <v>60</v>
      </c>
      <c r="B631">
        <v>2273</v>
      </c>
      <c r="C631">
        <v>384</v>
      </c>
      <c r="D631">
        <v>91</v>
      </c>
      <c r="E631">
        <v>4</v>
      </c>
      <c r="F631">
        <v>0.93</v>
      </c>
      <c r="G631">
        <v>16.5</v>
      </c>
    </row>
    <row r="632" spans="1:7" x14ac:dyDescent="0.3">
      <c r="A632">
        <v>60</v>
      </c>
      <c r="B632">
        <v>2267</v>
      </c>
      <c r="C632">
        <v>17</v>
      </c>
      <c r="D632">
        <v>29</v>
      </c>
      <c r="E632">
        <v>4</v>
      </c>
      <c r="F632">
        <v>0.93</v>
      </c>
      <c r="G632">
        <v>1.5</v>
      </c>
    </row>
    <row r="633" spans="1:7" x14ac:dyDescent="0.3">
      <c r="A633">
        <v>40</v>
      </c>
      <c r="B633">
        <v>2244</v>
      </c>
      <c r="C633">
        <v>365</v>
      </c>
      <c r="D633">
        <v>168</v>
      </c>
      <c r="E633">
        <v>2</v>
      </c>
      <c r="F633">
        <v>0.93</v>
      </c>
      <c r="G633">
        <v>10</v>
      </c>
    </row>
    <row r="634" spans="1:7" x14ac:dyDescent="0.3">
      <c r="A634">
        <v>20</v>
      </c>
      <c r="B634">
        <v>2243</v>
      </c>
      <c r="C634">
        <v>27</v>
      </c>
      <c r="D634">
        <v>97</v>
      </c>
      <c r="E634">
        <v>4</v>
      </c>
      <c r="F634">
        <v>0.93</v>
      </c>
      <c r="G634">
        <v>7</v>
      </c>
    </row>
    <row r="635" spans="1:7" x14ac:dyDescent="0.3">
      <c r="A635">
        <v>20</v>
      </c>
      <c r="B635">
        <v>2238</v>
      </c>
      <c r="C635">
        <v>65</v>
      </c>
      <c r="D635">
        <v>12</v>
      </c>
      <c r="E635">
        <v>4</v>
      </c>
      <c r="F635">
        <v>0.93</v>
      </c>
      <c r="G635">
        <v>1</v>
      </c>
    </row>
    <row r="636" spans="1:7" x14ac:dyDescent="0.3">
      <c r="A636">
        <v>100</v>
      </c>
      <c r="B636">
        <v>2234</v>
      </c>
      <c r="C636">
        <v>253</v>
      </c>
      <c r="D636">
        <v>115</v>
      </c>
      <c r="E636">
        <v>4</v>
      </c>
      <c r="F636">
        <v>0.93</v>
      </c>
      <c r="G636">
        <v>11.5</v>
      </c>
    </row>
    <row r="637" spans="1:7" x14ac:dyDescent="0.3">
      <c r="A637">
        <v>20</v>
      </c>
      <c r="B637">
        <v>2227</v>
      </c>
      <c r="C637">
        <v>44</v>
      </c>
      <c r="D637">
        <v>26</v>
      </c>
      <c r="E637">
        <v>4</v>
      </c>
      <c r="F637">
        <v>0.93</v>
      </c>
      <c r="G637">
        <v>1.5</v>
      </c>
    </row>
    <row r="638" spans="1:7" x14ac:dyDescent="0.3">
      <c r="A638">
        <v>195</v>
      </c>
      <c r="B638">
        <v>2225</v>
      </c>
      <c r="C638">
        <v>14</v>
      </c>
      <c r="D638">
        <v>64</v>
      </c>
      <c r="E638">
        <v>4</v>
      </c>
      <c r="F638">
        <v>0.93</v>
      </c>
      <c r="G638">
        <v>6.5</v>
      </c>
    </row>
    <row r="639" spans="1:7" x14ac:dyDescent="0.3">
      <c r="A639">
        <v>55</v>
      </c>
      <c r="B639">
        <v>2215</v>
      </c>
      <c r="C639">
        <v>223</v>
      </c>
      <c r="D639">
        <v>74</v>
      </c>
      <c r="E639">
        <v>4</v>
      </c>
      <c r="F639">
        <v>0.93</v>
      </c>
      <c r="G639">
        <v>5</v>
      </c>
    </row>
    <row r="640" spans="1:7" x14ac:dyDescent="0.3">
      <c r="A640">
        <v>0</v>
      </c>
      <c r="B640">
        <v>2214</v>
      </c>
      <c r="C640">
        <v>20</v>
      </c>
      <c r="D640">
        <v>23</v>
      </c>
      <c r="E640">
        <v>4</v>
      </c>
      <c r="F640">
        <v>0.93</v>
      </c>
      <c r="G640">
        <v>2</v>
      </c>
    </row>
    <row r="641" spans="1:7" x14ac:dyDescent="0.3">
      <c r="A641">
        <v>20</v>
      </c>
      <c r="B641">
        <v>2204</v>
      </c>
      <c r="C641">
        <v>6</v>
      </c>
      <c r="D641">
        <v>97</v>
      </c>
      <c r="E641">
        <v>4</v>
      </c>
      <c r="F641">
        <v>0.93</v>
      </c>
      <c r="G641">
        <v>9</v>
      </c>
    </row>
    <row r="642" spans="1:7" x14ac:dyDescent="0.3">
      <c r="A642">
        <v>30</v>
      </c>
      <c r="B642">
        <v>2200</v>
      </c>
      <c r="C642">
        <v>25</v>
      </c>
      <c r="D642">
        <v>12</v>
      </c>
      <c r="E642">
        <v>4</v>
      </c>
      <c r="F642">
        <v>0.93</v>
      </c>
      <c r="G642">
        <v>1</v>
      </c>
    </row>
    <row r="643" spans="1:7" x14ac:dyDescent="0.3">
      <c r="A643">
        <v>25</v>
      </c>
      <c r="B643">
        <v>2197</v>
      </c>
      <c r="C643">
        <v>9</v>
      </c>
      <c r="D643">
        <v>12</v>
      </c>
      <c r="E643">
        <v>1</v>
      </c>
      <c r="F643">
        <v>0.93</v>
      </c>
      <c r="G643">
        <v>1.5</v>
      </c>
    </row>
    <row r="644" spans="1:7" x14ac:dyDescent="0.3">
      <c r="A644">
        <v>100</v>
      </c>
      <c r="B644">
        <v>2195</v>
      </c>
      <c r="C644">
        <v>10</v>
      </c>
      <c r="D644">
        <v>35</v>
      </c>
      <c r="E644">
        <v>4</v>
      </c>
      <c r="F644">
        <v>0.93</v>
      </c>
      <c r="G644">
        <v>3.5</v>
      </c>
    </row>
    <row r="645" spans="1:7" x14ac:dyDescent="0.3">
      <c r="A645">
        <v>95</v>
      </c>
      <c r="B645">
        <v>2185</v>
      </c>
      <c r="C645">
        <v>283</v>
      </c>
      <c r="D645">
        <v>45</v>
      </c>
      <c r="E645">
        <v>4</v>
      </c>
      <c r="F645">
        <v>0.93</v>
      </c>
      <c r="G645">
        <v>3.5</v>
      </c>
    </row>
    <row r="646" spans="1:7" x14ac:dyDescent="0.3">
      <c r="A646">
        <v>80</v>
      </c>
      <c r="B646">
        <v>2184</v>
      </c>
      <c r="C646">
        <v>15</v>
      </c>
      <c r="D646">
        <v>24</v>
      </c>
      <c r="E646">
        <v>2</v>
      </c>
      <c r="F646">
        <v>0.93</v>
      </c>
      <c r="G646">
        <v>3</v>
      </c>
    </row>
    <row r="647" spans="1:7" x14ac:dyDescent="0.3">
      <c r="A647">
        <v>25</v>
      </c>
      <c r="B647">
        <v>2178</v>
      </c>
      <c r="C647">
        <v>22</v>
      </c>
      <c r="D647">
        <v>19</v>
      </c>
      <c r="E647">
        <v>4</v>
      </c>
      <c r="F647">
        <v>0.93</v>
      </c>
      <c r="G647">
        <v>1.5</v>
      </c>
    </row>
    <row r="648" spans="1:7" x14ac:dyDescent="0.3">
      <c r="A648">
        <v>20</v>
      </c>
      <c r="B648">
        <v>2177</v>
      </c>
      <c r="C648">
        <v>13</v>
      </c>
      <c r="D648">
        <v>43</v>
      </c>
      <c r="E648">
        <v>4</v>
      </c>
      <c r="F648">
        <v>0.93</v>
      </c>
      <c r="G648">
        <v>4</v>
      </c>
    </row>
    <row r="649" spans="1:7" x14ac:dyDescent="0.3">
      <c r="A649">
        <v>20</v>
      </c>
      <c r="B649">
        <v>2164</v>
      </c>
      <c r="C649">
        <v>290</v>
      </c>
      <c r="D649">
        <v>70</v>
      </c>
      <c r="E649">
        <v>4</v>
      </c>
      <c r="F649">
        <v>0.93</v>
      </c>
      <c r="G649">
        <v>8.5</v>
      </c>
    </row>
    <row r="650" spans="1:7" x14ac:dyDescent="0.3">
      <c r="A650">
        <v>20</v>
      </c>
      <c r="B650">
        <v>2160</v>
      </c>
      <c r="C650">
        <v>16</v>
      </c>
      <c r="D650">
        <v>28</v>
      </c>
      <c r="E650">
        <v>1</v>
      </c>
      <c r="F650">
        <v>0.93</v>
      </c>
      <c r="G650">
        <v>4</v>
      </c>
    </row>
    <row r="651" spans="1:7" x14ac:dyDescent="0.3">
      <c r="A651">
        <v>50</v>
      </c>
      <c r="B651">
        <v>2152</v>
      </c>
      <c r="C651">
        <v>19</v>
      </c>
      <c r="D651">
        <v>15</v>
      </c>
      <c r="E651">
        <v>1</v>
      </c>
      <c r="F651">
        <v>0.93</v>
      </c>
      <c r="G651">
        <v>2.5</v>
      </c>
    </row>
    <row r="652" spans="1:7" x14ac:dyDescent="0.3">
      <c r="A652">
        <v>145</v>
      </c>
      <c r="B652">
        <v>2145</v>
      </c>
      <c r="C652">
        <v>166</v>
      </c>
      <c r="D652">
        <v>136</v>
      </c>
      <c r="E652">
        <v>1</v>
      </c>
      <c r="F652">
        <v>0.3</v>
      </c>
      <c r="G652">
        <v>8</v>
      </c>
    </row>
    <row r="653" spans="1:7" x14ac:dyDescent="0.3">
      <c r="A653">
        <v>120</v>
      </c>
      <c r="B653">
        <v>2142</v>
      </c>
      <c r="C653">
        <v>536</v>
      </c>
      <c r="D653">
        <v>71</v>
      </c>
      <c r="E653">
        <v>4</v>
      </c>
      <c r="F653">
        <v>0.99</v>
      </c>
      <c r="G653">
        <v>12</v>
      </c>
    </row>
    <row r="654" spans="1:7" x14ac:dyDescent="0.3">
      <c r="A654">
        <v>175</v>
      </c>
      <c r="B654">
        <v>2134</v>
      </c>
      <c r="C654">
        <v>215</v>
      </c>
      <c r="D654">
        <v>55</v>
      </c>
      <c r="E654">
        <v>2</v>
      </c>
      <c r="F654">
        <v>0.99</v>
      </c>
      <c r="G654">
        <v>7</v>
      </c>
    </row>
    <row r="655" spans="1:7" x14ac:dyDescent="0.3">
      <c r="A655">
        <v>20</v>
      </c>
      <c r="B655">
        <v>2104</v>
      </c>
      <c r="C655">
        <v>69</v>
      </c>
      <c r="D655">
        <v>14</v>
      </c>
      <c r="E655">
        <v>1</v>
      </c>
      <c r="F655">
        <v>0.99</v>
      </c>
      <c r="G655">
        <v>1</v>
      </c>
    </row>
    <row r="656" spans="1:7" x14ac:dyDescent="0.3">
      <c r="A656">
        <v>60</v>
      </c>
      <c r="B656">
        <v>2097</v>
      </c>
      <c r="C656">
        <v>401</v>
      </c>
      <c r="D656">
        <v>28</v>
      </c>
      <c r="E656">
        <v>1</v>
      </c>
      <c r="F656">
        <v>0.99</v>
      </c>
      <c r="G656">
        <v>5.5</v>
      </c>
    </row>
    <row r="657" spans="1:7" x14ac:dyDescent="0.3">
      <c r="A657">
        <v>0</v>
      </c>
      <c r="B657">
        <v>2097</v>
      </c>
      <c r="C657">
        <v>16</v>
      </c>
      <c r="D657">
        <v>10</v>
      </c>
      <c r="E657">
        <v>4</v>
      </c>
      <c r="F657">
        <v>0.99</v>
      </c>
      <c r="G657">
        <v>2</v>
      </c>
    </row>
    <row r="658" spans="1:7" x14ac:dyDescent="0.3">
      <c r="A658">
        <v>45</v>
      </c>
      <c r="B658">
        <v>2091</v>
      </c>
      <c r="C658">
        <v>86</v>
      </c>
      <c r="D658">
        <v>29</v>
      </c>
      <c r="E658">
        <v>2</v>
      </c>
      <c r="F658">
        <v>0.99</v>
      </c>
      <c r="G658">
        <v>2.5</v>
      </c>
    </row>
    <row r="659" spans="1:7" x14ac:dyDescent="0.3">
      <c r="A659">
        <v>95</v>
      </c>
      <c r="B659">
        <v>2086</v>
      </c>
      <c r="C659">
        <v>56</v>
      </c>
      <c r="D659">
        <v>22</v>
      </c>
      <c r="E659">
        <v>4</v>
      </c>
      <c r="F659">
        <v>0.99</v>
      </c>
      <c r="G659">
        <v>1</v>
      </c>
    </row>
    <row r="660" spans="1:7" x14ac:dyDescent="0.3">
      <c r="A660">
        <v>25</v>
      </c>
      <c r="B660">
        <v>2083</v>
      </c>
      <c r="C660">
        <v>213</v>
      </c>
      <c r="D660">
        <v>23</v>
      </c>
      <c r="E660">
        <v>4</v>
      </c>
      <c r="F660">
        <v>0.99</v>
      </c>
      <c r="G660">
        <v>2.5</v>
      </c>
    </row>
    <row r="661" spans="1:7" x14ac:dyDescent="0.3">
      <c r="A661">
        <v>200</v>
      </c>
      <c r="B661">
        <v>2076</v>
      </c>
      <c r="C661">
        <v>125</v>
      </c>
      <c r="D661">
        <v>56</v>
      </c>
      <c r="E661">
        <v>2</v>
      </c>
      <c r="F661">
        <v>0.99</v>
      </c>
      <c r="G661">
        <v>11</v>
      </c>
    </row>
    <row r="662" spans="1:7" x14ac:dyDescent="0.3">
      <c r="A662">
        <v>20</v>
      </c>
      <c r="B662">
        <v>2076</v>
      </c>
      <c r="C662">
        <v>8</v>
      </c>
      <c r="D662">
        <v>20</v>
      </c>
      <c r="E662">
        <v>1</v>
      </c>
      <c r="F662">
        <v>0.99</v>
      </c>
      <c r="G662">
        <v>2</v>
      </c>
    </row>
    <row r="663" spans="1:7" x14ac:dyDescent="0.3">
      <c r="A663">
        <v>20</v>
      </c>
      <c r="B663">
        <v>2074</v>
      </c>
      <c r="C663">
        <v>14</v>
      </c>
      <c r="D663">
        <v>22</v>
      </c>
      <c r="E663">
        <v>4</v>
      </c>
      <c r="F663">
        <v>0.99</v>
      </c>
      <c r="G663">
        <v>1.5</v>
      </c>
    </row>
    <row r="664" spans="1:7" x14ac:dyDescent="0.3">
      <c r="A664">
        <v>95</v>
      </c>
      <c r="B664">
        <v>2073</v>
      </c>
      <c r="C664">
        <v>24</v>
      </c>
      <c r="D664">
        <v>16</v>
      </c>
      <c r="E664">
        <v>1</v>
      </c>
      <c r="F664">
        <v>0.99</v>
      </c>
      <c r="G664">
        <v>2</v>
      </c>
    </row>
    <row r="665" spans="1:7" x14ac:dyDescent="0.3">
      <c r="A665">
        <v>75</v>
      </c>
      <c r="B665">
        <v>2071</v>
      </c>
      <c r="C665">
        <v>57</v>
      </c>
      <c r="D665">
        <v>14</v>
      </c>
      <c r="E665">
        <v>4</v>
      </c>
      <c r="F665">
        <v>0.99</v>
      </c>
      <c r="G665">
        <v>1.5</v>
      </c>
    </row>
    <row r="666" spans="1:7" x14ac:dyDescent="0.3">
      <c r="A666">
        <v>150</v>
      </c>
      <c r="B666">
        <v>2063</v>
      </c>
      <c r="C666">
        <v>18</v>
      </c>
      <c r="D666">
        <v>12</v>
      </c>
      <c r="E666">
        <v>2</v>
      </c>
      <c r="F666">
        <v>0.99</v>
      </c>
      <c r="G666">
        <v>1</v>
      </c>
    </row>
    <row r="667" spans="1:7" x14ac:dyDescent="0.3">
      <c r="A667">
        <v>45</v>
      </c>
      <c r="B667">
        <v>2052</v>
      </c>
      <c r="C667">
        <v>18</v>
      </c>
      <c r="D667">
        <v>8</v>
      </c>
      <c r="E667">
        <v>1</v>
      </c>
      <c r="F667">
        <v>0.99</v>
      </c>
      <c r="G667">
        <v>0.55000000000000004</v>
      </c>
    </row>
    <row r="668" spans="1:7" x14ac:dyDescent="0.3">
      <c r="A668">
        <v>150</v>
      </c>
      <c r="B668">
        <v>2051</v>
      </c>
      <c r="C668">
        <v>99</v>
      </c>
      <c r="D668">
        <v>76</v>
      </c>
      <c r="E668">
        <v>1</v>
      </c>
      <c r="F668">
        <v>0.99</v>
      </c>
      <c r="G668">
        <v>13</v>
      </c>
    </row>
    <row r="669" spans="1:7" x14ac:dyDescent="0.3">
      <c r="A669">
        <v>115</v>
      </c>
      <c r="B669">
        <v>2039</v>
      </c>
      <c r="C669">
        <v>7</v>
      </c>
      <c r="D669">
        <v>19</v>
      </c>
      <c r="E669">
        <v>4</v>
      </c>
      <c r="F669">
        <v>0.99</v>
      </c>
      <c r="G669">
        <v>1</v>
      </c>
    </row>
    <row r="670" spans="1:7" x14ac:dyDescent="0.3">
      <c r="A670">
        <v>20</v>
      </c>
      <c r="B670">
        <v>2025</v>
      </c>
      <c r="C670">
        <v>16</v>
      </c>
      <c r="D670">
        <v>38</v>
      </c>
      <c r="E670">
        <v>4</v>
      </c>
      <c r="F670">
        <v>0.99</v>
      </c>
      <c r="G670">
        <v>2</v>
      </c>
    </row>
    <row r="671" spans="1:7" x14ac:dyDescent="0.3">
      <c r="A671">
        <v>75</v>
      </c>
      <c r="B671">
        <v>2023</v>
      </c>
      <c r="C671">
        <v>8</v>
      </c>
      <c r="D671">
        <v>25</v>
      </c>
      <c r="E671">
        <v>4</v>
      </c>
      <c r="F671">
        <v>0.99</v>
      </c>
      <c r="G671">
        <v>2</v>
      </c>
    </row>
    <row r="672" spans="1:7" x14ac:dyDescent="0.3">
      <c r="A672">
        <v>55</v>
      </c>
      <c r="B672">
        <v>2012</v>
      </c>
      <c r="C672">
        <v>15</v>
      </c>
      <c r="D672">
        <v>59</v>
      </c>
      <c r="E672">
        <v>1</v>
      </c>
      <c r="F672">
        <v>0.99</v>
      </c>
      <c r="G672">
        <v>3.5</v>
      </c>
    </row>
    <row r="673" spans="1:7" x14ac:dyDescent="0.3">
      <c r="A673">
        <v>80</v>
      </c>
      <c r="B673">
        <v>2007</v>
      </c>
      <c r="C673">
        <v>10</v>
      </c>
      <c r="D673">
        <v>113</v>
      </c>
      <c r="E673">
        <v>4</v>
      </c>
      <c r="F673">
        <v>0.99</v>
      </c>
      <c r="G673">
        <v>5.5</v>
      </c>
    </row>
    <row r="674" spans="1:7" x14ac:dyDescent="0.3">
      <c r="A674">
        <v>20</v>
      </c>
      <c r="B674">
        <v>2002</v>
      </c>
      <c r="C674">
        <v>41</v>
      </c>
      <c r="D674">
        <v>31</v>
      </c>
      <c r="E674">
        <v>2</v>
      </c>
      <c r="F674">
        <v>0.99</v>
      </c>
      <c r="G674">
        <v>0.66666667000000002</v>
      </c>
    </row>
    <row r="675" spans="1:7" x14ac:dyDescent="0.3">
      <c r="A675">
        <v>195</v>
      </c>
      <c r="B675">
        <v>1995</v>
      </c>
      <c r="C675">
        <v>286</v>
      </c>
      <c r="D675">
        <v>45</v>
      </c>
      <c r="E675">
        <v>2</v>
      </c>
      <c r="F675">
        <v>0.99</v>
      </c>
      <c r="G675">
        <v>6.5</v>
      </c>
    </row>
    <row r="676" spans="1:7" x14ac:dyDescent="0.3">
      <c r="A676">
        <v>55</v>
      </c>
      <c r="B676">
        <v>1993</v>
      </c>
      <c r="C676">
        <v>55</v>
      </c>
      <c r="D676">
        <v>26</v>
      </c>
      <c r="E676">
        <v>1</v>
      </c>
      <c r="F676">
        <v>0.99</v>
      </c>
      <c r="G676">
        <v>4</v>
      </c>
    </row>
    <row r="677" spans="1:7" x14ac:dyDescent="0.3">
      <c r="A677">
        <v>100</v>
      </c>
      <c r="B677">
        <v>1975</v>
      </c>
      <c r="C677">
        <v>141</v>
      </c>
      <c r="D677">
        <v>36</v>
      </c>
      <c r="E677">
        <v>4</v>
      </c>
      <c r="F677">
        <v>0.86</v>
      </c>
      <c r="G677">
        <v>3</v>
      </c>
    </row>
    <row r="678" spans="1:7" x14ac:dyDescent="0.3">
      <c r="A678">
        <v>150</v>
      </c>
      <c r="B678">
        <v>1967</v>
      </c>
      <c r="C678">
        <v>372</v>
      </c>
      <c r="D678">
        <v>60</v>
      </c>
      <c r="E678">
        <v>4</v>
      </c>
      <c r="F678">
        <v>0.42</v>
      </c>
      <c r="G678">
        <v>9</v>
      </c>
    </row>
    <row r="679" spans="1:7" x14ac:dyDescent="0.3">
      <c r="A679">
        <v>150</v>
      </c>
      <c r="B679">
        <v>1966</v>
      </c>
      <c r="C679">
        <v>359</v>
      </c>
      <c r="D679">
        <v>65</v>
      </c>
      <c r="E679">
        <v>4</v>
      </c>
      <c r="F679">
        <v>0.13</v>
      </c>
      <c r="G679">
        <v>5</v>
      </c>
    </row>
    <row r="680" spans="1:7" x14ac:dyDescent="0.3">
      <c r="A680">
        <v>40</v>
      </c>
      <c r="B680">
        <v>1950</v>
      </c>
      <c r="C680">
        <v>33</v>
      </c>
      <c r="D680">
        <v>16</v>
      </c>
      <c r="E680">
        <v>4</v>
      </c>
      <c r="F680">
        <v>0.9</v>
      </c>
      <c r="G680">
        <v>1</v>
      </c>
    </row>
    <row r="681" spans="1:7" x14ac:dyDescent="0.3">
      <c r="A681">
        <v>50</v>
      </c>
      <c r="B681">
        <v>1949</v>
      </c>
      <c r="C681">
        <v>149</v>
      </c>
      <c r="D681">
        <v>102</v>
      </c>
      <c r="E681">
        <v>4</v>
      </c>
      <c r="F681">
        <v>0.13</v>
      </c>
      <c r="G681">
        <v>15.5</v>
      </c>
    </row>
    <row r="682" spans="1:7" x14ac:dyDescent="0.3">
      <c r="A682">
        <v>20</v>
      </c>
      <c r="B682">
        <v>1948</v>
      </c>
      <c r="C682">
        <v>72</v>
      </c>
      <c r="D682">
        <v>45</v>
      </c>
      <c r="E682">
        <v>4</v>
      </c>
      <c r="F682">
        <v>0.47</v>
      </c>
      <c r="G682">
        <v>5</v>
      </c>
    </row>
    <row r="683" spans="1:7" x14ac:dyDescent="0.3">
      <c r="A683">
        <v>75</v>
      </c>
      <c r="B683">
        <v>1945</v>
      </c>
      <c r="C683">
        <v>58</v>
      </c>
      <c r="D683">
        <v>10</v>
      </c>
      <c r="E683">
        <v>4</v>
      </c>
      <c r="F683">
        <v>0.8</v>
      </c>
      <c r="G683">
        <v>1</v>
      </c>
    </row>
    <row r="684" spans="1:7" x14ac:dyDescent="0.3">
      <c r="A684">
        <v>0</v>
      </c>
      <c r="B684">
        <v>1942</v>
      </c>
      <c r="C684">
        <v>23</v>
      </c>
      <c r="D684">
        <v>48</v>
      </c>
      <c r="E684">
        <v>1</v>
      </c>
      <c r="F684">
        <v>0.24</v>
      </c>
      <c r="G684">
        <v>4.5</v>
      </c>
    </row>
    <row r="685" spans="1:7" x14ac:dyDescent="0.3">
      <c r="A685">
        <v>50</v>
      </c>
      <c r="B685">
        <v>1936</v>
      </c>
      <c r="C685">
        <v>88</v>
      </c>
      <c r="D685">
        <v>53</v>
      </c>
      <c r="E685">
        <v>1</v>
      </c>
      <c r="F685">
        <v>0.89</v>
      </c>
      <c r="G685">
        <v>5</v>
      </c>
    </row>
    <row r="686" spans="1:7" x14ac:dyDescent="0.3">
      <c r="A686">
        <v>200</v>
      </c>
      <c r="B686">
        <v>1935</v>
      </c>
      <c r="C686">
        <v>17</v>
      </c>
      <c r="D686">
        <v>10</v>
      </c>
      <c r="E686">
        <v>2</v>
      </c>
      <c r="F686">
        <v>0.87</v>
      </c>
      <c r="G686">
        <v>1</v>
      </c>
    </row>
    <row r="687" spans="1:7" x14ac:dyDescent="0.3">
      <c r="A687">
        <v>40</v>
      </c>
      <c r="B687">
        <v>1926</v>
      </c>
      <c r="C687">
        <v>9</v>
      </c>
      <c r="D687">
        <v>458</v>
      </c>
      <c r="E687">
        <v>4</v>
      </c>
      <c r="F687">
        <v>0.66</v>
      </c>
      <c r="G687">
        <v>22.5</v>
      </c>
    </row>
    <row r="688" spans="1:7" x14ac:dyDescent="0.3">
      <c r="A688">
        <v>70</v>
      </c>
      <c r="B688">
        <v>1925</v>
      </c>
      <c r="C688">
        <v>27</v>
      </c>
      <c r="D688">
        <v>38</v>
      </c>
      <c r="E688">
        <v>1</v>
      </c>
      <c r="F688">
        <v>0.47</v>
      </c>
      <c r="G688">
        <v>2</v>
      </c>
    </row>
    <row r="689" spans="1:7" x14ac:dyDescent="0.3">
      <c r="A689">
        <v>25</v>
      </c>
      <c r="B689">
        <v>1908</v>
      </c>
      <c r="C689">
        <v>12</v>
      </c>
      <c r="D689">
        <v>17</v>
      </c>
      <c r="E689">
        <v>4</v>
      </c>
      <c r="F689">
        <v>0.8</v>
      </c>
      <c r="G689">
        <v>1.5</v>
      </c>
    </row>
    <row r="690" spans="1:7" x14ac:dyDescent="0.3">
      <c r="A690">
        <v>45</v>
      </c>
      <c r="B690">
        <v>1905</v>
      </c>
      <c r="C690">
        <v>228</v>
      </c>
      <c r="D690">
        <v>57</v>
      </c>
      <c r="E690">
        <v>4</v>
      </c>
      <c r="F690">
        <v>0.34</v>
      </c>
      <c r="G690">
        <v>6</v>
      </c>
    </row>
    <row r="691" spans="1:7" x14ac:dyDescent="0.3">
      <c r="A691">
        <v>20</v>
      </c>
      <c r="B691">
        <v>1904</v>
      </c>
      <c r="C691">
        <v>25</v>
      </c>
      <c r="D691">
        <v>17</v>
      </c>
      <c r="E691">
        <v>1</v>
      </c>
      <c r="F691">
        <v>0.89</v>
      </c>
      <c r="G691">
        <v>0.7</v>
      </c>
    </row>
    <row r="692" spans="1:7" x14ac:dyDescent="0.3">
      <c r="A692">
        <v>165</v>
      </c>
      <c r="B692">
        <v>1902</v>
      </c>
      <c r="C692">
        <v>224</v>
      </c>
      <c r="D692">
        <v>47</v>
      </c>
      <c r="E692">
        <v>2</v>
      </c>
      <c r="F692">
        <v>0.13</v>
      </c>
      <c r="G692">
        <v>5.5</v>
      </c>
    </row>
    <row r="693" spans="1:7" x14ac:dyDescent="0.3">
      <c r="A693">
        <v>20</v>
      </c>
      <c r="B693">
        <v>1898</v>
      </c>
      <c r="C693">
        <v>19</v>
      </c>
      <c r="D693">
        <v>31</v>
      </c>
      <c r="E693">
        <v>2</v>
      </c>
      <c r="F693">
        <v>0.19</v>
      </c>
      <c r="G693">
        <v>4</v>
      </c>
    </row>
    <row r="694" spans="1:7" x14ac:dyDescent="0.3">
      <c r="A694">
        <v>20</v>
      </c>
      <c r="B694">
        <v>1894</v>
      </c>
      <c r="C694">
        <v>40</v>
      </c>
      <c r="D694">
        <v>35</v>
      </c>
      <c r="E694">
        <v>1</v>
      </c>
      <c r="F694">
        <v>0.14000000000000001</v>
      </c>
      <c r="G694">
        <v>1.5</v>
      </c>
    </row>
    <row r="695" spans="1:7" x14ac:dyDescent="0.3">
      <c r="A695">
        <v>50</v>
      </c>
      <c r="B695">
        <v>1892</v>
      </c>
      <c r="C695">
        <v>147</v>
      </c>
      <c r="D695">
        <v>24</v>
      </c>
      <c r="E695">
        <v>4</v>
      </c>
      <c r="F695">
        <v>0.06</v>
      </c>
      <c r="G695">
        <v>2.5</v>
      </c>
    </row>
    <row r="696" spans="1:7" x14ac:dyDescent="0.3">
      <c r="A696">
        <v>200</v>
      </c>
      <c r="B696">
        <v>1874</v>
      </c>
      <c r="C696">
        <v>40</v>
      </c>
      <c r="D696">
        <v>224</v>
      </c>
      <c r="E696">
        <v>1</v>
      </c>
      <c r="F696">
        <v>0.89</v>
      </c>
      <c r="G696">
        <v>44.5</v>
      </c>
    </row>
    <row r="697" spans="1:7" x14ac:dyDescent="0.3">
      <c r="A697">
        <v>150</v>
      </c>
      <c r="B697">
        <v>1873</v>
      </c>
      <c r="C697">
        <v>360</v>
      </c>
      <c r="D697">
        <v>79</v>
      </c>
      <c r="E697">
        <v>2</v>
      </c>
      <c r="F697">
        <v>0.47</v>
      </c>
      <c r="G697">
        <v>7.5</v>
      </c>
    </row>
    <row r="698" spans="1:7" x14ac:dyDescent="0.3">
      <c r="A698">
        <v>50</v>
      </c>
      <c r="B698">
        <v>1871</v>
      </c>
      <c r="C698">
        <v>154</v>
      </c>
      <c r="D698">
        <v>60</v>
      </c>
      <c r="E698">
        <v>4</v>
      </c>
      <c r="F698">
        <v>0.67</v>
      </c>
      <c r="G698">
        <v>13.5</v>
      </c>
    </row>
    <row r="699" spans="1:7" x14ac:dyDescent="0.3">
      <c r="A699">
        <v>200</v>
      </c>
      <c r="B699">
        <v>1870</v>
      </c>
      <c r="C699">
        <v>193</v>
      </c>
      <c r="D699">
        <v>145</v>
      </c>
      <c r="E699">
        <v>1</v>
      </c>
      <c r="F699">
        <v>0.9</v>
      </c>
      <c r="G699">
        <v>14.5</v>
      </c>
    </row>
    <row r="700" spans="1:7" x14ac:dyDescent="0.3">
      <c r="A700">
        <v>20</v>
      </c>
      <c r="B700">
        <v>1867</v>
      </c>
      <c r="C700">
        <v>19</v>
      </c>
      <c r="D700">
        <v>8</v>
      </c>
      <c r="E700">
        <v>4</v>
      </c>
      <c r="F700">
        <v>0.78</v>
      </c>
      <c r="G700">
        <v>0.61666666999999997</v>
      </c>
    </row>
    <row r="701" spans="1:7" x14ac:dyDescent="0.3">
      <c r="A701">
        <v>140</v>
      </c>
      <c r="B701">
        <v>1858</v>
      </c>
      <c r="C701">
        <v>110</v>
      </c>
      <c r="D701">
        <v>52</v>
      </c>
      <c r="E701">
        <v>4</v>
      </c>
      <c r="F701">
        <v>0.3</v>
      </c>
      <c r="G701">
        <v>2.5</v>
      </c>
    </row>
    <row r="702" spans="1:7" x14ac:dyDescent="0.3">
      <c r="A702">
        <v>100</v>
      </c>
      <c r="B702">
        <v>1853</v>
      </c>
      <c r="C702">
        <v>34</v>
      </c>
      <c r="D702">
        <v>39</v>
      </c>
      <c r="E702">
        <v>1</v>
      </c>
      <c r="F702">
        <v>0.24</v>
      </c>
      <c r="G702">
        <v>2</v>
      </c>
    </row>
    <row r="703" spans="1:7" x14ac:dyDescent="0.3">
      <c r="A703">
        <v>200</v>
      </c>
      <c r="B703">
        <v>1849</v>
      </c>
      <c r="C703">
        <v>21</v>
      </c>
      <c r="D703">
        <v>83</v>
      </c>
      <c r="E703">
        <v>4</v>
      </c>
      <c r="F703">
        <v>0.89</v>
      </c>
      <c r="G703">
        <v>3</v>
      </c>
    </row>
    <row r="704" spans="1:7" x14ac:dyDescent="0.3">
      <c r="A704">
        <v>55</v>
      </c>
      <c r="B704">
        <v>1849</v>
      </c>
      <c r="C704">
        <v>29</v>
      </c>
      <c r="D704">
        <v>24</v>
      </c>
      <c r="E704">
        <v>4</v>
      </c>
      <c r="F704">
        <v>0.89</v>
      </c>
      <c r="G704">
        <v>3</v>
      </c>
    </row>
    <row r="705" spans="1:7" x14ac:dyDescent="0.3">
      <c r="A705">
        <v>195</v>
      </c>
      <c r="B705">
        <v>1839</v>
      </c>
      <c r="C705">
        <v>91</v>
      </c>
      <c r="D705">
        <v>47</v>
      </c>
      <c r="E705">
        <v>4</v>
      </c>
      <c r="F705">
        <v>0.6</v>
      </c>
      <c r="G705">
        <v>5</v>
      </c>
    </row>
    <row r="706" spans="1:7" x14ac:dyDescent="0.3">
      <c r="A706">
        <v>100</v>
      </c>
      <c r="B706">
        <v>1838</v>
      </c>
      <c r="C706">
        <v>169</v>
      </c>
      <c r="D706">
        <v>31</v>
      </c>
      <c r="E706">
        <v>4</v>
      </c>
      <c r="F706">
        <v>0.36</v>
      </c>
      <c r="G706">
        <v>3</v>
      </c>
    </row>
    <row r="707" spans="1:7" x14ac:dyDescent="0.3">
      <c r="A707">
        <v>20</v>
      </c>
      <c r="B707">
        <v>1832</v>
      </c>
      <c r="C707">
        <v>6</v>
      </c>
      <c r="D707">
        <v>12</v>
      </c>
      <c r="E707">
        <v>4</v>
      </c>
      <c r="F707">
        <v>0.17</v>
      </c>
      <c r="G707">
        <v>1.5</v>
      </c>
    </row>
    <row r="708" spans="1:7" x14ac:dyDescent="0.3">
      <c r="A708">
        <v>200</v>
      </c>
      <c r="B708">
        <v>1827</v>
      </c>
      <c r="C708">
        <v>129</v>
      </c>
      <c r="D708">
        <v>66</v>
      </c>
      <c r="E708">
        <v>1</v>
      </c>
      <c r="F708">
        <v>0.55000000000000004</v>
      </c>
      <c r="G708">
        <v>20.5</v>
      </c>
    </row>
    <row r="709" spans="1:7" x14ac:dyDescent="0.3">
      <c r="A709">
        <v>100</v>
      </c>
      <c r="B709">
        <v>1825</v>
      </c>
      <c r="C709">
        <v>17</v>
      </c>
      <c r="D709">
        <v>58</v>
      </c>
      <c r="E709">
        <v>4</v>
      </c>
      <c r="F709">
        <v>0.99</v>
      </c>
      <c r="G709">
        <v>3.5</v>
      </c>
    </row>
    <row r="710" spans="1:7" x14ac:dyDescent="0.3">
      <c r="A710">
        <v>90</v>
      </c>
      <c r="B710">
        <v>1822</v>
      </c>
      <c r="C710">
        <v>4</v>
      </c>
      <c r="D710">
        <v>25</v>
      </c>
      <c r="E710">
        <v>4</v>
      </c>
      <c r="F710">
        <v>0.11</v>
      </c>
      <c r="G710">
        <v>2</v>
      </c>
    </row>
    <row r="711" spans="1:7" x14ac:dyDescent="0.3">
      <c r="A711">
        <v>95</v>
      </c>
      <c r="B711">
        <v>1815</v>
      </c>
      <c r="C711">
        <v>249</v>
      </c>
      <c r="D711">
        <v>42</v>
      </c>
      <c r="E711">
        <v>1</v>
      </c>
      <c r="F711">
        <v>0.75</v>
      </c>
      <c r="G711">
        <v>5</v>
      </c>
    </row>
    <row r="712" spans="1:7" x14ac:dyDescent="0.3">
      <c r="A712">
        <v>35</v>
      </c>
      <c r="B712">
        <v>1812</v>
      </c>
      <c r="C712">
        <v>112</v>
      </c>
      <c r="D712">
        <v>7</v>
      </c>
      <c r="E712">
        <v>4</v>
      </c>
      <c r="F712">
        <v>1</v>
      </c>
      <c r="G712">
        <v>0.61666666999999997</v>
      </c>
    </row>
    <row r="713" spans="1:7" x14ac:dyDescent="0.3">
      <c r="A713">
        <v>95</v>
      </c>
      <c r="B713">
        <v>1811</v>
      </c>
      <c r="C713">
        <v>118</v>
      </c>
      <c r="D713">
        <v>36</v>
      </c>
      <c r="E713">
        <v>2</v>
      </c>
      <c r="F713">
        <v>0.24</v>
      </c>
      <c r="G713">
        <v>3.5</v>
      </c>
    </row>
    <row r="714" spans="1:7" x14ac:dyDescent="0.3">
      <c r="A714">
        <v>20</v>
      </c>
      <c r="B714">
        <v>1802</v>
      </c>
      <c r="C714">
        <v>13</v>
      </c>
      <c r="D714">
        <v>8</v>
      </c>
      <c r="E714">
        <v>4</v>
      </c>
      <c r="F714">
        <v>0.79</v>
      </c>
      <c r="G714">
        <v>1</v>
      </c>
    </row>
    <row r="715" spans="1:7" x14ac:dyDescent="0.3">
      <c r="A715">
        <v>120</v>
      </c>
      <c r="B715">
        <v>1798</v>
      </c>
      <c r="C715">
        <v>20</v>
      </c>
      <c r="D715">
        <v>24</v>
      </c>
      <c r="E715">
        <v>4</v>
      </c>
      <c r="F715">
        <v>0.15</v>
      </c>
      <c r="G715">
        <v>1.5</v>
      </c>
    </row>
    <row r="716" spans="1:7" x14ac:dyDescent="0.3">
      <c r="A716">
        <v>45</v>
      </c>
      <c r="B716">
        <v>1783</v>
      </c>
      <c r="C716">
        <v>16</v>
      </c>
      <c r="D716">
        <v>15</v>
      </c>
      <c r="E716">
        <v>4</v>
      </c>
      <c r="F716">
        <v>0.71</v>
      </c>
      <c r="G716">
        <v>0.6</v>
      </c>
    </row>
    <row r="717" spans="1:7" x14ac:dyDescent="0.3">
      <c r="A717">
        <v>25</v>
      </c>
      <c r="B717">
        <v>1780</v>
      </c>
      <c r="C717">
        <v>69</v>
      </c>
      <c r="D717">
        <v>21</v>
      </c>
      <c r="E717">
        <v>2</v>
      </c>
      <c r="F717">
        <v>0.83</v>
      </c>
      <c r="G717">
        <v>1.5</v>
      </c>
    </row>
    <row r="718" spans="1:7" x14ac:dyDescent="0.3">
      <c r="A718">
        <v>20</v>
      </c>
      <c r="B718">
        <v>1780</v>
      </c>
      <c r="C718">
        <v>15</v>
      </c>
      <c r="D718">
        <v>6</v>
      </c>
      <c r="E718">
        <v>1</v>
      </c>
      <c r="F718">
        <v>0.7</v>
      </c>
      <c r="G718">
        <v>0.6</v>
      </c>
    </row>
    <row r="719" spans="1:7" x14ac:dyDescent="0.3">
      <c r="A719">
        <v>55</v>
      </c>
      <c r="B719">
        <v>1779</v>
      </c>
      <c r="C719">
        <v>48</v>
      </c>
      <c r="D719">
        <v>16</v>
      </c>
      <c r="E719">
        <v>4</v>
      </c>
      <c r="F719">
        <v>0.18</v>
      </c>
      <c r="G719">
        <v>1</v>
      </c>
    </row>
    <row r="720" spans="1:7" x14ac:dyDescent="0.3">
      <c r="A720">
        <v>30</v>
      </c>
      <c r="B720">
        <v>1777</v>
      </c>
      <c r="C720">
        <v>35</v>
      </c>
      <c r="D720">
        <v>48</v>
      </c>
      <c r="E720">
        <v>4</v>
      </c>
      <c r="F720">
        <v>0.72</v>
      </c>
      <c r="G720">
        <v>6.5</v>
      </c>
    </row>
    <row r="721" spans="1:7" x14ac:dyDescent="0.3">
      <c r="A721">
        <v>30</v>
      </c>
      <c r="B721">
        <v>1772</v>
      </c>
      <c r="C721">
        <v>13</v>
      </c>
      <c r="D721">
        <v>48</v>
      </c>
      <c r="E721">
        <v>1</v>
      </c>
      <c r="F721">
        <v>0.76</v>
      </c>
      <c r="G721">
        <v>2.5</v>
      </c>
    </row>
    <row r="722" spans="1:7" x14ac:dyDescent="0.3">
      <c r="A722">
        <v>20</v>
      </c>
      <c r="B722">
        <v>1769</v>
      </c>
      <c r="C722">
        <v>49</v>
      </c>
      <c r="D722">
        <v>7</v>
      </c>
      <c r="E722">
        <v>1</v>
      </c>
      <c r="F722">
        <v>0.78</v>
      </c>
      <c r="G722">
        <v>0.58333332999999998</v>
      </c>
    </row>
    <row r="723" spans="1:7" x14ac:dyDescent="0.3">
      <c r="A723">
        <v>195</v>
      </c>
      <c r="B723">
        <v>1766</v>
      </c>
      <c r="C723">
        <v>38</v>
      </c>
      <c r="D723">
        <v>118</v>
      </c>
      <c r="E723">
        <v>4</v>
      </c>
      <c r="F723">
        <v>0.78</v>
      </c>
      <c r="G723">
        <v>18.5</v>
      </c>
    </row>
    <row r="724" spans="1:7" x14ac:dyDescent="0.3">
      <c r="A724">
        <v>45</v>
      </c>
      <c r="B724">
        <v>1764</v>
      </c>
      <c r="C724">
        <v>33</v>
      </c>
      <c r="D724">
        <v>16</v>
      </c>
      <c r="E724">
        <v>1</v>
      </c>
      <c r="F724">
        <v>0.78</v>
      </c>
      <c r="G724">
        <v>1.5</v>
      </c>
    </row>
    <row r="725" spans="1:7" x14ac:dyDescent="0.3">
      <c r="A725">
        <v>60</v>
      </c>
      <c r="B725">
        <v>1764</v>
      </c>
      <c r="C725">
        <v>53</v>
      </c>
      <c r="D725">
        <v>28</v>
      </c>
      <c r="E725">
        <v>4</v>
      </c>
      <c r="F725">
        <v>0.78</v>
      </c>
      <c r="G725">
        <v>6.5</v>
      </c>
    </row>
    <row r="726" spans="1:7" x14ac:dyDescent="0.3">
      <c r="A726">
        <v>20</v>
      </c>
      <c r="B726">
        <v>1763</v>
      </c>
      <c r="C726">
        <v>17</v>
      </c>
      <c r="D726">
        <v>30</v>
      </c>
      <c r="E726">
        <v>1</v>
      </c>
      <c r="F726">
        <v>0.78</v>
      </c>
      <c r="G726">
        <v>2</v>
      </c>
    </row>
    <row r="727" spans="1:7" x14ac:dyDescent="0.3">
      <c r="A727">
        <v>25</v>
      </c>
      <c r="B727">
        <v>1758</v>
      </c>
      <c r="C727">
        <v>37</v>
      </c>
      <c r="D727">
        <v>16</v>
      </c>
      <c r="E727">
        <v>2</v>
      </c>
      <c r="F727">
        <v>0.78</v>
      </c>
      <c r="G727">
        <v>3.5</v>
      </c>
    </row>
    <row r="728" spans="1:7" x14ac:dyDescent="0.3">
      <c r="A728">
        <v>20</v>
      </c>
      <c r="B728">
        <v>1747</v>
      </c>
      <c r="C728">
        <v>13</v>
      </c>
      <c r="D728">
        <v>13</v>
      </c>
      <c r="E728">
        <v>4</v>
      </c>
      <c r="F728">
        <v>0.78</v>
      </c>
      <c r="G728">
        <v>1.5</v>
      </c>
    </row>
    <row r="729" spans="1:7" x14ac:dyDescent="0.3">
      <c r="A729">
        <v>30</v>
      </c>
      <c r="B729">
        <v>1741</v>
      </c>
      <c r="C729">
        <v>26</v>
      </c>
      <c r="D729">
        <v>87</v>
      </c>
      <c r="E729">
        <v>4</v>
      </c>
      <c r="F729">
        <v>0.78</v>
      </c>
      <c r="G729">
        <v>9</v>
      </c>
    </row>
    <row r="730" spans="1:7" x14ac:dyDescent="0.3">
      <c r="A730">
        <v>30</v>
      </c>
      <c r="B730">
        <v>1737</v>
      </c>
      <c r="C730">
        <v>471</v>
      </c>
      <c r="D730">
        <v>87</v>
      </c>
      <c r="E730">
        <v>1</v>
      </c>
      <c r="F730">
        <v>0.78</v>
      </c>
      <c r="G730">
        <v>11.5</v>
      </c>
    </row>
    <row r="731" spans="1:7" x14ac:dyDescent="0.3">
      <c r="A731">
        <v>60</v>
      </c>
      <c r="B731">
        <v>1736</v>
      </c>
      <c r="C731">
        <v>79</v>
      </c>
      <c r="D731">
        <v>47</v>
      </c>
      <c r="E731">
        <v>1</v>
      </c>
      <c r="F731">
        <v>0.78</v>
      </c>
      <c r="G731">
        <v>13</v>
      </c>
    </row>
    <row r="732" spans="1:7" x14ac:dyDescent="0.3">
      <c r="A732">
        <v>100</v>
      </c>
      <c r="B732">
        <v>1735</v>
      </c>
      <c r="C732">
        <v>76</v>
      </c>
      <c r="D732">
        <v>25</v>
      </c>
      <c r="E732">
        <v>1</v>
      </c>
      <c r="F732">
        <v>0.78</v>
      </c>
      <c r="G732">
        <v>2.5</v>
      </c>
    </row>
    <row r="733" spans="1:7" x14ac:dyDescent="0.3">
      <c r="A733">
        <v>20</v>
      </c>
      <c r="B733">
        <v>1734</v>
      </c>
      <c r="C733">
        <v>9</v>
      </c>
      <c r="D733">
        <v>13</v>
      </c>
      <c r="E733">
        <v>1</v>
      </c>
      <c r="F733">
        <v>0.78</v>
      </c>
      <c r="G733">
        <v>1</v>
      </c>
    </row>
    <row r="734" spans="1:7" x14ac:dyDescent="0.3">
      <c r="A734">
        <v>20</v>
      </c>
      <c r="B734">
        <v>1732</v>
      </c>
      <c r="C734">
        <v>15</v>
      </c>
      <c r="D734">
        <v>48</v>
      </c>
      <c r="E734">
        <v>2</v>
      </c>
      <c r="F734">
        <v>0.78</v>
      </c>
      <c r="G734">
        <v>4.5</v>
      </c>
    </row>
    <row r="735" spans="1:7" x14ac:dyDescent="0.3">
      <c r="A735">
        <v>20</v>
      </c>
      <c r="B735">
        <v>1731</v>
      </c>
      <c r="C735">
        <v>90</v>
      </c>
      <c r="D735">
        <v>74</v>
      </c>
      <c r="E735">
        <v>4</v>
      </c>
      <c r="F735">
        <v>0.96</v>
      </c>
      <c r="G735">
        <v>4</v>
      </c>
    </row>
    <row r="736" spans="1:7" x14ac:dyDescent="0.3">
      <c r="A736">
        <v>50</v>
      </c>
      <c r="B736">
        <v>1724</v>
      </c>
      <c r="C736">
        <v>72</v>
      </c>
      <c r="D736">
        <v>94</v>
      </c>
      <c r="E736">
        <v>4</v>
      </c>
      <c r="F736">
        <v>0.72</v>
      </c>
      <c r="G736">
        <v>13</v>
      </c>
    </row>
    <row r="737" spans="1:7" x14ac:dyDescent="0.3">
      <c r="A737">
        <v>20</v>
      </c>
      <c r="B737">
        <v>1723</v>
      </c>
      <c r="C737">
        <v>28</v>
      </c>
      <c r="D737">
        <v>7</v>
      </c>
      <c r="E737">
        <v>1</v>
      </c>
      <c r="F737">
        <v>0.76</v>
      </c>
      <c r="G737">
        <v>1</v>
      </c>
    </row>
    <row r="738" spans="1:7" x14ac:dyDescent="0.3">
      <c r="A738">
        <v>60</v>
      </c>
      <c r="B738">
        <v>1723</v>
      </c>
      <c r="C738">
        <v>258</v>
      </c>
      <c r="D738">
        <v>60</v>
      </c>
      <c r="E738">
        <v>4</v>
      </c>
      <c r="F738">
        <v>0.57999999999999996</v>
      </c>
      <c r="G738">
        <v>11</v>
      </c>
    </row>
    <row r="739" spans="1:7" x14ac:dyDescent="0.3">
      <c r="A739">
        <v>100</v>
      </c>
      <c r="B739">
        <v>1712</v>
      </c>
      <c r="C739">
        <v>438</v>
      </c>
      <c r="D739">
        <v>49</v>
      </c>
      <c r="E739">
        <v>4</v>
      </c>
      <c r="F739">
        <v>0.2</v>
      </c>
      <c r="G739">
        <v>5.5</v>
      </c>
    </row>
    <row r="740" spans="1:7" x14ac:dyDescent="0.3">
      <c r="A740">
        <v>50</v>
      </c>
      <c r="B740">
        <v>1705</v>
      </c>
      <c r="C740">
        <v>26</v>
      </c>
      <c r="D740">
        <v>17</v>
      </c>
      <c r="E740">
        <v>4</v>
      </c>
      <c r="F740">
        <v>0.88</v>
      </c>
      <c r="G740">
        <v>2</v>
      </c>
    </row>
    <row r="741" spans="1:7" x14ac:dyDescent="0.3">
      <c r="A741">
        <v>195</v>
      </c>
      <c r="B741">
        <v>1703</v>
      </c>
      <c r="C741">
        <v>292</v>
      </c>
      <c r="D741">
        <v>178</v>
      </c>
      <c r="E741">
        <v>1</v>
      </c>
      <c r="F741">
        <v>0.24</v>
      </c>
      <c r="G741">
        <v>13</v>
      </c>
    </row>
    <row r="742" spans="1:7" x14ac:dyDescent="0.3">
      <c r="A742">
        <v>65</v>
      </c>
      <c r="B742">
        <v>1703</v>
      </c>
      <c r="C742">
        <v>27</v>
      </c>
      <c r="D742">
        <v>8</v>
      </c>
      <c r="E742">
        <v>4</v>
      </c>
      <c r="F742">
        <v>0.14000000000000001</v>
      </c>
      <c r="G742">
        <v>1</v>
      </c>
    </row>
    <row r="743" spans="1:7" x14ac:dyDescent="0.3">
      <c r="A743">
        <v>70</v>
      </c>
      <c r="B743">
        <v>1703</v>
      </c>
      <c r="C743">
        <v>435</v>
      </c>
      <c r="D743">
        <v>65</v>
      </c>
      <c r="E743">
        <v>4</v>
      </c>
      <c r="F743">
        <v>0.62</v>
      </c>
      <c r="G743">
        <v>3</v>
      </c>
    </row>
    <row r="744" spans="1:7" x14ac:dyDescent="0.3">
      <c r="A744">
        <v>50</v>
      </c>
      <c r="B744">
        <v>1702</v>
      </c>
      <c r="C744">
        <v>49</v>
      </c>
      <c r="D744">
        <v>78</v>
      </c>
      <c r="E744">
        <v>4</v>
      </c>
      <c r="F744">
        <v>0.59</v>
      </c>
      <c r="G744">
        <v>7</v>
      </c>
    </row>
    <row r="745" spans="1:7" x14ac:dyDescent="0.3">
      <c r="A745">
        <v>100</v>
      </c>
      <c r="B745">
        <v>1701</v>
      </c>
      <c r="C745">
        <v>125</v>
      </c>
      <c r="D745">
        <v>88</v>
      </c>
      <c r="E745">
        <v>4</v>
      </c>
      <c r="F745">
        <v>0.2</v>
      </c>
      <c r="G745">
        <v>7</v>
      </c>
    </row>
    <row r="746" spans="1:7" x14ac:dyDescent="0.3">
      <c r="A746">
        <v>60</v>
      </c>
      <c r="B746">
        <v>1699</v>
      </c>
      <c r="C746">
        <v>8</v>
      </c>
      <c r="D746">
        <v>22</v>
      </c>
      <c r="E746">
        <v>2</v>
      </c>
      <c r="F746">
        <v>0.24</v>
      </c>
      <c r="G746">
        <v>2</v>
      </c>
    </row>
    <row r="747" spans="1:7" x14ac:dyDescent="0.3">
      <c r="A747">
        <v>195</v>
      </c>
      <c r="B747">
        <v>1697</v>
      </c>
      <c r="C747">
        <v>64</v>
      </c>
      <c r="D747">
        <v>54</v>
      </c>
      <c r="E747">
        <v>4</v>
      </c>
      <c r="F747">
        <v>0.64</v>
      </c>
      <c r="G747">
        <v>6</v>
      </c>
    </row>
    <row r="748" spans="1:7" x14ac:dyDescent="0.3">
      <c r="A748">
        <v>75</v>
      </c>
      <c r="B748">
        <v>1696</v>
      </c>
      <c r="C748">
        <v>193</v>
      </c>
      <c r="D748">
        <v>60</v>
      </c>
      <c r="E748">
        <v>2</v>
      </c>
      <c r="F748">
        <v>0.47</v>
      </c>
      <c r="G748">
        <v>10</v>
      </c>
    </row>
    <row r="749" spans="1:7" x14ac:dyDescent="0.3">
      <c r="A749">
        <v>30</v>
      </c>
      <c r="B749">
        <v>1688</v>
      </c>
      <c r="C749">
        <v>16</v>
      </c>
      <c r="D749">
        <v>29</v>
      </c>
      <c r="E749">
        <v>1</v>
      </c>
      <c r="F749">
        <v>0.73</v>
      </c>
      <c r="G749">
        <v>1.5</v>
      </c>
    </row>
    <row r="750" spans="1:7" x14ac:dyDescent="0.3">
      <c r="A750">
        <v>145</v>
      </c>
      <c r="B750">
        <v>1683</v>
      </c>
      <c r="C750">
        <v>340</v>
      </c>
      <c r="D750">
        <v>48</v>
      </c>
      <c r="E750">
        <v>4</v>
      </c>
      <c r="F750">
        <v>0.1</v>
      </c>
      <c r="G750">
        <v>8</v>
      </c>
    </row>
    <row r="751" spans="1:7" x14ac:dyDescent="0.3">
      <c r="A751">
        <v>120</v>
      </c>
      <c r="B751">
        <v>1678</v>
      </c>
      <c r="C751">
        <v>34</v>
      </c>
      <c r="D751">
        <v>32</v>
      </c>
      <c r="E751">
        <v>4</v>
      </c>
      <c r="F751">
        <v>0.28000000000000003</v>
      </c>
      <c r="G751">
        <v>2.5</v>
      </c>
    </row>
    <row r="752" spans="1:7" x14ac:dyDescent="0.3">
      <c r="A752">
        <v>200</v>
      </c>
      <c r="B752">
        <v>1673</v>
      </c>
      <c r="C752">
        <v>31</v>
      </c>
      <c r="D752">
        <v>24</v>
      </c>
      <c r="E752">
        <v>4</v>
      </c>
      <c r="F752">
        <v>0.36</v>
      </c>
      <c r="G752">
        <v>3</v>
      </c>
    </row>
    <row r="753" spans="1:7" x14ac:dyDescent="0.3">
      <c r="A753">
        <v>95</v>
      </c>
      <c r="B753">
        <v>1659</v>
      </c>
      <c r="C753">
        <v>73</v>
      </c>
      <c r="D753">
        <v>38</v>
      </c>
      <c r="E753">
        <v>2</v>
      </c>
      <c r="F753">
        <v>0.66</v>
      </c>
      <c r="G753">
        <v>5.5</v>
      </c>
    </row>
    <row r="754" spans="1:7" x14ac:dyDescent="0.3">
      <c r="A754">
        <v>50</v>
      </c>
      <c r="B754">
        <v>1658</v>
      </c>
      <c r="C754">
        <v>185</v>
      </c>
      <c r="D754">
        <v>68</v>
      </c>
      <c r="E754">
        <v>4</v>
      </c>
      <c r="F754">
        <v>0.08</v>
      </c>
      <c r="G754">
        <v>16.5</v>
      </c>
    </row>
    <row r="755" spans="1:7" x14ac:dyDescent="0.3">
      <c r="A755">
        <v>50</v>
      </c>
      <c r="B755">
        <v>1658</v>
      </c>
      <c r="C755">
        <v>72</v>
      </c>
      <c r="D755">
        <v>68</v>
      </c>
      <c r="E755">
        <v>4</v>
      </c>
      <c r="F755">
        <v>0.76</v>
      </c>
      <c r="G755">
        <v>5</v>
      </c>
    </row>
    <row r="756" spans="1:7" x14ac:dyDescent="0.3">
      <c r="A756">
        <v>25</v>
      </c>
      <c r="B756">
        <v>1655</v>
      </c>
      <c r="C756">
        <v>39</v>
      </c>
      <c r="D756">
        <v>19</v>
      </c>
      <c r="E756">
        <v>4</v>
      </c>
      <c r="F756">
        <v>0.96</v>
      </c>
      <c r="G756">
        <v>1</v>
      </c>
    </row>
    <row r="757" spans="1:7" x14ac:dyDescent="0.3">
      <c r="A757">
        <v>25</v>
      </c>
      <c r="B757">
        <v>1655</v>
      </c>
      <c r="C757">
        <v>10</v>
      </c>
      <c r="D757">
        <v>44</v>
      </c>
      <c r="E757">
        <v>4</v>
      </c>
      <c r="F757">
        <v>0.5</v>
      </c>
      <c r="G757">
        <v>3</v>
      </c>
    </row>
    <row r="758" spans="1:7" x14ac:dyDescent="0.3">
      <c r="A758">
        <v>40</v>
      </c>
      <c r="B758">
        <v>1653</v>
      </c>
      <c r="C758">
        <v>53</v>
      </c>
      <c r="D758">
        <v>14</v>
      </c>
      <c r="E758">
        <v>4</v>
      </c>
      <c r="F758">
        <v>0.32</v>
      </c>
      <c r="G758">
        <v>1.5</v>
      </c>
    </row>
    <row r="759" spans="1:7" x14ac:dyDescent="0.3">
      <c r="A759">
        <v>195</v>
      </c>
      <c r="B759">
        <v>1649</v>
      </c>
      <c r="C759">
        <v>34</v>
      </c>
      <c r="D759">
        <v>25</v>
      </c>
      <c r="E759">
        <v>1</v>
      </c>
      <c r="F759">
        <v>0.95</v>
      </c>
      <c r="G759">
        <v>2</v>
      </c>
    </row>
    <row r="760" spans="1:7" x14ac:dyDescent="0.3">
      <c r="A760">
        <v>195</v>
      </c>
      <c r="B760">
        <v>1645</v>
      </c>
      <c r="C760">
        <v>75</v>
      </c>
      <c r="D760">
        <v>12</v>
      </c>
      <c r="E760">
        <v>1</v>
      </c>
      <c r="F760">
        <v>0.95</v>
      </c>
      <c r="G760">
        <v>1</v>
      </c>
    </row>
    <row r="761" spans="1:7" x14ac:dyDescent="0.3">
      <c r="A761">
        <v>65</v>
      </c>
      <c r="B761">
        <v>1640</v>
      </c>
      <c r="C761">
        <v>22</v>
      </c>
      <c r="D761">
        <v>29</v>
      </c>
      <c r="E761">
        <v>1</v>
      </c>
      <c r="F761">
        <v>0.95</v>
      </c>
      <c r="G761">
        <v>2</v>
      </c>
    </row>
    <row r="762" spans="1:7" x14ac:dyDescent="0.3">
      <c r="A762">
        <v>75</v>
      </c>
      <c r="B762">
        <v>1634</v>
      </c>
      <c r="C762">
        <v>52</v>
      </c>
      <c r="D762">
        <v>21</v>
      </c>
      <c r="E762">
        <v>4</v>
      </c>
      <c r="F762">
        <v>0.95</v>
      </c>
      <c r="G762">
        <v>2.5</v>
      </c>
    </row>
    <row r="763" spans="1:7" x14ac:dyDescent="0.3">
      <c r="A763">
        <v>145</v>
      </c>
      <c r="B763">
        <v>1628</v>
      </c>
      <c r="C763">
        <v>162</v>
      </c>
      <c r="D763">
        <v>129</v>
      </c>
      <c r="E763">
        <v>4</v>
      </c>
      <c r="F763">
        <v>0.95</v>
      </c>
      <c r="G763">
        <v>18.5</v>
      </c>
    </row>
    <row r="764" spans="1:7" x14ac:dyDescent="0.3">
      <c r="A764">
        <v>35</v>
      </c>
      <c r="B764">
        <v>1627</v>
      </c>
      <c r="C764">
        <v>38</v>
      </c>
      <c r="D764">
        <v>7</v>
      </c>
      <c r="E764">
        <v>4</v>
      </c>
      <c r="F764">
        <v>0.95</v>
      </c>
      <c r="G764">
        <v>0.58333332999999998</v>
      </c>
    </row>
    <row r="765" spans="1:7" x14ac:dyDescent="0.3">
      <c r="A765">
        <v>50</v>
      </c>
      <c r="B765">
        <v>1626</v>
      </c>
      <c r="C765">
        <v>81</v>
      </c>
      <c r="D765">
        <v>18</v>
      </c>
      <c r="E765">
        <v>4</v>
      </c>
      <c r="F765">
        <v>0.95</v>
      </c>
      <c r="G765">
        <v>1.5</v>
      </c>
    </row>
    <row r="766" spans="1:7" x14ac:dyDescent="0.3">
      <c r="A766">
        <v>100</v>
      </c>
      <c r="B766">
        <v>1626</v>
      </c>
      <c r="C766">
        <v>115</v>
      </c>
      <c r="D766">
        <v>78</v>
      </c>
      <c r="E766">
        <v>1</v>
      </c>
      <c r="F766">
        <v>0.95</v>
      </c>
      <c r="G766">
        <v>6.5</v>
      </c>
    </row>
    <row r="767" spans="1:7" x14ac:dyDescent="0.3">
      <c r="A767">
        <v>50</v>
      </c>
      <c r="B767">
        <v>1624</v>
      </c>
      <c r="C767">
        <v>31</v>
      </c>
      <c r="D767">
        <v>38</v>
      </c>
      <c r="E767">
        <v>2</v>
      </c>
      <c r="F767">
        <v>0.95</v>
      </c>
      <c r="G767">
        <v>4</v>
      </c>
    </row>
    <row r="768" spans="1:7" x14ac:dyDescent="0.3">
      <c r="A768">
        <v>20</v>
      </c>
      <c r="B768">
        <v>1618</v>
      </c>
      <c r="C768">
        <v>46</v>
      </c>
      <c r="D768">
        <v>20</v>
      </c>
      <c r="E768">
        <v>4</v>
      </c>
      <c r="F768">
        <v>0.95</v>
      </c>
      <c r="G768">
        <v>1.5</v>
      </c>
    </row>
    <row r="769" spans="1:7" x14ac:dyDescent="0.3">
      <c r="A769">
        <v>20</v>
      </c>
      <c r="B769">
        <v>1613</v>
      </c>
      <c r="C769">
        <v>21</v>
      </c>
      <c r="D769">
        <v>20</v>
      </c>
      <c r="E769">
        <v>4</v>
      </c>
      <c r="F769">
        <v>0.95</v>
      </c>
      <c r="G769">
        <v>1</v>
      </c>
    </row>
    <row r="770" spans="1:7" x14ac:dyDescent="0.3">
      <c r="A770">
        <v>100</v>
      </c>
      <c r="B770">
        <v>1611</v>
      </c>
      <c r="C770">
        <v>165</v>
      </c>
      <c r="D770">
        <v>157</v>
      </c>
      <c r="E770">
        <v>4</v>
      </c>
      <c r="F770">
        <v>0.95</v>
      </c>
      <c r="G770">
        <v>12.5</v>
      </c>
    </row>
    <row r="771" spans="1:7" x14ac:dyDescent="0.3">
      <c r="A771">
        <v>50</v>
      </c>
      <c r="B771">
        <v>1611</v>
      </c>
      <c r="C771">
        <v>24</v>
      </c>
      <c r="D771">
        <v>20</v>
      </c>
      <c r="E771">
        <v>1</v>
      </c>
      <c r="F771">
        <v>0.95</v>
      </c>
      <c r="G771">
        <v>3.5</v>
      </c>
    </row>
    <row r="772" spans="1:7" x14ac:dyDescent="0.3">
      <c r="A772">
        <v>100</v>
      </c>
      <c r="B772">
        <v>1606</v>
      </c>
      <c r="C772">
        <v>28</v>
      </c>
      <c r="D772">
        <v>73</v>
      </c>
      <c r="E772">
        <v>1</v>
      </c>
      <c r="F772">
        <v>0.95</v>
      </c>
      <c r="G772">
        <v>9</v>
      </c>
    </row>
    <row r="773" spans="1:7" x14ac:dyDescent="0.3">
      <c r="A773">
        <v>25</v>
      </c>
      <c r="B773">
        <v>1605</v>
      </c>
      <c r="C773">
        <v>10</v>
      </c>
      <c r="D773">
        <v>32</v>
      </c>
      <c r="E773">
        <v>1</v>
      </c>
      <c r="F773">
        <v>0.95</v>
      </c>
      <c r="G773">
        <v>3.5</v>
      </c>
    </row>
    <row r="774" spans="1:7" x14ac:dyDescent="0.3">
      <c r="A774">
        <v>60</v>
      </c>
      <c r="B774">
        <v>1599</v>
      </c>
      <c r="C774">
        <v>26</v>
      </c>
      <c r="D774">
        <v>49</v>
      </c>
      <c r="E774">
        <v>1</v>
      </c>
      <c r="F774">
        <v>0.95</v>
      </c>
      <c r="G774">
        <v>3</v>
      </c>
    </row>
    <row r="775" spans="1:7" x14ac:dyDescent="0.3">
      <c r="A775">
        <v>50</v>
      </c>
      <c r="B775">
        <v>1591</v>
      </c>
      <c r="C775">
        <v>99</v>
      </c>
      <c r="D775">
        <v>74</v>
      </c>
      <c r="E775">
        <v>4</v>
      </c>
      <c r="F775">
        <v>0.95</v>
      </c>
      <c r="G775">
        <v>9.5</v>
      </c>
    </row>
    <row r="776" spans="1:7" x14ac:dyDescent="0.3">
      <c r="A776">
        <v>40</v>
      </c>
      <c r="B776">
        <v>1588</v>
      </c>
      <c r="C776">
        <v>8</v>
      </c>
      <c r="D776">
        <v>15</v>
      </c>
      <c r="E776">
        <v>4</v>
      </c>
      <c r="F776">
        <v>0.95</v>
      </c>
      <c r="G776">
        <v>0.56666667000000004</v>
      </c>
    </row>
    <row r="777" spans="1:7" x14ac:dyDescent="0.3">
      <c r="A777">
        <v>200</v>
      </c>
      <c r="B777">
        <v>1586</v>
      </c>
      <c r="C777">
        <v>87</v>
      </c>
      <c r="D777">
        <v>124</v>
      </c>
      <c r="E777">
        <v>4</v>
      </c>
      <c r="F777">
        <v>0.95</v>
      </c>
      <c r="G777">
        <v>22</v>
      </c>
    </row>
    <row r="778" spans="1:7" x14ac:dyDescent="0.3">
      <c r="A778">
        <v>120</v>
      </c>
      <c r="B778">
        <v>1566</v>
      </c>
      <c r="C778">
        <v>29</v>
      </c>
      <c r="D778">
        <v>36</v>
      </c>
      <c r="E778">
        <v>4</v>
      </c>
      <c r="F778">
        <v>0.95</v>
      </c>
      <c r="G778">
        <v>4</v>
      </c>
    </row>
    <row r="779" spans="1:7" x14ac:dyDescent="0.3">
      <c r="A779">
        <v>45</v>
      </c>
      <c r="B779">
        <v>1562</v>
      </c>
      <c r="C779">
        <v>4</v>
      </c>
      <c r="D779">
        <v>12</v>
      </c>
      <c r="E779">
        <v>4</v>
      </c>
      <c r="F779">
        <v>0.95</v>
      </c>
      <c r="G779">
        <v>1.5</v>
      </c>
    </row>
    <row r="780" spans="1:7" x14ac:dyDescent="0.3">
      <c r="A780">
        <v>115</v>
      </c>
      <c r="B780">
        <v>1562</v>
      </c>
      <c r="C780">
        <v>42</v>
      </c>
      <c r="D780">
        <v>34</v>
      </c>
      <c r="E780">
        <v>4</v>
      </c>
      <c r="F780">
        <v>0.95</v>
      </c>
      <c r="G780">
        <v>4</v>
      </c>
    </row>
    <row r="781" spans="1:7" x14ac:dyDescent="0.3">
      <c r="A781">
        <v>25</v>
      </c>
      <c r="B781">
        <v>1557</v>
      </c>
      <c r="C781">
        <v>13</v>
      </c>
      <c r="D781">
        <v>74</v>
      </c>
      <c r="E781">
        <v>1</v>
      </c>
      <c r="F781">
        <v>0.95</v>
      </c>
      <c r="G781">
        <v>14</v>
      </c>
    </row>
    <row r="782" spans="1:7" x14ac:dyDescent="0.3">
      <c r="A782">
        <v>20</v>
      </c>
      <c r="B782">
        <v>1554</v>
      </c>
      <c r="C782">
        <v>30</v>
      </c>
      <c r="D782">
        <v>60</v>
      </c>
      <c r="E782">
        <v>4</v>
      </c>
      <c r="F782">
        <v>0.95</v>
      </c>
      <c r="G782">
        <v>4</v>
      </c>
    </row>
    <row r="783" spans="1:7" x14ac:dyDescent="0.3">
      <c r="A783">
        <v>50</v>
      </c>
      <c r="B783">
        <v>1553</v>
      </c>
      <c r="C783">
        <v>35</v>
      </c>
      <c r="D783">
        <v>43</v>
      </c>
      <c r="E783">
        <v>4</v>
      </c>
      <c r="F783">
        <v>0.95</v>
      </c>
      <c r="G783">
        <v>5.5</v>
      </c>
    </row>
    <row r="784" spans="1:7" x14ac:dyDescent="0.3">
      <c r="A784">
        <v>55</v>
      </c>
      <c r="B784">
        <v>1552</v>
      </c>
      <c r="C784">
        <v>14</v>
      </c>
      <c r="D784">
        <v>44</v>
      </c>
      <c r="E784">
        <v>4</v>
      </c>
      <c r="F784">
        <v>0.95</v>
      </c>
      <c r="G784">
        <v>3.5</v>
      </c>
    </row>
    <row r="785" spans="1:7" x14ac:dyDescent="0.3">
      <c r="A785">
        <v>30</v>
      </c>
      <c r="B785">
        <v>1551</v>
      </c>
      <c r="C785">
        <v>42</v>
      </c>
      <c r="D785">
        <v>78</v>
      </c>
      <c r="E785">
        <v>4</v>
      </c>
      <c r="F785">
        <v>0.95</v>
      </c>
      <c r="G785">
        <v>7.5</v>
      </c>
    </row>
    <row r="786" spans="1:7" x14ac:dyDescent="0.3">
      <c r="A786">
        <v>30</v>
      </c>
      <c r="B786">
        <v>1550</v>
      </c>
      <c r="C786">
        <v>15</v>
      </c>
      <c r="D786">
        <v>23</v>
      </c>
      <c r="E786">
        <v>4</v>
      </c>
      <c r="F786">
        <v>0.96</v>
      </c>
      <c r="G786">
        <v>3</v>
      </c>
    </row>
    <row r="787" spans="1:7" x14ac:dyDescent="0.3">
      <c r="A787">
        <v>50</v>
      </c>
      <c r="B787">
        <v>1550</v>
      </c>
      <c r="C787">
        <v>25</v>
      </c>
      <c r="D787">
        <v>27</v>
      </c>
      <c r="E787">
        <v>4</v>
      </c>
      <c r="F787">
        <v>0.96</v>
      </c>
      <c r="G787">
        <v>1.5</v>
      </c>
    </row>
    <row r="788" spans="1:7" x14ac:dyDescent="0.3">
      <c r="A788">
        <v>40</v>
      </c>
      <c r="B788">
        <v>1548</v>
      </c>
      <c r="C788">
        <v>30</v>
      </c>
      <c r="D788">
        <v>126</v>
      </c>
      <c r="E788">
        <v>4</v>
      </c>
      <c r="F788">
        <v>0.96</v>
      </c>
      <c r="G788">
        <v>15</v>
      </c>
    </row>
    <row r="789" spans="1:7" x14ac:dyDescent="0.3">
      <c r="A789">
        <v>50</v>
      </c>
      <c r="B789">
        <v>1547</v>
      </c>
      <c r="C789">
        <v>30</v>
      </c>
      <c r="D789">
        <v>56</v>
      </c>
      <c r="E789">
        <v>4</v>
      </c>
      <c r="F789">
        <v>0.96</v>
      </c>
      <c r="G789">
        <v>8</v>
      </c>
    </row>
    <row r="790" spans="1:7" x14ac:dyDescent="0.3">
      <c r="A790">
        <v>0</v>
      </c>
      <c r="B790">
        <v>1544</v>
      </c>
      <c r="C790">
        <v>15</v>
      </c>
      <c r="D790">
        <v>29</v>
      </c>
      <c r="E790">
        <v>4</v>
      </c>
      <c r="F790">
        <v>0.96</v>
      </c>
      <c r="G790">
        <v>1</v>
      </c>
    </row>
    <row r="791" spans="1:7" x14ac:dyDescent="0.3">
      <c r="A791">
        <v>45</v>
      </c>
      <c r="B791">
        <v>1540</v>
      </c>
      <c r="C791">
        <v>19</v>
      </c>
      <c r="D791">
        <v>39</v>
      </c>
      <c r="E791">
        <v>4</v>
      </c>
      <c r="F791">
        <v>0.96</v>
      </c>
      <c r="G791">
        <v>3</v>
      </c>
    </row>
    <row r="792" spans="1:7" x14ac:dyDescent="0.3">
      <c r="A792">
        <v>195</v>
      </c>
      <c r="B792">
        <v>1537</v>
      </c>
      <c r="C792">
        <v>8</v>
      </c>
      <c r="D792">
        <v>29</v>
      </c>
      <c r="E792">
        <v>1</v>
      </c>
      <c r="F792">
        <v>0.96</v>
      </c>
      <c r="G792">
        <v>2.5</v>
      </c>
    </row>
    <row r="793" spans="1:7" x14ac:dyDescent="0.3">
      <c r="A793">
        <v>55</v>
      </c>
      <c r="B793">
        <v>1534</v>
      </c>
      <c r="C793">
        <v>33</v>
      </c>
      <c r="D793">
        <v>18</v>
      </c>
      <c r="E793">
        <v>1</v>
      </c>
      <c r="F793">
        <v>0.96</v>
      </c>
      <c r="G793">
        <v>1.5</v>
      </c>
    </row>
    <row r="794" spans="1:7" x14ac:dyDescent="0.3">
      <c r="A794">
        <v>75</v>
      </c>
      <c r="B794">
        <v>1532</v>
      </c>
      <c r="C794">
        <v>19</v>
      </c>
      <c r="D794">
        <v>23</v>
      </c>
      <c r="E794">
        <v>4</v>
      </c>
      <c r="F794">
        <v>0.96</v>
      </c>
      <c r="G794">
        <v>2</v>
      </c>
    </row>
    <row r="795" spans="1:7" x14ac:dyDescent="0.3">
      <c r="A795">
        <v>90</v>
      </c>
      <c r="B795">
        <v>1526</v>
      </c>
      <c r="C795">
        <v>72</v>
      </c>
      <c r="D795">
        <v>86</v>
      </c>
      <c r="E795">
        <v>1</v>
      </c>
      <c r="F795">
        <v>0.96</v>
      </c>
      <c r="G795">
        <v>6.5</v>
      </c>
    </row>
    <row r="796" spans="1:7" x14ac:dyDescent="0.3">
      <c r="A796">
        <v>20</v>
      </c>
      <c r="B796">
        <v>1525</v>
      </c>
      <c r="C796">
        <v>43</v>
      </c>
      <c r="D796">
        <v>65</v>
      </c>
      <c r="E796">
        <v>2</v>
      </c>
      <c r="F796">
        <v>0.96</v>
      </c>
      <c r="G796">
        <v>2.5</v>
      </c>
    </row>
    <row r="797" spans="1:7" x14ac:dyDescent="0.3">
      <c r="A797">
        <v>20</v>
      </c>
      <c r="B797">
        <v>1520</v>
      </c>
      <c r="C797">
        <v>34</v>
      </c>
      <c r="D797">
        <v>23</v>
      </c>
      <c r="E797">
        <v>2</v>
      </c>
      <c r="F797">
        <v>0.96</v>
      </c>
      <c r="G797">
        <v>2</v>
      </c>
    </row>
    <row r="798" spans="1:7" x14ac:dyDescent="0.3">
      <c r="A798">
        <v>25</v>
      </c>
      <c r="B798">
        <v>1520</v>
      </c>
      <c r="C798">
        <v>21</v>
      </c>
      <c r="D798">
        <v>52</v>
      </c>
      <c r="E798">
        <v>4</v>
      </c>
      <c r="F798">
        <v>0.96</v>
      </c>
      <c r="G798">
        <v>10.5</v>
      </c>
    </row>
    <row r="799" spans="1:7" x14ac:dyDescent="0.3">
      <c r="A799">
        <v>0</v>
      </c>
      <c r="B799">
        <v>1519</v>
      </c>
      <c r="C799">
        <v>28</v>
      </c>
      <c r="D799">
        <v>20</v>
      </c>
      <c r="E799">
        <v>1</v>
      </c>
      <c r="F799">
        <v>0.96</v>
      </c>
      <c r="G799">
        <v>1</v>
      </c>
    </row>
    <row r="800" spans="1:7" x14ac:dyDescent="0.3">
      <c r="A800">
        <v>100</v>
      </c>
      <c r="B800">
        <v>1518</v>
      </c>
      <c r="C800">
        <v>55</v>
      </c>
      <c r="D800">
        <v>122</v>
      </c>
      <c r="E800">
        <v>4</v>
      </c>
      <c r="F800">
        <v>0.96</v>
      </c>
      <c r="G800">
        <v>19</v>
      </c>
    </row>
    <row r="801" spans="1:7" x14ac:dyDescent="0.3">
      <c r="A801">
        <v>20</v>
      </c>
      <c r="B801">
        <v>1517</v>
      </c>
      <c r="C801">
        <v>4</v>
      </c>
      <c r="D801">
        <v>12</v>
      </c>
      <c r="E801">
        <v>1</v>
      </c>
      <c r="F801">
        <v>0.96</v>
      </c>
      <c r="G801">
        <v>1</v>
      </c>
    </row>
    <row r="802" spans="1:7" x14ac:dyDescent="0.3">
      <c r="A802">
        <v>50</v>
      </c>
      <c r="B802">
        <v>1515</v>
      </c>
      <c r="C802">
        <v>32</v>
      </c>
      <c r="D802">
        <v>60</v>
      </c>
      <c r="E802">
        <v>4</v>
      </c>
      <c r="F802">
        <v>0.96</v>
      </c>
      <c r="G802">
        <v>7</v>
      </c>
    </row>
    <row r="803" spans="1:7" x14ac:dyDescent="0.3">
      <c r="A803">
        <v>40</v>
      </c>
      <c r="B803">
        <v>1502</v>
      </c>
      <c r="C803">
        <v>218</v>
      </c>
      <c r="D803">
        <v>49</v>
      </c>
      <c r="E803">
        <v>4</v>
      </c>
      <c r="F803">
        <v>0.96</v>
      </c>
      <c r="G803">
        <v>6</v>
      </c>
    </row>
    <row r="804" spans="1:7" x14ac:dyDescent="0.3">
      <c r="A804">
        <v>50</v>
      </c>
      <c r="B804">
        <v>1496</v>
      </c>
      <c r="C804">
        <v>37</v>
      </c>
      <c r="D804">
        <v>74</v>
      </c>
      <c r="E804">
        <v>1</v>
      </c>
      <c r="F804">
        <v>0.96</v>
      </c>
      <c r="G804">
        <v>7.5</v>
      </c>
    </row>
    <row r="805" spans="1:7" x14ac:dyDescent="0.3">
      <c r="A805">
        <v>195</v>
      </c>
      <c r="B805">
        <v>1494</v>
      </c>
      <c r="C805">
        <v>23</v>
      </c>
      <c r="D805">
        <v>62</v>
      </c>
      <c r="E805">
        <v>4</v>
      </c>
      <c r="F805">
        <v>0.88</v>
      </c>
      <c r="G805">
        <v>7.5</v>
      </c>
    </row>
    <row r="806" spans="1:7" x14ac:dyDescent="0.3">
      <c r="A806">
        <v>30</v>
      </c>
      <c r="B806">
        <v>1478</v>
      </c>
      <c r="C806">
        <v>18</v>
      </c>
      <c r="D806">
        <v>83</v>
      </c>
      <c r="E806">
        <v>2</v>
      </c>
      <c r="F806">
        <v>0.18</v>
      </c>
      <c r="G806">
        <v>5</v>
      </c>
    </row>
    <row r="807" spans="1:7" x14ac:dyDescent="0.3">
      <c r="A807">
        <v>40</v>
      </c>
      <c r="B807">
        <v>1477</v>
      </c>
      <c r="C807">
        <v>17</v>
      </c>
      <c r="D807">
        <v>27</v>
      </c>
      <c r="E807">
        <v>2</v>
      </c>
      <c r="F807">
        <v>0.34</v>
      </c>
      <c r="G807">
        <v>6</v>
      </c>
    </row>
    <row r="808" spans="1:7" x14ac:dyDescent="0.3">
      <c r="A808">
        <v>20</v>
      </c>
      <c r="B808">
        <v>1476</v>
      </c>
      <c r="C808">
        <v>27</v>
      </c>
      <c r="D808">
        <v>8</v>
      </c>
      <c r="E808">
        <v>4</v>
      </c>
      <c r="F808">
        <v>0.89</v>
      </c>
      <c r="G808">
        <v>0.65</v>
      </c>
    </row>
    <row r="809" spans="1:7" x14ac:dyDescent="0.3">
      <c r="A809">
        <v>195</v>
      </c>
      <c r="B809">
        <v>1472</v>
      </c>
      <c r="C809">
        <v>210</v>
      </c>
      <c r="D809">
        <v>110</v>
      </c>
      <c r="E809">
        <v>4</v>
      </c>
      <c r="F809">
        <v>0.98</v>
      </c>
      <c r="G809">
        <v>13</v>
      </c>
    </row>
    <row r="810" spans="1:7" x14ac:dyDescent="0.3">
      <c r="A810">
        <v>40</v>
      </c>
      <c r="B810">
        <v>1469</v>
      </c>
      <c r="C810">
        <v>237</v>
      </c>
      <c r="D810">
        <v>120</v>
      </c>
      <c r="E810">
        <v>4</v>
      </c>
      <c r="F810">
        <v>0.47</v>
      </c>
      <c r="G810">
        <v>19</v>
      </c>
    </row>
    <row r="811" spans="1:7" x14ac:dyDescent="0.3">
      <c r="A811">
        <v>40</v>
      </c>
      <c r="B811">
        <v>1468</v>
      </c>
      <c r="C811">
        <v>54</v>
      </c>
      <c r="D811">
        <v>18</v>
      </c>
      <c r="E811">
        <v>4</v>
      </c>
      <c r="F811">
        <v>0.8</v>
      </c>
      <c r="G811">
        <v>2.5</v>
      </c>
    </row>
    <row r="812" spans="1:7" x14ac:dyDescent="0.3">
      <c r="A812">
        <v>20</v>
      </c>
      <c r="B812">
        <v>1463</v>
      </c>
      <c r="C812">
        <v>56</v>
      </c>
      <c r="D812">
        <v>24</v>
      </c>
      <c r="E812">
        <v>1</v>
      </c>
      <c r="F812">
        <v>0.9</v>
      </c>
      <c r="G812">
        <v>1</v>
      </c>
    </row>
    <row r="813" spans="1:7" x14ac:dyDescent="0.3">
      <c r="A813">
        <v>30</v>
      </c>
      <c r="B813">
        <v>1454</v>
      </c>
      <c r="C813">
        <v>14</v>
      </c>
      <c r="D813">
        <v>12</v>
      </c>
      <c r="E813">
        <v>4</v>
      </c>
      <c r="F813">
        <v>0.14000000000000001</v>
      </c>
      <c r="G813">
        <v>0.5</v>
      </c>
    </row>
    <row r="814" spans="1:7" x14ac:dyDescent="0.3">
      <c r="A814">
        <v>200</v>
      </c>
      <c r="B814">
        <v>1448</v>
      </c>
      <c r="C814">
        <v>173</v>
      </c>
      <c r="D814">
        <v>48</v>
      </c>
      <c r="E814">
        <v>1</v>
      </c>
      <c r="F814">
        <v>0.74</v>
      </c>
      <c r="G814">
        <v>7.5</v>
      </c>
    </row>
    <row r="815" spans="1:7" x14ac:dyDescent="0.3">
      <c r="A815">
        <v>20</v>
      </c>
      <c r="B815">
        <v>1447</v>
      </c>
      <c r="C815">
        <v>35</v>
      </c>
      <c r="D815">
        <v>7</v>
      </c>
      <c r="E815">
        <v>1</v>
      </c>
      <c r="F815">
        <v>0.89</v>
      </c>
      <c r="G815">
        <v>0.66666667000000002</v>
      </c>
    </row>
    <row r="816" spans="1:7" x14ac:dyDescent="0.3">
      <c r="A816">
        <v>20</v>
      </c>
      <c r="B816">
        <v>1442</v>
      </c>
      <c r="C816">
        <v>9</v>
      </c>
      <c r="D816">
        <v>25</v>
      </c>
      <c r="E816">
        <v>4</v>
      </c>
      <c r="F816">
        <v>0.78</v>
      </c>
      <c r="G816">
        <v>2</v>
      </c>
    </row>
    <row r="817" spans="1:7" x14ac:dyDescent="0.3">
      <c r="A817">
        <v>50</v>
      </c>
      <c r="B817">
        <v>1439</v>
      </c>
      <c r="C817">
        <v>10</v>
      </c>
      <c r="D817">
        <v>77</v>
      </c>
      <c r="E817">
        <v>1</v>
      </c>
      <c r="F817">
        <v>0.84</v>
      </c>
      <c r="G817">
        <v>13</v>
      </c>
    </row>
    <row r="818" spans="1:7" x14ac:dyDescent="0.3">
      <c r="A818">
        <v>95</v>
      </c>
      <c r="B818">
        <v>1437</v>
      </c>
      <c r="C818">
        <v>24</v>
      </c>
      <c r="D818">
        <v>20</v>
      </c>
      <c r="E818">
        <v>2</v>
      </c>
      <c r="F818">
        <v>0.72</v>
      </c>
      <c r="G818">
        <v>1</v>
      </c>
    </row>
    <row r="819" spans="1:7" x14ac:dyDescent="0.3">
      <c r="A819">
        <v>40</v>
      </c>
      <c r="B819">
        <v>1433</v>
      </c>
      <c r="C819">
        <v>145</v>
      </c>
      <c r="D819">
        <v>34</v>
      </c>
      <c r="E819">
        <v>1</v>
      </c>
      <c r="F819">
        <v>0.35</v>
      </c>
      <c r="G819">
        <v>5.5</v>
      </c>
    </row>
    <row r="820" spans="1:7" x14ac:dyDescent="0.3">
      <c r="A820">
        <v>20</v>
      </c>
      <c r="B820">
        <v>1428</v>
      </c>
      <c r="C820">
        <v>91</v>
      </c>
      <c r="D820">
        <v>32</v>
      </c>
      <c r="E820">
        <v>4</v>
      </c>
      <c r="F820">
        <v>0.9</v>
      </c>
      <c r="G820">
        <v>3</v>
      </c>
    </row>
    <row r="821" spans="1:7" x14ac:dyDescent="0.3">
      <c r="A821">
        <v>110</v>
      </c>
      <c r="B821">
        <v>1425</v>
      </c>
      <c r="C821">
        <v>36</v>
      </c>
      <c r="D821">
        <v>34</v>
      </c>
      <c r="E821">
        <v>4</v>
      </c>
      <c r="F821">
        <v>0.77</v>
      </c>
      <c r="G821">
        <v>5.5</v>
      </c>
    </row>
    <row r="822" spans="1:7" x14ac:dyDescent="0.3">
      <c r="A822">
        <v>20</v>
      </c>
      <c r="B822">
        <v>1421</v>
      </c>
      <c r="C822">
        <v>17</v>
      </c>
      <c r="D822">
        <v>36</v>
      </c>
      <c r="E822">
        <v>1</v>
      </c>
      <c r="F822">
        <v>0.83</v>
      </c>
      <c r="G822">
        <v>4</v>
      </c>
    </row>
    <row r="823" spans="1:7" x14ac:dyDescent="0.3">
      <c r="A823">
        <v>200</v>
      </c>
      <c r="B823">
        <v>1420</v>
      </c>
      <c r="C823">
        <v>62</v>
      </c>
      <c r="D823">
        <v>152</v>
      </c>
      <c r="E823">
        <v>4</v>
      </c>
      <c r="F823">
        <v>7.0000000000000007E-2</v>
      </c>
      <c r="G823">
        <v>5.5</v>
      </c>
    </row>
    <row r="824" spans="1:7" x14ac:dyDescent="0.3">
      <c r="A824">
        <v>60</v>
      </c>
      <c r="B824">
        <v>1419</v>
      </c>
      <c r="C824">
        <v>38</v>
      </c>
      <c r="D824">
        <v>20</v>
      </c>
      <c r="E824">
        <v>1</v>
      </c>
      <c r="F824">
        <v>0.74</v>
      </c>
      <c r="G824">
        <v>1.5</v>
      </c>
    </row>
    <row r="825" spans="1:7" x14ac:dyDescent="0.3">
      <c r="A825">
        <v>200</v>
      </c>
      <c r="B825">
        <v>1415</v>
      </c>
      <c r="C825">
        <v>17</v>
      </c>
      <c r="D825">
        <v>23</v>
      </c>
      <c r="E825">
        <v>4</v>
      </c>
      <c r="F825">
        <v>0.62</v>
      </c>
      <c r="G825">
        <v>1.5</v>
      </c>
    </row>
    <row r="826" spans="1:7" x14ac:dyDescent="0.3">
      <c r="A826">
        <v>150</v>
      </c>
      <c r="B826">
        <v>1414</v>
      </c>
      <c r="C826">
        <v>14</v>
      </c>
      <c r="D826">
        <v>22</v>
      </c>
      <c r="E826">
        <v>4</v>
      </c>
      <c r="F826">
        <v>0.87</v>
      </c>
      <c r="G826">
        <v>2.5</v>
      </c>
    </row>
    <row r="827" spans="1:7" x14ac:dyDescent="0.3">
      <c r="A827">
        <v>100</v>
      </c>
      <c r="B827">
        <v>1410</v>
      </c>
      <c r="C827">
        <v>134</v>
      </c>
      <c r="D827">
        <v>67</v>
      </c>
      <c r="E827">
        <v>2</v>
      </c>
      <c r="F827">
        <v>0.96</v>
      </c>
      <c r="G827">
        <v>5</v>
      </c>
    </row>
    <row r="828" spans="1:7" x14ac:dyDescent="0.3">
      <c r="A828">
        <v>115</v>
      </c>
      <c r="B828">
        <v>1407</v>
      </c>
      <c r="C828">
        <v>137</v>
      </c>
      <c r="D828">
        <v>69</v>
      </c>
      <c r="E828">
        <v>4</v>
      </c>
      <c r="F828">
        <v>0.52</v>
      </c>
      <c r="G828">
        <v>7</v>
      </c>
    </row>
    <row r="829" spans="1:7" x14ac:dyDescent="0.3">
      <c r="A829">
        <v>25</v>
      </c>
      <c r="B829">
        <v>1406</v>
      </c>
      <c r="C829">
        <v>12</v>
      </c>
      <c r="D829">
        <v>20</v>
      </c>
      <c r="E829">
        <v>1</v>
      </c>
      <c r="F829">
        <v>0.92</v>
      </c>
      <c r="G829">
        <v>1</v>
      </c>
    </row>
    <row r="830" spans="1:7" x14ac:dyDescent="0.3">
      <c r="A830">
        <v>20</v>
      </c>
      <c r="B830">
        <v>1404</v>
      </c>
      <c r="C830">
        <v>7</v>
      </c>
      <c r="D830">
        <v>17</v>
      </c>
      <c r="E830">
        <v>4</v>
      </c>
      <c r="F830">
        <v>0.33</v>
      </c>
      <c r="G830">
        <v>2.5</v>
      </c>
    </row>
    <row r="831" spans="1:7" x14ac:dyDescent="0.3">
      <c r="A831">
        <v>150</v>
      </c>
      <c r="B831">
        <v>1399</v>
      </c>
      <c r="C831">
        <v>212</v>
      </c>
      <c r="D831">
        <v>89</v>
      </c>
      <c r="E831">
        <v>4</v>
      </c>
      <c r="F831">
        <v>0.94</v>
      </c>
      <c r="G831">
        <v>8.5</v>
      </c>
    </row>
    <row r="832" spans="1:7" x14ac:dyDescent="0.3">
      <c r="A832">
        <v>20</v>
      </c>
      <c r="B832">
        <v>1393</v>
      </c>
      <c r="C832">
        <v>40</v>
      </c>
      <c r="D832">
        <v>9</v>
      </c>
      <c r="E832">
        <v>1</v>
      </c>
      <c r="F832">
        <v>0.18</v>
      </c>
      <c r="G832">
        <v>0.51666666999999999</v>
      </c>
    </row>
    <row r="833" spans="1:7" x14ac:dyDescent="0.3">
      <c r="A833">
        <v>95</v>
      </c>
      <c r="B833">
        <v>1388</v>
      </c>
      <c r="C833">
        <v>11</v>
      </c>
      <c r="D833">
        <v>58</v>
      </c>
      <c r="E833">
        <v>4</v>
      </c>
      <c r="F833">
        <v>0.43</v>
      </c>
      <c r="G833">
        <v>7</v>
      </c>
    </row>
    <row r="834" spans="1:7" x14ac:dyDescent="0.3">
      <c r="A834">
        <v>50</v>
      </c>
      <c r="B834">
        <v>1386</v>
      </c>
      <c r="C834">
        <v>17</v>
      </c>
      <c r="D834">
        <v>28</v>
      </c>
      <c r="E834">
        <v>1</v>
      </c>
      <c r="F834">
        <v>7.0000000000000007E-2</v>
      </c>
      <c r="G834">
        <v>3</v>
      </c>
    </row>
    <row r="835" spans="1:7" x14ac:dyDescent="0.3">
      <c r="A835">
        <v>100</v>
      </c>
      <c r="B835">
        <v>1385</v>
      </c>
      <c r="C835">
        <v>89</v>
      </c>
      <c r="D835">
        <v>97</v>
      </c>
      <c r="E835">
        <v>1</v>
      </c>
      <c r="F835">
        <v>0.17</v>
      </c>
      <c r="G835">
        <v>11</v>
      </c>
    </row>
    <row r="836" spans="1:7" x14ac:dyDescent="0.3">
      <c r="A836">
        <v>100</v>
      </c>
      <c r="B836">
        <v>1385</v>
      </c>
      <c r="C836">
        <v>188</v>
      </c>
      <c r="D836">
        <v>83</v>
      </c>
      <c r="E836">
        <v>2</v>
      </c>
      <c r="F836">
        <v>0.46</v>
      </c>
      <c r="G836">
        <v>5</v>
      </c>
    </row>
    <row r="837" spans="1:7" x14ac:dyDescent="0.3">
      <c r="A837">
        <v>195</v>
      </c>
      <c r="B837">
        <v>1371</v>
      </c>
      <c r="C837">
        <v>165</v>
      </c>
      <c r="D837">
        <v>83</v>
      </c>
      <c r="E837">
        <v>4</v>
      </c>
      <c r="F837">
        <v>0.12</v>
      </c>
      <c r="G837">
        <v>20</v>
      </c>
    </row>
    <row r="838" spans="1:7" x14ac:dyDescent="0.3">
      <c r="A838">
        <v>125</v>
      </c>
      <c r="B838">
        <v>1367</v>
      </c>
      <c r="C838">
        <v>17</v>
      </c>
      <c r="D838">
        <v>58</v>
      </c>
      <c r="E838">
        <v>2</v>
      </c>
      <c r="F838">
        <v>0.79</v>
      </c>
      <c r="G838">
        <v>6</v>
      </c>
    </row>
    <row r="839" spans="1:7" x14ac:dyDescent="0.3">
      <c r="A839">
        <v>40</v>
      </c>
      <c r="B839">
        <v>1355</v>
      </c>
      <c r="C839">
        <v>45</v>
      </c>
      <c r="D839">
        <v>27</v>
      </c>
      <c r="E839">
        <v>4</v>
      </c>
      <c r="F839">
        <v>7.0000000000000007E-2</v>
      </c>
      <c r="G839">
        <v>3.5</v>
      </c>
    </row>
    <row r="840" spans="1:7" x14ac:dyDescent="0.3">
      <c r="A840">
        <v>30</v>
      </c>
      <c r="B840">
        <v>1355</v>
      </c>
      <c r="C840">
        <v>14</v>
      </c>
      <c r="D840">
        <v>29</v>
      </c>
      <c r="E840">
        <v>4</v>
      </c>
      <c r="F840">
        <v>0.76</v>
      </c>
      <c r="G840">
        <v>3.5</v>
      </c>
    </row>
    <row r="841" spans="1:7" x14ac:dyDescent="0.3">
      <c r="A841">
        <v>200</v>
      </c>
      <c r="B841">
        <v>1353</v>
      </c>
      <c r="C841">
        <v>53</v>
      </c>
      <c r="D841">
        <v>320</v>
      </c>
      <c r="E841">
        <v>1</v>
      </c>
      <c r="F841">
        <v>0.11</v>
      </c>
      <c r="G841">
        <v>23.5</v>
      </c>
    </row>
    <row r="842" spans="1:7" x14ac:dyDescent="0.3">
      <c r="A842">
        <v>115</v>
      </c>
      <c r="B842">
        <v>1346</v>
      </c>
      <c r="C842">
        <v>330</v>
      </c>
      <c r="D842">
        <v>32</v>
      </c>
      <c r="E842">
        <v>1</v>
      </c>
      <c r="F842">
        <v>0.18</v>
      </c>
      <c r="G842">
        <v>3</v>
      </c>
    </row>
    <row r="843" spans="1:7" x14ac:dyDescent="0.3">
      <c r="A843">
        <v>60</v>
      </c>
      <c r="B843">
        <v>1343</v>
      </c>
      <c r="C843">
        <v>11</v>
      </c>
      <c r="D843">
        <v>22</v>
      </c>
      <c r="E843">
        <v>1</v>
      </c>
      <c r="F843">
        <v>0.2</v>
      </c>
      <c r="G843">
        <v>3.5</v>
      </c>
    </row>
    <row r="844" spans="1:7" x14ac:dyDescent="0.3">
      <c r="A844">
        <v>50</v>
      </c>
      <c r="B844">
        <v>1339</v>
      </c>
      <c r="C844">
        <v>21</v>
      </c>
      <c r="D844">
        <v>18</v>
      </c>
      <c r="E844">
        <v>1</v>
      </c>
      <c r="F844">
        <v>0.78</v>
      </c>
      <c r="G844">
        <v>2</v>
      </c>
    </row>
    <row r="845" spans="1:7" x14ac:dyDescent="0.3">
      <c r="A845">
        <v>50</v>
      </c>
      <c r="B845">
        <v>1337</v>
      </c>
      <c r="C845">
        <v>28</v>
      </c>
      <c r="D845">
        <v>12</v>
      </c>
      <c r="E845">
        <v>1</v>
      </c>
      <c r="F845">
        <v>0.89</v>
      </c>
      <c r="G845">
        <v>1</v>
      </c>
    </row>
    <row r="846" spans="1:7" x14ac:dyDescent="0.3">
      <c r="A846">
        <v>50</v>
      </c>
      <c r="B846">
        <v>1322</v>
      </c>
      <c r="C846">
        <v>171</v>
      </c>
      <c r="D846">
        <v>37</v>
      </c>
      <c r="E846">
        <v>1</v>
      </c>
      <c r="F846">
        <v>0.9</v>
      </c>
      <c r="G846">
        <v>3.5</v>
      </c>
    </row>
    <row r="847" spans="1:7" x14ac:dyDescent="0.3">
      <c r="A847">
        <v>75</v>
      </c>
      <c r="B847">
        <v>1322</v>
      </c>
      <c r="C847">
        <v>14</v>
      </c>
      <c r="D847">
        <v>27</v>
      </c>
      <c r="E847">
        <v>1</v>
      </c>
      <c r="F847">
        <v>0.08</v>
      </c>
      <c r="G847">
        <v>3</v>
      </c>
    </row>
    <row r="848" spans="1:7" x14ac:dyDescent="0.3">
      <c r="A848">
        <v>20</v>
      </c>
      <c r="B848">
        <v>1318</v>
      </c>
      <c r="C848">
        <v>81</v>
      </c>
      <c r="D848">
        <v>55</v>
      </c>
      <c r="E848">
        <v>1</v>
      </c>
      <c r="F848">
        <v>7.0000000000000007E-2</v>
      </c>
      <c r="G848">
        <v>7</v>
      </c>
    </row>
    <row r="849" spans="1:7" x14ac:dyDescent="0.3">
      <c r="A849">
        <v>125</v>
      </c>
      <c r="B849">
        <v>1318</v>
      </c>
      <c r="C849">
        <v>78</v>
      </c>
      <c r="D849">
        <v>51</v>
      </c>
      <c r="E849">
        <v>4</v>
      </c>
      <c r="F849">
        <v>0.24</v>
      </c>
      <c r="G849">
        <v>4.5</v>
      </c>
    </row>
    <row r="850" spans="1:7" x14ac:dyDescent="0.3">
      <c r="A850">
        <v>25</v>
      </c>
      <c r="B850">
        <v>1316</v>
      </c>
      <c r="C850">
        <v>22</v>
      </c>
      <c r="D850">
        <v>45</v>
      </c>
      <c r="E850">
        <v>3</v>
      </c>
      <c r="F850">
        <v>0.18</v>
      </c>
      <c r="G850">
        <v>5</v>
      </c>
    </row>
    <row r="851" spans="1:7" x14ac:dyDescent="0.3">
      <c r="A851">
        <v>60</v>
      </c>
      <c r="B851">
        <v>1313</v>
      </c>
      <c r="C851">
        <v>121</v>
      </c>
      <c r="D851">
        <v>62</v>
      </c>
      <c r="E851">
        <v>1</v>
      </c>
      <c r="F851">
        <v>0.63</v>
      </c>
      <c r="G851">
        <v>11</v>
      </c>
    </row>
    <row r="852" spans="1:7" x14ac:dyDescent="0.3">
      <c r="A852">
        <v>20</v>
      </c>
      <c r="B852">
        <v>1312</v>
      </c>
      <c r="C852">
        <v>19</v>
      </c>
      <c r="D852">
        <v>11</v>
      </c>
      <c r="E852">
        <v>4</v>
      </c>
      <c r="F852">
        <v>0.47</v>
      </c>
      <c r="G852">
        <v>1</v>
      </c>
    </row>
    <row r="853" spans="1:7" x14ac:dyDescent="0.3">
      <c r="A853">
        <v>25</v>
      </c>
      <c r="B853">
        <v>1309</v>
      </c>
      <c r="C853">
        <v>60</v>
      </c>
      <c r="D853">
        <v>14</v>
      </c>
      <c r="E853">
        <v>4</v>
      </c>
      <c r="F853">
        <v>0.78</v>
      </c>
      <c r="G853">
        <v>1.5</v>
      </c>
    </row>
    <row r="854" spans="1:7" x14ac:dyDescent="0.3">
      <c r="A854">
        <v>35</v>
      </c>
      <c r="B854">
        <v>1309</v>
      </c>
      <c r="C854">
        <v>74</v>
      </c>
      <c r="D854">
        <v>43</v>
      </c>
      <c r="E854">
        <v>1</v>
      </c>
      <c r="F854">
        <v>0.16</v>
      </c>
      <c r="G854">
        <v>5</v>
      </c>
    </row>
    <row r="855" spans="1:7" x14ac:dyDescent="0.3">
      <c r="A855">
        <v>25</v>
      </c>
      <c r="B855">
        <v>1305</v>
      </c>
      <c r="C855">
        <v>38</v>
      </c>
      <c r="D855">
        <v>16</v>
      </c>
      <c r="E855">
        <v>1</v>
      </c>
      <c r="F855">
        <v>0.21</v>
      </c>
      <c r="G855">
        <v>1.5</v>
      </c>
    </row>
    <row r="856" spans="1:7" x14ac:dyDescent="0.3">
      <c r="A856">
        <v>30</v>
      </c>
      <c r="B856">
        <v>1305</v>
      </c>
      <c r="C856">
        <v>25</v>
      </c>
      <c r="D856">
        <v>8</v>
      </c>
      <c r="E856">
        <v>4</v>
      </c>
      <c r="F856">
        <v>0.76</v>
      </c>
      <c r="G856">
        <v>0.56666667000000004</v>
      </c>
    </row>
    <row r="857" spans="1:7" x14ac:dyDescent="0.3">
      <c r="A857">
        <v>120</v>
      </c>
      <c r="B857">
        <v>1302</v>
      </c>
      <c r="C857">
        <v>18</v>
      </c>
      <c r="D857">
        <v>22</v>
      </c>
      <c r="E857">
        <v>1</v>
      </c>
      <c r="F857">
        <v>0.76</v>
      </c>
      <c r="G857">
        <v>1.5</v>
      </c>
    </row>
    <row r="858" spans="1:7" x14ac:dyDescent="0.3">
      <c r="A858">
        <v>150</v>
      </c>
      <c r="B858">
        <v>1301</v>
      </c>
      <c r="C858">
        <v>179</v>
      </c>
      <c r="D858">
        <v>80</v>
      </c>
      <c r="E858">
        <v>4</v>
      </c>
      <c r="F858">
        <v>0.76</v>
      </c>
      <c r="G858">
        <v>7.5</v>
      </c>
    </row>
    <row r="859" spans="1:7" x14ac:dyDescent="0.3">
      <c r="A859">
        <v>120</v>
      </c>
      <c r="B859">
        <v>1299</v>
      </c>
      <c r="C859">
        <v>56</v>
      </c>
      <c r="D859">
        <v>71</v>
      </c>
      <c r="E859">
        <v>4</v>
      </c>
      <c r="F859">
        <v>0.76</v>
      </c>
      <c r="G859">
        <v>14</v>
      </c>
    </row>
    <row r="860" spans="1:7" x14ac:dyDescent="0.3">
      <c r="A860">
        <v>20</v>
      </c>
      <c r="B860">
        <v>1299</v>
      </c>
      <c r="C860">
        <v>15</v>
      </c>
      <c r="D860">
        <v>23</v>
      </c>
      <c r="E860">
        <v>4</v>
      </c>
      <c r="F860">
        <v>0.76</v>
      </c>
      <c r="G860">
        <v>1</v>
      </c>
    </row>
    <row r="861" spans="1:7" x14ac:dyDescent="0.3">
      <c r="A861">
        <v>200</v>
      </c>
      <c r="B861">
        <v>1296</v>
      </c>
      <c r="C861">
        <v>22</v>
      </c>
      <c r="D861">
        <v>72</v>
      </c>
      <c r="E861">
        <v>2</v>
      </c>
      <c r="F861">
        <v>0.76</v>
      </c>
      <c r="G861">
        <v>5.5</v>
      </c>
    </row>
    <row r="862" spans="1:7" x14ac:dyDescent="0.3">
      <c r="A862">
        <v>20</v>
      </c>
      <c r="B862">
        <v>1294</v>
      </c>
      <c r="C862">
        <v>11</v>
      </c>
      <c r="D862">
        <v>15</v>
      </c>
      <c r="E862">
        <v>4</v>
      </c>
      <c r="F862">
        <v>0.76</v>
      </c>
      <c r="G862">
        <v>1</v>
      </c>
    </row>
    <row r="863" spans="1:7" x14ac:dyDescent="0.3">
      <c r="A863">
        <v>20</v>
      </c>
      <c r="B863">
        <v>1292</v>
      </c>
      <c r="C863">
        <v>2</v>
      </c>
      <c r="D863">
        <v>12</v>
      </c>
      <c r="E863">
        <v>2</v>
      </c>
      <c r="F863">
        <v>0.76</v>
      </c>
      <c r="G863">
        <v>2</v>
      </c>
    </row>
    <row r="864" spans="1:7" x14ac:dyDescent="0.3">
      <c r="A864">
        <v>200</v>
      </c>
      <c r="B864">
        <v>1284</v>
      </c>
      <c r="C864">
        <v>46</v>
      </c>
      <c r="D864">
        <v>30</v>
      </c>
      <c r="E864">
        <v>4</v>
      </c>
      <c r="F864">
        <v>0.76</v>
      </c>
      <c r="G864">
        <v>1.5</v>
      </c>
    </row>
    <row r="865" spans="1:7" x14ac:dyDescent="0.3">
      <c r="A865">
        <v>200</v>
      </c>
      <c r="B865">
        <v>1284</v>
      </c>
      <c r="C865">
        <v>173</v>
      </c>
      <c r="D865">
        <v>301</v>
      </c>
      <c r="E865">
        <v>4</v>
      </c>
      <c r="F865">
        <v>0.76</v>
      </c>
      <c r="G865">
        <v>25.5</v>
      </c>
    </row>
    <row r="866" spans="1:7" x14ac:dyDescent="0.3">
      <c r="A866">
        <v>50</v>
      </c>
      <c r="B866">
        <v>1282</v>
      </c>
      <c r="C866">
        <v>117</v>
      </c>
      <c r="D866">
        <v>12</v>
      </c>
      <c r="E866">
        <v>1</v>
      </c>
      <c r="F866">
        <v>0.76</v>
      </c>
      <c r="G866">
        <v>1</v>
      </c>
    </row>
    <row r="867" spans="1:7" x14ac:dyDescent="0.3">
      <c r="A867">
        <v>200</v>
      </c>
      <c r="B867">
        <v>1276</v>
      </c>
      <c r="C867">
        <v>245</v>
      </c>
      <c r="D867">
        <v>271</v>
      </c>
      <c r="E867">
        <v>4</v>
      </c>
      <c r="F867">
        <v>0.76</v>
      </c>
      <c r="G867">
        <v>22.5</v>
      </c>
    </row>
    <row r="868" spans="1:7" x14ac:dyDescent="0.3">
      <c r="A868">
        <v>40</v>
      </c>
      <c r="B868">
        <v>1275</v>
      </c>
      <c r="C868">
        <v>11</v>
      </c>
      <c r="D868">
        <v>18</v>
      </c>
      <c r="E868">
        <v>4</v>
      </c>
      <c r="F868">
        <v>0.76</v>
      </c>
      <c r="G868">
        <v>1</v>
      </c>
    </row>
    <row r="869" spans="1:7" x14ac:dyDescent="0.3">
      <c r="A869">
        <v>50</v>
      </c>
      <c r="B869">
        <v>1274</v>
      </c>
      <c r="C869">
        <v>34</v>
      </c>
      <c r="D869">
        <v>15</v>
      </c>
      <c r="E869">
        <v>4</v>
      </c>
      <c r="F869">
        <v>0.76</v>
      </c>
      <c r="G869">
        <v>0.66666667000000002</v>
      </c>
    </row>
    <row r="870" spans="1:7" x14ac:dyDescent="0.3">
      <c r="A870">
        <v>30</v>
      </c>
      <c r="B870">
        <v>1272</v>
      </c>
      <c r="C870">
        <v>31</v>
      </c>
      <c r="D870">
        <v>29</v>
      </c>
      <c r="E870">
        <v>2</v>
      </c>
      <c r="F870">
        <v>0.3</v>
      </c>
      <c r="G870">
        <v>5</v>
      </c>
    </row>
    <row r="871" spans="1:7" x14ac:dyDescent="0.3">
      <c r="A871">
        <v>50</v>
      </c>
      <c r="B871">
        <v>1271</v>
      </c>
      <c r="C871">
        <v>136</v>
      </c>
      <c r="D871">
        <v>110</v>
      </c>
      <c r="E871">
        <v>4</v>
      </c>
      <c r="F871">
        <v>0.49</v>
      </c>
      <c r="G871">
        <v>7.5</v>
      </c>
    </row>
    <row r="872" spans="1:7" x14ac:dyDescent="0.3">
      <c r="A872">
        <v>200</v>
      </c>
      <c r="B872">
        <v>1270</v>
      </c>
      <c r="C872">
        <v>16</v>
      </c>
      <c r="D872">
        <v>73</v>
      </c>
      <c r="E872">
        <v>4</v>
      </c>
      <c r="F872">
        <v>0.94</v>
      </c>
      <c r="G872">
        <v>7</v>
      </c>
    </row>
    <row r="873" spans="1:7" x14ac:dyDescent="0.3">
      <c r="A873">
        <v>50</v>
      </c>
      <c r="B873">
        <v>1266</v>
      </c>
      <c r="C873">
        <v>90</v>
      </c>
      <c r="D873">
        <v>50</v>
      </c>
      <c r="E873">
        <v>2</v>
      </c>
      <c r="F873">
        <v>0.94</v>
      </c>
      <c r="G873">
        <v>3</v>
      </c>
    </row>
    <row r="874" spans="1:7" x14ac:dyDescent="0.3">
      <c r="A874">
        <v>200</v>
      </c>
      <c r="B874">
        <v>1266</v>
      </c>
      <c r="C874">
        <v>16</v>
      </c>
      <c r="D874">
        <v>21</v>
      </c>
      <c r="E874">
        <v>4</v>
      </c>
      <c r="F874">
        <v>0.94</v>
      </c>
      <c r="G874">
        <v>2</v>
      </c>
    </row>
    <row r="875" spans="1:7" x14ac:dyDescent="0.3">
      <c r="A875">
        <v>105</v>
      </c>
      <c r="B875">
        <v>1262</v>
      </c>
      <c r="C875">
        <v>36</v>
      </c>
      <c r="D875">
        <v>40</v>
      </c>
      <c r="E875">
        <v>2</v>
      </c>
      <c r="F875">
        <v>0.94</v>
      </c>
      <c r="G875">
        <v>2.5</v>
      </c>
    </row>
    <row r="876" spans="1:7" x14ac:dyDescent="0.3">
      <c r="A876">
        <v>50</v>
      </c>
      <c r="B876">
        <v>1248</v>
      </c>
      <c r="C876">
        <v>171</v>
      </c>
      <c r="D876">
        <v>18</v>
      </c>
      <c r="E876">
        <v>4</v>
      </c>
      <c r="F876">
        <v>0.94</v>
      </c>
      <c r="G876">
        <v>1.5</v>
      </c>
    </row>
    <row r="877" spans="1:7" x14ac:dyDescent="0.3">
      <c r="A877">
        <v>35</v>
      </c>
      <c r="B877">
        <v>1241</v>
      </c>
      <c r="C877">
        <v>23</v>
      </c>
      <c r="D877">
        <v>9</v>
      </c>
      <c r="E877">
        <v>4</v>
      </c>
      <c r="F877">
        <v>0.94</v>
      </c>
      <c r="G877">
        <v>0.56666667000000004</v>
      </c>
    </row>
    <row r="878" spans="1:7" x14ac:dyDescent="0.3">
      <c r="A878">
        <v>45</v>
      </c>
      <c r="B878">
        <v>1237</v>
      </c>
      <c r="C878">
        <v>16</v>
      </c>
      <c r="D878">
        <v>14</v>
      </c>
      <c r="E878">
        <v>2</v>
      </c>
      <c r="F878">
        <v>0.94</v>
      </c>
      <c r="G878">
        <v>1</v>
      </c>
    </row>
    <row r="879" spans="1:7" x14ac:dyDescent="0.3">
      <c r="A879">
        <v>80</v>
      </c>
      <c r="B879">
        <v>1236</v>
      </c>
      <c r="C879">
        <v>18</v>
      </c>
      <c r="D879">
        <v>14</v>
      </c>
      <c r="E879">
        <v>2</v>
      </c>
      <c r="F879">
        <v>0.94</v>
      </c>
      <c r="G879">
        <v>0.5</v>
      </c>
    </row>
    <row r="880" spans="1:7" x14ac:dyDescent="0.3">
      <c r="A880">
        <v>20</v>
      </c>
      <c r="B880">
        <v>1235</v>
      </c>
      <c r="C880">
        <v>25</v>
      </c>
      <c r="D880">
        <v>7</v>
      </c>
      <c r="E880">
        <v>1</v>
      </c>
      <c r="F880">
        <v>0.94</v>
      </c>
      <c r="G880">
        <v>0.63333333000000003</v>
      </c>
    </row>
    <row r="881" spans="1:7" x14ac:dyDescent="0.3">
      <c r="A881">
        <v>150</v>
      </c>
      <c r="B881">
        <v>1229</v>
      </c>
      <c r="C881">
        <v>139</v>
      </c>
      <c r="D881">
        <v>108</v>
      </c>
      <c r="E881">
        <v>1</v>
      </c>
      <c r="F881">
        <v>0.94</v>
      </c>
      <c r="G881">
        <v>7.5</v>
      </c>
    </row>
    <row r="882" spans="1:7" x14ac:dyDescent="0.3">
      <c r="A882">
        <v>200</v>
      </c>
      <c r="B882">
        <v>1220</v>
      </c>
      <c r="C882">
        <v>16</v>
      </c>
      <c r="D882">
        <v>16</v>
      </c>
      <c r="E882">
        <v>1</v>
      </c>
      <c r="F882">
        <v>0.94</v>
      </c>
      <c r="G882">
        <v>0.56666667000000004</v>
      </c>
    </row>
    <row r="883" spans="1:7" x14ac:dyDescent="0.3">
      <c r="A883">
        <v>50</v>
      </c>
      <c r="B883">
        <v>1216</v>
      </c>
      <c r="C883">
        <v>36</v>
      </c>
      <c r="D883">
        <v>28</v>
      </c>
      <c r="E883">
        <v>4</v>
      </c>
      <c r="F883">
        <v>0.94</v>
      </c>
      <c r="G883">
        <v>3</v>
      </c>
    </row>
    <row r="884" spans="1:7" x14ac:dyDescent="0.3">
      <c r="A884">
        <v>200</v>
      </c>
      <c r="B884">
        <v>1215</v>
      </c>
      <c r="C884">
        <v>58</v>
      </c>
      <c r="D884">
        <v>33</v>
      </c>
      <c r="E884">
        <v>4</v>
      </c>
      <c r="F884">
        <v>0.94</v>
      </c>
      <c r="G884">
        <v>2.5</v>
      </c>
    </row>
    <row r="885" spans="1:7" x14ac:dyDescent="0.3">
      <c r="A885">
        <v>95</v>
      </c>
      <c r="B885">
        <v>1212</v>
      </c>
      <c r="C885">
        <v>15</v>
      </c>
      <c r="D885">
        <v>39</v>
      </c>
      <c r="E885">
        <v>1</v>
      </c>
      <c r="F885">
        <v>0.94</v>
      </c>
      <c r="G885">
        <v>4.5</v>
      </c>
    </row>
    <row r="886" spans="1:7" x14ac:dyDescent="0.3">
      <c r="A886">
        <v>25</v>
      </c>
      <c r="B886">
        <v>1209</v>
      </c>
      <c r="C886">
        <v>8</v>
      </c>
      <c r="D886">
        <v>62</v>
      </c>
      <c r="E886">
        <v>4</v>
      </c>
      <c r="F886">
        <v>0.94</v>
      </c>
      <c r="G886">
        <v>4.5</v>
      </c>
    </row>
    <row r="887" spans="1:7" x14ac:dyDescent="0.3">
      <c r="A887">
        <v>20</v>
      </c>
      <c r="B887">
        <v>1209</v>
      </c>
      <c r="C887">
        <v>9</v>
      </c>
      <c r="D887">
        <v>21</v>
      </c>
      <c r="E887">
        <v>4</v>
      </c>
      <c r="F887">
        <v>0.94</v>
      </c>
      <c r="G887">
        <v>1.5</v>
      </c>
    </row>
    <row r="888" spans="1:7" x14ac:dyDescent="0.3">
      <c r="A888">
        <v>100</v>
      </c>
      <c r="B888">
        <v>1193</v>
      </c>
      <c r="C888">
        <v>87</v>
      </c>
      <c r="D888">
        <v>58</v>
      </c>
      <c r="E888">
        <v>4</v>
      </c>
      <c r="F888">
        <v>0.94</v>
      </c>
      <c r="G888">
        <v>10.5</v>
      </c>
    </row>
    <row r="889" spans="1:7" x14ac:dyDescent="0.3">
      <c r="A889">
        <v>20</v>
      </c>
      <c r="B889">
        <v>1186</v>
      </c>
      <c r="C889">
        <v>12</v>
      </c>
      <c r="D889">
        <v>7</v>
      </c>
      <c r="E889">
        <v>4</v>
      </c>
      <c r="F889">
        <v>0.94</v>
      </c>
      <c r="G889">
        <v>0.56666667000000004</v>
      </c>
    </row>
    <row r="890" spans="1:7" x14ac:dyDescent="0.3">
      <c r="A890">
        <v>55</v>
      </c>
      <c r="B890">
        <v>1186</v>
      </c>
      <c r="C890">
        <v>14</v>
      </c>
      <c r="D890">
        <v>9</v>
      </c>
      <c r="E890">
        <v>2</v>
      </c>
      <c r="F890">
        <v>0.94</v>
      </c>
      <c r="G890">
        <v>0.66666667000000002</v>
      </c>
    </row>
    <row r="891" spans="1:7" x14ac:dyDescent="0.3">
      <c r="A891">
        <v>20</v>
      </c>
      <c r="B891">
        <v>1169</v>
      </c>
      <c r="C891">
        <v>110</v>
      </c>
      <c r="D891">
        <v>64</v>
      </c>
      <c r="E891">
        <v>4</v>
      </c>
      <c r="F891">
        <v>0.94</v>
      </c>
      <c r="G891">
        <v>7.5</v>
      </c>
    </row>
    <row r="892" spans="1:7" x14ac:dyDescent="0.3">
      <c r="A892">
        <v>60</v>
      </c>
      <c r="B892">
        <v>1157</v>
      </c>
      <c r="C892">
        <v>105</v>
      </c>
      <c r="D892">
        <v>31</v>
      </c>
      <c r="E892">
        <v>4</v>
      </c>
      <c r="F892">
        <v>0.34</v>
      </c>
      <c r="G892">
        <v>3</v>
      </c>
    </row>
    <row r="893" spans="1:7" x14ac:dyDescent="0.3">
      <c r="A893">
        <v>85</v>
      </c>
      <c r="B893">
        <v>1156</v>
      </c>
      <c r="C893">
        <v>13</v>
      </c>
      <c r="D893">
        <v>28</v>
      </c>
      <c r="E893">
        <v>4</v>
      </c>
      <c r="F893">
        <v>0.18</v>
      </c>
      <c r="G893">
        <v>2.5</v>
      </c>
    </row>
    <row r="894" spans="1:7" x14ac:dyDescent="0.3">
      <c r="A894">
        <v>35</v>
      </c>
      <c r="B894">
        <v>1156</v>
      </c>
      <c r="C894">
        <v>4</v>
      </c>
      <c r="D894">
        <v>59</v>
      </c>
      <c r="E894">
        <v>1</v>
      </c>
      <c r="F894">
        <v>0.18</v>
      </c>
      <c r="G894">
        <v>5</v>
      </c>
    </row>
    <row r="895" spans="1:7" x14ac:dyDescent="0.3">
      <c r="A895">
        <v>20</v>
      </c>
      <c r="B895">
        <v>1154</v>
      </c>
      <c r="C895">
        <v>12</v>
      </c>
      <c r="D895">
        <v>71</v>
      </c>
      <c r="E895">
        <v>4</v>
      </c>
      <c r="F895">
        <v>0.14000000000000001</v>
      </c>
      <c r="G895">
        <v>6</v>
      </c>
    </row>
    <row r="896" spans="1:7" x14ac:dyDescent="0.3">
      <c r="A896">
        <v>30</v>
      </c>
      <c r="B896">
        <v>1154</v>
      </c>
      <c r="C896">
        <v>89</v>
      </c>
      <c r="D896">
        <v>9</v>
      </c>
      <c r="E896">
        <v>4</v>
      </c>
      <c r="F896">
        <v>0.88</v>
      </c>
      <c r="G896">
        <v>3</v>
      </c>
    </row>
    <row r="897" spans="1:7" x14ac:dyDescent="0.3">
      <c r="A897">
        <v>40</v>
      </c>
      <c r="B897">
        <v>1152</v>
      </c>
      <c r="C897">
        <v>20</v>
      </c>
      <c r="D897">
        <v>14</v>
      </c>
      <c r="E897">
        <v>4</v>
      </c>
      <c r="F897">
        <v>0.82</v>
      </c>
      <c r="G897">
        <v>1</v>
      </c>
    </row>
    <row r="898" spans="1:7" x14ac:dyDescent="0.3">
      <c r="A898">
        <v>50</v>
      </c>
      <c r="B898">
        <v>1147</v>
      </c>
      <c r="C898">
        <v>19</v>
      </c>
      <c r="D898">
        <v>19</v>
      </c>
      <c r="E898">
        <v>4</v>
      </c>
      <c r="F898">
        <v>0.57999999999999996</v>
      </c>
      <c r="G898">
        <v>2.5</v>
      </c>
    </row>
    <row r="899" spans="1:7" x14ac:dyDescent="0.3">
      <c r="A899">
        <v>25</v>
      </c>
      <c r="B899">
        <v>1143</v>
      </c>
      <c r="C899">
        <v>34</v>
      </c>
      <c r="D899">
        <v>13</v>
      </c>
      <c r="E899">
        <v>1</v>
      </c>
      <c r="F899">
        <v>0.66</v>
      </c>
      <c r="G899">
        <v>1</v>
      </c>
    </row>
    <row r="900" spans="1:7" x14ac:dyDescent="0.3">
      <c r="A900">
        <v>85</v>
      </c>
      <c r="B900">
        <v>1142</v>
      </c>
      <c r="C900">
        <v>148</v>
      </c>
      <c r="D900">
        <v>90</v>
      </c>
      <c r="E900">
        <v>4</v>
      </c>
      <c r="F900">
        <v>0.34</v>
      </c>
      <c r="G900">
        <v>5</v>
      </c>
    </row>
    <row r="901" spans="1:7" x14ac:dyDescent="0.3">
      <c r="A901">
        <v>95</v>
      </c>
      <c r="B901">
        <v>1134</v>
      </c>
      <c r="C901">
        <v>9</v>
      </c>
      <c r="D901">
        <v>24</v>
      </c>
      <c r="E901">
        <v>2</v>
      </c>
      <c r="F901">
        <v>0.66</v>
      </c>
      <c r="G901">
        <v>1.5</v>
      </c>
    </row>
    <row r="902" spans="1:7" x14ac:dyDescent="0.3">
      <c r="A902">
        <v>200</v>
      </c>
      <c r="B902">
        <v>1130</v>
      </c>
      <c r="C902">
        <v>162</v>
      </c>
      <c r="D902">
        <v>66</v>
      </c>
      <c r="E902">
        <v>4</v>
      </c>
      <c r="F902">
        <v>0.56999999999999995</v>
      </c>
      <c r="G902">
        <v>6</v>
      </c>
    </row>
    <row r="903" spans="1:7" x14ac:dyDescent="0.3">
      <c r="A903">
        <v>50</v>
      </c>
      <c r="B903">
        <v>1129</v>
      </c>
      <c r="C903">
        <v>137</v>
      </c>
      <c r="D903">
        <v>77</v>
      </c>
      <c r="E903">
        <v>4</v>
      </c>
      <c r="F903">
        <v>0.96</v>
      </c>
      <c r="G903">
        <v>17.5</v>
      </c>
    </row>
    <row r="904" spans="1:7" x14ac:dyDescent="0.3">
      <c r="A904">
        <v>20</v>
      </c>
      <c r="B904">
        <v>1128</v>
      </c>
      <c r="C904">
        <v>77</v>
      </c>
      <c r="D904">
        <v>36</v>
      </c>
      <c r="E904">
        <v>1</v>
      </c>
      <c r="F904">
        <v>0.96</v>
      </c>
      <c r="G904">
        <v>2</v>
      </c>
    </row>
    <row r="905" spans="1:7" x14ac:dyDescent="0.3">
      <c r="A905">
        <v>20</v>
      </c>
      <c r="B905">
        <v>1126</v>
      </c>
      <c r="C905">
        <v>10</v>
      </c>
      <c r="D905">
        <v>12</v>
      </c>
      <c r="E905">
        <v>2</v>
      </c>
      <c r="F905">
        <v>0.96</v>
      </c>
      <c r="G905">
        <v>1</v>
      </c>
    </row>
    <row r="906" spans="1:7" x14ac:dyDescent="0.3">
      <c r="A906">
        <v>50</v>
      </c>
      <c r="B906">
        <v>1125</v>
      </c>
      <c r="C906">
        <v>10</v>
      </c>
      <c r="D906">
        <v>45</v>
      </c>
      <c r="E906">
        <v>1</v>
      </c>
      <c r="F906">
        <v>0.96</v>
      </c>
      <c r="G906">
        <v>3.5</v>
      </c>
    </row>
    <row r="907" spans="1:7" x14ac:dyDescent="0.3">
      <c r="A907">
        <v>40</v>
      </c>
      <c r="B907">
        <v>1122</v>
      </c>
      <c r="C907">
        <v>5</v>
      </c>
      <c r="D907">
        <v>7</v>
      </c>
      <c r="E907">
        <v>2</v>
      </c>
      <c r="F907">
        <v>0.96</v>
      </c>
      <c r="G907">
        <v>0.58333332999999998</v>
      </c>
    </row>
    <row r="908" spans="1:7" x14ac:dyDescent="0.3">
      <c r="A908">
        <v>195</v>
      </c>
      <c r="B908">
        <v>1121</v>
      </c>
      <c r="C908">
        <v>174</v>
      </c>
      <c r="D908">
        <v>62</v>
      </c>
      <c r="E908">
        <v>1</v>
      </c>
      <c r="F908">
        <v>0.96</v>
      </c>
      <c r="G908">
        <v>5</v>
      </c>
    </row>
    <row r="909" spans="1:7" x14ac:dyDescent="0.3">
      <c r="A909">
        <v>200</v>
      </c>
      <c r="B909">
        <v>1119</v>
      </c>
      <c r="C909">
        <v>111</v>
      </c>
      <c r="D909">
        <v>204</v>
      </c>
      <c r="E909">
        <v>1</v>
      </c>
      <c r="F909">
        <v>0.96</v>
      </c>
      <c r="G909">
        <v>16.5</v>
      </c>
    </row>
    <row r="910" spans="1:7" x14ac:dyDescent="0.3">
      <c r="A910">
        <v>200</v>
      </c>
      <c r="B910">
        <v>1117</v>
      </c>
      <c r="C910">
        <v>10</v>
      </c>
      <c r="D910">
        <v>37</v>
      </c>
      <c r="E910">
        <v>1</v>
      </c>
      <c r="F910">
        <v>0.96</v>
      </c>
      <c r="G910">
        <v>2.5</v>
      </c>
    </row>
    <row r="911" spans="1:7" x14ac:dyDescent="0.3">
      <c r="A911">
        <v>50</v>
      </c>
      <c r="B911">
        <v>1116</v>
      </c>
      <c r="C911">
        <v>62</v>
      </c>
      <c r="D911">
        <v>51</v>
      </c>
      <c r="E911">
        <v>2</v>
      </c>
      <c r="F911">
        <v>0.96</v>
      </c>
      <c r="G911">
        <v>7.5</v>
      </c>
    </row>
    <row r="912" spans="1:7" x14ac:dyDescent="0.3">
      <c r="A912">
        <v>50</v>
      </c>
      <c r="B912">
        <v>1114</v>
      </c>
      <c r="C912">
        <v>8</v>
      </c>
      <c r="D912">
        <v>23</v>
      </c>
      <c r="E912">
        <v>4</v>
      </c>
      <c r="F912">
        <v>0.96</v>
      </c>
      <c r="G912">
        <v>3</v>
      </c>
    </row>
    <row r="913" spans="1:7" x14ac:dyDescent="0.3">
      <c r="A913">
        <v>200</v>
      </c>
      <c r="B913">
        <v>1109</v>
      </c>
      <c r="C913">
        <v>13</v>
      </c>
      <c r="D913">
        <v>24</v>
      </c>
      <c r="E913">
        <v>4</v>
      </c>
      <c r="F913">
        <v>0.96</v>
      </c>
      <c r="G913">
        <v>2.5</v>
      </c>
    </row>
    <row r="914" spans="1:7" x14ac:dyDescent="0.3">
      <c r="A914">
        <v>195</v>
      </c>
      <c r="B914">
        <v>1102</v>
      </c>
      <c r="C914">
        <v>12</v>
      </c>
      <c r="D914">
        <v>21</v>
      </c>
      <c r="E914">
        <v>4</v>
      </c>
      <c r="F914">
        <v>0.96</v>
      </c>
      <c r="G914">
        <v>2</v>
      </c>
    </row>
    <row r="915" spans="1:7" x14ac:dyDescent="0.3">
      <c r="A915">
        <v>20</v>
      </c>
      <c r="B915">
        <v>1098</v>
      </c>
      <c r="C915">
        <v>15</v>
      </c>
      <c r="D915">
        <v>54</v>
      </c>
      <c r="E915">
        <v>1</v>
      </c>
      <c r="F915">
        <v>0.96</v>
      </c>
      <c r="G915">
        <v>2.5</v>
      </c>
    </row>
    <row r="916" spans="1:7" x14ac:dyDescent="0.3">
      <c r="A916">
        <v>50</v>
      </c>
      <c r="B916">
        <v>1096</v>
      </c>
      <c r="C916">
        <v>33</v>
      </c>
      <c r="D916">
        <v>10</v>
      </c>
      <c r="E916">
        <v>1</v>
      </c>
      <c r="F916">
        <v>0.96</v>
      </c>
      <c r="G916">
        <v>1</v>
      </c>
    </row>
    <row r="917" spans="1:7" x14ac:dyDescent="0.3">
      <c r="A917">
        <v>85</v>
      </c>
      <c r="B917">
        <v>1096</v>
      </c>
      <c r="C917">
        <v>8</v>
      </c>
      <c r="D917">
        <v>7</v>
      </c>
      <c r="E917">
        <v>4</v>
      </c>
      <c r="F917">
        <v>0.96</v>
      </c>
      <c r="G917">
        <v>0.63333333000000003</v>
      </c>
    </row>
    <row r="918" spans="1:7" x14ac:dyDescent="0.3">
      <c r="A918">
        <v>95</v>
      </c>
      <c r="B918">
        <v>1087</v>
      </c>
      <c r="C918">
        <v>220</v>
      </c>
      <c r="D918">
        <v>32</v>
      </c>
      <c r="E918">
        <v>4</v>
      </c>
      <c r="F918">
        <v>0.96</v>
      </c>
      <c r="G918">
        <v>3.5</v>
      </c>
    </row>
    <row r="919" spans="1:7" x14ac:dyDescent="0.3">
      <c r="A919">
        <v>25</v>
      </c>
      <c r="B919">
        <v>1087</v>
      </c>
      <c r="C919">
        <v>7</v>
      </c>
      <c r="D919">
        <v>24</v>
      </c>
      <c r="E919">
        <v>4</v>
      </c>
      <c r="F919">
        <v>0.18</v>
      </c>
      <c r="G919">
        <v>1</v>
      </c>
    </row>
    <row r="920" spans="1:7" x14ac:dyDescent="0.3">
      <c r="A920">
        <v>30</v>
      </c>
      <c r="B920">
        <v>1085</v>
      </c>
      <c r="C920">
        <v>8</v>
      </c>
      <c r="D920">
        <v>13</v>
      </c>
      <c r="E920">
        <v>4</v>
      </c>
      <c r="F920">
        <v>0</v>
      </c>
      <c r="G920">
        <v>0.53333333000000005</v>
      </c>
    </row>
    <row r="921" spans="1:7" x14ac:dyDescent="0.3">
      <c r="A921">
        <v>200</v>
      </c>
      <c r="B921">
        <v>1080</v>
      </c>
      <c r="C921">
        <v>37</v>
      </c>
      <c r="D921">
        <v>76</v>
      </c>
      <c r="E921">
        <v>1</v>
      </c>
      <c r="F921">
        <v>0.89</v>
      </c>
      <c r="G921">
        <v>3.5</v>
      </c>
    </row>
    <row r="922" spans="1:7" x14ac:dyDescent="0.3">
      <c r="A922">
        <v>200</v>
      </c>
      <c r="B922">
        <v>1069</v>
      </c>
      <c r="C922">
        <v>12</v>
      </c>
      <c r="D922">
        <v>61</v>
      </c>
      <c r="E922">
        <v>1</v>
      </c>
      <c r="F922">
        <v>0.81</v>
      </c>
      <c r="G922">
        <v>4.5</v>
      </c>
    </row>
    <row r="923" spans="1:7" x14ac:dyDescent="0.3">
      <c r="A923">
        <v>20</v>
      </c>
      <c r="B923">
        <v>1063</v>
      </c>
      <c r="C923">
        <v>72</v>
      </c>
      <c r="D923">
        <v>84</v>
      </c>
      <c r="E923">
        <v>4</v>
      </c>
      <c r="F923">
        <v>0.72</v>
      </c>
      <c r="G923">
        <v>5.5</v>
      </c>
    </row>
    <row r="924" spans="1:7" x14ac:dyDescent="0.3">
      <c r="A924">
        <v>85</v>
      </c>
      <c r="B924">
        <v>1063</v>
      </c>
      <c r="C924">
        <v>101</v>
      </c>
      <c r="D924">
        <v>40</v>
      </c>
      <c r="E924">
        <v>1</v>
      </c>
      <c r="F924">
        <v>0.39</v>
      </c>
      <c r="G924">
        <v>3.5</v>
      </c>
    </row>
    <row r="925" spans="1:7" x14ac:dyDescent="0.3">
      <c r="A925">
        <v>20</v>
      </c>
      <c r="B925">
        <v>1062</v>
      </c>
      <c r="C925">
        <v>20</v>
      </c>
      <c r="D925">
        <v>32</v>
      </c>
      <c r="E925">
        <v>1</v>
      </c>
      <c r="F925">
        <v>0.94</v>
      </c>
      <c r="G925">
        <v>3.5</v>
      </c>
    </row>
    <row r="926" spans="1:7" x14ac:dyDescent="0.3">
      <c r="A926">
        <v>40</v>
      </c>
      <c r="B926">
        <v>1062</v>
      </c>
      <c r="C926">
        <v>12</v>
      </c>
      <c r="D926">
        <v>11</v>
      </c>
      <c r="E926">
        <v>2</v>
      </c>
      <c r="F926">
        <v>0.66</v>
      </c>
      <c r="G926">
        <v>0.65</v>
      </c>
    </row>
    <row r="927" spans="1:7" x14ac:dyDescent="0.3">
      <c r="A927">
        <v>35</v>
      </c>
      <c r="B927">
        <v>1061</v>
      </c>
      <c r="C927">
        <v>8</v>
      </c>
      <c r="D927">
        <v>17</v>
      </c>
      <c r="E927">
        <v>2</v>
      </c>
      <c r="F927">
        <v>0.34</v>
      </c>
      <c r="G927">
        <v>1</v>
      </c>
    </row>
    <row r="928" spans="1:7" x14ac:dyDescent="0.3">
      <c r="A928">
        <v>30</v>
      </c>
      <c r="B928">
        <v>1057</v>
      </c>
      <c r="C928">
        <v>22</v>
      </c>
      <c r="D928">
        <v>12</v>
      </c>
      <c r="E928">
        <v>1</v>
      </c>
      <c r="F928">
        <v>0.66</v>
      </c>
      <c r="G928">
        <v>0.61666666999999997</v>
      </c>
    </row>
    <row r="929" spans="1:7" x14ac:dyDescent="0.3">
      <c r="A929">
        <v>35</v>
      </c>
      <c r="B929">
        <v>1054</v>
      </c>
      <c r="C929">
        <v>4</v>
      </c>
      <c r="D929">
        <v>26</v>
      </c>
      <c r="E929">
        <v>4</v>
      </c>
      <c r="F929">
        <v>0.77</v>
      </c>
      <c r="G929">
        <v>2</v>
      </c>
    </row>
    <row r="930" spans="1:7" x14ac:dyDescent="0.3">
      <c r="A930">
        <v>20</v>
      </c>
      <c r="B930">
        <v>1052</v>
      </c>
      <c r="C930">
        <v>14</v>
      </c>
      <c r="D930">
        <v>47</v>
      </c>
      <c r="E930">
        <v>4</v>
      </c>
      <c r="F930">
        <v>0.74</v>
      </c>
      <c r="G930">
        <v>8</v>
      </c>
    </row>
    <row r="931" spans="1:7" x14ac:dyDescent="0.3">
      <c r="A931">
        <v>150</v>
      </c>
      <c r="B931">
        <v>1050</v>
      </c>
      <c r="C931">
        <v>223</v>
      </c>
      <c r="D931">
        <v>64</v>
      </c>
      <c r="E931">
        <v>1</v>
      </c>
      <c r="F931">
        <v>0.16</v>
      </c>
      <c r="G931">
        <v>6.5</v>
      </c>
    </row>
    <row r="932" spans="1:7" x14ac:dyDescent="0.3">
      <c r="A932">
        <v>35</v>
      </c>
      <c r="B932">
        <v>1049</v>
      </c>
      <c r="C932">
        <v>22</v>
      </c>
      <c r="D932">
        <v>47</v>
      </c>
      <c r="E932">
        <v>1</v>
      </c>
      <c r="F932">
        <v>0.63</v>
      </c>
      <c r="G932">
        <v>3.5</v>
      </c>
    </row>
    <row r="933" spans="1:7" x14ac:dyDescent="0.3">
      <c r="A933">
        <v>195</v>
      </c>
      <c r="B933">
        <v>1040</v>
      </c>
      <c r="C933">
        <v>5</v>
      </c>
      <c r="D933">
        <v>30</v>
      </c>
      <c r="E933">
        <v>1</v>
      </c>
      <c r="F933">
        <v>0.2</v>
      </c>
      <c r="G933">
        <v>3.5</v>
      </c>
    </row>
    <row r="934" spans="1:7" x14ac:dyDescent="0.3">
      <c r="A934">
        <v>100</v>
      </c>
      <c r="B934">
        <v>1040</v>
      </c>
      <c r="C934">
        <v>14</v>
      </c>
      <c r="D934">
        <v>21</v>
      </c>
      <c r="E934">
        <v>1</v>
      </c>
      <c r="F934">
        <v>0.21</v>
      </c>
      <c r="G934">
        <v>2</v>
      </c>
    </row>
    <row r="935" spans="1:7" x14ac:dyDescent="0.3">
      <c r="A935">
        <v>20</v>
      </c>
      <c r="B935">
        <v>1036</v>
      </c>
      <c r="C935">
        <v>27</v>
      </c>
      <c r="D935">
        <v>20</v>
      </c>
      <c r="E935">
        <v>1</v>
      </c>
      <c r="F935">
        <v>0.12</v>
      </c>
      <c r="G935">
        <v>2</v>
      </c>
    </row>
    <row r="936" spans="1:7" x14ac:dyDescent="0.3">
      <c r="A936">
        <v>30</v>
      </c>
      <c r="B936">
        <v>1033</v>
      </c>
      <c r="C936">
        <v>16</v>
      </c>
      <c r="D936">
        <v>42</v>
      </c>
      <c r="E936">
        <v>4</v>
      </c>
      <c r="F936">
        <v>0.2</v>
      </c>
      <c r="G936">
        <v>7.5</v>
      </c>
    </row>
    <row r="937" spans="1:7" x14ac:dyDescent="0.3">
      <c r="A937">
        <v>100</v>
      </c>
      <c r="B937">
        <v>1032</v>
      </c>
      <c r="C937">
        <v>9</v>
      </c>
      <c r="D937">
        <v>21</v>
      </c>
      <c r="E937">
        <v>1</v>
      </c>
      <c r="F937">
        <v>0.24</v>
      </c>
      <c r="G937">
        <v>1</v>
      </c>
    </row>
    <row r="938" spans="1:7" x14ac:dyDescent="0.3">
      <c r="A938">
        <v>20</v>
      </c>
      <c r="B938">
        <v>1030</v>
      </c>
      <c r="C938">
        <v>11</v>
      </c>
      <c r="D938">
        <v>30</v>
      </c>
      <c r="E938">
        <v>1</v>
      </c>
      <c r="F938">
        <v>0.11</v>
      </c>
      <c r="G938">
        <v>2.5</v>
      </c>
    </row>
    <row r="939" spans="1:7" x14ac:dyDescent="0.3">
      <c r="A939">
        <v>20</v>
      </c>
      <c r="B939">
        <v>1024</v>
      </c>
      <c r="C939">
        <v>14</v>
      </c>
      <c r="D939">
        <v>26</v>
      </c>
      <c r="E939">
        <v>4</v>
      </c>
      <c r="F939">
        <v>0.85</v>
      </c>
      <c r="G939">
        <v>3</v>
      </c>
    </row>
    <row r="940" spans="1:7" x14ac:dyDescent="0.3">
      <c r="A940">
        <v>100</v>
      </c>
      <c r="B940">
        <v>1023</v>
      </c>
      <c r="C940">
        <v>118</v>
      </c>
      <c r="D940">
        <v>38</v>
      </c>
      <c r="E940">
        <v>2</v>
      </c>
      <c r="F940">
        <v>0.3</v>
      </c>
      <c r="G940">
        <v>6</v>
      </c>
    </row>
    <row r="941" spans="1:7" x14ac:dyDescent="0.3">
      <c r="A941">
        <v>100</v>
      </c>
      <c r="B941">
        <v>1023</v>
      </c>
      <c r="C941">
        <v>131</v>
      </c>
      <c r="D941">
        <v>44</v>
      </c>
      <c r="E941">
        <v>4</v>
      </c>
      <c r="F941">
        <v>0.24</v>
      </c>
      <c r="G941">
        <v>5</v>
      </c>
    </row>
    <row r="942" spans="1:7" x14ac:dyDescent="0.3">
      <c r="A942">
        <v>100</v>
      </c>
      <c r="B942">
        <v>1020</v>
      </c>
      <c r="C942">
        <v>46</v>
      </c>
      <c r="D942">
        <v>60</v>
      </c>
      <c r="E942">
        <v>4</v>
      </c>
      <c r="F942">
        <v>0.56000000000000005</v>
      </c>
      <c r="G942">
        <v>6</v>
      </c>
    </row>
    <row r="943" spans="1:7" x14ac:dyDescent="0.3">
      <c r="A943">
        <v>145</v>
      </c>
      <c r="B943">
        <v>1018</v>
      </c>
      <c r="C943">
        <v>28</v>
      </c>
      <c r="D943">
        <v>48</v>
      </c>
      <c r="E943">
        <v>4</v>
      </c>
      <c r="F943">
        <v>0.89</v>
      </c>
      <c r="G943">
        <v>4.5</v>
      </c>
    </row>
    <row r="944" spans="1:7" x14ac:dyDescent="0.3">
      <c r="A944">
        <v>50</v>
      </c>
      <c r="B944">
        <v>1018</v>
      </c>
      <c r="C944">
        <v>33</v>
      </c>
      <c r="D944">
        <v>41</v>
      </c>
      <c r="E944">
        <v>4</v>
      </c>
      <c r="F944">
        <v>0.89</v>
      </c>
      <c r="G944">
        <v>3</v>
      </c>
    </row>
    <row r="945" spans="1:7" x14ac:dyDescent="0.3">
      <c r="A945">
        <v>25</v>
      </c>
      <c r="B945">
        <v>1011</v>
      </c>
      <c r="C945">
        <v>2</v>
      </c>
      <c r="D945">
        <v>19</v>
      </c>
      <c r="E945">
        <v>4</v>
      </c>
      <c r="F945">
        <v>0.89</v>
      </c>
      <c r="G945">
        <v>2</v>
      </c>
    </row>
    <row r="946" spans="1:7" x14ac:dyDescent="0.3">
      <c r="A946">
        <v>50</v>
      </c>
      <c r="B946">
        <v>1010</v>
      </c>
      <c r="C946">
        <v>154</v>
      </c>
      <c r="D946">
        <v>25</v>
      </c>
      <c r="E946">
        <v>4</v>
      </c>
      <c r="F946">
        <v>0.89</v>
      </c>
      <c r="G946">
        <v>6</v>
      </c>
    </row>
    <row r="947" spans="1:7" x14ac:dyDescent="0.3">
      <c r="A947">
        <v>60</v>
      </c>
      <c r="B947">
        <v>1007</v>
      </c>
      <c r="C947">
        <v>96</v>
      </c>
      <c r="D947">
        <v>87</v>
      </c>
      <c r="E947">
        <v>1</v>
      </c>
      <c r="F947">
        <v>0.89</v>
      </c>
      <c r="G947">
        <v>17.5</v>
      </c>
    </row>
    <row r="948" spans="1:7" x14ac:dyDescent="0.3">
      <c r="A948">
        <v>25</v>
      </c>
      <c r="B948">
        <v>1006</v>
      </c>
      <c r="C948">
        <v>4</v>
      </c>
      <c r="D948">
        <v>8</v>
      </c>
      <c r="E948">
        <v>4</v>
      </c>
      <c r="F948">
        <v>0.89</v>
      </c>
      <c r="G948">
        <v>2</v>
      </c>
    </row>
    <row r="949" spans="1:7" x14ac:dyDescent="0.3">
      <c r="A949">
        <v>20</v>
      </c>
      <c r="B949">
        <v>1004</v>
      </c>
      <c r="C949">
        <v>43</v>
      </c>
      <c r="D949">
        <v>40</v>
      </c>
      <c r="E949">
        <v>4</v>
      </c>
      <c r="F949">
        <v>0.89</v>
      </c>
      <c r="G949">
        <v>3.5</v>
      </c>
    </row>
    <row r="950" spans="1:7" x14ac:dyDescent="0.3">
      <c r="A950">
        <v>50</v>
      </c>
      <c r="B950">
        <v>1002</v>
      </c>
      <c r="C950">
        <v>7</v>
      </c>
      <c r="D950">
        <v>10</v>
      </c>
      <c r="E950">
        <v>1</v>
      </c>
      <c r="F950">
        <v>0.89</v>
      </c>
      <c r="G950">
        <v>0.56666667000000004</v>
      </c>
    </row>
    <row r="951" spans="1:7" x14ac:dyDescent="0.3">
      <c r="A951">
        <v>45</v>
      </c>
      <c r="B951">
        <v>1002</v>
      </c>
      <c r="C951">
        <v>178</v>
      </c>
      <c r="D951">
        <v>174</v>
      </c>
      <c r="E951">
        <v>1</v>
      </c>
      <c r="F951">
        <v>0.89</v>
      </c>
      <c r="G951">
        <v>16.5</v>
      </c>
    </row>
    <row r="952" spans="1:7" x14ac:dyDescent="0.3">
      <c r="A952">
        <v>125</v>
      </c>
      <c r="B952">
        <v>1000</v>
      </c>
      <c r="C952">
        <v>74</v>
      </c>
      <c r="D952">
        <v>140</v>
      </c>
      <c r="E952">
        <v>4</v>
      </c>
      <c r="F952">
        <v>0.89</v>
      </c>
      <c r="G952">
        <v>11</v>
      </c>
    </row>
    <row r="953" spans="1:7" x14ac:dyDescent="0.3">
      <c r="A953">
        <v>20</v>
      </c>
      <c r="B953">
        <v>997</v>
      </c>
      <c r="C953">
        <v>31</v>
      </c>
      <c r="D953">
        <v>20</v>
      </c>
      <c r="E953">
        <v>1</v>
      </c>
      <c r="F953">
        <v>0.89</v>
      </c>
      <c r="G953">
        <v>2</v>
      </c>
    </row>
    <row r="954" spans="1:7" x14ac:dyDescent="0.3">
      <c r="A954">
        <v>25</v>
      </c>
      <c r="B954">
        <v>988</v>
      </c>
      <c r="C954">
        <v>23</v>
      </c>
      <c r="D954">
        <v>27</v>
      </c>
      <c r="E954">
        <v>4</v>
      </c>
      <c r="F954">
        <v>0.89</v>
      </c>
      <c r="G954">
        <v>0.63333333000000003</v>
      </c>
    </row>
    <row r="955" spans="1:7" x14ac:dyDescent="0.3">
      <c r="A955">
        <v>20</v>
      </c>
      <c r="B955">
        <v>976</v>
      </c>
      <c r="C955">
        <v>93</v>
      </c>
      <c r="D955">
        <v>46</v>
      </c>
      <c r="E955">
        <v>1</v>
      </c>
      <c r="F955">
        <v>0.89</v>
      </c>
      <c r="G955">
        <v>2.5</v>
      </c>
    </row>
    <row r="956" spans="1:7" x14ac:dyDescent="0.3">
      <c r="A956">
        <v>20</v>
      </c>
      <c r="B956">
        <v>976</v>
      </c>
      <c r="C956">
        <v>29</v>
      </c>
      <c r="D956">
        <v>13</v>
      </c>
      <c r="E956">
        <v>4</v>
      </c>
      <c r="F956">
        <v>0.89</v>
      </c>
      <c r="G956">
        <v>1.5</v>
      </c>
    </row>
    <row r="957" spans="1:7" x14ac:dyDescent="0.3">
      <c r="A957">
        <v>95</v>
      </c>
      <c r="B957">
        <v>975</v>
      </c>
      <c r="C957">
        <v>141</v>
      </c>
      <c r="D957">
        <v>18</v>
      </c>
      <c r="E957">
        <v>4</v>
      </c>
      <c r="F957">
        <v>0.89</v>
      </c>
      <c r="G957">
        <v>3.5</v>
      </c>
    </row>
    <row r="958" spans="1:7" x14ac:dyDescent="0.3">
      <c r="A958">
        <v>75</v>
      </c>
      <c r="B958">
        <v>973</v>
      </c>
      <c r="C958">
        <v>50</v>
      </c>
      <c r="D958">
        <v>46</v>
      </c>
      <c r="E958">
        <v>1</v>
      </c>
      <c r="F958">
        <v>0.89</v>
      </c>
      <c r="G958">
        <v>4.5</v>
      </c>
    </row>
    <row r="959" spans="1:7" x14ac:dyDescent="0.3">
      <c r="A959">
        <v>50</v>
      </c>
      <c r="B959">
        <v>964</v>
      </c>
      <c r="C959">
        <v>19</v>
      </c>
      <c r="D959">
        <v>21</v>
      </c>
      <c r="E959">
        <v>4</v>
      </c>
      <c r="F959">
        <v>0.89</v>
      </c>
      <c r="G959">
        <v>2.5</v>
      </c>
    </row>
    <row r="960" spans="1:7" x14ac:dyDescent="0.3">
      <c r="A960">
        <v>195</v>
      </c>
      <c r="B960">
        <v>960</v>
      </c>
      <c r="C960">
        <v>110</v>
      </c>
      <c r="D960">
        <v>32</v>
      </c>
      <c r="E960">
        <v>3</v>
      </c>
      <c r="F960">
        <v>0.89</v>
      </c>
      <c r="G960">
        <v>2</v>
      </c>
    </row>
    <row r="961" spans="1:7" x14ac:dyDescent="0.3">
      <c r="A961">
        <v>20</v>
      </c>
      <c r="B961">
        <v>959</v>
      </c>
      <c r="C961">
        <v>51</v>
      </c>
      <c r="D961">
        <v>74</v>
      </c>
      <c r="E961">
        <v>1</v>
      </c>
      <c r="F961">
        <v>0.89</v>
      </c>
      <c r="G961">
        <v>3</v>
      </c>
    </row>
    <row r="962" spans="1:7" x14ac:dyDescent="0.3">
      <c r="A962">
        <v>20</v>
      </c>
      <c r="B962">
        <v>958</v>
      </c>
      <c r="C962">
        <v>14</v>
      </c>
      <c r="D962">
        <v>17</v>
      </c>
      <c r="E962">
        <v>2</v>
      </c>
      <c r="F962">
        <v>0.89</v>
      </c>
      <c r="G962">
        <v>1</v>
      </c>
    </row>
    <row r="963" spans="1:7" x14ac:dyDescent="0.3">
      <c r="A963">
        <v>20</v>
      </c>
      <c r="B963">
        <v>954</v>
      </c>
      <c r="C963">
        <v>183</v>
      </c>
      <c r="D963">
        <v>123</v>
      </c>
      <c r="E963">
        <v>4</v>
      </c>
      <c r="F963">
        <v>0.89</v>
      </c>
      <c r="G963">
        <v>16</v>
      </c>
    </row>
    <row r="964" spans="1:7" x14ac:dyDescent="0.3">
      <c r="A964">
        <v>200</v>
      </c>
      <c r="B964">
        <v>952</v>
      </c>
      <c r="C964">
        <v>121</v>
      </c>
      <c r="D964">
        <v>75</v>
      </c>
      <c r="E964">
        <v>4</v>
      </c>
      <c r="F964">
        <v>0.89</v>
      </c>
      <c r="G964">
        <v>12</v>
      </c>
    </row>
    <row r="965" spans="1:7" x14ac:dyDescent="0.3">
      <c r="A965">
        <v>195</v>
      </c>
      <c r="B965">
        <v>949</v>
      </c>
      <c r="C965">
        <v>129</v>
      </c>
      <c r="D965">
        <v>89</v>
      </c>
      <c r="E965">
        <v>4</v>
      </c>
      <c r="F965">
        <v>0.89</v>
      </c>
      <c r="G965">
        <v>20.5</v>
      </c>
    </row>
    <row r="966" spans="1:7" x14ac:dyDescent="0.3">
      <c r="A966">
        <v>30</v>
      </c>
      <c r="B966">
        <v>948</v>
      </c>
      <c r="C966">
        <v>193</v>
      </c>
      <c r="D966">
        <v>48</v>
      </c>
      <c r="E966">
        <v>4</v>
      </c>
      <c r="F966">
        <v>0.89</v>
      </c>
      <c r="G966">
        <v>3.5</v>
      </c>
    </row>
    <row r="967" spans="1:7" x14ac:dyDescent="0.3">
      <c r="A967">
        <v>20</v>
      </c>
      <c r="B967">
        <v>948</v>
      </c>
      <c r="C967">
        <v>48</v>
      </c>
      <c r="D967">
        <v>8</v>
      </c>
      <c r="E967">
        <v>4</v>
      </c>
      <c r="F967">
        <v>0.89</v>
      </c>
      <c r="G967">
        <v>0.6</v>
      </c>
    </row>
    <row r="968" spans="1:7" x14ac:dyDescent="0.3">
      <c r="A968">
        <v>50</v>
      </c>
      <c r="B968">
        <v>947</v>
      </c>
      <c r="C968">
        <v>108</v>
      </c>
      <c r="D968">
        <v>56</v>
      </c>
      <c r="E968">
        <v>2</v>
      </c>
      <c r="F968">
        <v>0.89</v>
      </c>
      <c r="G968">
        <v>8</v>
      </c>
    </row>
    <row r="969" spans="1:7" x14ac:dyDescent="0.3">
      <c r="A969">
        <v>20</v>
      </c>
      <c r="B969">
        <v>945</v>
      </c>
      <c r="C969">
        <v>17</v>
      </c>
      <c r="D969">
        <v>11</v>
      </c>
      <c r="E969">
        <v>2</v>
      </c>
      <c r="F969">
        <v>0.89</v>
      </c>
      <c r="G969">
        <v>0.55000000000000004</v>
      </c>
    </row>
    <row r="970" spans="1:7" x14ac:dyDescent="0.3">
      <c r="A970">
        <v>45</v>
      </c>
      <c r="B970">
        <v>944</v>
      </c>
      <c r="C970">
        <v>1</v>
      </c>
      <c r="D970">
        <v>10</v>
      </c>
      <c r="E970">
        <v>2</v>
      </c>
      <c r="F970">
        <v>0.89</v>
      </c>
      <c r="G970">
        <v>1</v>
      </c>
    </row>
    <row r="971" spans="1:7" x14ac:dyDescent="0.3">
      <c r="A971">
        <v>75</v>
      </c>
      <c r="B971">
        <v>942</v>
      </c>
      <c r="C971">
        <v>161</v>
      </c>
      <c r="D971">
        <v>64</v>
      </c>
      <c r="E971">
        <v>1</v>
      </c>
      <c r="F971">
        <v>0.89</v>
      </c>
      <c r="G971">
        <v>4.5</v>
      </c>
    </row>
    <row r="972" spans="1:7" x14ac:dyDescent="0.3">
      <c r="A972">
        <v>20</v>
      </c>
      <c r="B972">
        <v>937</v>
      </c>
      <c r="C972">
        <v>4</v>
      </c>
      <c r="D972">
        <v>10</v>
      </c>
      <c r="E972">
        <v>4</v>
      </c>
      <c r="F972">
        <v>0.89</v>
      </c>
      <c r="G972">
        <v>1</v>
      </c>
    </row>
    <row r="973" spans="1:7" x14ac:dyDescent="0.3">
      <c r="A973">
        <v>40</v>
      </c>
      <c r="B973">
        <v>937</v>
      </c>
      <c r="C973">
        <v>2</v>
      </c>
      <c r="D973">
        <v>6</v>
      </c>
      <c r="E973">
        <v>4</v>
      </c>
      <c r="F973">
        <v>0.89</v>
      </c>
      <c r="G973">
        <v>0.63333333000000003</v>
      </c>
    </row>
    <row r="974" spans="1:7" x14ac:dyDescent="0.3">
      <c r="A974">
        <v>35</v>
      </c>
      <c r="B974">
        <v>926</v>
      </c>
      <c r="C974">
        <v>102</v>
      </c>
      <c r="D974">
        <v>37</v>
      </c>
      <c r="E974">
        <v>4</v>
      </c>
      <c r="F974">
        <v>0.89</v>
      </c>
      <c r="G974">
        <v>2.5</v>
      </c>
    </row>
    <row r="975" spans="1:7" x14ac:dyDescent="0.3">
      <c r="A975">
        <v>35</v>
      </c>
      <c r="B975">
        <v>920</v>
      </c>
      <c r="C975">
        <v>1</v>
      </c>
      <c r="D975">
        <v>7</v>
      </c>
      <c r="E975">
        <v>1</v>
      </c>
      <c r="F975">
        <v>0.89</v>
      </c>
      <c r="G975">
        <v>0.7</v>
      </c>
    </row>
    <row r="976" spans="1:7" x14ac:dyDescent="0.3">
      <c r="A976">
        <v>195</v>
      </c>
      <c r="B976">
        <v>918</v>
      </c>
      <c r="C976">
        <v>8</v>
      </c>
      <c r="D976">
        <v>39</v>
      </c>
      <c r="E976">
        <v>4</v>
      </c>
      <c r="F976">
        <v>0.89</v>
      </c>
      <c r="G976">
        <v>2.5</v>
      </c>
    </row>
    <row r="977" spans="1:7" x14ac:dyDescent="0.3">
      <c r="A977">
        <v>20</v>
      </c>
      <c r="B977">
        <v>912</v>
      </c>
      <c r="C977">
        <v>17</v>
      </c>
      <c r="D977">
        <v>48</v>
      </c>
      <c r="E977">
        <v>4</v>
      </c>
      <c r="F977">
        <v>0.89</v>
      </c>
      <c r="G977">
        <v>4.5</v>
      </c>
    </row>
    <row r="978" spans="1:7" x14ac:dyDescent="0.3">
      <c r="A978">
        <v>30</v>
      </c>
      <c r="B978">
        <v>912</v>
      </c>
      <c r="C978">
        <v>128</v>
      </c>
      <c r="D978">
        <v>81</v>
      </c>
      <c r="E978">
        <v>1</v>
      </c>
      <c r="F978">
        <v>0.89</v>
      </c>
      <c r="G978">
        <v>7</v>
      </c>
    </row>
    <row r="979" spans="1:7" x14ac:dyDescent="0.3">
      <c r="A979">
        <v>70</v>
      </c>
      <c r="B979">
        <v>909</v>
      </c>
      <c r="C979">
        <v>16</v>
      </c>
      <c r="D979">
        <v>13</v>
      </c>
      <c r="E979">
        <v>2</v>
      </c>
      <c r="F979">
        <v>0.89</v>
      </c>
      <c r="G979">
        <v>1.5</v>
      </c>
    </row>
    <row r="980" spans="1:7" x14ac:dyDescent="0.3">
      <c r="A980">
        <v>35</v>
      </c>
      <c r="B980">
        <v>903</v>
      </c>
      <c r="C980">
        <v>3</v>
      </c>
      <c r="D980">
        <v>7</v>
      </c>
      <c r="E980">
        <v>4</v>
      </c>
      <c r="F980">
        <v>0.24</v>
      </c>
      <c r="G980">
        <v>0.55000000000000004</v>
      </c>
    </row>
    <row r="981" spans="1:7" x14ac:dyDescent="0.3">
      <c r="A981">
        <v>45</v>
      </c>
      <c r="B981">
        <v>901</v>
      </c>
      <c r="C981">
        <v>36</v>
      </c>
      <c r="D981">
        <v>20</v>
      </c>
      <c r="E981">
        <v>4</v>
      </c>
      <c r="F981">
        <v>0.21</v>
      </c>
      <c r="G981">
        <v>2</v>
      </c>
    </row>
    <row r="982" spans="1:7" x14ac:dyDescent="0.3">
      <c r="A982">
        <v>200</v>
      </c>
      <c r="B982">
        <v>900</v>
      </c>
      <c r="C982">
        <v>129</v>
      </c>
      <c r="D982">
        <v>126</v>
      </c>
      <c r="E982">
        <v>4</v>
      </c>
      <c r="F982">
        <v>0.46</v>
      </c>
      <c r="G982">
        <v>18.5</v>
      </c>
    </row>
    <row r="983" spans="1:7" x14ac:dyDescent="0.3">
      <c r="A983">
        <v>50</v>
      </c>
      <c r="B983">
        <v>898</v>
      </c>
      <c r="C983">
        <v>132</v>
      </c>
      <c r="D983">
        <v>40</v>
      </c>
      <c r="E983">
        <v>4</v>
      </c>
      <c r="F983">
        <v>0.6</v>
      </c>
      <c r="G983">
        <v>2</v>
      </c>
    </row>
    <row r="984" spans="1:7" x14ac:dyDescent="0.3">
      <c r="A984">
        <v>200</v>
      </c>
      <c r="B984">
        <v>897</v>
      </c>
      <c r="C984">
        <v>129</v>
      </c>
      <c r="D984">
        <v>171</v>
      </c>
      <c r="E984">
        <v>4</v>
      </c>
      <c r="F984">
        <v>0.74</v>
      </c>
      <c r="G984">
        <v>13</v>
      </c>
    </row>
    <row r="985" spans="1:7" x14ac:dyDescent="0.3">
      <c r="A985">
        <v>50</v>
      </c>
      <c r="B985">
        <v>891</v>
      </c>
      <c r="C985">
        <v>101</v>
      </c>
      <c r="D985">
        <v>119</v>
      </c>
      <c r="E985">
        <v>1</v>
      </c>
      <c r="F985">
        <v>0.76</v>
      </c>
      <c r="G985">
        <v>8.5</v>
      </c>
    </row>
    <row r="986" spans="1:7" x14ac:dyDescent="0.3">
      <c r="A986">
        <v>120</v>
      </c>
      <c r="B986">
        <v>885</v>
      </c>
      <c r="C986">
        <v>3</v>
      </c>
      <c r="D986">
        <v>13</v>
      </c>
      <c r="E986">
        <v>4</v>
      </c>
      <c r="F986">
        <v>0.87</v>
      </c>
      <c r="G986">
        <v>1.5</v>
      </c>
    </row>
    <row r="987" spans="1:7" x14ac:dyDescent="0.3">
      <c r="A987">
        <v>20</v>
      </c>
      <c r="B987">
        <v>880</v>
      </c>
      <c r="C987">
        <v>6</v>
      </c>
      <c r="D987">
        <v>24</v>
      </c>
      <c r="E987">
        <v>1</v>
      </c>
      <c r="F987">
        <v>0.84</v>
      </c>
      <c r="G987">
        <v>3</v>
      </c>
    </row>
    <row r="988" spans="1:7" x14ac:dyDescent="0.3">
      <c r="A988">
        <v>40</v>
      </c>
      <c r="B988">
        <v>878</v>
      </c>
      <c r="C988">
        <v>6</v>
      </c>
      <c r="D988">
        <v>8</v>
      </c>
      <c r="E988">
        <v>1</v>
      </c>
      <c r="F988">
        <v>0.55000000000000004</v>
      </c>
      <c r="G988">
        <v>0.61666666999999997</v>
      </c>
    </row>
    <row r="989" spans="1:7" x14ac:dyDescent="0.3">
      <c r="A989">
        <v>35</v>
      </c>
      <c r="B989">
        <v>877</v>
      </c>
      <c r="C989">
        <v>6</v>
      </c>
      <c r="D989">
        <v>7</v>
      </c>
      <c r="E989">
        <v>4</v>
      </c>
      <c r="F989">
        <v>0.67</v>
      </c>
      <c r="G989">
        <v>0.53333333000000005</v>
      </c>
    </row>
    <row r="990" spans="1:7" x14ac:dyDescent="0.3">
      <c r="A990">
        <v>85</v>
      </c>
      <c r="B990">
        <v>876</v>
      </c>
      <c r="C990">
        <v>59</v>
      </c>
      <c r="D990">
        <v>28</v>
      </c>
      <c r="E990">
        <v>2</v>
      </c>
      <c r="F990">
        <v>0.48</v>
      </c>
      <c r="G990">
        <v>2</v>
      </c>
    </row>
    <row r="991" spans="1:7" x14ac:dyDescent="0.3">
      <c r="A991">
        <v>75</v>
      </c>
      <c r="B991">
        <v>876</v>
      </c>
      <c r="C991">
        <v>48</v>
      </c>
      <c r="D991">
        <v>29</v>
      </c>
      <c r="E991">
        <v>4</v>
      </c>
      <c r="F991">
        <v>0.78</v>
      </c>
      <c r="G991">
        <v>3</v>
      </c>
    </row>
    <row r="992" spans="1:7" x14ac:dyDescent="0.3">
      <c r="A992">
        <v>195</v>
      </c>
      <c r="B992">
        <v>869</v>
      </c>
      <c r="C992">
        <v>99</v>
      </c>
      <c r="D992">
        <v>38</v>
      </c>
      <c r="E992">
        <v>4</v>
      </c>
      <c r="F992">
        <v>0.55000000000000004</v>
      </c>
      <c r="G992">
        <v>5</v>
      </c>
    </row>
    <row r="993" spans="1:7" x14ac:dyDescent="0.3">
      <c r="A993">
        <v>50</v>
      </c>
      <c r="B993">
        <v>869</v>
      </c>
      <c r="C993">
        <v>125</v>
      </c>
      <c r="D993">
        <v>78</v>
      </c>
      <c r="E993">
        <v>4</v>
      </c>
      <c r="F993">
        <v>0.78</v>
      </c>
      <c r="G993">
        <v>14</v>
      </c>
    </row>
    <row r="994" spans="1:7" x14ac:dyDescent="0.3">
      <c r="A994">
        <v>125</v>
      </c>
      <c r="B994">
        <v>867</v>
      </c>
      <c r="C994">
        <v>177</v>
      </c>
      <c r="D994">
        <v>48</v>
      </c>
      <c r="E994">
        <v>1</v>
      </c>
      <c r="F994">
        <v>0.12</v>
      </c>
      <c r="G994">
        <v>4</v>
      </c>
    </row>
    <row r="995" spans="1:7" x14ac:dyDescent="0.3">
      <c r="A995">
        <v>195</v>
      </c>
      <c r="B995">
        <v>860</v>
      </c>
      <c r="C995">
        <v>201</v>
      </c>
      <c r="D995">
        <v>56</v>
      </c>
      <c r="E995">
        <v>1</v>
      </c>
      <c r="F995">
        <v>0.1</v>
      </c>
      <c r="G995">
        <v>7</v>
      </c>
    </row>
    <row r="996" spans="1:7" x14ac:dyDescent="0.3">
      <c r="A996">
        <v>50</v>
      </c>
      <c r="B996">
        <v>851</v>
      </c>
      <c r="C996">
        <v>164</v>
      </c>
      <c r="D996">
        <v>75</v>
      </c>
      <c r="E996">
        <v>4</v>
      </c>
      <c r="F996">
        <v>0.11</v>
      </c>
      <c r="G996">
        <v>4.5</v>
      </c>
    </row>
    <row r="997" spans="1:7" x14ac:dyDescent="0.3">
      <c r="A997">
        <v>35</v>
      </c>
      <c r="B997">
        <v>850</v>
      </c>
      <c r="C997">
        <v>12</v>
      </c>
      <c r="D997">
        <v>16</v>
      </c>
      <c r="E997">
        <v>4</v>
      </c>
      <c r="F997">
        <v>0.78</v>
      </c>
      <c r="G997">
        <v>1</v>
      </c>
    </row>
    <row r="998" spans="1:7" x14ac:dyDescent="0.3">
      <c r="A998">
        <v>200</v>
      </c>
      <c r="B998">
        <v>842</v>
      </c>
      <c r="C998">
        <v>144</v>
      </c>
      <c r="D998">
        <v>536</v>
      </c>
      <c r="E998">
        <v>1</v>
      </c>
      <c r="F998">
        <v>0.8</v>
      </c>
      <c r="G998">
        <v>25</v>
      </c>
    </row>
    <row r="999" spans="1:7" x14ac:dyDescent="0.3">
      <c r="A999">
        <v>40</v>
      </c>
      <c r="B999">
        <v>841</v>
      </c>
      <c r="C999">
        <v>99</v>
      </c>
      <c r="D999">
        <v>29</v>
      </c>
      <c r="E999">
        <v>4</v>
      </c>
      <c r="F999">
        <v>0.92</v>
      </c>
      <c r="G999">
        <v>3.5</v>
      </c>
    </row>
    <row r="1000" spans="1:7" x14ac:dyDescent="0.3">
      <c r="A1000">
        <v>25</v>
      </c>
      <c r="B1000">
        <v>838</v>
      </c>
      <c r="C1000">
        <v>13</v>
      </c>
      <c r="D1000">
        <v>23</v>
      </c>
      <c r="E1000">
        <v>4</v>
      </c>
      <c r="F1000">
        <v>0.86</v>
      </c>
      <c r="G1000">
        <v>2</v>
      </c>
    </row>
    <row r="1001" spans="1:7" x14ac:dyDescent="0.3">
      <c r="A1001">
        <v>95</v>
      </c>
      <c r="B1001">
        <v>817</v>
      </c>
      <c r="C1001">
        <v>6</v>
      </c>
      <c r="D1001">
        <v>32</v>
      </c>
      <c r="E1001">
        <v>4</v>
      </c>
      <c r="F1001">
        <v>0.18</v>
      </c>
      <c r="G1001">
        <v>1.5</v>
      </c>
    </row>
    <row r="1002" spans="1:7" x14ac:dyDescent="0.3">
      <c r="A1002">
        <v>150</v>
      </c>
      <c r="B1002">
        <v>817</v>
      </c>
      <c r="C1002">
        <v>164</v>
      </c>
      <c r="D1002">
        <v>131</v>
      </c>
      <c r="E1002">
        <v>1</v>
      </c>
      <c r="F1002">
        <v>0.63</v>
      </c>
      <c r="G1002">
        <v>19.5</v>
      </c>
    </row>
    <row r="1003" spans="1:7" x14ac:dyDescent="0.3">
      <c r="A1003">
        <v>40</v>
      </c>
      <c r="B1003">
        <v>803</v>
      </c>
      <c r="C1003">
        <v>2</v>
      </c>
      <c r="D1003">
        <v>7</v>
      </c>
      <c r="E1003">
        <v>4</v>
      </c>
      <c r="F1003">
        <v>0.34</v>
      </c>
      <c r="G1003">
        <v>0.51666666999999999</v>
      </c>
    </row>
    <row r="1004" spans="1:7" x14ac:dyDescent="0.3">
      <c r="A1004">
        <v>40</v>
      </c>
      <c r="B1004">
        <v>802</v>
      </c>
      <c r="C1004">
        <v>6</v>
      </c>
      <c r="D1004">
        <v>9</v>
      </c>
      <c r="E1004">
        <v>1</v>
      </c>
      <c r="F1004">
        <v>0.56000000000000005</v>
      </c>
      <c r="G1004">
        <v>0.63333333000000003</v>
      </c>
    </row>
    <row r="1005" spans="1:7" x14ac:dyDescent="0.3">
      <c r="A1005">
        <v>95</v>
      </c>
      <c r="B1005">
        <v>799</v>
      </c>
      <c r="C1005">
        <v>87</v>
      </c>
      <c r="D1005">
        <v>41</v>
      </c>
      <c r="E1005">
        <v>1</v>
      </c>
      <c r="F1005">
        <v>0.96</v>
      </c>
      <c r="G1005">
        <v>6</v>
      </c>
    </row>
    <row r="1006" spans="1:7" x14ac:dyDescent="0.3">
      <c r="A1006">
        <v>20</v>
      </c>
      <c r="B1006">
        <v>796</v>
      </c>
      <c r="C1006">
        <v>3</v>
      </c>
      <c r="D1006">
        <v>18</v>
      </c>
      <c r="E1006">
        <v>1</v>
      </c>
      <c r="F1006">
        <v>0.11</v>
      </c>
      <c r="G1006">
        <v>1</v>
      </c>
    </row>
    <row r="1007" spans="1:7" x14ac:dyDescent="0.3">
      <c r="A1007">
        <v>40</v>
      </c>
      <c r="B1007">
        <v>796</v>
      </c>
      <c r="C1007">
        <v>43</v>
      </c>
      <c r="D1007">
        <v>29</v>
      </c>
      <c r="E1007">
        <v>1</v>
      </c>
      <c r="F1007">
        <v>0.8</v>
      </c>
      <c r="G1007">
        <v>4</v>
      </c>
    </row>
    <row r="1008" spans="1:7" x14ac:dyDescent="0.3">
      <c r="A1008">
        <v>20</v>
      </c>
      <c r="B1008">
        <v>791</v>
      </c>
      <c r="C1008">
        <v>29</v>
      </c>
      <c r="D1008">
        <v>24</v>
      </c>
      <c r="E1008">
        <v>1</v>
      </c>
      <c r="F1008">
        <v>0.32</v>
      </c>
      <c r="G1008">
        <v>2.5</v>
      </c>
    </row>
    <row r="1009" spans="1:7" x14ac:dyDescent="0.3">
      <c r="A1009">
        <v>20</v>
      </c>
      <c r="B1009">
        <v>791</v>
      </c>
      <c r="C1009">
        <v>8</v>
      </c>
      <c r="D1009">
        <v>16</v>
      </c>
      <c r="E1009">
        <v>4</v>
      </c>
      <c r="F1009">
        <v>0.96</v>
      </c>
      <c r="G1009">
        <v>1</v>
      </c>
    </row>
    <row r="1010" spans="1:7" x14ac:dyDescent="0.3">
      <c r="A1010">
        <v>50</v>
      </c>
      <c r="B1010">
        <v>788</v>
      </c>
      <c r="C1010">
        <v>21</v>
      </c>
      <c r="D1010">
        <v>25</v>
      </c>
      <c r="E1010">
        <v>4</v>
      </c>
      <c r="F1010">
        <v>0.68</v>
      </c>
      <c r="G1010">
        <v>2</v>
      </c>
    </row>
    <row r="1011" spans="1:7" x14ac:dyDescent="0.3">
      <c r="A1011">
        <v>25</v>
      </c>
      <c r="B1011">
        <v>785</v>
      </c>
      <c r="C1011">
        <v>20</v>
      </c>
      <c r="D1011">
        <v>25</v>
      </c>
      <c r="E1011">
        <v>1</v>
      </c>
      <c r="F1011">
        <v>0.86</v>
      </c>
      <c r="G1011">
        <v>1</v>
      </c>
    </row>
    <row r="1012" spans="1:7" x14ac:dyDescent="0.3">
      <c r="A1012">
        <v>20</v>
      </c>
      <c r="B1012">
        <v>783</v>
      </c>
      <c r="C1012">
        <v>20</v>
      </c>
      <c r="D1012">
        <v>13</v>
      </c>
      <c r="E1012">
        <v>4</v>
      </c>
      <c r="F1012">
        <v>0.89</v>
      </c>
      <c r="G1012">
        <v>0.61666666999999997</v>
      </c>
    </row>
    <row r="1013" spans="1:7" x14ac:dyDescent="0.3">
      <c r="A1013">
        <v>115</v>
      </c>
      <c r="B1013">
        <v>783</v>
      </c>
      <c r="C1013">
        <v>5</v>
      </c>
      <c r="D1013">
        <v>13</v>
      </c>
      <c r="E1013">
        <v>1</v>
      </c>
      <c r="F1013">
        <v>0.94</v>
      </c>
      <c r="G1013">
        <v>1</v>
      </c>
    </row>
    <row r="1014" spans="1:7" x14ac:dyDescent="0.3">
      <c r="A1014">
        <v>30</v>
      </c>
      <c r="B1014">
        <v>775</v>
      </c>
      <c r="C1014">
        <v>245</v>
      </c>
      <c r="D1014">
        <v>82</v>
      </c>
      <c r="E1014">
        <v>1</v>
      </c>
      <c r="F1014">
        <v>0.15</v>
      </c>
      <c r="G1014">
        <v>8</v>
      </c>
    </row>
    <row r="1015" spans="1:7" x14ac:dyDescent="0.3">
      <c r="A1015">
        <v>35</v>
      </c>
      <c r="B1015">
        <v>770</v>
      </c>
      <c r="C1015">
        <v>65</v>
      </c>
      <c r="D1015">
        <v>84</v>
      </c>
      <c r="E1015">
        <v>1</v>
      </c>
      <c r="F1015">
        <v>0.62</v>
      </c>
      <c r="G1015">
        <v>8</v>
      </c>
    </row>
    <row r="1016" spans="1:7" x14ac:dyDescent="0.3">
      <c r="A1016">
        <v>30</v>
      </c>
      <c r="B1016">
        <v>770</v>
      </c>
      <c r="C1016">
        <v>0</v>
      </c>
      <c r="D1016">
        <v>8</v>
      </c>
      <c r="E1016">
        <v>1</v>
      </c>
      <c r="F1016">
        <v>0.82</v>
      </c>
      <c r="G1016">
        <v>0.63333333000000003</v>
      </c>
    </row>
    <row r="1017" spans="1:7" x14ac:dyDescent="0.3">
      <c r="A1017">
        <v>95</v>
      </c>
      <c r="B1017">
        <v>767</v>
      </c>
      <c r="C1017">
        <v>104</v>
      </c>
      <c r="D1017">
        <v>81</v>
      </c>
      <c r="E1017">
        <v>1</v>
      </c>
      <c r="F1017">
        <v>0.49</v>
      </c>
      <c r="G1017">
        <v>5.5</v>
      </c>
    </row>
    <row r="1018" spans="1:7" x14ac:dyDescent="0.3">
      <c r="A1018">
        <v>35</v>
      </c>
      <c r="B1018">
        <v>764</v>
      </c>
      <c r="C1018">
        <v>7</v>
      </c>
      <c r="D1018">
        <v>8</v>
      </c>
      <c r="E1018">
        <v>4</v>
      </c>
      <c r="F1018">
        <v>0.11</v>
      </c>
      <c r="G1018">
        <v>1</v>
      </c>
    </row>
    <row r="1019" spans="1:7" x14ac:dyDescent="0.3">
      <c r="A1019">
        <v>65</v>
      </c>
      <c r="B1019">
        <v>755</v>
      </c>
      <c r="C1019">
        <v>5</v>
      </c>
      <c r="D1019">
        <v>18</v>
      </c>
      <c r="E1019">
        <v>2</v>
      </c>
      <c r="F1019">
        <v>0.74</v>
      </c>
      <c r="G1019">
        <v>2</v>
      </c>
    </row>
    <row r="1020" spans="1:7" x14ac:dyDescent="0.3">
      <c r="A1020">
        <v>35</v>
      </c>
      <c r="B1020">
        <v>755</v>
      </c>
      <c r="C1020">
        <v>0</v>
      </c>
      <c r="D1020">
        <v>7</v>
      </c>
      <c r="E1020">
        <v>4</v>
      </c>
      <c r="F1020">
        <v>0.24</v>
      </c>
      <c r="G1020">
        <v>0.7</v>
      </c>
    </row>
    <row r="1021" spans="1:7" x14ac:dyDescent="0.3">
      <c r="A1021">
        <v>30</v>
      </c>
      <c r="B1021">
        <v>746</v>
      </c>
      <c r="C1021">
        <v>93</v>
      </c>
      <c r="D1021">
        <v>39</v>
      </c>
      <c r="E1021">
        <v>4</v>
      </c>
      <c r="F1021">
        <v>0.11</v>
      </c>
      <c r="G1021">
        <v>6.5</v>
      </c>
    </row>
    <row r="1022" spans="1:7" x14ac:dyDescent="0.3">
      <c r="A1022">
        <v>120</v>
      </c>
      <c r="B1022">
        <v>735</v>
      </c>
      <c r="C1022">
        <v>16</v>
      </c>
      <c r="D1022">
        <v>30</v>
      </c>
      <c r="E1022">
        <v>1</v>
      </c>
      <c r="F1022">
        <v>0.14000000000000001</v>
      </c>
      <c r="G1022">
        <v>1.5</v>
      </c>
    </row>
    <row r="1023" spans="1:7" x14ac:dyDescent="0.3">
      <c r="A1023">
        <v>85</v>
      </c>
      <c r="B1023">
        <v>733</v>
      </c>
      <c r="C1023">
        <v>104</v>
      </c>
      <c r="D1023">
        <v>50</v>
      </c>
      <c r="E1023">
        <v>4</v>
      </c>
      <c r="F1023">
        <v>0.15</v>
      </c>
      <c r="G1023">
        <v>3</v>
      </c>
    </row>
    <row r="1024" spans="1:7" x14ac:dyDescent="0.3">
      <c r="A1024">
        <v>40</v>
      </c>
      <c r="B1024">
        <v>723</v>
      </c>
      <c r="C1024">
        <v>130</v>
      </c>
      <c r="D1024">
        <v>37</v>
      </c>
      <c r="E1024">
        <v>4</v>
      </c>
      <c r="F1024">
        <v>0.76</v>
      </c>
      <c r="G1024">
        <v>6.5</v>
      </c>
    </row>
    <row r="1025" spans="1:7" x14ac:dyDescent="0.3">
      <c r="A1025">
        <v>20</v>
      </c>
      <c r="B1025">
        <v>722</v>
      </c>
      <c r="C1025">
        <v>53</v>
      </c>
      <c r="D1025">
        <v>18</v>
      </c>
      <c r="E1025">
        <v>4</v>
      </c>
      <c r="F1025">
        <v>0.24</v>
      </c>
      <c r="G1025">
        <v>1.5</v>
      </c>
    </row>
    <row r="1026" spans="1:7" x14ac:dyDescent="0.3">
      <c r="A1026">
        <v>50</v>
      </c>
      <c r="B1026">
        <v>716</v>
      </c>
      <c r="C1026">
        <v>32</v>
      </c>
      <c r="D1026">
        <v>57</v>
      </c>
      <c r="E1026">
        <v>4</v>
      </c>
      <c r="F1026">
        <v>0.67</v>
      </c>
      <c r="G1026">
        <v>4</v>
      </c>
    </row>
    <row r="1027" spans="1:7" x14ac:dyDescent="0.3">
      <c r="A1027">
        <v>85</v>
      </c>
      <c r="B1027">
        <v>716</v>
      </c>
      <c r="C1027">
        <v>59</v>
      </c>
      <c r="D1027">
        <v>34</v>
      </c>
      <c r="E1027">
        <v>4</v>
      </c>
      <c r="F1027">
        <v>0.78</v>
      </c>
      <c r="G1027">
        <v>2</v>
      </c>
    </row>
    <row r="1028" spans="1:7" x14ac:dyDescent="0.3">
      <c r="A1028">
        <v>20</v>
      </c>
      <c r="B1028">
        <v>715</v>
      </c>
      <c r="C1028">
        <v>12</v>
      </c>
      <c r="D1028">
        <v>12</v>
      </c>
      <c r="E1028">
        <v>2</v>
      </c>
      <c r="F1028">
        <v>0.96</v>
      </c>
      <c r="G1028">
        <v>1.5</v>
      </c>
    </row>
    <row r="1029" spans="1:7" x14ac:dyDescent="0.3">
      <c r="A1029">
        <v>85</v>
      </c>
      <c r="B1029">
        <v>714</v>
      </c>
      <c r="C1029">
        <v>48</v>
      </c>
      <c r="D1029">
        <v>28</v>
      </c>
      <c r="E1029">
        <v>4</v>
      </c>
      <c r="F1029">
        <v>7.0000000000000007E-2</v>
      </c>
      <c r="G1029">
        <v>3</v>
      </c>
    </row>
    <row r="1030" spans="1:7" x14ac:dyDescent="0.3">
      <c r="A1030">
        <v>65</v>
      </c>
      <c r="B1030">
        <v>713</v>
      </c>
      <c r="C1030">
        <v>80</v>
      </c>
      <c r="D1030">
        <v>8</v>
      </c>
      <c r="E1030">
        <v>4</v>
      </c>
      <c r="F1030">
        <v>0.51</v>
      </c>
      <c r="G1030">
        <v>1.5</v>
      </c>
    </row>
    <row r="1031" spans="1:7" x14ac:dyDescent="0.3">
      <c r="A1031">
        <v>105</v>
      </c>
      <c r="B1031">
        <v>710</v>
      </c>
      <c r="C1031">
        <v>137</v>
      </c>
      <c r="D1031">
        <v>49</v>
      </c>
      <c r="E1031">
        <v>4</v>
      </c>
      <c r="F1031">
        <v>0.46</v>
      </c>
      <c r="G1031">
        <v>3.5</v>
      </c>
    </row>
    <row r="1032" spans="1:7" x14ac:dyDescent="0.3">
      <c r="A1032">
        <v>120</v>
      </c>
      <c r="B1032">
        <v>707</v>
      </c>
      <c r="C1032">
        <v>59</v>
      </c>
      <c r="D1032">
        <v>103</v>
      </c>
      <c r="E1032">
        <v>1</v>
      </c>
      <c r="F1032">
        <v>0.54</v>
      </c>
      <c r="G1032">
        <v>6.5</v>
      </c>
    </row>
    <row r="1033" spans="1:7" x14ac:dyDescent="0.3">
      <c r="A1033">
        <v>20</v>
      </c>
      <c r="B1033">
        <v>702</v>
      </c>
      <c r="C1033">
        <v>21</v>
      </c>
      <c r="D1033">
        <v>30</v>
      </c>
      <c r="E1033">
        <v>1</v>
      </c>
      <c r="F1033">
        <v>0.82</v>
      </c>
      <c r="G1033">
        <v>3</v>
      </c>
    </row>
    <row r="1034" spans="1:7" x14ac:dyDescent="0.3">
      <c r="A1034">
        <v>95</v>
      </c>
      <c r="B1034">
        <v>694</v>
      </c>
      <c r="C1034">
        <v>39</v>
      </c>
      <c r="D1034">
        <v>39</v>
      </c>
      <c r="E1034">
        <v>4</v>
      </c>
      <c r="F1034">
        <v>0.45</v>
      </c>
      <c r="G1034">
        <v>4</v>
      </c>
    </row>
    <row r="1035" spans="1:7" x14ac:dyDescent="0.3">
      <c r="A1035">
        <v>20</v>
      </c>
      <c r="B1035">
        <v>686</v>
      </c>
      <c r="C1035">
        <v>19</v>
      </c>
      <c r="D1035">
        <v>21</v>
      </c>
      <c r="E1035">
        <v>4</v>
      </c>
      <c r="F1035">
        <v>0.96</v>
      </c>
      <c r="G1035">
        <v>3</v>
      </c>
    </row>
    <row r="1036" spans="1:7" x14ac:dyDescent="0.3">
      <c r="A1036">
        <v>50</v>
      </c>
      <c r="B1036">
        <v>685</v>
      </c>
      <c r="C1036">
        <v>37</v>
      </c>
      <c r="D1036">
        <v>14</v>
      </c>
      <c r="E1036">
        <v>4</v>
      </c>
      <c r="F1036">
        <v>0.21</v>
      </c>
      <c r="G1036">
        <v>1</v>
      </c>
    </row>
    <row r="1037" spans="1:7" x14ac:dyDescent="0.3">
      <c r="A1037">
        <v>200</v>
      </c>
      <c r="B1037">
        <v>676</v>
      </c>
      <c r="C1037">
        <v>119</v>
      </c>
      <c r="D1037">
        <v>125</v>
      </c>
      <c r="E1037">
        <v>4</v>
      </c>
      <c r="F1037">
        <v>0.96</v>
      </c>
      <c r="G1037">
        <v>14</v>
      </c>
    </row>
    <row r="1038" spans="1:7" x14ac:dyDescent="0.3">
      <c r="A1038">
        <v>40</v>
      </c>
      <c r="B1038">
        <v>670</v>
      </c>
      <c r="C1038">
        <v>33</v>
      </c>
      <c r="D1038">
        <v>37</v>
      </c>
      <c r="E1038">
        <v>1</v>
      </c>
      <c r="F1038">
        <v>0.11</v>
      </c>
      <c r="G1038">
        <v>4.5</v>
      </c>
    </row>
    <row r="1039" spans="1:7" x14ac:dyDescent="0.3">
      <c r="A1039">
        <v>85</v>
      </c>
      <c r="B1039">
        <v>666</v>
      </c>
      <c r="C1039">
        <v>89</v>
      </c>
      <c r="D1039">
        <v>115</v>
      </c>
      <c r="E1039">
        <v>4</v>
      </c>
      <c r="F1039">
        <v>0.06</v>
      </c>
      <c r="G1039">
        <v>6.5</v>
      </c>
    </row>
    <row r="1040" spans="1:7" x14ac:dyDescent="0.3">
      <c r="A1040">
        <v>20</v>
      </c>
      <c r="B1040">
        <v>659</v>
      </c>
      <c r="C1040">
        <v>64</v>
      </c>
      <c r="D1040">
        <v>26</v>
      </c>
      <c r="E1040">
        <v>1</v>
      </c>
      <c r="F1040">
        <v>0.24</v>
      </c>
      <c r="G1040">
        <v>3.5</v>
      </c>
    </row>
    <row r="1041" spans="1:7" x14ac:dyDescent="0.3">
      <c r="A1041">
        <v>145</v>
      </c>
      <c r="B1041">
        <v>655</v>
      </c>
      <c r="C1041">
        <v>95</v>
      </c>
      <c r="D1041">
        <v>195</v>
      </c>
      <c r="E1041">
        <v>4</v>
      </c>
      <c r="F1041">
        <v>0.55000000000000004</v>
      </c>
      <c r="G1041">
        <v>12.5</v>
      </c>
    </row>
    <row r="1042" spans="1:7" x14ac:dyDescent="0.3">
      <c r="A1042">
        <v>95</v>
      </c>
      <c r="B1042">
        <v>654</v>
      </c>
      <c r="C1042">
        <v>86</v>
      </c>
      <c r="D1042">
        <v>239</v>
      </c>
      <c r="E1042">
        <v>1</v>
      </c>
      <c r="F1042">
        <v>1</v>
      </c>
      <c r="G1042">
        <v>25.5</v>
      </c>
    </row>
    <row r="1043" spans="1:7" x14ac:dyDescent="0.3">
      <c r="A1043">
        <v>200</v>
      </c>
      <c r="B1043">
        <v>653</v>
      </c>
      <c r="C1043">
        <v>20</v>
      </c>
      <c r="D1043">
        <v>25</v>
      </c>
      <c r="E1043">
        <v>1</v>
      </c>
      <c r="F1043">
        <v>0.81</v>
      </c>
      <c r="G1043">
        <v>1</v>
      </c>
    </row>
    <row r="1044" spans="1:7" x14ac:dyDescent="0.3">
      <c r="A1044">
        <v>60</v>
      </c>
      <c r="B1044">
        <v>652</v>
      </c>
      <c r="C1044">
        <v>48</v>
      </c>
      <c r="D1044">
        <v>46</v>
      </c>
      <c r="E1044">
        <v>1</v>
      </c>
      <c r="F1044">
        <v>0.93</v>
      </c>
      <c r="G1044">
        <v>6.5</v>
      </c>
    </row>
    <row r="1045" spans="1:7" x14ac:dyDescent="0.3">
      <c r="A1045">
        <v>75</v>
      </c>
      <c r="B1045">
        <v>651</v>
      </c>
      <c r="C1045">
        <v>52</v>
      </c>
      <c r="D1045">
        <v>20</v>
      </c>
      <c r="E1045">
        <v>1</v>
      </c>
      <c r="F1045">
        <v>0.94</v>
      </c>
      <c r="G1045">
        <v>2.5</v>
      </c>
    </row>
    <row r="1046" spans="1:7" x14ac:dyDescent="0.3">
      <c r="A1046">
        <v>20</v>
      </c>
      <c r="B1046">
        <v>644</v>
      </c>
      <c r="C1046">
        <v>42</v>
      </c>
      <c r="D1046">
        <v>28</v>
      </c>
      <c r="E1046">
        <v>4</v>
      </c>
      <c r="F1046">
        <v>0.87</v>
      </c>
      <c r="G1046">
        <v>1.5</v>
      </c>
    </row>
    <row r="1047" spans="1:7" x14ac:dyDescent="0.3">
      <c r="A1047">
        <v>50</v>
      </c>
      <c r="B1047">
        <v>636</v>
      </c>
      <c r="C1047">
        <v>33</v>
      </c>
      <c r="D1047">
        <v>54</v>
      </c>
      <c r="E1047">
        <v>4</v>
      </c>
      <c r="F1047">
        <v>0.11</v>
      </c>
      <c r="G1047">
        <v>10</v>
      </c>
    </row>
    <row r="1048" spans="1:7" x14ac:dyDescent="0.3">
      <c r="A1048">
        <v>200</v>
      </c>
      <c r="B1048">
        <v>633</v>
      </c>
      <c r="C1048">
        <v>39</v>
      </c>
      <c r="D1048">
        <v>54</v>
      </c>
      <c r="E1048">
        <v>1</v>
      </c>
      <c r="F1048">
        <v>0.92</v>
      </c>
      <c r="G1048">
        <v>4</v>
      </c>
    </row>
    <row r="1049" spans="1:7" x14ac:dyDescent="0.3">
      <c r="A1049">
        <v>40</v>
      </c>
      <c r="B1049">
        <v>633</v>
      </c>
      <c r="C1049">
        <v>104</v>
      </c>
      <c r="D1049">
        <v>31</v>
      </c>
      <c r="E1049">
        <v>4</v>
      </c>
      <c r="F1049">
        <v>0.78</v>
      </c>
      <c r="G1049">
        <v>5</v>
      </c>
    </row>
    <row r="1050" spans="1:7" x14ac:dyDescent="0.3">
      <c r="A1050">
        <v>75</v>
      </c>
      <c r="B1050">
        <v>631</v>
      </c>
      <c r="C1050">
        <v>103</v>
      </c>
      <c r="D1050">
        <v>65</v>
      </c>
      <c r="E1050">
        <v>1</v>
      </c>
      <c r="F1050">
        <v>0.51</v>
      </c>
      <c r="G1050">
        <v>4.5</v>
      </c>
    </row>
    <row r="1051" spans="1:7" x14ac:dyDescent="0.3">
      <c r="A1051">
        <v>115</v>
      </c>
      <c r="B1051">
        <v>627</v>
      </c>
      <c r="C1051">
        <v>125</v>
      </c>
      <c r="D1051">
        <v>7</v>
      </c>
      <c r="E1051">
        <v>4</v>
      </c>
      <c r="F1051">
        <v>0.96</v>
      </c>
      <c r="G1051">
        <v>1</v>
      </c>
    </row>
    <row r="1052" spans="1:7" x14ac:dyDescent="0.3">
      <c r="A1052">
        <v>40</v>
      </c>
      <c r="B1052">
        <v>627</v>
      </c>
      <c r="C1052">
        <v>126</v>
      </c>
      <c r="D1052">
        <v>31</v>
      </c>
      <c r="E1052">
        <v>4</v>
      </c>
      <c r="F1052">
        <v>0</v>
      </c>
      <c r="G1052">
        <v>4.5</v>
      </c>
    </row>
    <row r="1053" spans="1:7" x14ac:dyDescent="0.3">
      <c r="A1053">
        <v>50</v>
      </c>
      <c r="B1053">
        <v>613</v>
      </c>
      <c r="C1053">
        <v>135</v>
      </c>
      <c r="D1053">
        <v>116</v>
      </c>
      <c r="E1053">
        <v>1</v>
      </c>
      <c r="F1053">
        <v>0.34</v>
      </c>
      <c r="G1053">
        <v>16</v>
      </c>
    </row>
    <row r="1054" spans="1:7" x14ac:dyDescent="0.3">
      <c r="A1054">
        <v>180</v>
      </c>
      <c r="B1054">
        <v>613</v>
      </c>
      <c r="C1054">
        <v>93</v>
      </c>
      <c r="D1054">
        <v>37</v>
      </c>
      <c r="E1054">
        <v>4</v>
      </c>
      <c r="F1054">
        <v>0.78</v>
      </c>
      <c r="G1054">
        <v>4.5</v>
      </c>
    </row>
    <row r="1055" spans="1:7" x14ac:dyDescent="0.3">
      <c r="A1055">
        <v>85</v>
      </c>
      <c r="B1055">
        <v>608</v>
      </c>
      <c r="C1055">
        <v>88</v>
      </c>
      <c r="D1055">
        <v>48</v>
      </c>
      <c r="E1055">
        <v>4</v>
      </c>
      <c r="F1055">
        <v>0.99</v>
      </c>
      <c r="G1055">
        <v>3.5</v>
      </c>
    </row>
    <row r="1056" spans="1:7" x14ac:dyDescent="0.3">
      <c r="A1056">
        <v>45</v>
      </c>
      <c r="B1056">
        <v>604</v>
      </c>
      <c r="C1056">
        <v>47</v>
      </c>
      <c r="D1056">
        <v>35</v>
      </c>
      <c r="E1056">
        <v>4</v>
      </c>
      <c r="F1056">
        <v>0.56999999999999995</v>
      </c>
      <c r="G1056">
        <v>4</v>
      </c>
    </row>
    <row r="1057" spans="1:7" x14ac:dyDescent="0.3">
      <c r="A1057">
        <v>20</v>
      </c>
      <c r="B1057">
        <v>604</v>
      </c>
      <c r="C1057">
        <v>8</v>
      </c>
      <c r="D1057">
        <v>43</v>
      </c>
      <c r="E1057">
        <v>1</v>
      </c>
      <c r="F1057">
        <v>0.67</v>
      </c>
      <c r="G1057">
        <v>3.5</v>
      </c>
    </row>
    <row r="1058" spans="1:7" x14ac:dyDescent="0.3">
      <c r="A1058">
        <v>145</v>
      </c>
      <c r="B1058">
        <v>602</v>
      </c>
      <c r="C1058">
        <v>93</v>
      </c>
      <c r="D1058">
        <v>214</v>
      </c>
      <c r="E1058">
        <v>1</v>
      </c>
      <c r="F1058">
        <v>0.34</v>
      </c>
      <c r="G1058">
        <v>15.5</v>
      </c>
    </row>
    <row r="1059" spans="1:7" x14ac:dyDescent="0.3">
      <c r="A1059">
        <v>35</v>
      </c>
      <c r="B1059">
        <v>601</v>
      </c>
      <c r="C1059">
        <v>126</v>
      </c>
      <c r="D1059">
        <v>64</v>
      </c>
      <c r="E1059">
        <v>4</v>
      </c>
      <c r="F1059">
        <v>0.57999999999999996</v>
      </c>
      <c r="G1059">
        <v>5.5</v>
      </c>
    </row>
    <row r="1060" spans="1:7" x14ac:dyDescent="0.3">
      <c r="A1060">
        <v>40</v>
      </c>
      <c r="B1060">
        <v>601</v>
      </c>
      <c r="C1060">
        <v>4</v>
      </c>
      <c r="D1060">
        <v>6</v>
      </c>
      <c r="E1060">
        <v>2</v>
      </c>
      <c r="F1060">
        <v>0.87</v>
      </c>
      <c r="G1060">
        <v>0.58333332999999998</v>
      </c>
    </row>
    <row r="1061" spans="1:7" x14ac:dyDescent="0.3">
      <c r="A1061">
        <v>195</v>
      </c>
      <c r="B1061">
        <v>596</v>
      </c>
      <c r="C1061">
        <v>32</v>
      </c>
      <c r="D1061">
        <v>84</v>
      </c>
      <c r="E1061">
        <v>1</v>
      </c>
      <c r="F1061">
        <v>0.52</v>
      </c>
      <c r="G1061">
        <v>8</v>
      </c>
    </row>
    <row r="1062" spans="1:7" x14ac:dyDescent="0.3">
      <c r="A1062">
        <v>50</v>
      </c>
      <c r="B1062">
        <v>586</v>
      </c>
      <c r="C1062">
        <v>10</v>
      </c>
      <c r="D1062">
        <v>17</v>
      </c>
      <c r="E1062">
        <v>4</v>
      </c>
      <c r="F1062">
        <v>0.2</v>
      </c>
      <c r="G1062">
        <v>0.63333333000000003</v>
      </c>
    </row>
    <row r="1063" spans="1:7" x14ac:dyDescent="0.3">
      <c r="A1063">
        <v>60</v>
      </c>
      <c r="B1063">
        <v>586</v>
      </c>
      <c r="C1063">
        <v>65</v>
      </c>
      <c r="D1063">
        <v>98</v>
      </c>
      <c r="E1063">
        <v>4</v>
      </c>
      <c r="F1063">
        <v>0.3</v>
      </c>
      <c r="G1063">
        <v>5.5</v>
      </c>
    </row>
    <row r="1064" spans="1:7" x14ac:dyDescent="0.3">
      <c r="A1064">
        <v>30</v>
      </c>
      <c r="B1064">
        <v>586</v>
      </c>
      <c r="C1064">
        <v>54</v>
      </c>
      <c r="D1064">
        <v>56</v>
      </c>
      <c r="E1064">
        <v>1</v>
      </c>
      <c r="F1064">
        <v>0.11</v>
      </c>
      <c r="G1064">
        <v>5</v>
      </c>
    </row>
    <row r="1065" spans="1:7" x14ac:dyDescent="0.3">
      <c r="A1065">
        <v>95</v>
      </c>
      <c r="B1065">
        <v>583</v>
      </c>
      <c r="C1065">
        <v>7</v>
      </c>
      <c r="D1065">
        <v>35</v>
      </c>
      <c r="E1065">
        <v>1</v>
      </c>
      <c r="F1065">
        <v>0.99</v>
      </c>
      <c r="G1065">
        <v>3.5</v>
      </c>
    </row>
    <row r="1066" spans="1:7" x14ac:dyDescent="0.3">
      <c r="A1066">
        <v>75</v>
      </c>
      <c r="B1066">
        <v>578</v>
      </c>
      <c r="C1066">
        <v>40</v>
      </c>
      <c r="D1066">
        <v>84</v>
      </c>
      <c r="E1066">
        <v>1</v>
      </c>
      <c r="F1066">
        <v>0.44</v>
      </c>
      <c r="G1066">
        <v>5.5</v>
      </c>
    </row>
    <row r="1067" spans="1:7" x14ac:dyDescent="0.3">
      <c r="A1067">
        <v>120</v>
      </c>
      <c r="B1067">
        <v>578</v>
      </c>
      <c r="C1067">
        <v>25</v>
      </c>
      <c r="D1067">
        <v>36</v>
      </c>
      <c r="E1067">
        <v>4</v>
      </c>
      <c r="F1067">
        <v>0.18</v>
      </c>
      <c r="G1067">
        <v>4.5</v>
      </c>
    </row>
    <row r="1068" spans="1:7" x14ac:dyDescent="0.3">
      <c r="A1068">
        <v>65</v>
      </c>
      <c r="B1068">
        <v>578</v>
      </c>
      <c r="C1068">
        <v>6</v>
      </c>
      <c r="D1068">
        <v>8</v>
      </c>
      <c r="E1068">
        <v>1</v>
      </c>
      <c r="F1068">
        <v>0.37</v>
      </c>
      <c r="G1068">
        <v>1</v>
      </c>
    </row>
    <row r="1069" spans="1:7" x14ac:dyDescent="0.3">
      <c r="A1069">
        <v>50</v>
      </c>
      <c r="B1069">
        <v>577</v>
      </c>
      <c r="C1069">
        <v>97</v>
      </c>
      <c r="D1069">
        <v>101</v>
      </c>
      <c r="E1069">
        <v>1</v>
      </c>
      <c r="F1069">
        <v>0.8</v>
      </c>
      <c r="G1069">
        <v>9.5</v>
      </c>
    </row>
    <row r="1070" spans="1:7" x14ac:dyDescent="0.3">
      <c r="A1070">
        <v>185</v>
      </c>
      <c r="B1070">
        <v>567</v>
      </c>
      <c r="C1070">
        <v>63</v>
      </c>
      <c r="D1070">
        <v>34</v>
      </c>
      <c r="E1070">
        <v>4</v>
      </c>
      <c r="F1070">
        <v>0.15</v>
      </c>
      <c r="G1070">
        <v>8</v>
      </c>
    </row>
    <row r="1071" spans="1:7" x14ac:dyDescent="0.3">
      <c r="A1071">
        <v>200</v>
      </c>
      <c r="B1071">
        <v>563</v>
      </c>
      <c r="C1071">
        <v>178</v>
      </c>
      <c r="D1071">
        <v>32</v>
      </c>
      <c r="E1071">
        <v>1</v>
      </c>
      <c r="F1071">
        <v>0.01</v>
      </c>
      <c r="G1071">
        <v>3</v>
      </c>
    </row>
    <row r="1072" spans="1:7" x14ac:dyDescent="0.3">
      <c r="A1072">
        <v>100</v>
      </c>
      <c r="B1072">
        <v>557</v>
      </c>
      <c r="C1072">
        <v>92</v>
      </c>
      <c r="D1072">
        <v>133</v>
      </c>
      <c r="E1072">
        <v>4</v>
      </c>
      <c r="F1072">
        <v>0.15</v>
      </c>
      <c r="G1072">
        <v>9.5</v>
      </c>
    </row>
    <row r="1073" spans="1:7" x14ac:dyDescent="0.3">
      <c r="A1073">
        <v>95</v>
      </c>
      <c r="B1073">
        <v>557</v>
      </c>
      <c r="C1073">
        <v>39</v>
      </c>
      <c r="D1073">
        <v>28</v>
      </c>
      <c r="E1073">
        <v>1</v>
      </c>
      <c r="F1073">
        <v>0.79</v>
      </c>
      <c r="G1073">
        <v>2.5</v>
      </c>
    </row>
    <row r="1074" spans="1:7" x14ac:dyDescent="0.3">
      <c r="A1074">
        <v>50</v>
      </c>
      <c r="B1074">
        <v>555</v>
      </c>
      <c r="C1074">
        <v>89</v>
      </c>
      <c r="D1074">
        <v>16</v>
      </c>
      <c r="E1074">
        <v>1</v>
      </c>
      <c r="F1074">
        <v>0.3</v>
      </c>
      <c r="G1074">
        <v>2.5</v>
      </c>
    </row>
    <row r="1075" spans="1:7" x14ac:dyDescent="0.3">
      <c r="A1075">
        <v>40</v>
      </c>
      <c r="B1075">
        <v>553</v>
      </c>
      <c r="C1075">
        <v>84</v>
      </c>
      <c r="D1075">
        <v>31</v>
      </c>
      <c r="E1075">
        <v>4</v>
      </c>
      <c r="F1075">
        <v>0.02</v>
      </c>
      <c r="G1075">
        <v>3</v>
      </c>
    </row>
    <row r="1076" spans="1:7" x14ac:dyDescent="0.3">
      <c r="A1076">
        <v>145</v>
      </c>
      <c r="B1076">
        <v>550</v>
      </c>
      <c r="C1076">
        <v>15</v>
      </c>
      <c r="D1076">
        <v>59</v>
      </c>
      <c r="E1076">
        <v>1</v>
      </c>
      <c r="F1076">
        <v>0.92</v>
      </c>
      <c r="G1076">
        <v>3</v>
      </c>
    </row>
    <row r="1077" spans="1:7" x14ac:dyDescent="0.3">
      <c r="A1077">
        <v>30</v>
      </c>
      <c r="B1077">
        <v>550</v>
      </c>
      <c r="C1077">
        <v>97</v>
      </c>
      <c r="D1077">
        <v>70</v>
      </c>
      <c r="E1077">
        <v>4</v>
      </c>
      <c r="F1077">
        <v>0.24</v>
      </c>
      <c r="G1077">
        <v>9</v>
      </c>
    </row>
    <row r="1078" spans="1:7" x14ac:dyDescent="0.3">
      <c r="A1078">
        <v>200</v>
      </c>
      <c r="B1078">
        <v>549</v>
      </c>
      <c r="C1078">
        <v>49</v>
      </c>
      <c r="D1078">
        <v>18</v>
      </c>
      <c r="E1078">
        <v>1</v>
      </c>
      <c r="F1078">
        <v>0.96</v>
      </c>
      <c r="G1078">
        <v>2</v>
      </c>
    </row>
    <row r="1079" spans="1:7" x14ac:dyDescent="0.3">
      <c r="A1079">
        <v>145</v>
      </c>
      <c r="B1079">
        <v>546</v>
      </c>
      <c r="C1079">
        <v>69</v>
      </c>
      <c r="D1079">
        <v>21</v>
      </c>
      <c r="E1079">
        <v>1</v>
      </c>
      <c r="F1079">
        <v>0.03</v>
      </c>
      <c r="G1079">
        <v>3</v>
      </c>
    </row>
    <row r="1080" spans="1:7" x14ac:dyDescent="0.3">
      <c r="A1080">
        <v>45</v>
      </c>
      <c r="B1080">
        <v>540</v>
      </c>
      <c r="C1080">
        <v>11</v>
      </c>
      <c r="D1080">
        <v>19</v>
      </c>
      <c r="E1080">
        <v>1</v>
      </c>
      <c r="F1080">
        <v>7.0000000000000007E-2</v>
      </c>
      <c r="G1080">
        <v>1</v>
      </c>
    </row>
    <row r="1081" spans="1:7" x14ac:dyDescent="0.3">
      <c r="A1081">
        <v>50</v>
      </c>
      <c r="B1081">
        <v>540</v>
      </c>
      <c r="C1081">
        <v>13</v>
      </c>
      <c r="D1081">
        <v>15</v>
      </c>
      <c r="E1081">
        <v>1</v>
      </c>
      <c r="F1081">
        <v>0.76</v>
      </c>
      <c r="G1081">
        <v>0.6</v>
      </c>
    </row>
    <row r="1082" spans="1:7" x14ac:dyDescent="0.3">
      <c r="A1082">
        <v>85</v>
      </c>
      <c r="B1082">
        <v>538</v>
      </c>
      <c r="C1082">
        <v>13</v>
      </c>
      <c r="D1082">
        <v>113</v>
      </c>
      <c r="E1082">
        <v>1</v>
      </c>
      <c r="F1082">
        <v>0.75</v>
      </c>
      <c r="G1082">
        <v>18.5</v>
      </c>
    </row>
    <row r="1083" spans="1:7" x14ac:dyDescent="0.3">
      <c r="A1083">
        <v>175</v>
      </c>
      <c r="B1083">
        <v>534</v>
      </c>
      <c r="C1083">
        <v>16</v>
      </c>
      <c r="D1083">
        <v>51</v>
      </c>
      <c r="E1083">
        <v>1</v>
      </c>
      <c r="F1083">
        <v>0.11</v>
      </c>
      <c r="G1083">
        <v>4</v>
      </c>
    </row>
    <row r="1084" spans="1:7" x14ac:dyDescent="0.3">
      <c r="A1084">
        <v>75</v>
      </c>
      <c r="B1084">
        <v>533</v>
      </c>
      <c r="C1084">
        <v>54</v>
      </c>
      <c r="D1084">
        <v>23</v>
      </c>
      <c r="E1084">
        <v>4</v>
      </c>
      <c r="F1084">
        <v>0.34</v>
      </c>
      <c r="G1084">
        <v>3</v>
      </c>
    </row>
    <row r="1085" spans="1:7" x14ac:dyDescent="0.3">
      <c r="A1085">
        <v>40</v>
      </c>
      <c r="B1085">
        <v>527</v>
      </c>
      <c r="C1085">
        <v>63</v>
      </c>
      <c r="D1085">
        <v>11</v>
      </c>
      <c r="E1085">
        <v>4</v>
      </c>
      <c r="F1085">
        <v>0.78</v>
      </c>
      <c r="G1085">
        <v>2.5</v>
      </c>
    </row>
    <row r="1086" spans="1:7" x14ac:dyDescent="0.3">
      <c r="A1086">
        <v>145</v>
      </c>
      <c r="B1086">
        <v>522</v>
      </c>
      <c r="C1086">
        <v>50</v>
      </c>
      <c r="D1086">
        <v>48</v>
      </c>
      <c r="E1086">
        <v>1</v>
      </c>
      <c r="F1086">
        <v>0.79</v>
      </c>
      <c r="G1086">
        <v>5.5</v>
      </c>
    </row>
    <row r="1087" spans="1:7" x14ac:dyDescent="0.3">
      <c r="A1087">
        <v>40</v>
      </c>
      <c r="B1087">
        <v>513</v>
      </c>
      <c r="C1087">
        <v>169</v>
      </c>
      <c r="D1087">
        <v>48</v>
      </c>
      <c r="E1087">
        <v>3</v>
      </c>
      <c r="F1087">
        <v>0.78</v>
      </c>
      <c r="G1087">
        <v>3.5</v>
      </c>
    </row>
    <row r="1088" spans="1:7" x14ac:dyDescent="0.3">
      <c r="A1088">
        <v>45</v>
      </c>
      <c r="B1088">
        <v>511</v>
      </c>
      <c r="C1088">
        <v>12</v>
      </c>
      <c r="D1088">
        <v>7</v>
      </c>
      <c r="E1088">
        <v>3</v>
      </c>
      <c r="F1088">
        <v>0.34</v>
      </c>
      <c r="G1088">
        <v>0.55000000000000004</v>
      </c>
    </row>
    <row r="1089" spans="1:7" x14ac:dyDescent="0.3">
      <c r="A1089">
        <v>95</v>
      </c>
      <c r="B1089">
        <v>502</v>
      </c>
      <c r="C1089">
        <v>62</v>
      </c>
      <c r="D1089">
        <v>59</v>
      </c>
      <c r="E1089">
        <v>2</v>
      </c>
      <c r="F1089">
        <v>0.3</v>
      </c>
      <c r="G1089">
        <v>5</v>
      </c>
    </row>
    <row r="1090" spans="1:7" x14ac:dyDescent="0.3">
      <c r="A1090">
        <v>20</v>
      </c>
      <c r="B1090">
        <v>496</v>
      </c>
      <c r="C1090">
        <v>113</v>
      </c>
      <c r="D1090">
        <v>17</v>
      </c>
      <c r="E1090">
        <v>1</v>
      </c>
      <c r="F1090">
        <v>0.97</v>
      </c>
      <c r="G1090">
        <v>1</v>
      </c>
    </row>
    <row r="1091" spans="1:7" x14ac:dyDescent="0.3">
      <c r="A1091">
        <v>95</v>
      </c>
      <c r="B1091">
        <v>494</v>
      </c>
      <c r="C1091">
        <v>46</v>
      </c>
      <c r="D1091">
        <v>37</v>
      </c>
      <c r="E1091">
        <v>4</v>
      </c>
      <c r="F1091">
        <v>0.04</v>
      </c>
      <c r="G1091">
        <v>3</v>
      </c>
    </row>
    <row r="1092" spans="1:7" x14ac:dyDescent="0.3">
      <c r="A1092">
        <v>100</v>
      </c>
      <c r="B1092">
        <v>487</v>
      </c>
      <c r="C1092">
        <v>31</v>
      </c>
      <c r="D1092">
        <v>52</v>
      </c>
      <c r="E1092">
        <v>4</v>
      </c>
      <c r="F1092">
        <v>0.76</v>
      </c>
      <c r="G1092">
        <v>6</v>
      </c>
    </row>
    <row r="1093" spans="1:7" x14ac:dyDescent="0.3">
      <c r="A1093">
        <v>60</v>
      </c>
      <c r="B1093">
        <v>486</v>
      </c>
      <c r="C1093">
        <v>59</v>
      </c>
      <c r="D1093">
        <v>27</v>
      </c>
      <c r="E1093">
        <v>4</v>
      </c>
      <c r="F1093">
        <v>0.39</v>
      </c>
      <c r="G1093">
        <v>2</v>
      </c>
    </row>
    <row r="1094" spans="1:7" x14ac:dyDescent="0.3">
      <c r="A1094">
        <v>95</v>
      </c>
      <c r="B1094">
        <v>481</v>
      </c>
      <c r="C1094">
        <v>75</v>
      </c>
      <c r="D1094">
        <v>77</v>
      </c>
      <c r="E1094">
        <v>4</v>
      </c>
      <c r="F1094">
        <v>0.77</v>
      </c>
      <c r="G1094">
        <v>6</v>
      </c>
    </row>
    <row r="1095" spans="1:7" x14ac:dyDescent="0.3">
      <c r="A1095">
        <v>95</v>
      </c>
      <c r="B1095">
        <v>478</v>
      </c>
      <c r="C1095">
        <v>37</v>
      </c>
      <c r="D1095">
        <v>18</v>
      </c>
      <c r="E1095">
        <v>1</v>
      </c>
      <c r="F1095">
        <v>0.78</v>
      </c>
      <c r="G1095">
        <v>1.5</v>
      </c>
    </row>
    <row r="1096" spans="1:7" x14ac:dyDescent="0.3">
      <c r="A1096">
        <v>195</v>
      </c>
      <c r="B1096">
        <v>467</v>
      </c>
      <c r="C1096">
        <v>20</v>
      </c>
      <c r="D1096">
        <v>126</v>
      </c>
      <c r="E1096">
        <v>4</v>
      </c>
      <c r="F1096">
        <v>0.73</v>
      </c>
      <c r="G1096">
        <v>13.5</v>
      </c>
    </row>
    <row r="1097" spans="1:7" x14ac:dyDescent="0.3">
      <c r="A1097">
        <v>20</v>
      </c>
      <c r="B1097">
        <v>466</v>
      </c>
      <c r="C1097">
        <v>11</v>
      </c>
      <c r="D1097">
        <v>25</v>
      </c>
      <c r="E1097">
        <v>4</v>
      </c>
      <c r="F1097">
        <v>0.2</v>
      </c>
      <c r="G1097">
        <v>2</v>
      </c>
    </row>
    <row r="1098" spans="1:7" x14ac:dyDescent="0.3">
      <c r="A1098">
        <v>95</v>
      </c>
      <c r="B1098">
        <v>464</v>
      </c>
      <c r="C1098">
        <v>26</v>
      </c>
      <c r="D1098">
        <v>22</v>
      </c>
      <c r="E1098">
        <v>4</v>
      </c>
      <c r="F1098">
        <v>0.86</v>
      </c>
      <c r="G1098">
        <v>1.5</v>
      </c>
    </row>
    <row r="1099" spans="1:7" x14ac:dyDescent="0.3">
      <c r="A1099">
        <v>50</v>
      </c>
      <c r="B1099">
        <v>461</v>
      </c>
      <c r="C1099">
        <v>67</v>
      </c>
      <c r="D1099">
        <v>46</v>
      </c>
      <c r="E1099">
        <v>4</v>
      </c>
      <c r="F1099">
        <v>0.64</v>
      </c>
      <c r="G1099">
        <v>3.5</v>
      </c>
    </row>
    <row r="1100" spans="1:7" x14ac:dyDescent="0.3">
      <c r="A1100">
        <v>95</v>
      </c>
      <c r="B1100">
        <v>458</v>
      </c>
      <c r="C1100">
        <v>28</v>
      </c>
      <c r="D1100">
        <v>40</v>
      </c>
      <c r="E1100">
        <v>1</v>
      </c>
      <c r="F1100">
        <v>0.64</v>
      </c>
      <c r="G1100">
        <v>4.5</v>
      </c>
    </row>
    <row r="1101" spans="1:7" x14ac:dyDescent="0.3">
      <c r="A1101">
        <v>20</v>
      </c>
      <c r="B1101">
        <v>458</v>
      </c>
      <c r="C1101">
        <v>2</v>
      </c>
      <c r="D1101">
        <v>12</v>
      </c>
      <c r="E1101">
        <v>4</v>
      </c>
      <c r="F1101">
        <v>0.75</v>
      </c>
      <c r="G1101">
        <v>1</v>
      </c>
    </row>
    <row r="1102" spans="1:7" x14ac:dyDescent="0.3">
      <c r="A1102">
        <v>40</v>
      </c>
      <c r="B1102">
        <v>450</v>
      </c>
      <c r="C1102">
        <v>61</v>
      </c>
      <c r="D1102">
        <v>41</v>
      </c>
      <c r="E1102">
        <v>1</v>
      </c>
      <c r="F1102">
        <v>0.88</v>
      </c>
      <c r="G1102">
        <v>6</v>
      </c>
    </row>
    <row r="1103" spans="1:7" x14ac:dyDescent="0.3">
      <c r="A1103">
        <v>200</v>
      </c>
      <c r="B1103">
        <v>442</v>
      </c>
      <c r="C1103">
        <v>48</v>
      </c>
      <c r="D1103">
        <v>80</v>
      </c>
      <c r="E1103">
        <v>1</v>
      </c>
      <c r="F1103">
        <v>0.45</v>
      </c>
      <c r="G1103">
        <v>6.5</v>
      </c>
    </row>
    <row r="1104" spans="1:7" x14ac:dyDescent="0.3">
      <c r="A1104">
        <v>20</v>
      </c>
      <c r="B1104">
        <v>436</v>
      </c>
      <c r="C1104">
        <v>36</v>
      </c>
      <c r="D1104">
        <v>22</v>
      </c>
      <c r="E1104">
        <v>4</v>
      </c>
      <c r="F1104">
        <v>0.3</v>
      </c>
      <c r="G1104">
        <v>1.5</v>
      </c>
    </row>
    <row r="1105" spans="1:7" x14ac:dyDescent="0.3">
      <c r="A1105">
        <v>40</v>
      </c>
      <c r="B1105">
        <v>434</v>
      </c>
      <c r="C1105">
        <v>69</v>
      </c>
      <c r="D1105">
        <v>23</v>
      </c>
      <c r="E1105">
        <v>4</v>
      </c>
      <c r="F1105">
        <v>0.66</v>
      </c>
      <c r="G1105">
        <v>5.5</v>
      </c>
    </row>
    <row r="1106" spans="1:7" x14ac:dyDescent="0.3">
      <c r="A1106">
        <v>125</v>
      </c>
      <c r="B1106">
        <v>430</v>
      </c>
      <c r="C1106">
        <v>54</v>
      </c>
      <c r="D1106">
        <v>39</v>
      </c>
      <c r="E1106">
        <v>2</v>
      </c>
      <c r="F1106">
        <v>0.96</v>
      </c>
      <c r="G1106">
        <v>2.5</v>
      </c>
    </row>
    <row r="1107" spans="1:7" x14ac:dyDescent="0.3">
      <c r="A1107">
        <v>45</v>
      </c>
      <c r="B1107">
        <v>426</v>
      </c>
      <c r="C1107">
        <v>4</v>
      </c>
      <c r="D1107">
        <v>9</v>
      </c>
      <c r="E1107">
        <v>4</v>
      </c>
      <c r="F1107">
        <v>0.02</v>
      </c>
      <c r="G1107">
        <v>1</v>
      </c>
    </row>
    <row r="1108" spans="1:7" x14ac:dyDescent="0.3">
      <c r="A1108">
        <v>45</v>
      </c>
      <c r="B1108">
        <v>426</v>
      </c>
      <c r="C1108">
        <v>4</v>
      </c>
      <c r="D1108">
        <v>10</v>
      </c>
      <c r="E1108">
        <v>4</v>
      </c>
      <c r="F1108">
        <v>0.28999999999999998</v>
      </c>
      <c r="G1108">
        <v>1</v>
      </c>
    </row>
    <row r="1109" spans="1:7" x14ac:dyDescent="0.3">
      <c r="A1109">
        <v>30</v>
      </c>
      <c r="B1109">
        <v>424</v>
      </c>
      <c r="C1109">
        <v>85</v>
      </c>
      <c r="D1109">
        <v>9</v>
      </c>
      <c r="E1109">
        <v>4</v>
      </c>
      <c r="F1109">
        <v>0.39</v>
      </c>
      <c r="G1109">
        <v>1</v>
      </c>
    </row>
    <row r="1110" spans="1:7" x14ac:dyDescent="0.3">
      <c r="A1110">
        <v>95</v>
      </c>
      <c r="B1110">
        <v>424</v>
      </c>
      <c r="C1110">
        <v>45</v>
      </c>
      <c r="D1110">
        <v>60</v>
      </c>
      <c r="E1110">
        <v>4</v>
      </c>
      <c r="F1110">
        <v>0.77</v>
      </c>
      <c r="G1110">
        <v>3.5</v>
      </c>
    </row>
    <row r="1111" spans="1:7" x14ac:dyDescent="0.3">
      <c r="A1111">
        <v>145</v>
      </c>
      <c r="B1111">
        <v>422</v>
      </c>
      <c r="C1111">
        <v>86</v>
      </c>
      <c r="D1111">
        <v>69</v>
      </c>
      <c r="E1111">
        <v>1</v>
      </c>
      <c r="F1111">
        <v>0.96</v>
      </c>
      <c r="G1111">
        <v>12.5</v>
      </c>
    </row>
    <row r="1112" spans="1:7" x14ac:dyDescent="0.3">
      <c r="A1112">
        <v>50</v>
      </c>
      <c r="B1112">
        <v>421</v>
      </c>
      <c r="C1112">
        <v>26</v>
      </c>
      <c r="D1112">
        <v>33</v>
      </c>
      <c r="E1112">
        <v>4</v>
      </c>
      <c r="F1112">
        <v>0.47</v>
      </c>
      <c r="G1112">
        <v>3.5</v>
      </c>
    </row>
    <row r="1113" spans="1:7" x14ac:dyDescent="0.3">
      <c r="A1113">
        <v>50</v>
      </c>
      <c r="B1113">
        <v>417</v>
      </c>
      <c r="C1113">
        <v>65</v>
      </c>
      <c r="D1113">
        <v>109</v>
      </c>
      <c r="E1113">
        <v>2</v>
      </c>
      <c r="F1113">
        <v>0.22</v>
      </c>
      <c r="G1113">
        <v>13</v>
      </c>
    </row>
    <row r="1114" spans="1:7" x14ac:dyDescent="0.3">
      <c r="A1114">
        <v>50</v>
      </c>
      <c r="B1114">
        <v>415</v>
      </c>
      <c r="C1114">
        <v>67</v>
      </c>
      <c r="D1114">
        <v>53</v>
      </c>
      <c r="E1114">
        <v>1</v>
      </c>
      <c r="F1114">
        <v>0.17</v>
      </c>
      <c r="G1114">
        <v>7</v>
      </c>
    </row>
    <row r="1115" spans="1:7" x14ac:dyDescent="0.3">
      <c r="A1115">
        <v>200</v>
      </c>
      <c r="B1115">
        <v>408</v>
      </c>
      <c r="C1115">
        <v>39</v>
      </c>
      <c r="D1115">
        <v>80</v>
      </c>
      <c r="E1115">
        <v>4</v>
      </c>
      <c r="F1115">
        <v>0.32</v>
      </c>
      <c r="G1115">
        <v>8</v>
      </c>
    </row>
    <row r="1116" spans="1:7" x14ac:dyDescent="0.3">
      <c r="A1116">
        <v>60</v>
      </c>
      <c r="B1116">
        <v>402</v>
      </c>
      <c r="C1116">
        <v>20</v>
      </c>
      <c r="D1116">
        <v>35</v>
      </c>
      <c r="E1116">
        <v>4</v>
      </c>
      <c r="F1116">
        <v>0.51</v>
      </c>
      <c r="G1116">
        <v>4</v>
      </c>
    </row>
    <row r="1117" spans="1:7" x14ac:dyDescent="0.3">
      <c r="A1117">
        <v>35</v>
      </c>
      <c r="B1117">
        <v>396</v>
      </c>
      <c r="C1117">
        <v>130</v>
      </c>
      <c r="D1117">
        <v>21</v>
      </c>
      <c r="E1117">
        <v>1</v>
      </c>
      <c r="F1117">
        <v>0.06</v>
      </c>
      <c r="G1117">
        <v>0.71666666999999995</v>
      </c>
    </row>
    <row r="1118" spans="1:7" x14ac:dyDescent="0.3">
      <c r="A1118">
        <v>45</v>
      </c>
      <c r="B1118">
        <v>396</v>
      </c>
      <c r="C1118">
        <v>6</v>
      </c>
      <c r="D1118">
        <v>8</v>
      </c>
      <c r="E1118">
        <v>1</v>
      </c>
      <c r="F1118">
        <v>0.83</v>
      </c>
      <c r="G1118">
        <v>0.56666667000000004</v>
      </c>
    </row>
    <row r="1119" spans="1:7" x14ac:dyDescent="0.3">
      <c r="A1119">
        <v>40</v>
      </c>
      <c r="B1119">
        <v>395</v>
      </c>
      <c r="C1119">
        <v>26</v>
      </c>
      <c r="D1119">
        <v>36</v>
      </c>
      <c r="E1119">
        <v>1</v>
      </c>
      <c r="F1119">
        <v>0.54</v>
      </c>
      <c r="G1119">
        <v>6.5</v>
      </c>
    </row>
    <row r="1120" spans="1:7" x14ac:dyDescent="0.3">
      <c r="A1120">
        <v>195</v>
      </c>
      <c r="B1120">
        <v>395</v>
      </c>
      <c r="C1120">
        <v>18</v>
      </c>
      <c r="D1120">
        <v>57</v>
      </c>
      <c r="E1120">
        <v>4</v>
      </c>
      <c r="F1120">
        <v>0.56999999999999995</v>
      </c>
      <c r="G1120">
        <v>17</v>
      </c>
    </row>
    <row r="1121" spans="1:7" x14ac:dyDescent="0.3">
      <c r="A1121">
        <v>50</v>
      </c>
      <c r="B1121">
        <v>394</v>
      </c>
      <c r="C1121">
        <v>78</v>
      </c>
      <c r="D1121">
        <v>22</v>
      </c>
      <c r="E1121">
        <v>2</v>
      </c>
      <c r="F1121">
        <v>0.47</v>
      </c>
      <c r="G1121">
        <v>1.5</v>
      </c>
    </row>
    <row r="1122" spans="1:7" x14ac:dyDescent="0.3">
      <c r="A1122">
        <v>150</v>
      </c>
      <c r="B1122">
        <v>392</v>
      </c>
      <c r="C1122">
        <v>81</v>
      </c>
      <c r="D1122">
        <v>63</v>
      </c>
      <c r="E1122">
        <v>4</v>
      </c>
      <c r="F1122">
        <v>0.26</v>
      </c>
      <c r="G1122">
        <v>8.5</v>
      </c>
    </row>
    <row r="1123" spans="1:7" x14ac:dyDescent="0.3">
      <c r="A1123">
        <v>20</v>
      </c>
      <c r="B1123">
        <v>387</v>
      </c>
      <c r="C1123">
        <v>5</v>
      </c>
      <c r="D1123">
        <v>30</v>
      </c>
      <c r="E1123">
        <v>4</v>
      </c>
      <c r="F1123">
        <v>0.74</v>
      </c>
      <c r="G1123">
        <v>2.5</v>
      </c>
    </row>
    <row r="1124" spans="1:7" x14ac:dyDescent="0.3">
      <c r="A1124">
        <v>20</v>
      </c>
      <c r="B1124">
        <v>385</v>
      </c>
      <c r="C1124">
        <v>39</v>
      </c>
      <c r="D1124">
        <v>32</v>
      </c>
      <c r="E1124">
        <v>2</v>
      </c>
      <c r="F1124">
        <v>0.3</v>
      </c>
      <c r="G1124">
        <v>2.5</v>
      </c>
    </row>
    <row r="1125" spans="1:7" x14ac:dyDescent="0.3">
      <c r="A1125">
        <v>150</v>
      </c>
      <c r="B1125">
        <v>382</v>
      </c>
      <c r="C1125">
        <v>28</v>
      </c>
      <c r="D1125">
        <v>140</v>
      </c>
      <c r="E1125">
        <v>1</v>
      </c>
      <c r="F1125">
        <v>0.37</v>
      </c>
      <c r="G1125">
        <v>15.5</v>
      </c>
    </row>
    <row r="1126" spans="1:7" x14ac:dyDescent="0.3">
      <c r="A1126">
        <v>35</v>
      </c>
      <c r="B1126">
        <v>380</v>
      </c>
      <c r="C1126">
        <v>10</v>
      </c>
      <c r="D1126">
        <v>30</v>
      </c>
      <c r="E1126">
        <v>1</v>
      </c>
      <c r="F1126">
        <v>0.88</v>
      </c>
      <c r="G1126">
        <v>2</v>
      </c>
    </row>
    <row r="1127" spans="1:7" x14ac:dyDescent="0.3">
      <c r="A1127">
        <v>40</v>
      </c>
      <c r="B1127">
        <v>379</v>
      </c>
      <c r="C1127">
        <v>58</v>
      </c>
      <c r="D1127">
        <v>45</v>
      </c>
      <c r="E1127">
        <v>1</v>
      </c>
      <c r="F1127">
        <v>0.66</v>
      </c>
      <c r="G1127">
        <v>2</v>
      </c>
    </row>
    <row r="1128" spans="1:7" x14ac:dyDescent="0.3">
      <c r="A1128">
        <v>50</v>
      </c>
      <c r="B1128">
        <v>376</v>
      </c>
      <c r="C1128">
        <v>19</v>
      </c>
      <c r="D1128">
        <v>49</v>
      </c>
      <c r="E1128">
        <v>4</v>
      </c>
      <c r="F1128">
        <v>0.76</v>
      </c>
      <c r="G1128">
        <v>3</v>
      </c>
    </row>
    <row r="1129" spans="1:7" x14ac:dyDescent="0.3">
      <c r="A1129">
        <v>20</v>
      </c>
      <c r="B1129">
        <v>362</v>
      </c>
      <c r="C1129">
        <v>19</v>
      </c>
      <c r="D1129">
        <v>8</v>
      </c>
      <c r="E1129">
        <v>1</v>
      </c>
      <c r="F1129">
        <v>0.78</v>
      </c>
      <c r="G1129">
        <v>1</v>
      </c>
    </row>
    <row r="1130" spans="1:7" x14ac:dyDescent="0.3">
      <c r="A1130">
        <v>55</v>
      </c>
      <c r="B1130">
        <v>361</v>
      </c>
      <c r="C1130">
        <v>26</v>
      </c>
      <c r="D1130">
        <v>49</v>
      </c>
      <c r="E1130">
        <v>3</v>
      </c>
      <c r="F1130">
        <v>0.31</v>
      </c>
      <c r="G1130">
        <v>2.5</v>
      </c>
    </row>
    <row r="1131" spans="1:7" x14ac:dyDescent="0.3">
      <c r="A1131">
        <v>20</v>
      </c>
      <c r="B1131">
        <v>359</v>
      </c>
      <c r="C1131">
        <v>45</v>
      </c>
      <c r="D1131">
        <v>73</v>
      </c>
      <c r="E1131">
        <v>4</v>
      </c>
      <c r="F1131">
        <v>0.4</v>
      </c>
      <c r="G1131">
        <v>6.5</v>
      </c>
    </row>
    <row r="1132" spans="1:7" x14ac:dyDescent="0.3">
      <c r="A1132">
        <v>20</v>
      </c>
      <c r="B1132">
        <v>358</v>
      </c>
      <c r="C1132">
        <v>0</v>
      </c>
      <c r="D1132">
        <v>23</v>
      </c>
      <c r="E1132">
        <v>1</v>
      </c>
      <c r="F1132">
        <v>0.39</v>
      </c>
      <c r="G1132">
        <v>2</v>
      </c>
    </row>
    <row r="1133" spans="1:7" x14ac:dyDescent="0.3">
      <c r="A1133">
        <v>95</v>
      </c>
      <c r="B1133">
        <v>353</v>
      </c>
      <c r="C1133">
        <v>34</v>
      </c>
      <c r="D1133">
        <v>41</v>
      </c>
      <c r="E1133">
        <v>1</v>
      </c>
      <c r="F1133">
        <v>0.11</v>
      </c>
      <c r="G1133">
        <v>3</v>
      </c>
    </row>
    <row r="1134" spans="1:7" x14ac:dyDescent="0.3">
      <c r="A1134">
        <v>200</v>
      </c>
      <c r="B1134">
        <v>346</v>
      </c>
      <c r="C1134">
        <v>28</v>
      </c>
      <c r="D1134">
        <v>74</v>
      </c>
      <c r="E1134">
        <v>4</v>
      </c>
      <c r="F1134">
        <v>0.16</v>
      </c>
      <c r="G1134">
        <v>8.5</v>
      </c>
    </row>
    <row r="1135" spans="1:7" x14ac:dyDescent="0.3">
      <c r="A1135">
        <v>50</v>
      </c>
      <c r="B1135">
        <v>342</v>
      </c>
      <c r="C1135">
        <v>53</v>
      </c>
      <c r="D1135">
        <v>60</v>
      </c>
      <c r="E1135">
        <v>4</v>
      </c>
      <c r="F1135">
        <v>0.24</v>
      </c>
      <c r="G1135">
        <v>3.5</v>
      </c>
    </row>
    <row r="1136" spans="1:7" x14ac:dyDescent="0.3">
      <c r="A1136">
        <v>40</v>
      </c>
      <c r="B1136">
        <v>334</v>
      </c>
      <c r="C1136">
        <v>41</v>
      </c>
      <c r="D1136">
        <v>54</v>
      </c>
      <c r="E1136">
        <v>2</v>
      </c>
      <c r="F1136">
        <v>0.76</v>
      </c>
      <c r="G1136">
        <v>11.5</v>
      </c>
    </row>
    <row r="1137" spans="1:7" x14ac:dyDescent="0.3">
      <c r="A1137">
        <v>200</v>
      </c>
      <c r="B1137">
        <v>333</v>
      </c>
      <c r="C1137">
        <v>22</v>
      </c>
      <c r="D1137">
        <v>353</v>
      </c>
      <c r="E1137">
        <v>4</v>
      </c>
      <c r="F1137">
        <v>0.34</v>
      </c>
      <c r="G1137">
        <v>42</v>
      </c>
    </row>
    <row r="1138" spans="1:7" x14ac:dyDescent="0.3">
      <c r="A1138">
        <v>35</v>
      </c>
      <c r="B1138">
        <v>333</v>
      </c>
      <c r="C1138">
        <v>15</v>
      </c>
      <c r="D1138">
        <v>14</v>
      </c>
      <c r="E1138">
        <v>1</v>
      </c>
      <c r="F1138">
        <v>0.76</v>
      </c>
      <c r="G1138">
        <v>1</v>
      </c>
    </row>
    <row r="1139" spans="1:7" x14ac:dyDescent="0.3">
      <c r="A1139">
        <v>185</v>
      </c>
      <c r="B1139">
        <v>327</v>
      </c>
      <c r="C1139">
        <v>26</v>
      </c>
      <c r="D1139">
        <v>106</v>
      </c>
      <c r="E1139">
        <v>4</v>
      </c>
      <c r="F1139">
        <v>0.11</v>
      </c>
      <c r="G1139">
        <v>9.5</v>
      </c>
    </row>
    <row r="1140" spans="1:7" x14ac:dyDescent="0.3">
      <c r="A1140">
        <v>40</v>
      </c>
      <c r="B1140">
        <v>325</v>
      </c>
      <c r="C1140">
        <v>37</v>
      </c>
      <c r="D1140">
        <v>27</v>
      </c>
      <c r="E1140">
        <v>1</v>
      </c>
      <c r="F1140">
        <v>0.08</v>
      </c>
      <c r="G1140">
        <v>3.5</v>
      </c>
    </row>
    <row r="1141" spans="1:7" x14ac:dyDescent="0.3">
      <c r="A1141">
        <v>80</v>
      </c>
      <c r="B1141">
        <v>325</v>
      </c>
      <c r="C1141">
        <v>50</v>
      </c>
      <c r="D1141">
        <v>106</v>
      </c>
      <c r="E1141">
        <v>2</v>
      </c>
      <c r="F1141">
        <v>0.6</v>
      </c>
      <c r="G1141">
        <v>5</v>
      </c>
    </row>
    <row r="1142" spans="1:7" x14ac:dyDescent="0.3">
      <c r="A1142">
        <v>50</v>
      </c>
      <c r="B1142">
        <v>322</v>
      </c>
      <c r="C1142">
        <v>9</v>
      </c>
      <c r="D1142">
        <v>9</v>
      </c>
      <c r="E1142">
        <v>4</v>
      </c>
      <c r="F1142">
        <v>0.96</v>
      </c>
      <c r="G1142">
        <v>0.51666666999999999</v>
      </c>
    </row>
    <row r="1143" spans="1:7" x14ac:dyDescent="0.3">
      <c r="A1143">
        <v>95</v>
      </c>
      <c r="B1143">
        <v>314</v>
      </c>
      <c r="C1143">
        <v>43</v>
      </c>
      <c r="D1143">
        <v>49</v>
      </c>
      <c r="E1143">
        <v>1</v>
      </c>
      <c r="F1143">
        <v>0.34</v>
      </c>
      <c r="G1143">
        <v>6.5</v>
      </c>
    </row>
    <row r="1144" spans="1:7" x14ac:dyDescent="0.3">
      <c r="A1144">
        <v>25</v>
      </c>
      <c r="B1144">
        <v>306</v>
      </c>
      <c r="C1144">
        <v>3</v>
      </c>
      <c r="D1144">
        <v>42</v>
      </c>
      <c r="E1144">
        <v>4</v>
      </c>
      <c r="F1144">
        <v>0.15</v>
      </c>
      <c r="G1144">
        <v>3.5</v>
      </c>
    </row>
    <row r="1145" spans="1:7" x14ac:dyDescent="0.3">
      <c r="A1145">
        <v>40</v>
      </c>
      <c r="B1145">
        <v>305</v>
      </c>
      <c r="C1145">
        <v>40</v>
      </c>
      <c r="D1145">
        <v>9</v>
      </c>
      <c r="E1145">
        <v>4</v>
      </c>
      <c r="F1145">
        <v>0.94</v>
      </c>
      <c r="G1145">
        <v>2</v>
      </c>
    </row>
    <row r="1146" spans="1:7" x14ac:dyDescent="0.3">
      <c r="A1146">
        <v>50</v>
      </c>
      <c r="B1146">
        <v>305</v>
      </c>
      <c r="C1146">
        <v>45</v>
      </c>
      <c r="D1146">
        <v>13</v>
      </c>
      <c r="E1146">
        <v>4</v>
      </c>
      <c r="F1146">
        <v>0.98</v>
      </c>
      <c r="G1146">
        <v>2</v>
      </c>
    </row>
    <row r="1147" spans="1:7" x14ac:dyDescent="0.3">
      <c r="A1147">
        <v>95</v>
      </c>
      <c r="B1147">
        <v>301</v>
      </c>
      <c r="C1147">
        <v>44</v>
      </c>
      <c r="D1147">
        <v>91</v>
      </c>
      <c r="E1147">
        <v>4</v>
      </c>
      <c r="F1147">
        <v>0.98</v>
      </c>
      <c r="G1147">
        <v>7.5</v>
      </c>
    </row>
    <row r="1148" spans="1:7" x14ac:dyDescent="0.3">
      <c r="A1148">
        <v>200</v>
      </c>
      <c r="B1148">
        <v>300</v>
      </c>
      <c r="C1148">
        <v>16</v>
      </c>
      <c r="D1148">
        <v>66</v>
      </c>
      <c r="E1148">
        <v>4</v>
      </c>
      <c r="F1148">
        <v>0.98</v>
      </c>
      <c r="G1148">
        <v>6</v>
      </c>
    </row>
    <row r="1149" spans="1:7" x14ac:dyDescent="0.3">
      <c r="A1149">
        <v>50</v>
      </c>
      <c r="B1149">
        <v>300</v>
      </c>
      <c r="C1149">
        <v>31</v>
      </c>
      <c r="D1149">
        <v>38</v>
      </c>
      <c r="E1149">
        <v>4</v>
      </c>
      <c r="F1149">
        <v>0.98</v>
      </c>
      <c r="G1149">
        <v>3</v>
      </c>
    </row>
    <row r="1150" spans="1:7" x14ac:dyDescent="0.3">
      <c r="A1150">
        <v>125</v>
      </c>
      <c r="B1150">
        <v>299</v>
      </c>
      <c r="C1150">
        <v>75</v>
      </c>
      <c r="D1150">
        <v>34</v>
      </c>
      <c r="E1150">
        <v>4</v>
      </c>
      <c r="F1150">
        <v>0.98</v>
      </c>
      <c r="G1150">
        <v>3.5</v>
      </c>
    </row>
    <row r="1151" spans="1:7" x14ac:dyDescent="0.3">
      <c r="A1151">
        <v>35</v>
      </c>
      <c r="B1151">
        <v>298</v>
      </c>
      <c r="C1151">
        <v>20</v>
      </c>
      <c r="D1151">
        <v>24</v>
      </c>
      <c r="E1151">
        <v>4</v>
      </c>
      <c r="F1151">
        <v>0.98</v>
      </c>
      <c r="G1151">
        <v>1.5</v>
      </c>
    </row>
    <row r="1152" spans="1:7" x14ac:dyDescent="0.3">
      <c r="A1152">
        <v>125</v>
      </c>
      <c r="B1152">
        <v>293</v>
      </c>
      <c r="C1152">
        <v>30</v>
      </c>
      <c r="D1152">
        <v>31</v>
      </c>
      <c r="E1152">
        <v>4</v>
      </c>
      <c r="F1152">
        <v>0.98</v>
      </c>
      <c r="G1152">
        <v>3.5</v>
      </c>
    </row>
    <row r="1153" spans="1:7" x14ac:dyDescent="0.3">
      <c r="A1153">
        <v>25</v>
      </c>
      <c r="B1153">
        <v>289</v>
      </c>
      <c r="C1153">
        <v>30</v>
      </c>
      <c r="D1153">
        <v>30</v>
      </c>
      <c r="E1153">
        <v>4</v>
      </c>
      <c r="F1153">
        <v>0.98</v>
      </c>
      <c r="G1153">
        <v>4</v>
      </c>
    </row>
    <row r="1154" spans="1:7" x14ac:dyDescent="0.3">
      <c r="A1154">
        <v>200</v>
      </c>
      <c r="B1154">
        <v>279</v>
      </c>
      <c r="C1154">
        <v>37</v>
      </c>
      <c r="D1154">
        <v>119</v>
      </c>
      <c r="E1154">
        <v>4</v>
      </c>
      <c r="F1154">
        <v>0.98</v>
      </c>
      <c r="G1154">
        <v>10</v>
      </c>
    </row>
    <row r="1155" spans="1:7" x14ac:dyDescent="0.3">
      <c r="A1155">
        <v>20</v>
      </c>
      <c r="B1155">
        <v>263</v>
      </c>
      <c r="C1155">
        <v>14</v>
      </c>
      <c r="D1155">
        <v>7</v>
      </c>
      <c r="E1155">
        <v>4</v>
      </c>
      <c r="F1155">
        <v>0.98</v>
      </c>
      <c r="G1155">
        <v>1</v>
      </c>
    </row>
    <row r="1156" spans="1:7" x14ac:dyDescent="0.3">
      <c r="A1156">
        <v>200</v>
      </c>
      <c r="B1156">
        <v>260</v>
      </c>
      <c r="C1156">
        <v>22</v>
      </c>
      <c r="D1156">
        <v>64</v>
      </c>
      <c r="E1156">
        <v>4</v>
      </c>
      <c r="F1156">
        <v>0.98</v>
      </c>
      <c r="G1156">
        <v>11</v>
      </c>
    </row>
    <row r="1157" spans="1:7" x14ac:dyDescent="0.3">
      <c r="A1157">
        <v>30</v>
      </c>
      <c r="B1157">
        <v>255</v>
      </c>
      <c r="C1157">
        <v>5</v>
      </c>
      <c r="D1157">
        <v>9</v>
      </c>
      <c r="E1157">
        <v>1</v>
      </c>
      <c r="F1157">
        <v>0.11</v>
      </c>
      <c r="G1157">
        <v>1</v>
      </c>
    </row>
    <row r="1158" spans="1:7" x14ac:dyDescent="0.3">
      <c r="A1158">
        <v>100</v>
      </c>
      <c r="B1158">
        <v>253</v>
      </c>
      <c r="C1158">
        <v>34</v>
      </c>
      <c r="D1158">
        <v>45</v>
      </c>
      <c r="E1158">
        <v>1</v>
      </c>
      <c r="F1158">
        <v>0.3</v>
      </c>
      <c r="G1158">
        <v>7</v>
      </c>
    </row>
    <row r="1159" spans="1:7" x14ac:dyDescent="0.3">
      <c r="A1159">
        <v>40</v>
      </c>
      <c r="B1159">
        <v>252</v>
      </c>
      <c r="C1159">
        <v>46</v>
      </c>
      <c r="D1159">
        <v>79</v>
      </c>
      <c r="E1159">
        <v>2</v>
      </c>
      <c r="F1159">
        <v>0.71</v>
      </c>
      <c r="G1159">
        <v>6.5</v>
      </c>
    </row>
    <row r="1160" spans="1:7" x14ac:dyDescent="0.3">
      <c r="A1160">
        <v>145</v>
      </c>
      <c r="B1160">
        <v>251</v>
      </c>
      <c r="C1160">
        <v>32</v>
      </c>
      <c r="D1160">
        <v>25</v>
      </c>
      <c r="E1160">
        <v>1</v>
      </c>
      <c r="F1160">
        <v>0.8</v>
      </c>
      <c r="G1160">
        <v>3.5</v>
      </c>
    </row>
    <row r="1161" spans="1:7" x14ac:dyDescent="0.3">
      <c r="A1161">
        <v>40</v>
      </c>
      <c r="B1161">
        <v>245</v>
      </c>
      <c r="C1161">
        <v>23</v>
      </c>
      <c r="D1161">
        <v>36</v>
      </c>
      <c r="E1161">
        <v>4</v>
      </c>
      <c r="F1161">
        <v>0.55000000000000004</v>
      </c>
      <c r="G1161">
        <v>1</v>
      </c>
    </row>
    <row r="1162" spans="1:7" x14ac:dyDescent="0.3">
      <c r="A1162">
        <v>35</v>
      </c>
      <c r="B1162">
        <v>244</v>
      </c>
      <c r="C1162">
        <v>44</v>
      </c>
      <c r="D1162">
        <v>21</v>
      </c>
      <c r="E1162">
        <v>1</v>
      </c>
      <c r="F1162">
        <v>0.3</v>
      </c>
      <c r="G1162">
        <v>3</v>
      </c>
    </row>
    <row r="1163" spans="1:7" x14ac:dyDescent="0.3">
      <c r="A1163">
        <v>50</v>
      </c>
      <c r="B1163">
        <v>240</v>
      </c>
      <c r="C1163">
        <v>45</v>
      </c>
      <c r="D1163">
        <v>358</v>
      </c>
      <c r="E1163">
        <v>4</v>
      </c>
      <c r="F1163">
        <v>0.7</v>
      </c>
      <c r="G1163">
        <v>66.5</v>
      </c>
    </row>
    <row r="1164" spans="1:7" x14ac:dyDescent="0.3">
      <c r="A1164">
        <v>65</v>
      </c>
      <c r="B1164">
        <v>237</v>
      </c>
      <c r="C1164">
        <v>22</v>
      </c>
      <c r="D1164">
        <v>52</v>
      </c>
      <c r="E1164">
        <v>1</v>
      </c>
      <c r="F1164">
        <v>0.34</v>
      </c>
      <c r="G1164">
        <v>3.5</v>
      </c>
    </row>
    <row r="1165" spans="1:7" x14ac:dyDescent="0.3">
      <c r="A1165">
        <v>40</v>
      </c>
      <c r="B1165">
        <v>236</v>
      </c>
      <c r="C1165">
        <v>31</v>
      </c>
      <c r="D1165">
        <v>35</v>
      </c>
      <c r="E1165">
        <v>4</v>
      </c>
      <c r="F1165">
        <v>0.96</v>
      </c>
      <c r="G1165">
        <v>4</v>
      </c>
    </row>
    <row r="1166" spans="1:7" x14ac:dyDescent="0.3">
      <c r="A1166">
        <v>150</v>
      </c>
      <c r="B1166">
        <v>228</v>
      </c>
      <c r="C1166">
        <v>9</v>
      </c>
      <c r="D1166">
        <v>72</v>
      </c>
      <c r="E1166">
        <v>1</v>
      </c>
      <c r="F1166">
        <v>0.61</v>
      </c>
      <c r="G1166">
        <v>6.5</v>
      </c>
    </row>
    <row r="1167" spans="1:7" x14ac:dyDescent="0.3">
      <c r="A1167">
        <v>95</v>
      </c>
      <c r="B1167">
        <v>227</v>
      </c>
      <c r="C1167">
        <v>16</v>
      </c>
      <c r="D1167">
        <v>20</v>
      </c>
      <c r="E1167">
        <v>4</v>
      </c>
      <c r="F1167">
        <v>0.96</v>
      </c>
      <c r="G1167">
        <v>2</v>
      </c>
    </row>
    <row r="1168" spans="1:7" x14ac:dyDescent="0.3">
      <c r="A1168">
        <v>125</v>
      </c>
      <c r="B1168">
        <v>223</v>
      </c>
      <c r="C1168">
        <v>26</v>
      </c>
      <c r="D1168">
        <v>27</v>
      </c>
      <c r="E1168">
        <v>3</v>
      </c>
      <c r="F1168">
        <v>0.26</v>
      </c>
      <c r="G1168">
        <v>3.5</v>
      </c>
    </row>
    <row r="1169" spans="1:7" x14ac:dyDescent="0.3">
      <c r="A1169">
        <v>50</v>
      </c>
      <c r="B1169">
        <v>222</v>
      </c>
      <c r="C1169">
        <v>9</v>
      </c>
      <c r="D1169">
        <v>60</v>
      </c>
      <c r="E1169">
        <v>4</v>
      </c>
      <c r="F1169">
        <v>0.78</v>
      </c>
      <c r="G1169">
        <v>8.5</v>
      </c>
    </row>
    <row r="1170" spans="1:7" x14ac:dyDescent="0.3">
      <c r="A1170">
        <v>95</v>
      </c>
      <c r="B1170">
        <v>216</v>
      </c>
      <c r="C1170">
        <v>28</v>
      </c>
      <c r="D1170">
        <v>16</v>
      </c>
      <c r="E1170">
        <v>2</v>
      </c>
      <c r="F1170">
        <v>0.89</v>
      </c>
      <c r="G1170">
        <v>2</v>
      </c>
    </row>
    <row r="1171" spans="1:7" x14ac:dyDescent="0.3">
      <c r="A1171">
        <v>25</v>
      </c>
      <c r="B1171">
        <v>214</v>
      </c>
      <c r="C1171">
        <v>34</v>
      </c>
      <c r="D1171">
        <v>24</v>
      </c>
      <c r="E1171">
        <v>1</v>
      </c>
      <c r="F1171">
        <v>0.1</v>
      </c>
      <c r="G1171">
        <v>2</v>
      </c>
    </row>
    <row r="1172" spans="1:7" x14ac:dyDescent="0.3">
      <c r="A1172">
        <v>30</v>
      </c>
      <c r="B1172">
        <v>210</v>
      </c>
      <c r="C1172">
        <v>19</v>
      </c>
      <c r="D1172">
        <v>41</v>
      </c>
      <c r="E1172">
        <v>4</v>
      </c>
      <c r="F1172">
        <v>0.47</v>
      </c>
      <c r="G1172">
        <v>5</v>
      </c>
    </row>
    <row r="1173" spans="1:7" x14ac:dyDescent="0.3">
      <c r="A1173">
        <v>50</v>
      </c>
      <c r="B1173">
        <v>208</v>
      </c>
      <c r="C1173">
        <v>48</v>
      </c>
      <c r="D1173">
        <v>29</v>
      </c>
      <c r="E1173">
        <v>4</v>
      </c>
      <c r="F1173">
        <v>0.35</v>
      </c>
      <c r="G1173">
        <v>2</v>
      </c>
    </row>
    <row r="1174" spans="1:7" x14ac:dyDescent="0.3">
      <c r="A1174">
        <v>40</v>
      </c>
      <c r="B1174">
        <v>207</v>
      </c>
      <c r="C1174">
        <v>32</v>
      </c>
      <c r="D1174">
        <v>32</v>
      </c>
      <c r="E1174">
        <v>1</v>
      </c>
      <c r="F1174">
        <v>0.74</v>
      </c>
      <c r="G1174">
        <v>5</v>
      </c>
    </row>
    <row r="1175" spans="1:7" x14ac:dyDescent="0.3">
      <c r="A1175">
        <v>100</v>
      </c>
      <c r="B1175">
        <v>205</v>
      </c>
      <c r="C1175">
        <v>38</v>
      </c>
      <c r="D1175">
        <v>97</v>
      </c>
      <c r="E1175">
        <v>1</v>
      </c>
      <c r="F1175">
        <v>0.7</v>
      </c>
      <c r="G1175">
        <v>13.5</v>
      </c>
    </row>
    <row r="1176" spans="1:7" x14ac:dyDescent="0.3">
      <c r="A1176">
        <v>50</v>
      </c>
      <c r="B1176">
        <v>203</v>
      </c>
      <c r="C1176">
        <v>33</v>
      </c>
      <c r="D1176">
        <v>15</v>
      </c>
      <c r="E1176">
        <v>1</v>
      </c>
      <c r="F1176">
        <v>0.34</v>
      </c>
      <c r="G1176">
        <v>3</v>
      </c>
    </row>
    <row r="1177" spans="1:7" x14ac:dyDescent="0.3">
      <c r="A1177">
        <v>85</v>
      </c>
      <c r="B1177">
        <v>197</v>
      </c>
      <c r="C1177">
        <v>26</v>
      </c>
      <c r="D1177">
        <v>28</v>
      </c>
      <c r="E1177">
        <v>4</v>
      </c>
      <c r="F1177">
        <v>0.78</v>
      </c>
      <c r="G1177">
        <v>3.5</v>
      </c>
    </row>
    <row r="1178" spans="1:7" x14ac:dyDescent="0.3">
      <c r="A1178">
        <v>100</v>
      </c>
      <c r="B1178">
        <v>197</v>
      </c>
      <c r="C1178">
        <v>11</v>
      </c>
      <c r="D1178">
        <v>53</v>
      </c>
      <c r="E1178">
        <v>1</v>
      </c>
      <c r="F1178">
        <v>0.64</v>
      </c>
      <c r="G1178">
        <v>3.5</v>
      </c>
    </row>
    <row r="1179" spans="1:7" x14ac:dyDescent="0.3">
      <c r="A1179">
        <v>40</v>
      </c>
      <c r="B1179">
        <v>194</v>
      </c>
      <c r="C1179">
        <v>26</v>
      </c>
      <c r="D1179">
        <v>87</v>
      </c>
      <c r="E1179">
        <v>4</v>
      </c>
      <c r="F1179">
        <v>0.36</v>
      </c>
      <c r="G1179">
        <v>10</v>
      </c>
    </row>
    <row r="1180" spans="1:7" x14ac:dyDescent="0.3">
      <c r="A1180">
        <v>35</v>
      </c>
      <c r="B1180">
        <v>189</v>
      </c>
      <c r="C1180">
        <v>7</v>
      </c>
      <c r="D1180">
        <v>16</v>
      </c>
      <c r="E1180">
        <v>1</v>
      </c>
      <c r="F1180">
        <v>0.76</v>
      </c>
      <c r="G1180">
        <v>1</v>
      </c>
    </row>
    <row r="1181" spans="1:7" x14ac:dyDescent="0.3">
      <c r="A1181">
        <v>165</v>
      </c>
      <c r="B1181">
        <v>183</v>
      </c>
      <c r="C1181">
        <v>30</v>
      </c>
      <c r="D1181">
        <v>47</v>
      </c>
      <c r="E1181">
        <v>1</v>
      </c>
      <c r="F1181">
        <v>1</v>
      </c>
      <c r="G1181">
        <v>5.5</v>
      </c>
    </row>
    <row r="1182" spans="1:7" x14ac:dyDescent="0.3">
      <c r="A1182">
        <v>95</v>
      </c>
      <c r="B1182">
        <v>177</v>
      </c>
      <c r="C1182">
        <v>19</v>
      </c>
      <c r="D1182">
        <v>10</v>
      </c>
      <c r="E1182">
        <v>4</v>
      </c>
      <c r="F1182">
        <v>0.98</v>
      </c>
      <c r="G1182">
        <v>1</v>
      </c>
    </row>
    <row r="1183" spans="1:7" x14ac:dyDescent="0.3">
      <c r="A1183">
        <v>125</v>
      </c>
      <c r="B1183">
        <v>170</v>
      </c>
      <c r="C1183">
        <v>21</v>
      </c>
      <c r="D1183">
        <v>78</v>
      </c>
      <c r="E1183">
        <v>4</v>
      </c>
      <c r="F1183">
        <v>1</v>
      </c>
      <c r="G1183">
        <v>9</v>
      </c>
    </row>
    <row r="1184" spans="1:7" x14ac:dyDescent="0.3">
      <c r="A1184">
        <v>50</v>
      </c>
      <c r="B1184">
        <v>166</v>
      </c>
      <c r="C1184">
        <v>21</v>
      </c>
      <c r="D1184">
        <v>37</v>
      </c>
      <c r="E1184">
        <v>4</v>
      </c>
      <c r="F1184">
        <v>0.75</v>
      </c>
      <c r="G1184">
        <v>2.5</v>
      </c>
    </row>
    <row r="1185" spans="1:7" x14ac:dyDescent="0.3">
      <c r="A1185">
        <v>50</v>
      </c>
      <c r="B1185">
        <v>165</v>
      </c>
      <c r="C1185">
        <v>13</v>
      </c>
      <c r="D1185">
        <v>28</v>
      </c>
      <c r="E1185">
        <v>1</v>
      </c>
      <c r="F1185">
        <v>0.89</v>
      </c>
      <c r="G1185">
        <v>3</v>
      </c>
    </row>
    <row r="1186" spans="1:7" x14ac:dyDescent="0.3">
      <c r="A1186">
        <v>200</v>
      </c>
      <c r="B1186">
        <v>155</v>
      </c>
      <c r="C1186">
        <v>9</v>
      </c>
      <c r="D1186">
        <v>37</v>
      </c>
      <c r="E1186">
        <v>2</v>
      </c>
      <c r="F1186">
        <v>0.89</v>
      </c>
      <c r="G1186">
        <v>6</v>
      </c>
    </row>
    <row r="1187" spans="1:7" x14ac:dyDescent="0.3">
      <c r="A1187">
        <v>20</v>
      </c>
      <c r="B1187">
        <v>151</v>
      </c>
      <c r="C1187">
        <v>40</v>
      </c>
      <c r="D1187">
        <v>30</v>
      </c>
      <c r="E1187">
        <v>4</v>
      </c>
      <c r="F1187">
        <v>0.89</v>
      </c>
      <c r="G1187">
        <v>5</v>
      </c>
    </row>
    <row r="1188" spans="1:7" x14ac:dyDescent="0.3">
      <c r="A1188">
        <v>20</v>
      </c>
      <c r="B1188">
        <v>130</v>
      </c>
      <c r="C1188">
        <v>14</v>
      </c>
      <c r="D1188">
        <v>20</v>
      </c>
      <c r="E1188">
        <v>4</v>
      </c>
      <c r="F1188">
        <v>0.89</v>
      </c>
      <c r="G1188">
        <v>0.61666666999999997</v>
      </c>
    </row>
    <row r="1189" spans="1:7" x14ac:dyDescent="0.3">
      <c r="A1189">
        <v>50</v>
      </c>
      <c r="B1189">
        <v>122</v>
      </c>
      <c r="C1189">
        <v>10</v>
      </c>
      <c r="D1189">
        <v>116</v>
      </c>
      <c r="E1189">
        <v>1</v>
      </c>
      <c r="F1189">
        <v>0.89</v>
      </c>
      <c r="G1189">
        <v>10.5</v>
      </c>
    </row>
    <row r="1190" spans="1:7" x14ac:dyDescent="0.3">
      <c r="A1190">
        <v>50</v>
      </c>
      <c r="B1190">
        <v>119</v>
      </c>
      <c r="C1190">
        <v>6</v>
      </c>
      <c r="D1190">
        <v>70</v>
      </c>
      <c r="E1190">
        <v>1</v>
      </c>
      <c r="F1190">
        <v>0.89</v>
      </c>
      <c r="G1190">
        <v>10.5</v>
      </c>
    </row>
    <row r="1191" spans="1:7" x14ac:dyDescent="0.3">
      <c r="A1191">
        <v>30</v>
      </c>
      <c r="B1191">
        <v>116</v>
      </c>
      <c r="C1191">
        <v>12</v>
      </c>
      <c r="D1191">
        <v>7</v>
      </c>
      <c r="E1191">
        <v>1</v>
      </c>
      <c r="F1191">
        <v>0.89</v>
      </c>
      <c r="G1191">
        <v>1</v>
      </c>
    </row>
    <row r="1192" spans="1:7" x14ac:dyDescent="0.3">
      <c r="A1192">
        <v>175</v>
      </c>
      <c r="B1192">
        <v>109</v>
      </c>
      <c r="C1192">
        <v>17</v>
      </c>
      <c r="D1192">
        <v>69</v>
      </c>
      <c r="E1192">
        <v>4</v>
      </c>
      <c r="F1192">
        <v>0.96</v>
      </c>
      <c r="G1192">
        <v>9.5</v>
      </c>
    </row>
    <row r="1193" spans="1:7" x14ac:dyDescent="0.3">
      <c r="A1193">
        <v>200</v>
      </c>
      <c r="B1193">
        <v>103</v>
      </c>
      <c r="C1193">
        <v>11</v>
      </c>
      <c r="D1193">
        <v>72</v>
      </c>
      <c r="E1193">
        <v>4</v>
      </c>
      <c r="F1193">
        <v>0.47</v>
      </c>
      <c r="G1193">
        <v>5.5</v>
      </c>
    </row>
    <row r="1194" spans="1:7" x14ac:dyDescent="0.3">
      <c r="A1194">
        <v>25</v>
      </c>
      <c r="B1194">
        <v>102</v>
      </c>
      <c r="C1194">
        <v>27</v>
      </c>
      <c r="D1194">
        <v>36</v>
      </c>
      <c r="E1194">
        <v>4</v>
      </c>
      <c r="F1194">
        <v>0.62</v>
      </c>
      <c r="G1194">
        <v>2.5</v>
      </c>
    </row>
    <row r="1195" spans="1:7" x14ac:dyDescent="0.3">
      <c r="A1195">
        <v>200</v>
      </c>
      <c r="B1195">
        <v>91</v>
      </c>
      <c r="C1195">
        <v>5</v>
      </c>
      <c r="D1195">
        <v>53</v>
      </c>
      <c r="E1195">
        <v>1</v>
      </c>
      <c r="F1195">
        <v>0.55000000000000004</v>
      </c>
      <c r="G1195">
        <v>6.5</v>
      </c>
    </row>
    <row r="1196" spans="1:7" x14ac:dyDescent="0.3">
      <c r="A1196">
        <v>200</v>
      </c>
      <c r="B1196">
        <v>88</v>
      </c>
      <c r="C1196">
        <v>8</v>
      </c>
      <c r="D1196">
        <v>55</v>
      </c>
      <c r="E1196">
        <v>1</v>
      </c>
      <c r="F1196">
        <v>0.19</v>
      </c>
      <c r="G1196">
        <v>4.5</v>
      </c>
    </row>
    <row r="1197" spans="1:7" x14ac:dyDescent="0.3">
      <c r="A1197">
        <v>35</v>
      </c>
      <c r="B1197">
        <v>81</v>
      </c>
      <c r="C1197">
        <v>14</v>
      </c>
      <c r="D1197">
        <v>33</v>
      </c>
      <c r="E1197">
        <v>4</v>
      </c>
      <c r="F1197">
        <v>0.46</v>
      </c>
      <c r="G1197">
        <v>1</v>
      </c>
    </row>
    <row r="1198" spans="1:7" x14ac:dyDescent="0.3">
      <c r="A1198">
        <v>100</v>
      </c>
      <c r="B1198">
        <v>61</v>
      </c>
      <c r="C1198">
        <v>9</v>
      </c>
      <c r="D1198">
        <v>44</v>
      </c>
      <c r="E1198">
        <v>4</v>
      </c>
      <c r="F1198">
        <v>0.11</v>
      </c>
      <c r="G1198">
        <v>2</v>
      </c>
    </row>
    <row r="1199" spans="1:7" x14ac:dyDescent="0.3">
      <c r="A1199">
        <v>30</v>
      </c>
      <c r="B1199">
        <v>55</v>
      </c>
      <c r="C1199">
        <v>13</v>
      </c>
      <c r="D1199">
        <v>31</v>
      </c>
      <c r="E1199">
        <v>4</v>
      </c>
      <c r="F1199">
        <v>0.88</v>
      </c>
      <c r="G1199">
        <v>1.5</v>
      </c>
    </row>
    <row r="1200" spans="1:7" x14ac:dyDescent="0.3">
      <c r="A1200">
        <v>200</v>
      </c>
      <c r="B1200">
        <v>50</v>
      </c>
      <c r="C1200">
        <v>5</v>
      </c>
      <c r="D1200">
        <v>60</v>
      </c>
      <c r="E1200">
        <v>1</v>
      </c>
      <c r="F1200">
        <v>0.96</v>
      </c>
      <c r="G1200">
        <v>5</v>
      </c>
    </row>
    <row r="1201" spans="1:7" x14ac:dyDescent="0.3">
      <c r="A1201">
        <v>40</v>
      </c>
      <c r="B1201">
        <v>44</v>
      </c>
      <c r="C1201">
        <v>0</v>
      </c>
      <c r="D1201">
        <v>68</v>
      </c>
      <c r="E1201">
        <v>4</v>
      </c>
      <c r="F1201">
        <v>0.15</v>
      </c>
      <c r="G1201">
        <v>8.5</v>
      </c>
    </row>
    <row r="1202" spans="1:7" x14ac:dyDescent="0.3">
      <c r="A1202">
        <v>125</v>
      </c>
      <c r="B1202">
        <v>34</v>
      </c>
      <c r="C1202">
        <v>2</v>
      </c>
      <c r="D1202">
        <v>21</v>
      </c>
      <c r="E1202">
        <v>1</v>
      </c>
      <c r="F1202">
        <v>0.46</v>
      </c>
      <c r="G1202">
        <v>1.5</v>
      </c>
    </row>
    <row r="1203" spans="1:7" x14ac:dyDescent="0.3">
      <c r="A1203">
        <v>100</v>
      </c>
      <c r="B1203">
        <v>25</v>
      </c>
      <c r="C1203">
        <v>4</v>
      </c>
      <c r="D1203">
        <v>66</v>
      </c>
      <c r="E1203">
        <v>1</v>
      </c>
      <c r="F1203">
        <v>0.67</v>
      </c>
      <c r="G1203">
        <v>12.5</v>
      </c>
    </row>
    <row r="1204" spans="1:7" x14ac:dyDescent="0.3">
      <c r="A1204">
        <v>200</v>
      </c>
      <c r="B1204">
        <v>19</v>
      </c>
      <c r="C1204">
        <v>2</v>
      </c>
      <c r="D1204">
        <v>33</v>
      </c>
      <c r="E1204">
        <v>1</v>
      </c>
      <c r="F1204">
        <v>0.12</v>
      </c>
      <c r="G1204">
        <v>4</v>
      </c>
    </row>
  </sheetData>
  <autoFilter ref="A1:G1204" xr:uid="{4AAE4D95-A7A9-4B81-A169-F610D733A1C3}"/>
  <sortState xmlns:xlrd2="http://schemas.microsoft.com/office/spreadsheetml/2017/richdata2" ref="I23:I56">
    <sortCondition ref="I23"/>
  </sortState>
  <mergeCells count="7">
    <mergeCell ref="U4:V4"/>
    <mergeCell ref="I4:J4"/>
    <mergeCell ref="K4:L4"/>
    <mergeCell ref="M4:N4"/>
    <mergeCell ref="O4:P4"/>
    <mergeCell ref="Q4:R4"/>
    <mergeCell ref="S4:T4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9DDF-E8E1-4AB0-A948-3D451454D158}">
  <dimension ref="A1:K2384"/>
  <sheetViews>
    <sheetView workbookViewId="0">
      <selection activeCell="I14" sqref="I14"/>
    </sheetView>
  </sheetViews>
  <sheetFormatPr defaultRowHeight="14.4" x14ac:dyDescent="0.3"/>
  <cols>
    <col min="1" max="1" width="15.6640625" bestFit="1" customWidth="1"/>
    <col min="2" max="2" width="6.77734375" bestFit="1" customWidth="1"/>
    <col min="6" max="6" width="9.33203125" bestFit="1" customWidth="1"/>
    <col min="10" max="10" width="8.88671875" customWidth="1"/>
    <col min="11" max="11" width="10" bestFit="1" customWidth="1"/>
  </cols>
  <sheetData>
    <row r="1" spans="1:11" x14ac:dyDescent="0.3">
      <c r="A1" s="3" t="s">
        <v>2416</v>
      </c>
      <c r="B1" s="3" t="s">
        <v>10</v>
      </c>
    </row>
    <row r="2" spans="1:11" x14ac:dyDescent="0.3">
      <c r="A2">
        <v>1</v>
      </c>
      <c r="B2">
        <v>2013</v>
      </c>
      <c r="D2" s="3" t="s">
        <v>2416</v>
      </c>
      <c r="E2" t="s">
        <v>2433</v>
      </c>
      <c r="F2" t="s">
        <v>2434</v>
      </c>
      <c r="I2" s="3" t="s">
        <v>10</v>
      </c>
      <c r="J2" t="s">
        <v>2433</v>
      </c>
      <c r="K2" t="s">
        <v>2434</v>
      </c>
    </row>
    <row r="3" spans="1:11" x14ac:dyDescent="0.3">
      <c r="A3">
        <v>3</v>
      </c>
      <c r="B3">
        <v>2013</v>
      </c>
      <c r="D3">
        <v>1</v>
      </c>
      <c r="E3" cm="1">
        <f t="array" ref="E3:E7">FREQUENCY(A2:A1204,D3:D6)</f>
        <v>422</v>
      </c>
      <c r="F3" s="6">
        <f>E3/$E$8</f>
        <v>0.35078969243557773</v>
      </c>
      <c r="I3">
        <v>2011</v>
      </c>
      <c r="J3" cm="1">
        <f t="array" ref="J3:J10">FREQUENCY(B1:B1204,I3:I9)</f>
        <v>5</v>
      </c>
      <c r="K3" s="6">
        <f>J3/$J$11</f>
        <v>4.1562759767248547E-3</v>
      </c>
    </row>
    <row r="4" spans="1:11" x14ac:dyDescent="0.3">
      <c r="A4">
        <v>1</v>
      </c>
      <c r="B4">
        <v>2015</v>
      </c>
      <c r="D4">
        <v>2</v>
      </c>
      <c r="E4">
        <v>134</v>
      </c>
      <c r="F4" s="6">
        <f t="shared" ref="F4:F7" si="0">E4/$E$8</f>
        <v>0.1113881961762261</v>
      </c>
      <c r="I4">
        <v>2012</v>
      </c>
      <c r="J4">
        <v>19</v>
      </c>
      <c r="K4" s="6">
        <f t="shared" ref="K4:K10" si="1">J4/$J$11</f>
        <v>1.5793848711554447E-2</v>
      </c>
    </row>
    <row r="5" spans="1:11" x14ac:dyDescent="0.3">
      <c r="A5">
        <v>4</v>
      </c>
      <c r="B5">
        <v>2014</v>
      </c>
      <c r="D5">
        <v>3</v>
      </c>
      <c r="E5">
        <v>14</v>
      </c>
      <c r="F5" s="6">
        <f t="shared" si="0"/>
        <v>1.1637572734829594E-2</v>
      </c>
      <c r="I5">
        <v>2013</v>
      </c>
      <c r="J5">
        <v>55</v>
      </c>
      <c r="K5" s="6">
        <f t="shared" si="1"/>
        <v>4.5719035743973402E-2</v>
      </c>
    </row>
    <row r="6" spans="1:11" x14ac:dyDescent="0.3">
      <c r="A6">
        <v>1</v>
      </c>
      <c r="B6">
        <v>2016</v>
      </c>
      <c r="D6">
        <v>4</v>
      </c>
      <c r="E6">
        <v>633</v>
      </c>
      <c r="F6" s="6">
        <f t="shared" si="0"/>
        <v>0.52618453865336656</v>
      </c>
      <c r="I6">
        <v>2014</v>
      </c>
      <c r="J6">
        <v>115</v>
      </c>
      <c r="K6" s="6">
        <f t="shared" si="1"/>
        <v>9.5594347464671658E-2</v>
      </c>
    </row>
    <row r="7" spans="1:11" x14ac:dyDescent="0.3">
      <c r="A7">
        <v>4</v>
      </c>
      <c r="B7">
        <v>2015</v>
      </c>
      <c r="D7" s="11" t="s">
        <v>2432</v>
      </c>
      <c r="E7">
        <v>0</v>
      </c>
      <c r="F7" s="6">
        <f t="shared" si="0"/>
        <v>0</v>
      </c>
      <c r="I7">
        <v>2015</v>
      </c>
      <c r="J7">
        <v>336</v>
      </c>
      <c r="K7" s="6">
        <f t="shared" si="1"/>
        <v>0.2793017456359102</v>
      </c>
    </row>
    <row r="8" spans="1:11" x14ac:dyDescent="0.3">
      <c r="A8">
        <v>4</v>
      </c>
      <c r="B8">
        <v>2013</v>
      </c>
      <c r="E8">
        <f>SUM(_xlfn.ANCHORARRAY(E3))</f>
        <v>1203</v>
      </c>
      <c r="F8" s="5">
        <f>SUM(F3:F7)</f>
        <v>1</v>
      </c>
      <c r="I8">
        <v>2016</v>
      </c>
      <c r="J8">
        <v>449</v>
      </c>
      <c r="K8" s="6">
        <f t="shared" si="1"/>
        <v>0.37323358270989193</v>
      </c>
    </row>
    <row r="9" spans="1:11" x14ac:dyDescent="0.3">
      <c r="A9">
        <v>2</v>
      </c>
      <c r="B9">
        <v>2014</v>
      </c>
      <c r="I9">
        <v>2017</v>
      </c>
      <c r="J9">
        <v>224</v>
      </c>
      <c r="K9" s="6">
        <f t="shared" si="1"/>
        <v>0.1862011637572735</v>
      </c>
    </row>
    <row r="10" spans="1:11" x14ac:dyDescent="0.3">
      <c r="A10">
        <v>4</v>
      </c>
      <c r="B10">
        <v>2015</v>
      </c>
      <c r="I10" s="11" t="s">
        <v>2432</v>
      </c>
      <c r="J10">
        <v>0</v>
      </c>
      <c r="K10" s="6">
        <f t="shared" si="1"/>
        <v>0</v>
      </c>
    </row>
    <row r="11" spans="1:11" x14ac:dyDescent="0.3">
      <c r="A11">
        <v>1</v>
      </c>
      <c r="B11">
        <v>2016</v>
      </c>
      <c r="J11">
        <f>SUM(_xlfn.ANCHORARRAY(J3))</f>
        <v>1203</v>
      </c>
      <c r="K11" s="7">
        <f>SUM(K3:K10)</f>
        <v>1</v>
      </c>
    </row>
    <row r="12" spans="1:11" x14ac:dyDescent="0.3">
      <c r="A12">
        <v>4</v>
      </c>
      <c r="B12">
        <v>2012</v>
      </c>
    </row>
    <row r="13" spans="1:11" x14ac:dyDescent="0.3">
      <c r="A13">
        <v>4</v>
      </c>
      <c r="B13">
        <v>2013</v>
      </c>
    </row>
    <row r="14" spans="1:11" x14ac:dyDescent="0.3">
      <c r="A14">
        <v>4</v>
      </c>
      <c r="B14">
        <v>2015</v>
      </c>
    </row>
    <row r="15" spans="1:11" x14ac:dyDescent="0.3">
      <c r="A15">
        <v>4</v>
      </c>
      <c r="B15">
        <v>2011</v>
      </c>
    </row>
    <row r="16" spans="1:11" x14ac:dyDescent="0.3">
      <c r="A16">
        <v>1</v>
      </c>
      <c r="B16">
        <v>2014</v>
      </c>
    </row>
    <row r="17" spans="1:2" x14ac:dyDescent="0.3">
      <c r="A17">
        <v>4</v>
      </c>
      <c r="B17">
        <v>2013</v>
      </c>
    </row>
    <row r="18" spans="1:2" x14ac:dyDescent="0.3">
      <c r="A18">
        <v>1</v>
      </c>
      <c r="B18">
        <v>2014</v>
      </c>
    </row>
    <row r="19" spans="1:2" x14ac:dyDescent="0.3">
      <c r="A19">
        <v>1</v>
      </c>
      <c r="B19">
        <v>2015</v>
      </c>
    </row>
    <row r="20" spans="1:2" x14ac:dyDescent="0.3">
      <c r="A20">
        <v>4</v>
      </c>
      <c r="B20">
        <v>2015</v>
      </c>
    </row>
    <row r="21" spans="1:2" x14ac:dyDescent="0.3">
      <c r="A21">
        <v>2</v>
      </c>
      <c r="B21">
        <v>2015</v>
      </c>
    </row>
    <row r="22" spans="1:2" x14ac:dyDescent="0.3">
      <c r="A22">
        <v>4</v>
      </c>
      <c r="B22">
        <v>2013</v>
      </c>
    </row>
    <row r="23" spans="1:2" x14ac:dyDescent="0.3">
      <c r="A23">
        <v>4</v>
      </c>
      <c r="B23">
        <v>2015</v>
      </c>
    </row>
    <row r="24" spans="1:2" x14ac:dyDescent="0.3">
      <c r="A24">
        <v>4</v>
      </c>
      <c r="B24">
        <v>2013</v>
      </c>
    </row>
    <row r="25" spans="1:2" x14ac:dyDescent="0.3">
      <c r="A25">
        <v>4</v>
      </c>
      <c r="B25">
        <v>2012</v>
      </c>
    </row>
    <row r="26" spans="1:2" x14ac:dyDescent="0.3">
      <c r="A26">
        <v>4</v>
      </c>
      <c r="B26">
        <v>2016</v>
      </c>
    </row>
    <row r="27" spans="1:2" x14ac:dyDescent="0.3">
      <c r="A27">
        <v>4</v>
      </c>
      <c r="B27">
        <v>2015</v>
      </c>
    </row>
    <row r="28" spans="1:2" x14ac:dyDescent="0.3">
      <c r="A28">
        <v>1</v>
      </c>
      <c r="B28">
        <v>2013</v>
      </c>
    </row>
    <row r="29" spans="1:2" x14ac:dyDescent="0.3">
      <c r="A29">
        <v>4</v>
      </c>
      <c r="B29">
        <v>2015</v>
      </c>
    </row>
    <row r="30" spans="1:2" x14ac:dyDescent="0.3">
      <c r="A30">
        <v>4</v>
      </c>
      <c r="B30">
        <v>2016</v>
      </c>
    </row>
    <row r="31" spans="1:2" x14ac:dyDescent="0.3">
      <c r="A31">
        <v>1</v>
      </c>
      <c r="B31">
        <v>2016</v>
      </c>
    </row>
    <row r="32" spans="1:2" x14ac:dyDescent="0.3">
      <c r="A32">
        <v>4</v>
      </c>
      <c r="B32">
        <v>2016</v>
      </c>
    </row>
    <row r="33" spans="1:2" x14ac:dyDescent="0.3">
      <c r="A33">
        <v>1</v>
      </c>
      <c r="B33">
        <v>2012</v>
      </c>
    </row>
    <row r="34" spans="1:2" x14ac:dyDescent="0.3">
      <c r="A34">
        <v>1</v>
      </c>
      <c r="B34">
        <v>2015</v>
      </c>
    </row>
    <row r="35" spans="1:2" x14ac:dyDescent="0.3">
      <c r="A35">
        <v>4</v>
      </c>
      <c r="B35">
        <v>2015</v>
      </c>
    </row>
    <row r="36" spans="1:2" x14ac:dyDescent="0.3">
      <c r="A36">
        <v>1</v>
      </c>
      <c r="B36">
        <v>2016</v>
      </c>
    </row>
    <row r="37" spans="1:2" x14ac:dyDescent="0.3">
      <c r="A37">
        <v>4</v>
      </c>
      <c r="B37">
        <v>2014</v>
      </c>
    </row>
    <row r="38" spans="1:2" x14ac:dyDescent="0.3">
      <c r="A38">
        <v>1</v>
      </c>
      <c r="B38">
        <v>2015</v>
      </c>
    </row>
    <row r="39" spans="1:2" x14ac:dyDescent="0.3">
      <c r="A39">
        <v>1</v>
      </c>
      <c r="B39">
        <v>2012</v>
      </c>
    </row>
    <row r="40" spans="1:2" x14ac:dyDescent="0.3">
      <c r="A40">
        <v>4</v>
      </c>
      <c r="B40">
        <v>2015</v>
      </c>
    </row>
    <row r="41" spans="1:2" x14ac:dyDescent="0.3">
      <c r="A41">
        <v>1</v>
      </c>
      <c r="B41">
        <v>2014</v>
      </c>
    </row>
    <row r="42" spans="1:2" x14ac:dyDescent="0.3">
      <c r="A42">
        <v>1</v>
      </c>
      <c r="B42">
        <v>2016</v>
      </c>
    </row>
    <row r="43" spans="1:2" x14ac:dyDescent="0.3">
      <c r="A43">
        <v>1</v>
      </c>
      <c r="B43">
        <v>2015</v>
      </c>
    </row>
    <row r="44" spans="1:2" x14ac:dyDescent="0.3">
      <c r="A44">
        <v>4</v>
      </c>
      <c r="B44">
        <v>2016</v>
      </c>
    </row>
    <row r="45" spans="1:2" x14ac:dyDescent="0.3">
      <c r="A45">
        <v>1</v>
      </c>
      <c r="B45">
        <v>2015</v>
      </c>
    </row>
    <row r="46" spans="1:2" x14ac:dyDescent="0.3">
      <c r="A46">
        <v>1</v>
      </c>
      <c r="B46">
        <v>2016</v>
      </c>
    </row>
    <row r="47" spans="1:2" x14ac:dyDescent="0.3">
      <c r="A47">
        <v>4</v>
      </c>
      <c r="B47">
        <v>2014</v>
      </c>
    </row>
    <row r="48" spans="1:2" x14ac:dyDescent="0.3">
      <c r="A48">
        <v>1</v>
      </c>
      <c r="B48">
        <v>2015</v>
      </c>
    </row>
    <row r="49" spans="1:2" x14ac:dyDescent="0.3">
      <c r="A49">
        <v>4</v>
      </c>
      <c r="B49">
        <v>2011</v>
      </c>
    </row>
    <row r="50" spans="1:2" x14ac:dyDescent="0.3">
      <c r="A50">
        <v>4</v>
      </c>
      <c r="B50">
        <v>2015</v>
      </c>
    </row>
    <row r="51" spans="1:2" x14ac:dyDescent="0.3">
      <c r="A51">
        <v>4</v>
      </c>
      <c r="B51">
        <v>2012</v>
      </c>
    </row>
    <row r="52" spans="1:2" x14ac:dyDescent="0.3">
      <c r="A52">
        <v>4</v>
      </c>
      <c r="B52">
        <v>2012</v>
      </c>
    </row>
    <row r="53" spans="1:2" x14ac:dyDescent="0.3">
      <c r="A53">
        <v>2</v>
      </c>
      <c r="B53">
        <v>2016</v>
      </c>
    </row>
    <row r="54" spans="1:2" x14ac:dyDescent="0.3">
      <c r="A54">
        <v>4</v>
      </c>
      <c r="B54">
        <v>2015</v>
      </c>
    </row>
    <row r="55" spans="1:2" x14ac:dyDescent="0.3">
      <c r="A55">
        <v>1</v>
      </c>
      <c r="B55">
        <v>2015</v>
      </c>
    </row>
    <row r="56" spans="1:2" x14ac:dyDescent="0.3">
      <c r="A56">
        <v>4</v>
      </c>
      <c r="B56">
        <v>2015</v>
      </c>
    </row>
    <row r="57" spans="1:2" x14ac:dyDescent="0.3">
      <c r="A57">
        <v>1</v>
      </c>
      <c r="B57">
        <v>2015</v>
      </c>
    </row>
    <row r="58" spans="1:2" x14ac:dyDescent="0.3">
      <c r="A58">
        <v>1</v>
      </c>
      <c r="B58">
        <v>2013</v>
      </c>
    </row>
    <row r="59" spans="1:2" x14ac:dyDescent="0.3">
      <c r="A59">
        <v>4</v>
      </c>
      <c r="B59">
        <v>2016</v>
      </c>
    </row>
    <row r="60" spans="1:2" x14ac:dyDescent="0.3">
      <c r="A60">
        <v>4</v>
      </c>
      <c r="B60">
        <v>2013</v>
      </c>
    </row>
    <row r="61" spans="1:2" x14ac:dyDescent="0.3">
      <c r="A61">
        <v>4</v>
      </c>
      <c r="B61">
        <v>2013</v>
      </c>
    </row>
    <row r="62" spans="1:2" x14ac:dyDescent="0.3">
      <c r="A62">
        <v>4</v>
      </c>
      <c r="B62">
        <v>2016</v>
      </c>
    </row>
    <row r="63" spans="1:2" x14ac:dyDescent="0.3">
      <c r="A63">
        <v>1</v>
      </c>
      <c r="B63">
        <v>2015</v>
      </c>
    </row>
    <row r="64" spans="1:2" x14ac:dyDescent="0.3">
      <c r="A64">
        <v>4</v>
      </c>
      <c r="B64">
        <v>2015</v>
      </c>
    </row>
    <row r="65" spans="1:2" x14ac:dyDescent="0.3">
      <c r="A65">
        <v>4</v>
      </c>
      <c r="B65">
        <v>2016</v>
      </c>
    </row>
    <row r="66" spans="1:2" x14ac:dyDescent="0.3">
      <c r="A66">
        <v>4</v>
      </c>
      <c r="B66">
        <v>2013</v>
      </c>
    </row>
    <row r="67" spans="1:2" x14ac:dyDescent="0.3">
      <c r="A67">
        <v>1</v>
      </c>
      <c r="B67">
        <v>2016</v>
      </c>
    </row>
    <row r="68" spans="1:2" x14ac:dyDescent="0.3">
      <c r="A68">
        <v>1</v>
      </c>
      <c r="B68">
        <v>2016</v>
      </c>
    </row>
    <row r="69" spans="1:2" x14ac:dyDescent="0.3">
      <c r="A69">
        <v>4</v>
      </c>
      <c r="B69">
        <v>2013</v>
      </c>
    </row>
    <row r="70" spans="1:2" x14ac:dyDescent="0.3">
      <c r="A70">
        <v>4</v>
      </c>
      <c r="B70">
        <v>2016</v>
      </c>
    </row>
    <row r="71" spans="1:2" x14ac:dyDescent="0.3">
      <c r="A71">
        <v>1</v>
      </c>
      <c r="B71">
        <v>2015</v>
      </c>
    </row>
    <row r="72" spans="1:2" x14ac:dyDescent="0.3">
      <c r="A72">
        <v>2</v>
      </c>
      <c r="B72">
        <v>2014</v>
      </c>
    </row>
    <row r="73" spans="1:2" x14ac:dyDescent="0.3">
      <c r="A73">
        <v>1</v>
      </c>
      <c r="B73">
        <v>2015</v>
      </c>
    </row>
    <row r="74" spans="1:2" x14ac:dyDescent="0.3">
      <c r="A74">
        <v>1</v>
      </c>
      <c r="B74">
        <v>2016</v>
      </c>
    </row>
    <row r="75" spans="1:2" x14ac:dyDescent="0.3">
      <c r="A75">
        <v>2</v>
      </c>
      <c r="B75">
        <v>2016</v>
      </c>
    </row>
    <row r="76" spans="1:2" x14ac:dyDescent="0.3">
      <c r="A76">
        <v>4</v>
      </c>
      <c r="B76">
        <v>2014</v>
      </c>
    </row>
    <row r="77" spans="1:2" x14ac:dyDescent="0.3">
      <c r="A77">
        <v>4</v>
      </c>
      <c r="B77">
        <v>2016</v>
      </c>
    </row>
    <row r="78" spans="1:2" x14ac:dyDescent="0.3">
      <c r="A78">
        <v>1</v>
      </c>
      <c r="B78">
        <v>2014</v>
      </c>
    </row>
    <row r="79" spans="1:2" x14ac:dyDescent="0.3">
      <c r="A79">
        <v>1</v>
      </c>
      <c r="B79">
        <v>2015</v>
      </c>
    </row>
    <row r="80" spans="1:2" x14ac:dyDescent="0.3">
      <c r="A80">
        <v>4</v>
      </c>
      <c r="B80">
        <v>2014</v>
      </c>
    </row>
    <row r="81" spans="1:2" x14ac:dyDescent="0.3">
      <c r="A81">
        <v>4</v>
      </c>
      <c r="B81">
        <v>2013</v>
      </c>
    </row>
    <row r="82" spans="1:2" x14ac:dyDescent="0.3">
      <c r="A82">
        <v>4</v>
      </c>
      <c r="B82">
        <v>2013</v>
      </c>
    </row>
    <row r="83" spans="1:2" x14ac:dyDescent="0.3">
      <c r="A83">
        <v>4</v>
      </c>
      <c r="B83">
        <v>2013</v>
      </c>
    </row>
    <row r="84" spans="1:2" x14ac:dyDescent="0.3">
      <c r="A84">
        <v>4</v>
      </c>
      <c r="B84">
        <v>2015</v>
      </c>
    </row>
    <row r="85" spans="1:2" x14ac:dyDescent="0.3">
      <c r="A85">
        <v>1</v>
      </c>
      <c r="B85">
        <v>2015</v>
      </c>
    </row>
    <row r="86" spans="1:2" x14ac:dyDescent="0.3">
      <c r="A86">
        <v>1</v>
      </c>
      <c r="B86">
        <v>2014</v>
      </c>
    </row>
    <row r="87" spans="1:2" x14ac:dyDescent="0.3">
      <c r="A87">
        <v>1</v>
      </c>
      <c r="B87">
        <v>2017</v>
      </c>
    </row>
    <row r="88" spans="1:2" x14ac:dyDescent="0.3">
      <c r="A88">
        <v>4</v>
      </c>
      <c r="B88">
        <v>2016</v>
      </c>
    </row>
    <row r="89" spans="1:2" x14ac:dyDescent="0.3">
      <c r="A89">
        <v>4</v>
      </c>
      <c r="B89">
        <v>2015</v>
      </c>
    </row>
    <row r="90" spans="1:2" x14ac:dyDescent="0.3">
      <c r="A90">
        <v>2</v>
      </c>
      <c r="B90">
        <v>2016</v>
      </c>
    </row>
    <row r="91" spans="1:2" x14ac:dyDescent="0.3">
      <c r="A91">
        <v>4</v>
      </c>
      <c r="B91">
        <v>2015</v>
      </c>
    </row>
    <row r="92" spans="1:2" x14ac:dyDescent="0.3">
      <c r="A92">
        <v>4</v>
      </c>
      <c r="B92">
        <v>2015</v>
      </c>
    </row>
    <row r="93" spans="1:2" x14ac:dyDescent="0.3">
      <c r="A93">
        <v>4</v>
      </c>
      <c r="B93">
        <v>2015</v>
      </c>
    </row>
    <row r="94" spans="1:2" x14ac:dyDescent="0.3">
      <c r="A94">
        <v>3</v>
      </c>
      <c r="B94">
        <v>2016</v>
      </c>
    </row>
    <row r="95" spans="1:2" x14ac:dyDescent="0.3">
      <c r="A95">
        <v>1</v>
      </c>
      <c r="B95">
        <v>2012</v>
      </c>
    </row>
    <row r="96" spans="1:2" x14ac:dyDescent="0.3">
      <c r="A96">
        <v>2</v>
      </c>
      <c r="B96">
        <v>2014</v>
      </c>
    </row>
    <row r="97" spans="1:2" x14ac:dyDescent="0.3">
      <c r="A97">
        <v>1</v>
      </c>
      <c r="B97">
        <v>2016</v>
      </c>
    </row>
    <row r="98" spans="1:2" x14ac:dyDescent="0.3">
      <c r="A98">
        <v>4</v>
      </c>
      <c r="B98">
        <v>2017</v>
      </c>
    </row>
    <row r="99" spans="1:2" x14ac:dyDescent="0.3">
      <c r="A99">
        <v>4</v>
      </c>
      <c r="B99">
        <v>2015</v>
      </c>
    </row>
    <row r="100" spans="1:2" x14ac:dyDescent="0.3">
      <c r="A100">
        <v>4</v>
      </c>
      <c r="B100">
        <v>2015</v>
      </c>
    </row>
    <row r="101" spans="1:2" x14ac:dyDescent="0.3">
      <c r="A101">
        <v>4</v>
      </c>
      <c r="B101">
        <v>2014</v>
      </c>
    </row>
    <row r="102" spans="1:2" x14ac:dyDescent="0.3">
      <c r="A102">
        <v>1</v>
      </c>
      <c r="B102">
        <v>2014</v>
      </c>
    </row>
    <row r="103" spans="1:2" x14ac:dyDescent="0.3">
      <c r="A103">
        <v>2</v>
      </c>
      <c r="B103">
        <v>2016</v>
      </c>
    </row>
    <row r="104" spans="1:2" x14ac:dyDescent="0.3">
      <c r="A104">
        <v>1</v>
      </c>
      <c r="B104">
        <v>2016</v>
      </c>
    </row>
    <row r="105" spans="1:2" x14ac:dyDescent="0.3">
      <c r="A105">
        <v>1</v>
      </c>
      <c r="B105">
        <v>2013</v>
      </c>
    </row>
    <row r="106" spans="1:2" x14ac:dyDescent="0.3">
      <c r="A106">
        <v>4</v>
      </c>
      <c r="B106">
        <v>2017</v>
      </c>
    </row>
    <row r="107" spans="1:2" x14ac:dyDescent="0.3">
      <c r="A107">
        <v>1</v>
      </c>
      <c r="B107">
        <v>2016</v>
      </c>
    </row>
    <row r="108" spans="1:2" x14ac:dyDescent="0.3">
      <c r="A108">
        <v>4</v>
      </c>
      <c r="B108">
        <v>2014</v>
      </c>
    </row>
    <row r="109" spans="1:2" x14ac:dyDescent="0.3">
      <c r="A109">
        <v>4</v>
      </c>
      <c r="B109">
        <v>2014</v>
      </c>
    </row>
    <row r="110" spans="1:2" x14ac:dyDescent="0.3">
      <c r="A110">
        <v>1</v>
      </c>
      <c r="B110">
        <v>2015</v>
      </c>
    </row>
    <row r="111" spans="1:2" x14ac:dyDescent="0.3">
      <c r="A111">
        <v>4</v>
      </c>
      <c r="B111">
        <v>2017</v>
      </c>
    </row>
    <row r="112" spans="1:2" x14ac:dyDescent="0.3">
      <c r="A112">
        <v>4</v>
      </c>
      <c r="B112">
        <v>2012</v>
      </c>
    </row>
    <row r="113" spans="1:2" x14ac:dyDescent="0.3">
      <c r="A113">
        <v>1</v>
      </c>
      <c r="B113">
        <v>2014</v>
      </c>
    </row>
    <row r="114" spans="1:2" x14ac:dyDescent="0.3">
      <c r="A114">
        <v>1</v>
      </c>
      <c r="B114">
        <v>2015</v>
      </c>
    </row>
    <row r="115" spans="1:2" x14ac:dyDescent="0.3">
      <c r="A115">
        <v>4</v>
      </c>
      <c r="B115">
        <v>2016</v>
      </c>
    </row>
    <row r="116" spans="1:2" x14ac:dyDescent="0.3">
      <c r="A116">
        <v>4</v>
      </c>
      <c r="B116">
        <v>2014</v>
      </c>
    </row>
    <row r="117" spans="1:2" x14ac:dyDescent="0.3">
      <c r="A117">
        <v>4</v>
      </c>
      <c r="B117">
        <v>2016</v>
      </c>
    </row>
    <row r="118" spans="1:2" x14ac:dyDescent="0.3">
      <c r="A118">
        <v>1</v>
      </c>
      <c r="B118">
        <v>2015</v>
      </c>
    </row>
    <row r="119" spans="1:2" x14ac:dyDescent="0.3">
      <c r="A119">
        <v>2</v>
      </c>
      <c r="B119">
        <v>2014</v>
      </c>
    </row>
    <row r="120" spans="1:2" x14ac:dyDescent="0.3">
      <c r="A120">
        <v>1</v>
      </c>
      <c r="B120">
        <v>2013</v>
      </c>
    </row>
    <row r="121" spans="1:2" x14ac:dyDescent="0.3">
      <c r="A121">
        <v>1</v>
      </c>
      <c r="B121">
        <v>2015</v>
      </c>
    </row>
    <row r="122" spans="1:2" x14ac:dyDescent="0.3">
      <c r="A122">
        <v>4</v>
      </c>
      <c r="B122">
        <v>2015</v>
      </c>
    </row>
    <row r="123" spans="1:2" x14ac:dyDescent="0.3">
      <c r="A123">
        <v>4</v>
      </c>
      <c r="B123">
        <v>2016</v>
      </c>
    </row>
    <row r="124" spans="1:2" x14ac:dyDescent="0.3">
      <c r="A124">
        <v>4</v>
      </c>
      <c r="B124">
        <v>2015</v>
      </c>
    </row>
    <row r="125" spans="1:2" x14ac:dyDescent="0.3">
      <c r="A125">
        <v>4</v>
      </c>
      <c r="B125">
        <v>2013</v>
      </c>
    </row>
    <row r="126" spans="1:2" x14ac:dyDescent="0.3">
      <c r="A126">
        <v>4</v>
      </c>
      <c r="B126">
        <v>2015</v>
      </c>
    </row>
    <row r="127" spans="1:2" x14ac:dyDescent="0.3">
      <c r="A127">
        <v>4</v>
      </c>
      <c r="B127">
        <v>2014</v>
      </c>
    </row>
    <row r="128" spans="1:2" x14ac:dyDescent="0.3">
      <c r="A128">
        <v>4</v>
      </c>
      <c r="B128">
        <v>2016</v>
      </c>
    </row>
    <row r="129" spans="1:2" x14ac:dyDescent="0.3">
      <c r="A129">
        <v>1</v>
      </c>
      <c r="B129">
        <v>2015</v>
      </c>
    </row>
    <row r="130" spans="1:2" x14ac:dyDescent="0.3">
      <c r="A130">
        <v>4</v>
      </c>
      <c r="B130">
        <v>2016</v>
      </c>
    </row>
    <row r="131" spans="1:2" x14ac:dyDescent="0.3">
      <c r="A131">
        <v>1</v>
      </c>
      <c r="B131">
        <v>2016</v>
      </c>
    </row>
    <row r="132" spans="1:2" x14ac:dyDescent="0.3">
      <c r="A132">
        <v>4</v>
      </c>
      <c r="B132">
        <v>2017</v>
      </c>
    </row>
    <row r="133" spans="1:2" x14ac:dyDescent="0.3">
      <c r="A133">
        <v>1</v>
      </c>
      <c r="B133">
        <v>2016</v>
      </c>
    </row>
    <row r="134" spans="1:2" x14ac:dyDescent="0.3">
      <c r="A134">
        <v>4</v>
      </c>
      <c r="B134">
        <v>2015</v>
      </c>
    </row>
    <row r="135" spans="1:2" x14ac:dyDescent="0.3">
      <c r="A135">
        <v>4</v>
      </c>
      <c r="B135">
        <v>2014</v>
      </c>
    </row>
    <row r="136" spans="1:2" x14ac:dyDescent="0.3">
      <c r="A136">
        <v>1</v>
      </c>
      <c r="B136">
        <v>2016</v>
      </c>
    </row>
    <row r="137" spans="1:2" x14ac:dyDescent="0.3">
      <c r="A137">
        <v>1</v>
      </c>
      <c r="B137">
        <v>2016</v>
      </c>
    </row>
    <row r="138" spans="1:2" x14ac:dyDescent="0.3">
      <c r="A138">
        <v>2</v>
      </c>
      <c r="B138">
        <v>2016</v>
      </c>
    </row>
    <row r="139" spans="1:2" x14ac:dyDescent="0.3">
      <c r="A139">
        <v>4</v>
      </c>
      <c r="B139">
        <v>2016</v>
      </c>
    </row>
    <row r="140" spans="1:2" x14ac:dyDescent="0.3">
      <c r="A140">
        <v>1</v>
      </c>
      <c r="B140">
        <v>2015</v>
      </c>
    </row>
    <row r="141" spans="1:2" x14ac:dyDescent="0.3">
      <c r="A141">
        <v>4</v>
      </c>
      <c r="B141">
        <v>2016</v>
      </c>
    </row>
    <row r="142" spans="1:2" x14ac:dyDescent="0.3">
      <c r="A142">
        <v>4</v>
      </c>
      <c r="B142">
        <v>2015</v>
      </c>
    </row>
    <row r="143" spans="1:2" x14ac:dyDescent="0.3">
      <c r="A143">
        <v>1</v>
      </c>
      <c r="B143">
        <v>2016</v>
      </c>
    </row>
    <row r="144" spans="1:2" x14ac:dyDescent="0.3">
      <c r="A144">
        <v>4</v>
      </c>
      <c r="B144">
        <v>2015</v>
      </c>
    </row>
    <row r="145" spans="1:2" x14ac:dyDescent="0.3">
      <c r="A145">
        <v>1</v>
      </c>
      <c r="B145">
        <v>2013</v>
      </c>
    </row>
    <row r="146" spans="1:2" x14ac:dyDescent="0.3">
      <c r="A146">
        <v>2</v>
      </c>
      <c r="B146">
        <v>2016</v>
      </c>
    </row>
    <row r="147" spans="1:2" x14ac:dyDescent="0.3">
      <c r="A147">
        <v>4</v>
      </c>
      <c r="B147">
        <v>2017</v>
      </c>
    </row>
    <row r="148" spans="1:2" x14ac:dyDescent="0.3">
      <c r="A148">
        <v>2</v>
      </c>
      <c r="B148">
        <v>2016</v>
      </c>
    </row>
    <row r="149" spans="1:2" x14ac:dyDescent="0.3">
      <c r="A149">
        <v>1</v>
      </c>
      <c r="B149">
        <v>2015</v>
      </c>
    </row>
    <row r="150" spans="1:2" x14ac:dyDescent="0.3">
      <c r="A150">
        <v>4</v>
      </c>
      <c r="B150">
        <v>2014</v>
      </c>
    </row>
    <row r="151" spans="1:2" x14ac:dyDescent="0.3">
      <c r="A151">
        <v>1</v>
      </c>
      <c r="B151">
        <v>2011</v>
      </c>
    </row>
    <row r="152" spans="1:2" x14ac:dyDescent="0.3">
      <c r="A152">
        <v>2</v>
      </c>
      <c r="B152">
        <v>2015</v>
      </c>
    </row>
    <row r="153" spans="1:2" x14ac:dyDescent="0.3">
      <c r="A153">
        <v>1</v>
      </c>
      <c r="B153">
        <v>2017</v>
      </c>
    </row>
    <row r="154" spans="1:2" x14ac:dyDescent="0.3">
      <c r="A154">
        <v>1</v>
      </c>
      <c r="B154">
        <v>2016</v>
      </c>
    </row>
    <row r="155" spans="1:2" x14ac:dyDescent="0.3">
      <c r="A155">
        <v>4</v>
      </c>
      <c r="B155">
        <v>2014</v>
      </c>
    </row>
    <row r="156" spans="1:2" x14ac:dyDescent="0.3">
      <c r="A156">
        <v>1</v>
      </c>
      <c r="B156">
        <v>2015</v>
      </c>
    </row>
    <row r="157" spans="1:2" x14ac:dyDescent="0.3">
      <c r="A157">
        <v>4</v>
      </c>
      <c r="B157">
        <v>2016</v>
      </c>
    </row>
    <row r="158" spans="1:2" x14ac:dyDescent="0.3">
      <c r="A158">
        <v>1</v>
      </c>
      <c r="B158">
        <v>2013</v>
      </c>
    </row>
    <row r="159" spans="1:2" x14ac:dyDescent="0.3">
      <c r="A159">
        <v>2</v>
      </c>
      <c r="B159">
        <v>2016</v>
      </c>
    </row>
    <row r="160" spans="1:2" x14ac:dyDescent="0.3">
      <c r="A160">
        <v>4</v>
      </c>
      <c r="B160">
        <v>2016</v>
      </c>
    </row>
    <row r="161" spans="1:2" x14ac:dyDescent="0.3">
      <c r="A161">
        <v>2</v>
      </c>
      <c r="B161">
        <v>2015</v>
      </c>
    </row>
    <row r="162" spans="1:2" x14ac:dyDescent="0.3">
      <c r="A162">
        <v>4</v>
      </c>
      <c r="B162">
        <v>2012</v>
      </c>
    </row>
    <row r="163" spans="1:2" x14ac:dyDescent="0.3">
      <c r="A163">
        <v>1</v>
      </c>
      <c r="B163">
        <v>2017</v>
      </c>
    </row>
    <row r="164" spans="1:2" x14ac:dyDescent="0.3">
      <c r="A164">
        <v>4</v>
      </c>
      <c r="B164">
        <v>2015</v>
      </c>
    </row>
    <row r="165" spans="1:2" x14ac:dyDescent="0.3">
      <c r="A165">
        <v>1</v>
      </c>
      <c r="B165">
        <v>2015</v>
      </c>
    </row>
    <row r="166" spans="1:2" x14ac:dyDescent="0.3">
      <c r="A166">
        <v>4</v>
      </c>
      <c r="B166">
        <v>2016</v>
      </c>
    </row>
    <row r="167" spans="1:2" x14ac:dyDescent="0.3">
      <c r="A167">
        <v>4</v>
      </c>
      <c r="B167">
        <v>2013</v>
      </c>
    </row>
    <row r="168" spans="1:2" x14ac:dyDescent="0.3">
      <c r="A168">
        <v>4</v>
      </c>
      <c r="B168">
        <v>2015</v>
      </c>
    </row>
    <row r="169" spans="1:2" x14ac:dyDescent="0.3">
      <c r="A169">
        <v>4</v>
      </c>
      <c r="B169">
        <v>2016</v>
      </c>
    </row>
    <row r="170" spans="1:2" x14ac:dyDescent="0.3">
      <c r="A170">
        <v>1</v>
      </c>
      <c r="B170">
        <v>2016</v>
      </c>
    </row>
    <row r="171" spans="1:2" x14ac:dyDescent="0.3">
      <c r="A171">
        <v>4</v>
      </c>
      <c r="B171">
        <v>2016</v>
      </c>
    </row>
    <row r="172" spans="1:2" x14ac:dyDescent="0.3">
      <c r="A172">
        <v>1</v>
      </c>
      <c r="B172">
        <v>2016</v>
      </c>
    </row>
    <row r="173" spans="1:2" x14ac:dyDescent="0.3">
      <c r="A173">
        <v>4</v>
      </c>
      <c r="B173">
        <v>2015</v>
      </c>
    </row>
    <row r="174" spans="1:2" x14ac:dyDescent="0.3">
      <c r="A174">
        <v>2</v>
      </c>
      <c r="B174">
        <v>2017</v>
      </c>
    </row>
    <row r="175" spans="1:2" x14ac:dyDescent="0.3">
      <c r="A175">
        <v>2</v>
      </c>
      <c r="B175">
        <v>2017</v>
      </c>
    </row>
    <row r="176" spans="1:2" x14ac:dyDescent="0.3">
      <c r="A176">
        <v>1</v>
      </c>
      <c r="B176">
        <v>2015</v>
      </c>
    </row>
    <row r="177" spans="1:2" x14ac:dyDescent="0.3">
      <c r="A177">
        <v>1</v>
      </c>
      <c r="B177">
        <v>2016</v>
      </c>
    </row>
    <row r="178" spans="1:2" x14ac:dyDescent="0.3">
      <c r="A178">
        <v>1</v>
      </c>
      <c r="B178">
        <v>2016</v>
      </c>
    </row>
    <row r="179" spans="1:2" x14ac:dyDescent="0.3">
      <c r="A179">
        <v>1</v>
      </c>
      <c r="B179">
        <v>2014</v>
      </c>
    </row>
    <row r="180" spans="1:2" x14ac:dyDescent="0.3">
      <c r="A180">
        <v>1</v>
      </c>
      <c r="B180">
        <v>2014</v>
      </c>
    </row>
    <row r="181" spans="1:2" x14ac:dyDescent="0.3">
      <c r="A181">
        <v>4</v>
      </c>
      <c r="B181">
        <v>2014</v>
      </c>
    </row>
    <row r="182" spans="1:2" x14ac:dyDescent="0.3">
      <c r="A182">
        <v>1</v>
      </c>
      <c r="B182">
        <v>2014</v>
      </c>
    </row>
    <row r="183" spans="1:2" x14ac:dyDescent="0.3">
      <c r="A183">
        <v>1</v>
      </c>
      <c r="B183">
        <v>2014</v>
      </c>
    </row>
    <row r="184" spans="1:2" x14ac:dyDescent="0.3">
      <c r="A184">
        <v>4</v>
      </c>
      <c r="B184">
        <v>2015</v>
      </c>
    </row>
    <row r="185" spans="1:2" x14ac:dyDescent="0.3">
      <c r="A185">
        <v>4</v>
      </c>
      <c r="B185">
        <v>2016</v>
      </c>
    </row>
    <row r="186" spans="1:2" x14ac:dyDescent="0.3">
      <c r="A186">
        <v>4</v>
      </c>
      <c r="B186">
        <v>2015</v>
      </c>
    </row>
    <row r="187" spans="1:2" x14ac:dyDescent="0.3">
      <c r="A187">
        <v>4</v>
      </c>
      <c r="B187">
        <v>2013</v>
      </c>
    </row>
    <row r="188" spans="1:2" x14ac:dyDescent="0.3">
      <c r="A188">
        <v>4</v>
      </c>
      <c r="B188">
        <v>2016</v>
      </c>
    </row>
    <row r="189" spans="1:2" x14ac:dyDescent="0.3">
      <c r="A189">
        <v>1</v>
      </c>
      <c r="B189">
        <v>2016</v>
      </c>
    </row>
    <row r="190" spans="1:2" x14ac:dyDescent="0.3">
      <c r="A190">
        <v>4</v>
      </c>
      <c r="B190">
        <v>2016</v>
      </c>
    </row>
    <row r="191" spans="1:2" x14ac:dyDescent="0.3">
      <c r="A191">
        <v>4</v>
      </c>
      <c r="B191">
        <v>2014</v>
      </c>
    </row>
    <row r="192" spans="1:2" x14ac:dyDescent="0.3">
      <c r="A192">
        <v>1</v>
      </c>
      <c r="B192">
        <v>2016</v>
      </c>
    </row>
    <row r="193" spans="1:2" x14ac:dyDescent="0.3">
      <c r="A193">
        <v>4</v>
      </c>
      <c r="B193">
        <v>2014</v>
      </c>
    </row>
    <row r="194" spans="1:2" x14ac:dyDescent="0.3">
      <c r="A194">
        <v>1</v>
      </c>
      <c r="B194">
        <v>2014</v>
      </c>
    </row>
    <row r="195" spans="1:2" x14ac:dyDescent="0.3">
      <c r="A195">
        <v>1</v>
      </c>
      <c r="B195">
        <v>2015</v>
      </c>
    </row>
    <row r="196" spans="1:2" x14ac:dyDescent="0.3">
      <c r="A196">
        <v>4</v>
      </c>
      <c r="B196">
        <v>2015</v>
      </c>
    </row>
    <row r="197" spans="1:2" x14ac:dyDescent="0.3">
      <c r="A197">
        <v>1</v>
      </c>
      <c r="B197">
        <v>2015</v>
      </c>
    </row>
    <row r="198" spans="1:2" x14ac:dyDescent="0.3">
      <c r="A198">
        <v>1</v>
      </c>
      <c r="B198">
        <v>2014</v>
      </c>
    </row>
    <row r="199" spans="1:2" x14ac:dyDescent="0.3">
      <c r="A199">
        <v>4</v>
      </c>
      <c r="B199">
        <v>2016</v>
      </c>
    </row>
    <row r="200" spans="1:2" x14ac:dyDescent="0.3">
      <c r="A200">
        <v>1</v>
      </c>
      <c r="B200">
        <v>2015</v>
      </c>
    </row>
    <row r="201" spans="1:2" x14ac:dyDescent="0.3">
      <c r="A201">
        <v>1</v>
      </c>
      <c r="B201">
        <v>2015</v>
      </c>
    </row>
    <row r="202" spans="1:2" x14ac:dyDescent="0.3">
      <c r="A202">
        <v>4</v>
      </c>
      <c r="B202">
        <v>2014</v>
      </c>
    </row>
    <row r="203" spans="1:2" x14ac:dyDescent="0.3">
      <c r="A203">
        <v>4</v>
      </c>
      <c r="B203">
        <v>2016</v>
      </c>
    </row>
    <row r="204" spans="1:2" x14ac:dyDescent="0.3">
      <c r="A204">
        <v>4</v>
      </c>
      <c r="B204">
        <v>2016</v>
      </c>
    </row>
    <row r="205" spans="1:2" x14ac:dyDescent="0.3">
      <c r="A205">
        <v>2</v>
      </c>
      <c r="B205">
        <v>2017</v>
      </c>
    </row>
    <row r="206" spans="1:2" x14ac:dyDescent="0.3">
      <c r="A206">
        <v>2</v>
      </c>
      <c r="B206">
        <v>2013</v>
      </c>
    </row>
    <row r="207" spans="1:2" x14ac:dyDescent="0.3">
      <c r="A207">
        <v>3</v>
      </c>
      <c r="B207">
        <v>2014</v>
      </c>
    </row>
    <row r="208" spans="1:2" x14ac:dyDescent="0.3">
      <c r="A208">
        <v>4</v>
      </c>
      <c r="B208">
        <v>2017</v>
      </c>
    </row>
    <row r="209" spans="1:2" x14ac:dyDescent="0.3">
      <c r="A209">
        <v>2</v>
      </c>
      <c r="B209">
        <v>2017</v>
      </c>
    </row>
    <row r="210" spans="1:2" x14ac:dyDescent="0.3">
      <c r="A210">
        <v>1</v>
      </c>
      <c r="B210">
        <v>2015</v>
      </c>
    </row>
    <row r="211" spans="1:2" x14ac:dyDescent="0.3">
      <c r="A211">
        <v>1</v>
      </c>
      <c r="B211">
        <v>2016</v>
      </c>
    </row>
    <row r="212" spans="1:2" x14ac:dyDescent="0.3">
      <c r="A212">
        <v>2</v>
      </c>
      <c r="B212">
        <v>2016</v>
      </c>
    </row>
    <row r="213" spans="1:2" x14ac:dyDescent="0.3">
      <c r="A213">
        <v>1</v>
      </c>
      <c r="B213">
        <v>2015</v>
      </c>
    </row>
    <row r="214" spans="1:2" x14ac:dyDescent="0.3">
      <c r="A214">
        <v>4</v>
      </c>
      <c r="B214">
        <v>2015</v>
      </c>
    </row>
    <row r="215" spans="1:2" x14ac:dyDescent="0.3">
      <c r="A215">
        <v>4</v>
      </c>
      <c r="B215">
        <v>2016</v>
      </c>
    </row>
    <row r="216" spans="1:2" x14ac:dyDescent="0.3">
      <c r="A216">
        <v>2</v>
      </c>
      <c r="B216">
        <v>2015</v>
      </c>
    </row>
    <row r="217" spans="1:2" x14ac:dyDescent="0.3">
      <c r="A217">
        <v>4</v>
      </c>
      <c r="B217">
        <v>2016</v>
      </c>
    </row>
    <row r="218" spans="1:2" x14ac:dyDescent="0.3">
      <c r="A218">
        <v>1</v>
      </c>
      <c r="B218">
        <v>2015</v>
      </c>
    </row>
    <row r="219" spans="1:2" x14ac:dyDescent="0.3">
      <c r="A219">
        <v>4</v>
      </c>
      <c r="B219">
        <v>2015</v>
      </c>
    </row>
    <row r="220" spans="1:2" x14ac:dyDescent="0.3">
      <c r="A220">
        <v>1</v>
      </c>
      <c r="B220">
        <v>2014</v>
      </c>
    </row>
    <row r="221" spans="1:2" x14ac:dyDescent="0.3">
      <c r="A221">
        <v>2</v>
      </c>
      <c r="B221">
        <v>2014</v>
      </c>
    </row>
    <row r="222" spans="1:2" x14ac:dyDescent="0.3">
      <c r="A222">
        <v>4</v>
      </c>
      <c r="B222">
        <v>2015</v>
      </c>
    </row>
    <row r="223" spans="1:2" x14ac:dyDescent="0.3">
      <c r="A223">
        <v>2</v>
      </c>
      <c r="B223">
        <v>2016</v>
      </c>
    </row>
    <row r="224" spans="1:2" x14ac:dyDescent="0.3">
      <c r="A224">
        <v>4</v>
      </c>
      <c r="B224">
        <v>2015</v>
      </c>
    </row>
    <row r="225" spans="1:2" x14ac:dyDescent="0.3">
      <c r="A225">
        <v>2</v>
      </c>
      <c r="B225">
        <v>2016</v>
      </c>
    </row>
    <row r="226" spans="1:2" x14ac:dyDescent="0.3">
      <c r="A226">
        <v>4</v>
      </c>
      <c r="B226">
        <v>2015</v>
      </c>
    </row>
    <row r="227" spans="1:2" x14ac:dyDescent="0.3">
      <c r="A227">
        <v>4</v>
      </c>
      <c r="B227">
        <v>2016</v>
      </c>
    </row>
    <row r="228" spans="1:2" x14ac:dyDescent="0.3">
      <c r="A228">
        <v>4</v>
      </c>
      <c r="B228">
        <v>2014</v>
      </c>
    </row>
    <row r="229" spans="1:2" x14ac:dyDescent="0.3">
      <c r="A229">
        <v>4</v>
      </c>
      <c r="B229">
        <v>2014</v>
      </c>
    </row>
    <row r="230" spans="1:2" x14ac:dyDescent="0.3">
      <c r="A230">
        <v>1</v>
      </c>
      <c r="B230">
        <v>2014</v>
      </c>
    </row>
    <row r="231" spans="1:2" x14ac:dyDescent="0.3">
      <c r="A231">
        <v>4</v>
      </c>
      <c r="B231">
        <v>2017</v>
      </c>
    </row>
    <row r="232" spans="1:2" x14ac:dyDescent="0.3">
      <c r="A232">
        <v>4</v>
      </c>
      <c r="B232">
        <v>2016</v>
      </c>
    </row>
    <row r="233" spans="1:2" x14ac:dyDescent="0.3">
      <c r="A233">
        <v>4</v>
      </c>
      <c r="B233">
        <v>2015</v>
      </c>
    </row>
    <row r="234" spans="1:2" x14ac:dyDescent="0.3">
      <c r="A234">
        <v>1</v>
      </c>
      <c r="B234">
        <v>2016</v>
      </c>
    </row>
    <row r="235" spans="1:2" x14ac:dyDescent="0.3">
      <c r="A235">
        <v>1</v>
      </c>
      <c r="B235">
        <v>2017</v>
      </c>
    </row>
    <row r="236" spans="1:2" x14ac:dyDescent="0.3">
      <c r="A236">
        <v>4</v>
      </c>
      <c r="B236">
        <v>2014</v>
      </c>
    </row>
    <row r="237" spans="1:2" x14ac:dyDescent="0.3">
      <c r="A237">
        <v>4</v>
      </c>
      <c r="B237">
        <v>2015</v>
      </c>
    </row>
    <row r="238" spans="1:2" x14ac:dyDescent="0.3">
      <c r="A238">
        <v>4</v>
      </c>
      <c r="B238">
        <v>2016</v>
      </c>
    </row>
    <row r="239" spans="1:2" x14ac:dyDescent="0.3">
      <c r="A239">
        <v>4</v>
      </c>
      <c r="B239">
        <v>2014</v>
      </c>
    </row>
    <row r="240" spans="1:2" x14ac:dyDescent="0.3">
      <c r="A240">
        <v>4</v>
      </c>
      <c r="B240">
        <v>2015</v>
      </c>
    </row>
    <row r="241" spans="1:2" x14ac:dyDescent="0.3">
      <c r="A241">
        <v>4</v>
      </c>
      <c r="B241">
        <v>2016</v>
      </c>
    </row>
    <row r="242" spans="1:2" x14ac:dyDescent="0.3">
      <c r="A242">
        <v>4</v>
      </c>
      <c r="B242">
        <v>2017</v>
      </c>
    </row>
    <row r="243" spans="1:2" x14ac:dyDescent="0.3">
      <c r="A243">
        <v>4</v>
      </c>
      <c r="B243">
        <v>2015</v>
      </c>
    </row>
    <row r="244" spans="1:2" x14ac:dyDescent="0.3">
      <c r="A244">
        <v>4</v>
      </c>
      <c r="B244">
        <v>2016</v>
      </c>
    </row>
    <row r="245" spans="1:2" x14ac:dyDescent="0.3">
      <c r="A245">
        <v>1</v>
      </c>
      <c r="B245">
        <v>2016</v>
      </c>
    </row>
    <row r="246" spans="1:2" x14ac:dyDescent="0.3">
      <c r="A246">
        <v>1</v>
      </c>
      <c r="B246">
        <v>2013</v>
      </c>
    </row>
    <row r="247" spans="1:2" x14ac:dyDescent="0.3">
      <c r="A247">
        <v>4</v>
      </c>
      <c r="B247">
        <v>2015</v>
      </c>
    </row>
    <row r="248" spans="1:2" x14ac:dyDescent="0.3">
      <c r="A248">
        <v>4</v>
      </c>
      <c r="B248">
        <v>2016</v>
      </c>
    </row>
    <row r="249" spans="1:2" x14ac:dyDescent="0.3">
      <c r="A249">
        <v>1</v>
      </c>
      <c r="B249">
        <v>2014</v>
      </c>
    </row>
    <row r="250" spans="1:2" x14ac:dyDescent="0.3">
      <c r="A250">
        <v>4</v>
      </c>
      <c r="B250">
        <v>2014</v>
      </c>
    </row>
    <row r="251" spans="1:2" x14ac:dyDescent="0.3">
      <c r="A251">
        <v>4</v>
      </c>
      <c r="B251">
        <v>2014</v>
      </c>
    </row>
    <row r="252" spans="1:2" x14ac:dyDescent="0.3">
      <c r="A252">
        <v>4</v>
      </c>
      <c r="B252">
        <v>2014</v>
      </c>
    </row>
    <row r="253" spans="1:2" x14ac:dyDescent="0.3">
      <c r="A253">
        <v>4</v>
      </c>
      <c r="B253">
        <v>2015</v>
      </c>
    </row>
    <row r="254" spans="1:2" x14ac:dyDescent="0.3">
      <c r="A254">
        <v>4</v>
      </c>
      <c r="B254">
        <v>2015</v>
      </c>
    </row>
    <row r="255" spans="1:2" x14ac:dyDescent="0.3">
      <c r="A255">
        <v>4</v>
      </c>
      <c r="B255">
        <v>2015</v>
      </c>
    </row>
    <row r="256" spans="1:2" x14ac:dyDescent="0.3">
      <c r="A256">
        <v>4</v>
      </c>
      <c r="B256">
        <v>2016</v>
      </c>
    </row>
    <row r="257" spans="1:2" x14ac:dyDescent="0.3">
      <c r="A257">
        <v>1</v>
      </c>
      <c r="B257">
        <v>2017</v>
      </c>
    </row>
    <row r="258" spans="1:2" x14ac:dyDescent="0.3">
      <c r="A258">
        <v>4</v>
      </c>
      <c r="B258">
        <v>2016</v>
      </c>
    </row>
    <row r="259" spans="1:2" x14ac:dyDescent="0.3">
      <c r="A259">
        <v>1</v>
      </c>
      <c r="B259">
        <v>2016</v>
      </c>
    </row>
    <row r="260" spans="1:2" x14ac:dyDescent="0.3">
      <c r="A260">
        <v>1</v>
      </c>
      <c r="B260">
        <v>2012</v>
      </c>
    </row>
    <row r="261" spans="1:2" x14ac:dyDescent="0.3">
      <c r="A261">
        <v>4</v>
      </c>
      <c r="B261">
        <v>2017</v>
      </c>
    </row>
    <row r="262" spans="1:2" x14ac:dyDescent="0.3">
      <c r="A262">
        <v>3</v>
      </c>
      <c r="B262">
        <v>2015</v>
      </c>
    </row>
    <row r="263" spans="1:2" x14ac:dyDescent="0.3">
      <c r="A263">
        <v>4</v>
      </c>
      <c r="B263">
        <v>2016</v>
      </c>
    </row>
    <row r="264" spans="1:2" x14ac:dyDescent="0.3">
      <c r="A264">
        <v>2</v>
      </c>
      <c r="B264">
        <v>2015</v>
      </c>
    </row>
    <row r="265" spans="1:2" x14ac:dyDescent="0.3">
      <c r="A265">
        <v>4</v>
      </c>
      <c r="B265">
        <v>2014</v>
      </c>
    </row>
    <row r="266" spans="1:2" x14ac:dyDescent="0.3">
      <c r="A266">
        <v>4</v>
      </c>
      <c r="B266">
        <v>2016</v>
      </c>
    </row>
    <row r="267" spans="1:2" x14ac:dyDescent="0.3">
      <c r="A267">
        <v>1</v>
      </c>
      <c r="B267">
        <v>2016</v>
      </c>
    </row>
    <row r="268" spans="1:2" x14ac:dyDescent="0.3">
      <c r="A268">
        <v>4</v>
      </c>
      <c r="B268">
        <v>2012</v>
      </c>
    </row>
    <row r="269" spans="1:2" x14ac:dyDescent="0.3">
      <c r="A269">
        <v>4</v>
      </c>
      <c r="B269">
        <v>2014</v>
      </c>
    </row>
    <row r="270" spans="1:2" x14ac:dyDescent="0.3">
      <c r="A270">
        <v>2</v>
      </c>
      <c r="B270">
        <v>2014</v>
      </c>
    </row>
    <row r="271" spans="1:2" x14ac:dyDescent="0.3">
      <c r="A271">
        <v>4</v>
      </c>
      <c r="B271">
        <v>2015</v>
      </c>
    </row>
    <row r="272" spans="1:2" x14ac:dyDescent="0.3">
      <c r="A272">
        <v>4</v>
      </c>
      <c r="B272">
        <v>2015</v>
      </c>
    </row>
    <row r="273" spans="1:2" x14ac:dyDescent="0.3">
      <c r="A273">
        <v>1</v>
      </c>
      <c r="B273">
        <v>2015</v>
      </c>
    </row>
    <row r="274" spans="1:2" x14ac:dyDescent="0.3">
      <c r="A274">
        <v>3</v>
      </c>
      <c r="B274">
        <v>2014</v>
      </c>
    </row>
    <row r="275" spans="1:2" x14ac:dyDescent="0.3">
      <c r="A275">
        <v>1</v>
      </c>
      <c r="B275">
        <v>2015</v>
      </c>
    </row>
    <row r="276" spans="1:2" x14ac:dyDescent="0.3">
      <c r="A276">
        <v>4</v>
      </c>
      <c r="B276">
        <v>2016</v>
      </c>
    </row>
    <row r="277" spans="1:2" x14ac:dyDescent="0.3">
      <c r="A277">
        <v>4</v>
      </c>
      <c r="B277">
        <v>2015</v>
      </c>
    </row>
    <row r="278" spans="1:2" x14ac:dyDescent="0.3">
      <c r="A278">
        <v>1</v>
      </c>
      <c r="B278">
        <v>2014</v>
      </c>
    </row>
    <row r="279" spans="1:2" x14ac:dyDescent="0.3">
      <c r="A279">
        <v>4</v>
      </c>
      <c r="B279">
        <v>2015</v>
      </c>
    </row>
    <row r="280" spans="1:2" x14ac:dyDescent="0.3">
      <c r="A280">
        <v>1</v>
      </c>
      <c r="B280">
        <v>2016</v>
      </c>
    </row>
    <row r="281" spans="1:2" x14ac:dyDescent="0.3">
      <c r="A281">
        <v>4</v>
      </c>
      <c r="B281">
        <v>2013</v>
      </c>
    </row>
    <row r="282" spans="1:2" x14ac:dyDescent="0.3">
      <c r="A282">
        <v>4</v>
      </c>
      <c r="B282">
        <v>2017</v>
      </c>
    </row>
    <row r="283" spans="1:2" x14ac:dyDescent="0.3">
      <c r="A283">
        <v>1</v>
      </c>
      <c r="B283">
        <v>2014</v>
      </c>
    </row>
    <row r="284" spans="1:2" x14ac:dyDescent="0.3">
      <c r="A284">
        <v>1</v>
      </c>
      <c r="B284">
        <v>2016</v>
      </c>
    </row>
    <row r="285" spans="1:2" x14ac:dyDescent="0.3">
      <c r="A285">
        <v>4</v>
      </c>
      <c r="B285">
        <v>2016</v>
      </c>
    </row>
    <row r="286" spans="1:2" x14ac:dyDescent="0.3">
      <c r="A286">
        <v>4</v>
      </c>
      <c r="B286">
        <v>2016</v>
      </c>
    </row>
    <row r="287" spans="1:2" x14ac:dyDescent="0.3">
      <c r="A287">
        <v>4</v>
      </c>
      <c r="B287">
        <v>2017</v>
      </c>
    </row>
    <row r="288" spans="1:2" x14ac:dyDescent="0.3">
      <c r="A288">
        <v>4</v>
      </c>
      <c r="B288">
        <v>2016</v>
      </c>
    </row>
    <row r="289" spans="1:2" x14ac:dyDescent="0.3">
      <c r="A289">
        <v>4</v>
      </c>
      <c r="B289">
        <v>2016</v>
      </c>
    </row>
    <row r="290" spans="1:2" x14ac:dyDescent="0.3">
      <c r="A290">
        <v>1</v>
      </c>
      <c r="B290">
        <v>2015</v>
      </c>
    </row>
    <row r="291" spans="1:2" x14ac:dyDescent="0.3">
      <c r="A291">
        <v>4</v>
      </c>
      <c r="B291">
        <v>2016</v>
      </c>
    </row>
    <row r="292" spans="1:2" x14ac:dyDescent="0.3">
      <c r="A292">
        <v>2</v>
      </c>
      <c r="B292">
        <v>2013</v>
      </c>
    </row>
    <row r="293" spans="1:2" x14ac:dyDescent="0.3">
      <c r="A293">
        <v>2</v>
      </c>
      <c r="B293">
        <v>2015</v>
      </c>
    </row>
    <row r="294" spans="1:2" x14ac:dyDescent="0.3">
      <c r="A294">
        <v>4</v>
      </c>
      <c r="B294">
        <v>2014</v>
      </c>
    </row>
    <row r="295" spans="1:2" x14ac:dyDescent="0.3">
      <c r="A295">
        <v>1</v>
      </c>
      <c r="B295">
        <v>2017</v>
      </c>
    </row>
    <row r="296" spans="1:2" x14ac:dyDescent="0.3">
      <c r="A296">
        <v>1</v>
      </c>
      <c r="B296">
        <v>2017</v>
      </c>
    </row>
    <row r="297" spans="1:2" x14ac:dyDescent="0.3">
      <c r="A297">
        <v>1</v>
      </c>
      <c r="B297">
        <v>2016</v>
      </c>
    </row>
    <row r="298" spans="1:2" x14ac:dyDescent="0.3">
      <c r="A298">
        <v>4</v>
      </c>
      <c r="B298">
        <v>2017</v>
      </c>
    </row>
    <row r="299" spans="1:2" x14ac:dyDescent="0.3">
      <c r="A299">
        <v>4</v>
      </c>
      <c r="B299">
        <v>2015</v>
      </c>
    </row>
    <row r="300" spans="1:2" x14ac:dyDescent="0.3">
      <c r="A300">
        <v>2</v>
      </c>
      <c r="B300">
        <v>2015</v>
      </c>
    </row>
    <row r="301" spans="1:2" x14ac:dyDescent="0.3">
      <c r="A301">
        <v>4</v>
      </c>
      <c r="B301">
        <v>2011</v>
      </c>
    </row>
    <row r="302" spans="1:2" x14ac:dyDescent="0.3">
      <c r="A302">
        <v>4</v>
      </c>
      <c r="B302">
        <v>2017</v>
      </c>
    </row>
    <row r="303" spans="1:2" x14ac:dyDescent="0.3">
      <c r="A303">
        <v>1</v>
      </c>
      <c r="B303">
        <v>2015</v>
      </c>
    </row>
    <row r="304" spans="1:2" x14ac:dyDescent="0.3">
      <c r="A304">
        <v>1</v>
      </c>
      <c r="B304">
        <v>2017</v>
      </c>
    </row>
    <row r="305" spans="1:2" x14ac:dyDescent="0.3">
      <c r="A305">
        <v>1</v>
      </c>
      <c r="B305">
        <v>2015</v>
      </c>
    </row>
    <row r="306" spans="1:2" x14ac:dyDescent="0.3">
      <c r="A306">
        <v>4</v>
      </c>
      <c r="B306">
        <v>2016</v>
      </c>
    </row>
    <row r="307" spans="1:2" x14ac:dyDescent="0.3">
      <c r="A307">
        <v>4</v>
      </c>
      <c r="B307">
        <v>2014</v>
      </c>
    </row>
    <row r="308" spans="1:2" x14ac:dyDescent="0.3">
      <c r="A308">
        <v>1</v>
      </c>
      <c r="B308">
        <v>2013</v>
      </c>
    </row>
    <row r="309" spans="1:2" x14ac:dyDescent="0.3">
      <c r="A309">
        <v>2</v>
      </c>
      <c r="B309">
        <v>2014</v>
      </c>
    </row>
    <row r="310" spans="1:2" x14ac:dyDescent="0.3">
      <c r="A310">
        <v>1</v>
      </c>
      <c r="B310">
        <v>2016</v>
      </c>
    </row>
    <row r="311" spans="1:2" x14ac:dyDescent="0.3">
      <c r="A311">
        <v>4</v>
      </c>
      <c r="B311">
        <v>2017</v>
      </c>
    </row>
    <row r="312" spans="1:2" x14ac:dyDescent="0.3">
      <c r="A312">
        <v>4</v>
      </c>
      <c r="B312">
        <v>2016</v>
      </c>
    </row>
    <row r="313" spans="1:2" x14ac:dyDescent="0.3">
      <c r="A313">
        <v>1</v>
      </c>
      <c r="B313">
        <v>2013</v>
      </c>
    </row>
    <row r="314" spans="1:2" x14ac:dyDescent="0.3">
      <c r="A314">
        <v>1</v>
      </c>
      <c r="B314">
        <v>2015</v>
      </c>
    </row>
    <row r="315" spans="1:2" x14ac:dyDescent="0.3">
      <c r="A315">
        <v>1</v>
      </c>
      <c r="B315">
        <v>2014</v>
      </c>
    </row>
    <row r="316" spans="1:2" x14ac:dyDescent="0.3">
      <c r="A316">
        <v>4</v>
      </c>
      <c r="B316">
        <v>2016</v>
      </c>
    </row>
    <row r="317" spans="1:2" x14ac:dyDescent="0.3">
      <c r="A317">
        <v>4</v>
      </c>
      <c r="B317">
        <v>2016</v>
      </c>
    </row>
    <row r="318" spans="1:2" x14ac:dyDescent="0.3">
      <c r="A318">
        <v>4</v>
      </c>
      <c r="B318">
        <v>2015</v>
      </c>
    </row>
    <row r="319" spans="1:2" x14ac:dyDescent="0.3">
      <c r="A319">
        <v>1</v>
      </c>
      <c r="B319">
        <v>2015</v>
      </c>
    </row>
    <row r="320" spans="1:2" x14ac:dyDescent="0.3">
      <c r="A320">
        <v>2</v>
      </c>
      <c r="B320">
        <v>2015</v>
      </c>
    </row>
    <row r="321" spans="1:2" x14ac:dyDescent="0.3">
      <c r="A321">
        <v>1</v>
      </c>
      <c r="B321">
        <v>2015</v>
      </c>
    </row>
    <row r="322" spans="1:2" x14ac:dyDescent="0.3">
      <c r="A322">
        <v>4</v>
      </c>
      <c r="B322">
        <v>2017</v>
      </c>
    </row>
    <row r="323" spans="1:2" x14ac:dyDescent="0.3">
      <c r="A323">
        <v>4</v>
      </c>
      <c r="B323">
        <v>2016</v>
      </c>
    </row>
    <row r="324" spans="1:2" x14ac:dyDescent="0.3">
      <c r="A324">
        <v>4</v>
      </c>
      <c r="B324">
        <v>2015</v>
      </c>
    </row>
    <row r="325" spans="1:2" x14ac:dyDescent="0.3">
      <c r="A325">
        <v>1</v>
      </c>
      <c r="B325">
        <v>2017</v>
      </c>
    </row>
    <row r="326" spans="1:2" x14ac:dyDescent="0.3">
      <c r="A326">
        <v>1</v>
      </c>
      <c r="B326">
        <v>2016</v>
      </c>
    </row>
    <row r="327" spans="1:2" x14ac:dyDescent="0.3">
      <c r="A327">
        <v>4</v>
      </c>
      <c r="B327">
        <v>2014</v>
      </c>
    </row>
    <row r="328" spans="1:2" x14ac:dyDescent="0.3">
      <c r="A328">
        <v>1</v>
      </c>
      <c r="B328">
        <v>2015</v>
      </c>
    </row>
    <row r="329" spans="1:2" x14ac:dyDescent="0.3">
      <c r="A329">
        <v>3</v>
      </c>
      <c r="B329">
        <v>2013</v>
      </c>
    </row>
    <row r="330" spans="1:2" x14ac:dyDescent="0.3">
      <c r="A330">
        <v>4</v>
      </c>
      <c r="B330">
        <v>2015</v>
      </c>
    </row>
    <row r="331" spans="1:2" x14ac:dyDescent="0.3">
      <c r="A331">
        <v>1</v>
      </c>
      <c r="B331">
        <v>2016</v>
      </c>
    </row>
    <row r="332" spans="1:2" x14ac:dyDescent="0.3">
      <c r="A332">
        <v>4</v>
      </c>
      <c r="B332">
        <v>2016</v>
      </c>
    </row>
    <row r="333" spans="1:2" x14ac:dyDescent="0.3">
      <c r="A333">
        <v>4</v>
      </c>
      <c r="B333">
        <v>2014</v>
      </c>
    </row>
    <row r="334" spans="1:2" x14ac:dyDescent="0.3">
      <c r="A334">
        <v>1</v>
      </c>
      <c r="B334">
        <v>2016</v>
      </c>
    </row>
    <row r="335" spans="1:2" x14ac:dyDescent="0.3">
      <c r="A335">
        <v>4</v>
      </c>
      <c r="B335">
        <v>2014</v>
      </c>
    </row>
    <row r="336" spans="1:2" x14ac:dyDescent="0.3">
      <c r="A336">
        <v>4</v>
      </c>
      <c r="B336">
        <v>2015</v>
      </c>
    </row>
    <row r="337" spans="1:2" x14ac:dyDescent="0.3">
      <c r="A337">
        <v>4</v>
      </c>
      <c r="B337">
        <v>2015</v>
      </c>
    </row>
    <row r="338" spans="1:2" x14ac:dyDescent="0.3">
      <c r="A338">
        <v>1</v>
      </c>
      <c r="B338">
        <v>2016</v>
      </c>
    </row>
    <row r="339" spans="1:2" x14ac:dyDescent="0.3">
      <c r="A339">
        <v>4</v>
      </c>
      <c r="B339">
        <v>2014</v>
      </c>
    </row>
    <row r="340" spans="1:2" x14ac:dyDescent="0.3">
      <c r="A340">
        <v>4</v>
      </c>
      <c r="B340">
        <v>2016</v>
      </c>
    </row>
    <row r="341" spans="1:2" x14ac:dyDescent="0.3">
      <c r="A341">
        <v>4</v>
      </c>
      <c r="B341">
        <v>2016</v>
      </c>
    </row>
    <row r="342" spans="1:2" x14ac:dyDescent="0.3">
      <c r="A342">
        <v>2</v>
      </c>
      <c r="B342">
        <v>2015</v>
      </c>
    </row>
    <row r="343" spans="1:2" x14ac:dyDescent="0.3">
      <c r="A343">
        <v>4</v>
      </c>
      <c r="B343">
        <v>2013</v>
      </c>
    </row>
    <row r="344" spans="1:2" x14ac:dyDescent="0.3">
      <c r="A344">
        <v>1</v>
      </c>
      <c r="B344">
        <v>2017</v>
      </c>
    </row>
    <row r="345" spans="1:2" x14ac:dyDescent="0.3">
      <c r="A345">
        <v>4</v>
      </c>
      <c r="B345">
        <v>2017</v>
      </c>
    </row>
    <row r="346" spans="1:2" x14ac:dyDescent="0.3">
      <c r="A346">
        <v>2</v>
      </c>
      <c r="B346">
        <v>2015</v>
      </c>
    </row>
    <row r="347" spans="1:2" x14ac:dyDescent="0.3">
      <c r="A347">
        <v>1</v>
      </c>
      <c r="B347">
        <v>2016</v>
      </c>
    </row>
    <row r="348" spans="1:2" x14ac:dyDescent="0.3">
      <c r="A348">
        <v>4</v>
      </c>
      <c r="B348">
        <v>2017</v>
      </c>
    </row>
    <row r="349" spans="1:2" x14ac:dyDescent="0.3">
      <c r="A349">
        <v>4</v>
      </c>
      <c r="B349">
        <v>2012</v>
      </c>
    </row>
    <row r="350" spans="1:2" x14ac:dyDescent="0.3">
      <c r="A350">
        <v>4</v>
      </c>
      <c r="B350">
        <v>2014</v>
      </c>
    </row>
    <row r="351" spans="1:2" x14ac:dyDescent="0.3">
      <c r="A351">
        <v>4</v>
      </c>
      <c r="B351">
        <v>2017</v>
      </c>
    </row>
    <row r="352" spans="1:2" x14ac:dyDescent="0.3">
      <c r="A352">
        <v>1</v>
      </c>
      <c r="B352">
        <v>2015</v>
      </c>
    </row>
    <row r="353" spans="1:2" x14ac:dyDescent="0.3">
      <c r="A353">
        <v>1</v>
      </c>
      <c r="B353">
        <v>2016</v>
      </c>
    </row>
    <row r="354" spans="1:2" x14ac:dyDescent="0.3">
      <c r="A354">
        <v>4</v>
      </c>
      <c r="B354">
        <v>2015</v>
      </c>
    </row>
    <row r="355" spans="1:2" x14ac:dyDescent="0.3">
      <c r="A355">
        <v>1</v>
      </c>
      <c r="B355">
        <v>2013</v>
      </c>
    </row>
    <row r="356" spans="1:2" x14ac:dyDescent="0.3">
      <c r="A356">
        <v>1</v>
      </c>
      <c r="B356">
        <v>2017</v>
      </c>
    </row>
    <row r="357" spans="1:2" x14ac:dyDescent="0.3">
      <c r="A357">
        <v>1</v>
      </c>
      <c r="B357">
        <v>2015</v>
      </c>
    </row>
    <row r="358" spans="1:2" x14ac:dyDescent="0.3">
      <c r="A358">
        <v>1</v>
      </c>
      <c r="B358">
        <v>2014</v>
      </c>
    </row>
    <row r="359" spans="1:2" x14ac:dyDescent="0.3">
      <c r="A359">
        <v>4</v>
      </c>
      <c r="B359">
        <v>2017</v>
      </c>
    </row>
    <row r="360" spans="1:2" x14ac:dyDescent="0.3">
      <c r="A360">
        <v>4</v>
      </c>
      <c r="B360">
        <v>2015</v>
      </c>
    </row>
    <row r="361" spans="1:2" x14ac:dyDescent="0.3">
      <c r="A361">
        <v>4</v>
      </c>
      <c r="B361">
        <v>2015</v>
      </c>
    </row>
    <row r="362" spans="1:2" x14ac:dyDescent="0.3">
      <c r="A362">
        <v>2</v>
      </c>
      <c r="B362">
        <v>2016</v>
      </c>
    </row>
    <row r="363" spans="1:2" x14ac:dyDescent="0.3">
      <c r="A363">
        <v>4</v>
      </c>
      <c r="B363">
        <v>2016</v>
      </c>
    </row>
    <row r="364" spans="1:2" x14ac:dyDescent="0.3">
      <c r="A364">
        <v>1</v>
      </c>
      <c r="B364">
        <v>2017</v>
      </c>
    </row>
    <row r="365" spans="1:2" x14ac:dyDescent="0.3">
      <c r="A365">
        <v>1</v>
      </c>
      <c r="B365">
        <v>2016</v>
      </c>
    </row>
    <row r="366" spans="1:2" x14ac:dyDescent="0.3">
      <c r="A366">
        <v>4</v>
      </c>
      <c r="B366">
        <v>2017</v>
      </c>
    </row>
    <row r="367" spans="1:2" x14ac:dyDescent="0.3">
      <c r="A367">
        <v>4</v>
      </c>
      <c r="B367">
        <v>2015</v>
      </c>
    </row>
    <row r="368" spans="1:2" x14ac:dyDescent="0.3">
      <c r="A368">
        <v>1</v>
      </c>
      <c r="B368">
        <v>2017</v>
      </c>
    </row>
    <row r="369" spans="1:2" x14ac:dyDescent="0.3">
      <c r="A369">
        <v>1</v>
      </c>
      <c r="B369">
        <v>2016</v>
      </c>
    </row>
    <row r="370" spans="1:2" x14ac:dyDescent="0.3">
      <c r="A370">
        <v>1</v>
      </c>
      <c r="B370">
        <v>2015</v>
      </c>
    </row>
    <row r="371" spans="1:2" x14ac:dyDescent="0.3">
      <c r="A371">
        <v>4</v>
      </c>
      <c r="B371">
        <v>2016</v>
      </c>
    </row>
    <row r="372" spans="1:2" x14ac:dyDescent="0.3">
      <c r="A372">
        <v>4</v>
      </c>
      <c r="B372">
        <v>2015</v>
      </c>
    </row>
    <row r="373" spans="1:2" x14ac:dyDescent="0.3">
      <c r="A373">
        <v>4</v>
      </c>
      <c r="B373">
        <v>2016</v>
      </c>
    </row>
    <row r="374" spans="1:2" x14ac:dyDescent="0.3">
      <c r="A374">
        <v>1</v>
      </c>
      <c r="B374">
        <v>2017</v>
      </c>
    </row>
    <row r="375" spans="1:2" x14ac:dyDescent="0.3">
      <c r="A375">
        <v>1</v>
      </c>
      <c r="B375">
        <v>2015</v>
      </c>
    </row>
    <row r="376" spans="1:2" x14ac:dyDescent="0.3">
      <c r="A376">
        <v>4</v>
      </c>
      <c r="B376">
        <v>2016</v>
      </c>
    </row>
    <row r="377" spans="1:2" x14ac:dyDescent="0.3">
      <c r="A377">
        <v>1</v>
      </c>
      <c r="B377">
        <v>2016</v>
      </c>
    </row>
    <row r="378" spans="1:2" x14ac:dyDescent="0.3">
      <c r="A378">
        <v>1</v>
      </c>
      <c r="B378">
        <v>2015</v>
      </c>
    </row>
    <row r="379" spans="1:2" x14ac:dyDescent="0.3">
      <c r="A379">
        <v>3</v>
      </c>
      <c r="B379">
        <v>2016</v>
      </c>
    </row>
    <row r="380" spans="1:2" x14ac:dyDescent="0.3">
      <c r="A380">
        <v>1</v>
      </c>
      <c r="B380">
        <v>2015</v>
      </c>
    </row>
    <row r="381" spans="1:2" x14ac:dyDescent="0.3">
      <c r="A381">
        <v>1</v>
      </c>
      <c r="B381">
        <v>2016</v>
      </c>
    </row>
    <row r="382" spans="1:2" x14ac:dyDescent="0.3">
      <c r="A382">
        <v>4</v>
      </c>
      <c r="B382">
        <v>2015</v>
      </c>
    </row>
    <row r="383" spans="1:2" x14ac:dyDescent="0.3">
      <c r="A383">
        <v>4</v>
      </c>
      <c r="B383">
        <v>2014</v>
      </c>
    </row>
    <row r="384" spans="1:2" x14ac:dyDescent="0.3">
      <c r="A384">
        <v>4</v>
      </c>
      <c r="B384">
        <v>2015</v>
      </c>
    </row>
    <row r="385" spans="1:2" x14ac:dyDescent="0.3">
      <c r="A385">
        <v>4</v>
      </c>
      <c r="B385">
        <v>2015</v>
      </c>
    </row>
    <row r="386" spans="1:2" x14ac:dyDescent="0.3">
      <c r="A386">
        <v>4</v>
      </c>
      <c r="B386">
        <v>2014</v>
      </c>
    </row>
    <row r="387" spans="1:2" x14ac:dyDescent="0.3">
      <c r="A387">
        <v>2</v>
      </c>
      <c r="B387">
        <v>2014</v>
      </c>
    </row>
    <row r="388" spans="1:2" x14ac:dyDescent="0.3">
      <c r="A388">
        <v>2</v>
      </c>
      <c r="B388">
        <v>2017</v>
      </c>
    </row>
    <row r="389" spans="1:2" x14ac:dyDescent="0.3">
      <c r="A389">
        <v>1</v>
      </c>
      <c r="B389">
        <v>2016</v>
      </c>
    </row>
    <row r="390" spans="1:2" x14ac:dyDescent="0.3">
      <c r="A390">
        <v>2</v>
      </c>
      <c r="B390">
        <v>2015</v>
      </c>
    </row>
    <row r="391" spans="1:2" x14ac:dyDescent="0.3">
      <c r="A391">
        <v>4</v>
      </c>
      <c r="B391">
        <v>2015</v>
      </c>
    </row>
    <row r="392" spans="1:2" x14ac:dyDescent="0.3">
      <c r="A392">
        <v>1</v>
      </c>
      <c r="B392">
        <v>2014</v>
      </c>
    </row>
    <row r="393" spans="1:2" x14ac:dyDescent="0.3">
      <c r="A393">
        <v>1</v>
      </c>
      <c r="B393">
        <v>2016</v>
      </c>
    </row>
    <row r="394" spans="1:2" x14ac:dyDescent="0.3">
      <c r="A394">
        <v>1</v>
      </c>
      <c r="B394">
        <v>2016</v>
      </c>
    </row>
    <row r="395" spans="1:2" x14ac:dyDescent="0.3">
      <c r="A395">
        <v>4</v>
      </c>
      <c r="B395">
        <v>2017</v>
      </c>
    </row>
    <row r="396" spans="1:2" x14ac:dyDescent="0.3">
      <c r="A396">
        <v>4</v>
      </c>
      <c r="B396">
        <v>2016</v>
      </c>
    </row>
    <row r="397" spans="1:2" x14ac:dyDescent="0.3">
      <c r="A397">
        <v>1</v>
      </c>
      <c r="B397">
        <v>2016</v>
      </c>
    </row>
    <row r="398" spans="1:2" x14ac:dyDescent="0.3">
      <c r="A398">
        <v>4</v>
      </c>
      <c r="B398">
        <v>2017</v>
      </c>
    </row>
    <row r="399" spans="1:2" x14ac:dyDescent="0.3">
      <c r="A399">
        <v>1</v>
      </c>
      <c r="B399">
        <v>2015</v>
      </c>
    </row>
    <row r="400" spans="1:2" x14ac:dyDescent="0.3">
      <c r="A400">
        <v>1</v>
      </c>
      <c r="B400">
        <v>2015</v>
      </c>
    </row>
    <row r="401" spans="1:2" x14ac:dyDescent="0.3">
      <c r="A401">
        <v>4</v>
      </c>
      <c r="B401">
        <v>2015</v>
      </c>
    </row>
    <row r="402" spans="1:2" x14ac:dyDescent="0.3">
      <c r="A402">
        <v>4</v>
      </c>
      <c r="B402">
        <v>2015</v>
      </c>
    </row>
    <row r="403" spans="1:2" x14ac:dyDescent="0.3">
      <c r="A403">
        <v>4</v>
      </c>
      <c r="B403">
        <v>2017</v>
      </c>
    </row>
    <row r="404" spans="1:2" x14ac:dyDescent="0.3">
      <c r="A404">
        <v>4</v>
      </c>
      <c r="B404">
        <v>2013</v>
      </c>
    </row>
    <row r="405" spans="1:2" x14ac:dyDescent="0.3">
      <c r="A405">
        <v>2</v>
      </c>
      <c r="B405">
        <v>2016</v>
      </c>
    </row>
    <row r="406" spans="1:2" x14ac:dyDescent="0.3">
      <c r="A406">
        <v>4</v>
      </c>
      <c r="B406">
        <v>2015</v>
      </c>
    </row>
    <row r="407" spans="1:2" x14ac:dyDescent="0.3">
      <c r="A407">
        <v>1</v>
      </c>
      <c r="B407">
        <v>2016</v>
      </c>
    </row>
    <row r="408" spans="1:2" x14ac:dyDescent="0.3">
      <c r="A408">
        <v>1</v>
      </c>
      <c r="B408">
        <v>2015</v>
      </c>
    </row>
    <row r="409" spans="1:2" x14ac:dyDescent="0.3">
      <c r="A409">
        <v>1</v>
      </c>
      <c r="B409">
        <v>2016</v>
      </c>
    </row>
    <row r="410" spans="1:2" x14ac:dyDescent="0.3">
      <c r="A410">
        <v>1</v>
      </c>
      <c r="B410">
        <v>2014</v>
      </c>
    </row>
    <row r="411" spans="1:2" x14ac:dyDescent="0.3">
      <c r="A411">
        <v>4</v>
      </c>
      <c r="B411">
        <v>2017</v>
      </c>
    </row>
    <row r="412" spans="1:2" x14ac:dyDescent="0.3">
      <c r="A412">
        <v>1</v>
      </c>
      <c r="B412">
        <v>2015</v>
      </c>
    </row>
    <row r="413" spans="1:2" x14ac:dyDescent="0.3">
      <c r="A413">
        <v>4</v>
      </c>
      <c r="B413">
        <v>2017</v>
      </c>
    </row>
    <row r="414" spans="1:2" x14ac:dyDescent="0.3">
      <c r="A414">
        <v>2</v>
      </c>
      <c r="B414">
        <v>2015</v>
      </c>
    </row>
    <row r="415" spans="1:2" x14ac:dyDescent="0.3">
      <c r="A415">
        <v>4</v>
      </c>
      <c r="B415">
        <v>2016</v>
      </c>
    </row>
    <row r="416" spans="1:2" x14ac:dyDescent="0.3">
      <c r="A416">
        <v>1</v>
      </c>
      <c r="B416">
        <v>2015</v>
      </c>
    </row>
    <row r="417" spans="1:2" x14ac:dyDescent="0.3">
      <c r="A417">
        <v>4</v>
      </c>
      <c r="B417">
        <v>2017</v>
      </c>
    </row>
    <row r="418" spans="1:2" x14ac:dyDescent="0.3">
      <c r="A418">
        <v>1</v>
      </c>
      <c r="B418">
        <v>2015</v>
      </c>
    </row>
    <row r="419" spans="1:2" x14ac:dyDescent="0.3">
      <c r="A419">
        <v>1</v>
      </c>
      <c r="B419">
        <v>2015</v>
      </c>
    </row>
    <row r="420" spans="1:2" x14ac:dyDescent="0.3">
      <c r="A420">
        <v>4</v>
      </c>
      <c r="B420">
        <v>2015</v>
      </c>
    </row>
    <row r="421" spans="1:2" x14ac:dyDescent="0.3">
      <c r="A421">
        <v>4</v>
      </c>
      <c r="B421">
        <v>2016</v>
      </c>
    </row>
    <row r="422" spans="1:2" x14ac:dyDescent="0.3">
      <c r="A422">
        <v>1</v>
      </c>
      <c r="B422">
        <v>2017</v>
      </c>
    </row>
    <row r="423" spans="1:2" x14ac:dyDescent="0.3">
      <c r="A423">
        <v>1</v>
      </c>
      <c r="B423">
        <v>2016</v>
      </c>
    </row>
    <row r="424" spans="1:2" x14ac:dyDescent="0.3">
      <c r="A424">
        <v>1</v>
      </c>
      <c r="B424">
        <v>2016</v>
      </c>
    </row>
    <row r="425" spans="1:2" x14ac:dyDescent="0.3">
      <c r="A425">
        <v>1</v>
      </c>
      <c r="B425">
        <v>2016</v>
      </c>
    </row>
    <row r="426" spans="1:2" x14ac:dyDescent="0.3">
      <c r="A426">
        <v>1</v>
      </c>
      <c r="B426">
        <v>2017</v>
      </c>
    </row>
    <row r="427" spans="1:2" x14ac:dyDescent="0.3">
      <c r="A427">
        <v>4</v>
      </c>
      <c r="B427">
        <v>2016</v>
      </c>
    </row>
    <row r="428" spans="1:2" x14ac:dyDescent="0.3">
      <c r="A428">
        <v>4</v>
      </c>
      <c r="B428">
        <v>2015</v>
      </c>
    </row>
    <row r="429" spans="1:2" x14ac:dyDescent="0.3">
      <c r="A429">
        <v>1</v>
      </c>
      <c r="B429">
        <v>2017</v>
      </c>
    </row>
    <row r="430" spans="1:2" x14ac:dyDescent="0.3">
      <c r="A430">
        <v>1</v>
      </c>
      <c r="B430">
        <v>2016</v>
      </c>
    </row>
    <row r="431" spans="1:2" x14ac:dyDescent="0.3">
      <c r="A431">
        <v>4</v>
      </c>
      <c r="B431">
        <v>2014</v>
      </c>
    </row>
    <row r="432" spans="1:2" x14ac:dyDescent="0.3">
      <c r="A432">
        <v>1</v>
      </c>
      <c r="B432">
        <v>2016</v>
      </c>
    </row>
    <row r="433" spans="1:2" x14ac:dyDescent="0.3">
      <c r="A433">
        <v>4</v>
      </c>
      <c r="B433">
        <v>2015</v>
      </c>
    </row>
    <row r="434" spans="1:2" x14ac:dyDescent="0.3">
      <c r="A434">
        <v>4</v>
      </c>
      <c r="B434">
        <v>2016</v>
      </c>
    </row>
    <row r="435" spans="1:2" x14ac:dyDescent="0.3">
      <c r="A435">
        <v>4</v>
      </c>
      <c r="B435">
        <v>2013</v>
      </c>
    </row>
    <row r="436" spans="1:2" x14ac:dyDescent="0.3">
      <c r="A436">
        <v>1</v>
      </c>
      <c r="B436">
        <v>2015</v>
      </c>
    </row>
    <row r="437" spans="1:2" x14ac:dyDescent="0.3">
      <c r="A437">
        <v>1</v>
      </c>
      <c r="B437">
        <v>2014</v>
      </c>
    </row>
    <row r="438" spans="1:2" x14ac:dyDescent="0.3">
      <c r="A438">
        <v>4</v>
      </c>
      <c r="B438">
        <v>2015</v>
      </c>
    </row>
    <row r="439" spans="1:2" x14ac:dyDescent="0.3">
      <c r="A439">
        <v>1</v>
      </c>
      <c r="B439">
        <v>2016</v>
      </c>
    </row>
    <row r="440" spans="1:2" x14ac:dyDescent="0.3">
      <c r="A440">
        <v>4</v>
      </c>
      <c r="B440">
        <v>2016</v>
      </c>
    </row>
    <row r="441" spans="1:2" x14ac:dyDescent="0.3">
      <c r="A441">
        <v>1</v>
      </c>
      <c r="B441">
        <v>2017</v>
      </c>
    </row>
    <row r="442" spans="1:2" x14ac:dyDescent="0.3">
      <c r="A442">
        <v>1</v>
      </c>
      <c r="B442">
        <v>2015</v>
      </c>
    </row>
    <row r="443" spans="1:2" x14ac:dyDescent="0.3">
      <c r="A443">
        <v>4</v>
      </c>
      <c r="B443">
        <v>2013</v>
      </c>
    </row>
    <row r="444" spans="1:2" x14ac:dyDescent="0.3">
      <c r="A444">
        <v>1</v>
      </c>
      <c r="B444">
        <v>2014</v>
      </c>
    </row>
    <row r="445" spans="1:2" x14ac:dyDescent="0.3">
      <c r="A445">
        <v>4</v>
      </c>
      <c r="B445">
        <v>2017</v>
      </c>
    </row>
    <row r="446" spans="1:2" x14ac:dyDescent="0.3">
      <c r="A446">
        <v>2</v>
      </c>
      <c r="B446">
        <v>2016</v>
      </c>
    </row>
    <row r="447" spans="1:2" x14ac:dyDescent="0.3">
      <c r="A447">
        <v>4</v>
      </c>
      <c r="B447">
        <v>2016</v>
      </c>
    </row>
    <row r="448" spans="1:2" x14ac:dyDescent="0.3">
      <c r="A448">
        <v>1</v>
      </c>
      <c r="B448">
        <v>2014</v>
      </c>
    </row>
    <row r="449" spans="1:2" x14ac:dyDescent="0.3">
      <c r="A449">
        <v>4</v>
      </c>
      <c r="B449">
        <v>2016</v>
      </c>
    </row>
    <row r="450" spans="1:2" x14ac:dyDescent="0.3">
      <c r="A450">
        <v>1</v>
      </c>
      <c r="B450">
        <v>2013</v>
      </c>
    </row>
    <row r="451" spans="1:2" x14ac:dyDescent="0.3">
      <c r="A451">
        <v>2</v>
      </c>
      <c r="B451">
        <v>2016</v>
      </c>
    </row>
    <row r="452" spans="1:2" x14ac:dyDescent="0.3">
      <c r="A452">
        <v>4</v>
      </c>
      <c r="B452">
        <v>2016</v>
      </c>
    </row>
    <row r="453" spans="1:2" x14ac:dyDescent="0.3">
      <c r="A453">
        <v>2</v>
      </c>
      <c r="B453">
        <v>2016</v>
      </c>
    </row>
    <row r="454" spans="1:2" x14ac:dyDescent="0.3">
      <c r="A454">
        <v>2</v>
      </c>
      <c r="B454">
        <v>2015</v>
      </c>
    </row>
    <row r="455" spans="1:2" x14ac:dyDescent="0.3">
      <c r="A455">
        <v>2</v>
      </c>
      <c r="B455">
        <v>2015</v>
      </c>
    </row>
    <row r="456" spans="1:2" x14ac:dyDescent="0.3">
      <c r="A456">
        <v>4</v>
      </c>
      <c r="B456">
        <v>2016</v>
      </c>
    </row>
    <row r="457" spans="1:2" x14ac:dyDescent="0.3">
      <c r="A457">
        <v>4</v>
      </c>
      <c r="B457">
        <v>2017</v>
      </c>
    </row>
    <row r="458" spans="1:2" x14ac:dyDescent="0.3">
      <c r="A458">
        <v>1</v>
      </c>
      <c r="B458">
        <v>2016</v>
      </c>
    </row>
    <row r="459" spans="1:2" x14ac:dyDescent="0.3">
      <c r="A459">
        <v>4</v>
      </c>
      <c r="B459">
        <v>2017</v>
      </c>
    </row>
    <row r="460" spans="1:2" x14ac:dyDescent="0.3">
      <c r="A460">
        <v>1</v>
      </c>
      <c r="B460">
        <v>2017</v>
      </c>
    </row>
    <row r="461" spans="1:2" x14ac:dyDescent="0.3">
      <c r="A461">
        <v>2</v>
      </c>
      <c r="B461">
        <v>2015</v>
      </c>
    </row>
    <row r="462" spans="1:2" x14ac:dyDescent="0.3">
      <c r="A462">
        <v>4</v>
      </c>
      <c r="B462">
        <v>2016</v>
      </c>
    </row>
    <row r="463" spans="1:2" x14ac:dyDescent="0.3">
      <c r="A463">
        <v>4</v>
      </c>
      <c r="B463">
        <v>2015</v>
      </c>
    </row>
    <row r="464" spans="1:2" x14ac:dyDescent="0.3">
      <c r="A464">
        <v>1</v>
      </c>
      <c r="B464">
        <v>2016</v>
      </c>
    </row>
    <row r="465" spans="1:2" x14ac:dyDescent="0.3">
      <c r="A465">
        <v>1</v>
      </c>
      <c r="B465">
        <v>2015</v>
      </c>
    </row>
    <row r="466" spans="1:2" x14ac:dyDescent="0.3">
      <c r="A466">
        <v>1</v>
      </c>
      <c r="B466">
        <v>2016</v>
      </c>
    </row>
    <row r="467" spans="1:2" x14ac:dyDescent="0.3">
      <c r="A467">
        <v>2</v>
      </c>
      <c r="B467">
        <v>2015</v>
      </c>
    </row>
    <row r="468" spans="1:2" x14ac:dyDescent="0.3">
      <c r="A468">
        <v>4</v>
      </c>
      <c r="B468">
        <v>2017</v>
      </c>
    </row>
    <row r="469" spans="1:2" x14ac:dyDescent="0.3">
      <c r="A469">
        <v>2</v>
      </c>
      <c r="B469">
        <v>2017</v>
      </c>
    </row>
    <row r="470" spans="1:2" x14ac:dyDescent="0.3">
      <c r="A470">
        <v>1</v>
      </c>
      <c r="B470">
        <v>2017</v>
      </c>
    </row>
    <row r="471" spans="1:2" x14ac:dyDescent="0.3">
      <c r="A471">
        <v>4</v>
      </c>
      <c r="B471">
        <v>2015</v>
      </c>
    </row>
    <row r="472" spans="1:2" x14ac:dyDescent="0.3">
      <c r="A472">
        <v>4</v>
      </c>
      <c r="B472">
        <v>2017</v>
      </c>
    </row>
    <row r="473" spans="1:2" x14ac:dyDescent="0.3">
      <c r="A473">
        <v>4</v>
      </c>
      <c r="B473">
        <v>2016</v>
      </c>
    </row>
    <row r="474" spans="1:2" x14ac:dyDescent="0.3">
      <c r="A474">
        <v>1</v>
      </c>
      <c r="B474">
        <v>2015</v>
      </c>
    </row>
    <row r="475" spans="1:2" x14ac:dyDescent="0.3">
      <c r="A475">
        <v>4</v>
      </c>
      <c r="B475">
        <v>2014</v>
      </c>
    </row>
    <row r="476" spans="1:2" x14ac:dyDescent="0.3">
      <c r="A476">
        <v>2</v>
      </c>
      <c r="B476">
        <v>2015</v>
      </c>
    </row>
    <row r="477" spans="1:2" x14ac:dyDescent="0.3">
      <c r="A477">
        <v>2</v>
      </c>
      <c r="B477">
        <v>2016</v>
      </c>
    </row>
    <row r="478" spans="1:2" x14ac:dyDescent="0.3">
      <c r="A478">
        <v>4</v>
      </c>
      <c r="B478">
        <v>2011</v>
      </c>
    </row>
    <row r="479" spans="1:2" x14ac:dyDescent="0.3">
      <c r="A479">
        <v>1</v>
      </c>
      <c r="B479">
        <v>2015</v>
      </c>
    </row>
    <row r="480" spans="1:2" x14ac:dyDescent="0.3">
      <c r="A480">
        <v>4</v>
      </c>
      <c r="B480">
        <v>2017</v>
      </c>
    </row>
    <row r="481" spans="1:2" x14ac:dyDescent="0.3">
      <c r="A481">
        <v>1</v>
      </c>
      <c r="B481">
        <v>2017</v>
      </c>
    </row>
    <row r="482" spans="1:2" x14ac:dyDescent="0.3">
      <c r="A482">
        <v>4</v>
      </c>
      <c r="B482">
        <v>2016</v>
      </c>
    </row>
    <row r="483" spans="1:2" x14ac:dyDescent="0.3">
      <c r="A483">
        <v>1</v>
      </c>
      <c r="B483">
        <v>2016</v>
      </c>
    </row>
    <row r="484" spans="1:2" x14ac:dyDescent="0.3">
      <c r="A484">
        <v>1</v>
      </c>
      <c r="B484">
        <v>2016</v>
      </c>
    </row>
    <row r="485" spans="1:2" x14ac:dyDescent="0.3">
      <c r="A485">
        <v>4</v>
      </c>
      <c r="B485">
        <v>2016</v>
      </c>
    </row>
    <row r="486" spans="1:2" x14ac:dyDescent="0.3">
      <c r="A486">
        <v>2</v>
      </c>
      <c r="B486">
        <v>2016</v>
      </c>
    </row>
    <row r="487" spans="1:2" x14ac:dyDescent="0.3">
      <c r="A487">
        <v>1</v>
      </c>
      <c r="B487">
        <v>2017</v>
      </c>
    </row>
    <row r="488" spans="1:2" x14ac:dyDescent="0.3">
      <c r="A488">
        <v>2</v>
      </c>
      <c r="B488">
        <v>2017</v>
      </c>
    </row>
    <row r="489" spans="1:2" x14ac:dyDescent="0.3">
      <c r="A489">
        <v>1</v>
      </c>
      <c r="B489">
        <v>2017</v>
      </c>
    </row>
    <row r="490" spans="1:2" x14ac:dyDescent="0.3">
      <c r="A490">
        <v>4</v>
      </c>
      <c r="B490">
        <v>2017</v>
      </c>
    </row>
    <row r="491" spans="1:2" x14ac:dyDescent="0.3">
      <c r="A491">
        <v>4</v>
      </c>
      <c r="B491">
        <v>2016</v>
      </c>
    </row>
    <row r="492" spans="1:2" x14ac:dyDescent="0.3">
      <c r="A492">
        <v>2</v>
      </c>
      <c r="B492">
        <v>2017</v>
      </c>
    </row>
    <row r="493" spans="1:2" x14ac:dyDescent="0.3">
      <c r="A493">
        <v>4</v>
      </c>
      <c r="B493">
        <v>2016</v>
      </c>
    </row>
    <row r="494" spans="1:2" x14ac:dyDescent="0.3">
      <c r="A494">
        <v>2</v>
      </c>
      <c r="B494">
        <v>2015</v>
      </c>
    </row>
    <row r="495" spans="1:2" x14ac:dyDescent="0.3">
      <c r="A495">
        <v>4</v>
      </c>
      <c r="B495">
        <v>2015</v>
      </c>
    </row>
    <row r="496" spans="1:2" x14ac:dyDescent="0.3">
      <c r="A496">
        <v>4</v>
      </c>
      <c r="B496">
        <v>2017</v>
      </c>
    </row>
    <row r="497" spans="1:2" x14ac:dyDescent="0.3">
      <c r="A497">
        <v>4</v>
      </c>
      <c r="B497">
        <v>2015</v>
      </c>
    </row>
    <row r="498" spans="1:2" x14ac:dyDescent="0.3">
      <c r="A498">
        <v>4</v>
      </c>
      <c r="B498">
        <v>2016</v>
      </c>
    </row>
    <row r="499" spans="1:2" x14ac:dyDescent="0.3">
      <c r="A499">
        <v>2</v>
      </c>
      <c r="B499">
        <v>2013</v>
      </c>
    </row>
    <row r="500" spans="1:2" x14ac:dyDescent="0.3">
      <c r="A500">
        <v>4</v>
      </c>
      <c r="B500">
        <v>2015</v>
      </c>
    </row>
    <row r="501" spans="1:2" x14ac:dyDescent="0.3">
      <c r="A501">
        <v>4</v>
      </c>
      <c r="B501">
        <v>2015</v>
      </c>
    </row>
    <row r="502" spans="1:2" x14ac:dyDescent="0.3">
      <c r="A502">
        <v>4</v>
      </c>
      <c r="B502">
        <v>2016</v>
      </c>
    </row>
    <row r="503" spans="1:2" x14ac:dyDescent="0.3">
      <c r="A503">
        <v>1</v>
      </c>
      <c r="B503">
        <v>2016</v>
      </c>
    </row>
    <row r="504" spans="1:2" x14ac:dyDescent="0.3">
      <c r="A504">
        <v>1</v>
      </c>
      <c r="B504">
        <v>2015</v>
      </c>
    </row>
    <row r="505" spans="1:2" x14ac:dyDescent="0.3">
      <c r="A505">
        <v>2</v>
      </c>
      <c r="B505">
        <v>2014</v>
      </c>
    </row>
    <row r="506" spans="1:2" x14ac:dyDescent="0.3">
      <c r="A506">
        <v>4</v>
      </c>
      <c r="B506">
        <v>2017</v>
      </c>
    </row>
    <row r="507" spans="1:2" x14ac:dyDescent="0.3">
      <c r="A507">
        <v>1</v>
      </c>
      <c r="B507">
        <v>2017</v>
      </c>
    </row>
    <row r="508" spans="1:2" x14ac:dyDescent="0.3">
      <c r="A508">
        <v>1</v>
      </c>
      <c r="B508">
        <v>2017</v>
      </c>
    </row>
    <row r="509" spans="1:2" x14ac:dyDescent="0.3">
      <c r="A509">
        <v>1</v>
      </c>
      <c r="B509">
        <v>2015</v>
      </c>
    </row>
    <row r="510" spans="1:2" x14ac:dyDescent="0.3">
      <c r="A510">
        <v>1</v>
      </c>
      <c r="B510">
        <v>2016</v>
      </c>
    </row>
    <row r="511" spans="1:2" x14ac:dyDescent="0.3">
      <c r="A511">
        <v>1</v>
      </c>
      <c r="B511">
        <v>2015</v>
      </c>
    </row>
    <row r="512" spans="1:2" x14ac:dyDescent="0.3">
      <c r="A512">
        <v>3</v>
      </c>
      <c r="B512">
        <v>2016</v>
      </c>
    </row>
    <row r="513" spans="1:2" x14ac:dyDescent="0.3">
      <c r="A513">
        <v>1</v>
      </c>
      <c r="B513">
        <v>2016</v>
      </c>
    </row>
    <row r="514" spans="1:2" x14ac:dyDescent="0.3">
      <c r="A514">
        <v>2</v>
      </c>
      <c r="B514">
        <v>2016</v>
      </c>
    </row>
    <row r="515" spans="1:2" x14ac:dyDescent="0.3">
      <c r="A515">
        <v>4</v>
      </c>
      <c r="B515">
        <v>2015</v>
      </c>
    </row>
    <row r="516" spans="1:2" x14ac:dyDescent="0.3">
      <c r="A516">
        <v>4</v>
      </c>
      <c r="B516">
        <v>2017</v>
      </c>
    </row>
    <row r="517" spans="1:2" x14ac:dyDescent="0.3">
      <c r="A517">
        <v>4</v>
      </c>
      <c r="B517">
        <v>2016</v>
      </c>
    </row>
    <row r="518" spans="1:2" x14ac:dyDescent="0.3">
      <c r="A518">
        <v>1</v>
      </c>
      <c r="B518">
        <v>2017</v>
      </c>
    </row>
    <row r="519" spans="1:2" x14ac:dyDescent="0.3">
      <c r="A519">
        <v>1</v>
      </c>
      <c r="B519">
        <v>2015</v>
      </c>
    </row>
    <row r="520" spans="1:2" x14ac:dyDescent="0.3">
      <c r="A520">
        <v>4</v>
      </c>
      <c r="B520">
        <v>2017</v>
      </c>
    </row>
    <row r="521" spans="1:2" x14ac:dyDescent="0.3">
      <c r="A521">
        <v>1</v>
      </c>
      <c r="B521">
        <v>2016</v>
      </c>
    </row>
    <row r="522" spans="1:2" x14ac:dyDescent="0.3">
      <c r="A522">
        <v>4</v>
      </c>
      <c r="B522">
        <v>2015</v>
      </c>
    </row>
    <row r="523" spans="1:2" x14ac:dyDescent="0.3">
      <c r="A523">
        <v>1</v>
      </c>
      <c r="B523">
        <v>2016</v>
      </c>
    </row>
    <row r="524" spans="1:2" x14ac:dyDescent="0.3">
      <c r="A524">
        <v>4</v>
      </c>
      <c r="B524">
        <v>2016</v>
      </c>
    </row>
    <row r="525" spans="1:2" x14ac:dyDescent="0.3">
      <c r="A525">
        <v>4</v>
      </c>
      <c r="B525">
        <v>2016</v>
      </c>
    </row>
    <row r="526" spans="1:2" x14ac:dyDescent="0.3">
      <c r="A526">
        <v>4</v>
      </c>
      <c r="B526">
        <v>2016</v>
      </c>
    </row>
    <row r="527" spans="1:2" x14ac:dyDescent="0.3">
      <c r="A527">
        <v>4</v>
      </c>
      <c r="B527">
        <v>2017</v>
      </c>
    </row>
    <row r="528" spans="1:2" x14ac:dyDescent="0.3">
      <c r="A528">
        <v>4</v>
      </c>
      <c r="B528">
        <v>2017</v>
      </c>
    </row>
    <row r="529" spans="1:2" x14ac:dyDescent="0.3">
      <c r="A529">
        <v>2</v>
      </c>
      <c r="B529">
        <v>2017</v>
      </c>
    </row>
    <row r="530" spans="1:2" x14ac:dyDescent="0.3">
      <c r="A530">
        <v>1</v>
      </c>
      <c r="B530">
        <v>2016</v>
      </c>
    </row>
    <row r="531" spans="1:2" x14ac:dyDescent="0.3">
      <c r="A531">
        <v>4</v>
      </c>
      <c r="B531">
        <v>2012</v>
      </c>
    </row>
    <row r="532" spans="1:2" x14ac:dyDescent="0.3">
      <c r="A532">
        <v>4</v>
      </c>
      <c r="B532">
        <v>2015</v>
      </c>
    </row>
    <row r="533" spans="1:2" x14ac:dyDescent="0.3">
      <c r="A533">
        <v>4</v>
      </c>
      <c r="B533">
        <v>2016</v>
      </c>
    </row>
    <row r="534" spans="1:2" x14ac:dyDescent="0.3">
      <c r="A534">
        <v>4</v>
      </c>
      <c r="B534">
        <v>2015</v>
      </c>
    </row>
    <row r="535" spans="1:2" x14ac:dyDescent="0.3">
      <c r="A535">
        <v>4</v>
      </c>
      <c r="B535">
        <v>2016</v>
      </c>
    </row>
    <row r="536" spans="1:2" x14ac:dyDescent="0.3">
      <c r="A536">
        <v>2</v>
      </c>
      <c r="B536">
        <v>2015</v>
      </c>
    </row>
    <row r="537" spans="1:2" x14ac:dyDescent="0.3">
      <c r="A537">
        <v>1</v>
      </c>
      <c r="B537">
        <v>2017</v>
      </c>
    </row>
    <row r="538" spans="1:2" x14ac:dyDescent="0.3">
      <c r="A538">
        <v>4</v>
      </c>
      <c r="B538">
        <v>2016</v>
      </c>
    </row>
    <row r="539" spans="1:2" x14ac:dyDescent="0.3">
      <c r="A539">
        <v>4</v>
      </c>
      <c r="B539">
        <v>2015</v>
      </c>
    </row>
    <row r="540" spans="1:2" x14ac:dyDescent="0.3">
      <c r="A540">
        <v>1</v>
      </c>
      <c r="B540">
        <v>2016</v>
      </c>
    </row>
    <row r="541" spans="1:2" x14ac:dyDescent="0.3">
      <c r="A541">
        <v>4</v>
      </c>
      <c r="B541">
        <v>2015</v>
      </c>
    </row>
    <row r="542" spans="1:2" x14ac:dyDescent="0.3">
      <c r="A542">
        <v>4</v>
      </c>
      <c r="B542">
        <v>2015</v>
      </c>
    </row>
    <row r="543" spans="1:2" x14ac:dyDescent="0.3">
      <c r="A543">
        <v>1</v>
      </c>
      <c r="B543">
        <v>2015</v>
      </c>
    </row>
    <row r="544" spans="1:2" x14ac:dyDescent="0.3">
      <c r="A544">
        <v>1</v>
      </c>
      <c r="B544">
        <v>2017</v>
      </c>
    </row>
    <row r="545" spans="1:2" x14ac:dyDescent="0.3">
      <c r="A545">
        <v>4</v>
      </c>
      <c r="B545">
        <v>2016</v>
      </c>
    </row>
    <row r="546" spans="1:2" x14ac:dyDescent="0.3">
      <c r="A546">
        <v>4</v>
      </c>
      <c r="B546">
        <v>2017</v>
      </c>
    </row>
    <row r="547" spans="1:2" x14ac:dyDescent="0.3">
      <c r="A547">
        <v>4</v>
      </c>
      <c r="B547">
        <v>2013</v>
      </c>
    </row>
    <row r="548" spans="1:2" x14ac:dyDescent="0.3">
      <c r="A548">
        <v>4</v>
      </c>
      <c r="B548">
        <v>2014</v>
      </c>
    </row>
    <row r="549" spans="1:2" x14ac:dyDescent="0.3">
      <c r="A549">
        <v>2</v>
      </c>
      <c r="B549">
        <v>2016</v>
      </c>
    </row>
    <row r="550" spans="1:2" x14ac:dyDescent="0.3">
      <c r="A550">
        <v>4</v>
      </c>
      <c r="B550">
        <v>2017</v>
      </c>
    </row>
    <row r="551" spans="1:2" x14ac:dyDescent="0.3">
      <c r="A551">
        <v>1</v>
      </c>
      <c r="B551">
        <v>2014</v>
      </c>
    </row>
    <row r="552" spans="1:2" x14ac:dyDescent="0.3">
      <c r="A552">
        <v>1</v>
      </c>
      <c r="B552">
        <v>2015</v>
      </c>
    </row>
    <row r="553" spans="1:2" x14ac:dyDescent="0.3">
      <c r="A553">
        <v>2</v>
      </c>
      <c r="B553">
        <v>2017</v>
      </c>
    </row>
    <row r="554" spans="1:2" x14ac:dyDescent="0.3">
      <c r="A554">
        <v>2</v>
      </c>
      <c r="B554">
        <v>2015</v>
      </c>
    </row>
    <row r="555" spans="1:2" x14ac:dyDescent="0.3">
      <c r="A555">
        <v>4</v>
      </c>
      <c r="B555">
        <v>2014</v>
      </c>
    </row>
    <row r="556" spans="1:2" x14ac:dyDescent="0.3">
      <c r="A556">
        <v>1</v>
      </c>
      <c r="B556">
        <v>2016</v>
      </c>
    </row>
    <row r="557" spans="1:2" x14ac:dyDescent="0.3">
      <c r="A557">
        <v>4</v>
      </c>
      <c r="B557">
        <v>2017</v>
      </c>
    </row>
    <row r="558" spans="1:2" x14ac:dyDescent="0.3">
      <c r="A558">
        <v>4</v>
      </c>
      <c r="B558">
        <v>2015</v>
      </c>
    </row>
    <row r="559" spans="1:2" x14ac:dyDescent="0.3">
      <c r="A559">
        <v>4</v>
      </c>
      <c r="B559">
        <v>2017</v>
      </c>
    </row>
    <row r="560" spans="1:2" x14ac:dyDescent="0.3">
      <c r="A560">
        <v>1</v>
      </c>
      <c r="B560">
        <v>2016</v>
      </c>
    </row>
    <row r="561" spans="1:2" x14ac:dyDescent="0.3">
      <c r="A561">
        <v>1</v>
      </c>
      <c r="B561">
        <v>2015</v>
      </c>
    </row>
    <row r="562" spans="1:2" x14ac:dyDescent="0.3">
      <c r="A562">
        <v>2</v>
      </c>
      <c r="B562">
        <v>2015</v>
      </c>
    </row>
    <row r="563" spans="1:2" x14ac:dyDescent="0.3">
      <c r="A563">
        <v>4</v>
      </c>
      <c r="B563">
        <v>2016</v>
      </c>
    </row>
    <row r="564" spans="1:2" x14ac:dyDescent="0.3">
      <c r="A564">
        <v>2</v>
      </c>
      <c r="B564">
        <v>2013</v>
      </c>
    </row>
    <row r="565" spans="1:2" x14ac:dyDescent="0.3">
      <c r="A565">
        <v>1</v>
      </c>
      <c r="B565">
        <v>2015</v>
      </c>
    </row>
    <row r="566" spans="1:2" x14ac:dyDescent="0.3">
      <c r="A566">
        <v>4</v>
      </c>
      <c r="B566">
        <v>2013</v>
      </c>
    </row>
    <row r="567" spans="1:2" x14ac:dyDescent="0.3">
      <c r="A567">
        <v>4</v>
      </c>
      <c r="B567">
        <v>2013</v>
      </c>
    </row>
    <row r="568" spans="1:2" x14ac:dyDescent="0.3">
      <c r="A568">
        <v>1</v>
      </c>
      <c r="B568">
        <v>2017</v>
      </c>
    </row>
    <row r="569" spans="1:2" x14ac:dyDescent="0.3">
      <c r="A569">
        <v>1</v>
      </c>
      <c r="B569">
        <v>2017</v>
      </c>
    </row>
    <row r="570" spans="1:2" x14ac:dyDescent="0.3">
      <c r="A570">
        <v>1</v>
      </c>
      <c r="B570">
        <v>2016</v>
      </c>
    </row>
    <row r="571" spans="1:2" x14ac:dyDescent="0.3">
      <c r="A571">
        <v>4</v>
      </c>
      <c r="B571">
        <v>2016</v>
      </c>
    </row>
    <row r="572" spans="1:2" x14ac:dyDescent="0.3">
      <c r="A572">
        <v>1</v>
      </c>
      <c r="B572">
        <v>2015</v>
      </c>
    </row>
    <row r="573" spans="1:2" x14ac:dyDescent="0.3">
      <c r="A573">
        <v>4</v>
      </c>
      <c r="B573">
        <v>2015</v>
      </c>
    </row>
    <row r="574" spans="1:2" x14ac:dyDescent="0.3">
      <c r="A574">
        <v>4</v>
      </c>
      <c r="B574">
        <v>2017</v>
      </c>
    </row>
    <row r="575" spans="1:2" x14ac:dyDescent="0.3">
      <c r="A575">
        <v>4</v>
      </c>
      <c r="B575">
        <v>2016</v>
      </c>
    </row>
    <row r="576" spans="1:2" x14ac:dyDescent="0.3">
      <c r="A576">
        <v>4</v>
      </c>
      <c r="B576">
        <v>2016</v>
      </c>
    </row>
    <row r="577" spans="1:2" x14ac:dyDescent="0.3">
      <c r="A577">
        <v>2</v>
      </c>
      <c r="B577">
        <v>2017</v>
      </c>
    </row>
    <row r="578" spans="1:2" x14ac:dyDescent="0.3">
      <c r="A578">
        <v>4</v>
      </c>
      <c r="B578">
        <v>2016</v>
      </c>
    </row>
    <row r="579" spans="1:2" x14ac:dyDescent="0.3">
      <c r="A579">
        <v>1</v>
      </c>
      <c r="B579">
        <v>2015</v>
      </c>
    </row>
    <row r="580" spans="1:2" x14ac:dyDescent="0.3">
      <c r="A580">
        <v>1</v>
      </c>
      <c r="B580">
        <v>2015</v>
      </c>
    </row>
    <row r="581" spans="1:2" x14ac:dyDescent="0.3">
      <c r="A581">
        <v>4</v>
      </c>
      <c r="B581">
        <v>2017</v>
      </c>
    </row>
    <row r="582" spans="1:2" x14ac:dyDescent="0.3">
      <c r="A582">
        <v>4</v>
      </c>
      <c r="B582">
        <v>2015</v>
      </c>
    </row>
    <row r="583" spans="1:2" x14ac:dyDescent="0.3">
      <c r="A583">
        <v>1</v>
      </c>
      <c r="B583">
        <v>2017</v>
      </c>
    </row>
    <row r="584" spans="1:2" x14ac:dyDescent="0.3">
      <c r="A584">
        <v>4</v>
      </c>
      <c r="B584">
        <v>2016</v>
      </c>
    </row>
    <row r="585" spans="1:2" x14ac:dyDescent="0.3">
      <c r="A585">
        <v>2</v>
      </c>
      <c r="B585">
        <v>2015</v>
      </c>
    </row>
    <row r="586" spans="1:2" x14ac:dyDescent="0.3">
      <c r="A586">
        <v>4</v>
      </c>
      <c r="B586">
        <v>2017</v>
      </c>
    </row>
    <row r="587" spans="1:2" x14ac:dyDescent="0.3">
      <c r="A587">
        <v>4</v>
      </c>
      <c r="B587">
        <v>2014</v>
      </c>
    </row>
    <row r="588" spans="1:2" x14ac:dyDescent="0.3">
      <c r="A588">
        <v>1</v>
      </c>
      <c r="B588">
        <v>2016</v>
      </c>
    </row>
    <row r="589" spans="1:2" x14ac:dyDescent="0.3">
      <c r="A589">
        <v>4</v>
      </c>
      <c r="B589">
        <v>2016</v>
      </c>
    </row>
    <row r="590" spans="1:2" x14ac:dyDescent="0.3">
      <c r="A590">
        <v>4</v>
      </c>
      <c r="B590">
        <v>2016</v>
      </c>
    </row>
    <row r="591" spans="1:2" x14ac:dyDescent="0.3">
      <c r="A591">
        <v>4</v>
      </c>
      <c r="B591">
        <v>2014</v>
      </c>
    </row>
    <row r="592" spans="1:2" x14ac:dyDescent="0.3">
      <c r="A592">
        <v>2</v>
      </c>
      <c r="B592">
        <v>2014</v>
      </c>
    </row>
    <row r="593" spans="1:2" x14ac:dyDescent="0.3">
      <c r="A593">
        <v>4</v>
      </c>
      <c r="B593">
        <v>2013</v>
      </c>
    </row>
    <row r="594" spans="1:2" x14ac:dyDescent="0.3">
      <c r="A594">
        <v>4</v>
      </c>
      <c r="B594">
        <v>2017</v>
      </c>
    </row>
    <row r="595" spans="1:2" x14ac:dyDescent="0.3">
      <c r="A595">
        <v>2</v>
      </c>
      <c r="B595">
        <v>2014</v>
      </c>
    </row>
    <row r="596" spans="1:2" x14ac:dyDescent="0.3">
      <c r="A596">
        <v>4</v>
      </c>
      <c r="B596">
        <v>2016</v>
      </c>
    </row>
    <row r="597" spans="1:2" x14ac:dyDescent="0.3">
      <c r="A597">
        <v>2</v>
      </c>
      <c r="B597">
        <v>2015</v>
      </c>
    </row>
    <row r="598" spans="1:2" x14ac:dyDescent="0.3">
      <c r="A598">
        <v>2</v>
      </c>
      <c r="B598">
        <v>2015</v>
      </c>
    </row>
    <row r="599" spans="1:2" x14ac:dyDescent="0.3">
      <c r="A599">
        <v>4</v>
      </c>
      <c r="B599">
        <v>2015</v>
      </c>
    </row>
    <row r="600" spans="1:2" x14ac:dyDescent="0.3">
      <c r="A600">
        <v>4</v>
      </c>
      <c r="B600">
        <v>2017</v>
      </c>
    </row>
    <row r="601" spans="1:2" x14ac:dyDescent="0.3">
      <c r="A601">
        <v>4</v>
      </c>
      <c r="B601">
        <v>2012</v>
      </c>
    </row>
    <row r="602" spans="1:2" x14ac:dyDescent="0.3">
      <c r="A602">
        <v>1</v>
      </c>
      <c r="B602">
        <v>2016</v>
      </c>
    </row>
    <row r="603" spans="1:2" x14ac:dyDescent="0.3">
      <c r="A603">
        <v>4</v>
      </c>
      <c r="B603">
        <v>2016</v>
      </c>
    </row>
    <row r="604" spans="1:2" x14ac:dyDescent="0.3">
      <c r="A604">
        <v>1</v>
      </c>
      <c r="B604">
        <v>2015</v>
      </c>
    </row>
    <row r="605" spans="1:2" x14ac:dyDescent="0.3">
      <c r="A605">
        <v>4</v>
      </c>
      <c r="B605">
        <v>2016</v>
      </c>
    </row>
    <row r="606" spans="1:2" x14ac:dyDescent="0.3">
      <c r="A606">
        <v>4</v>
      </c>
      <c r="B606">
        <v>2015</v>
      </c>
    </row>
    <row r="607" spans="1:2" x14ac:dyDescent="0.3">
      <c r="A607">
        <v>1</v>
      </c>
      <c r="B607">
        <v>2014</v>
      </c>
    </row>
    <row r="608" spans="1:2" x14ac:dyDescent="0.3">
      <c r="A608">
        <v>1</v>
      </c>
      <c r="B608">
        <v>2017</v>
      </c>
    </row>
    <row r="609" spans="1:2" x14ac:dyDescent="0.3">
      <c r="A609">
        <v>4</v>
      </c>
      <c r="B609">
        <v>2016</v>
      </c>
    </row>
    <row r="610" spans="1:2" x14ac:dyDescent="0.3">
      <c r="A610">
        <v>4</v>
      </c>
      <c r="B610">
        <v>2015</v>
      </c>
    </row>
    <row r="611" spans="1:2" x14ac:dyDescent="0.3">
      <c r="A611">
        <v>1</v>
      </c>
      <c r="B611">
        <v>2013</v>
      </c>
    </row>
    <row r="612" spans="1:2" x14ac:dyDescent="0.3">
      <c r="A612">
        <v>4</v>
      </c>
      <c r="B612">
        <v>2015</v>
      </c>
    </row>
    <row r="613" spans="1:2" x14ac:dyDescent="0.3">
      <c r="A613">
        <v>1</v>
      </c>
      <c r="B613">
        <v>2016</v>
      </c>
    </row>
    <row r="614" spans="1:2" x14ac:dyDescent="0.3">
      <c r="A614">
        <v>4</v>
      </c>
      <c r="B614">
        <v>2017</v>
      </c>
    </row>
    <row r="615" spans="1:2" x14ac:dyDescent="0.3">
      <c r="A615">
        <v>2</v>
      </c>
      <c r="B615">
        <v>2016</v>
      </c>
    </row>
    <row r="616" spans="1:2" x14ac:dyDescent="0.3">
      <c r="A616">
        <v>4</v>
      </c>
      <c r="B616">
        <v>2012</v>
      </c>
    </row>
    <row r="617" spans="1:2" x14ac:dyDescent="0.3">
      <c r="A617">
        <v>4</v>
      </c>
      <c r="B617">
        <v>2016</v>
      </c>
    </row>
    <row r="618" spans="1:2" x14ac:dyDescent="0.3">
      <c r="A618">
        <v>4</v>
      </c>
      <c r="B618">
        <v>2015</v>
      </c>
    </row>
    <row r="619" spans="1:2" x14ac:dyDescent="0.3">
      <c r="A619">
        <v>4</v>
      </c>
      <c r="B619">
        <v>2015</v>
      </c>
    </row>
    <row r="620" spans="1:2" x14ac:dyDescent="0.3">
      <c r="A620">
        <v>4</v>
      </c>
      <c r="B620">
        <v>2016</v>
      </c>
    </row>
    <row r="621" spans="1:2" x14ac:dyDescent="0.3">
      <c r="A621">
        <v>4</v>
      </c>
      <c r="B621">
        <v>2016</v>
      </c>
    </row>
    <row r="622" spans="1:2" x14ac:dyDescent="0.3">
      <c r="A622">
        <v>2</v>
      </c>
      <c r="B622">
        <v>2015</v>
      </c>
    </row>
    <row r="623" spans="1:2" x14ac:dyDescent="0.3">
      <c r="A623">
        <v>4</v>
      </c>
      <c r="B623">
        <v>2014</v>
      </c>
    </row>
    <row r="624" spans="1:2" x14ac:dyDescent="0.3">
      <c r="A624">
        <v>1</v>
      </c>
      <c r="B624">
        <v>2016</v>
      </c>
    </row>
    <row r="625" spans="1:2" x14ac:dyDescent="0.3">
      <c r="A625">
        <v>4</v>
      </c>
      <c r="B625">
        <v>2014</v>
      </c>
    </row>
    <row r="626" spans="1:2" x14ac:dyDescent="0.3">
      <c r="A626">
        <v>4</v>
      </c>
      <c r="B626">
        <v>2015</v>
      </c>
    </row>
    <row r="627" spans="1:2" x14ac:dyDescent="0.3">
      <c r="A627">
        <v>1</v>
      </c>
      <c r="B627">
        <v>2015</v>
      </c>
    </row>
    <row r="628" spans="1:2" x14ac:dyDescent="0.3">
      <c r="A628">
        <v>4</v>
      </c>
      <c r="B628">
        <v>2016</v>
      </c>
    </row>
    <row r="629" spans="1:2" x14ac:dyDescent="0.3">
      <c r="A629">
        <v>4</v>
      </c>
      <c r="B629">
        <v>2015</v>
      </c>
    </row>
    <row r="630" spans="1:2" x14ac:dyDescent="0.3">
      <c r="A630">
        <v>1</v>
      </c>
      <c r="B630">
        <v>2017</v>
      </c>
    </row>
    <row r="631" spans="1:2" x14ac:dyDescent="0.3">
      <c r="A631">
        <v>4</v>
      </c>
      <c r="B631">
        <v>2016</v>
      </c>
    </row>
    <row r="632" spans="1:2" x14ac:dyDescent="0.3">
      <c r="A632">
        <v>4</v>
      </c>
      <c r="B632">
        <v>2015</v>
      </c>
    </row>
    <row r="633" spans="1:2" x14ac:dyDescent="0.3">
      <c r="A633">
        <v>2</v>
      </c>
      <c r="B633">
        <v>2016</v>
      </c>
    </row>
    <row r="634" spans="1:2" x14ac:dyDescent="0.3">
      <c r="A634">
        <v>4</v>
      </c>
      <c r="B634">
        <v>2016</v>
      </c>
    </row>
    <row r="635" spans="1:2" x14ac:dyDescent="0.3">
      <c r="A635">
        <v>4</v>
      </c>
      <c r="B635">
        <v>2015</v>
      </c>
    </row>
    <row r="636" spans="1:2" x14ac:dyDescent="0.3">
      <c r="A636">
        <v>4</v>
      </c>
      <c r="B636">
        <v>2016</v>
      </c>
    </row>
    <row r="637" spans="1:2" x14ac:dyDescent="0.3">
      <c r="A637">
        <v>4</v>
      </c>
      <c r="B637">
        <v>2016</v>
      </c>
    </row>
    <row r="638" spans="1:2" x14ac:dyDescent="0.3">
      <c r="A638">
        <v>4</v>
      </c>
      <c r="B638">
        <v>2017</v>
      </c>
    </row>
    <row r="639" spans="1:2" x14ac:dyDescent="0.3">
      <c r="A639">
        <v>4</v>
      </c>
      <c r="B639">
        <v>2016</v>
      </c>
    </row>
    <row r="640" spans="1:2" x14ac:dyDescent="0.3">
      <c r="A640">
        <v>4</v>
      </c>
      <c r="B640">
        <v>2017</v>
      </c>
    </row>
    <row r="641" spans="1:2" x14ac:dyDescent="0.3">
      <c r="A641">
        <v>4</v>
      </c>
      <c r="B641">
        <v>2017</v>
      </c>
    </row>
    <row r="642" spans="1:2" x14ac:dyDescent="0.3">
      <c r="A642">
        <v>4</v>
      </c>
      <c r="B642">
        <v>2016</v>
      </c>
    </row>
    <row r="643" spans="1:2" x14ac:dyDescent="0.3">
      <c r="A643">
        <v>1</v>
      </c>
      <c r="B643">
        <v>2016</v>
      </c>
    </row>
    <row r="644" spans="1:2" x14ac:dyDescent="0.3">
      <c r="A644">
        <v>4</v>
      </c>
      <c r="B644">
        <v>2016</v>
      </c>
    </row>
    <row r="645" spans="1:2" x14ac:dyDescent="0.3">
      <c r="A645">
        <v>4</v>
      </c>
      <c r="B645">
        <v>2015</v>
      </c>
    </row>
    <row r="646" spans="1:2" x14ac:dyDescent="0.3">
      <c r="A646">
        <v>2</v>
      </c>
      <c r="B646">
        <v>2017</v>
      </c>
    </row>
    <row r="647" spans="1:2" x14ac:dyDescent="0.3">
      <c r="A647">
        <v>4</v>
      </c>
      <c r="B647">
        <v>2016</v>
      </c>
    </row>
    <row r="648" spans="1:2" x14ac:dyDescent="0.3">
      <c r="A648">
        <v>4</v>
      </c>
      <c r="B648">
        <v>2015</v>
      </c>
    </row>
    <row r="649" spans="1:2" x14ac:dyDescent="0.3">
      <c r="A649">
        <v>4</v>
      </c>
      <c r="B649">
        <v>2016</v>
      </c>
    </row>
    <row r="650" spans="1:2" x14ac:dyDescent="0.3">
      <c r="A650">
        <v>1</v>
      </c>
      <c r="B650">
        <v>2016</v>
      </c>
    </row>
    <row r="651" spans="1:2" x14ac:dyDescent="0.3">
      <c r="A651">
        <v>1</v>
      </c>
      <c r="B651">
        <v>2015</v>
      </c>
    </row>
    <row r="652" spans="1:2" x14ac:dyDescent="0.3">
      <c r="A652">
        <v>1</v>
      </c>
      <c r="B652">
        <v>2017</v>
      </c>
    </row>
    <row r="653" spans="1:2" x14ac:dyDescent="0.3">
      <c r="A653">
        <v>4</v>
      </c>
      <c r="B653">
        <v>2016</v>
      </c>
    </row>
    <row r="654" spans="1:2" x14ac:dyDescent="0.3">
      <c r="A654">
        <v>2</v>
      </c>
      <c r="B654">
        <v>2015</v>
      </c>
    </row>
    <row r="655" spans="1:2" x14ac:dyDescent="0.3">
      <c r="A655">
        <v>1</v>
      </c>
      <c r="B655">
        <v>2017</v>
      </c>
    </row>
    <row r="656" spans="1:2" x14ac:dyDescent="0.3">
      <c r="A656">
        <v>1</v>
      </c>
      <c r="B656">
        <v>2016</v>
      </c>
    </row>
    <row r="657" spans="1:2" x14ac:dyDescent="0.3">
      <c r="A657">
        <v>4</v>
      </c>
      <c r="B657">
        <v>2017</v>
      </c>
    </row>
    <row r="658" spans="1:2" x14ac:dyDescent="0.3">
      <c r="A658">
        <v>2</v>
      </c>
      <c r="B658">
        <v>2016</v>
      </c>
    </row>
    <row r="659" spans="1:2" x14ac:dyDescent="0.3">
      <c r="A659">
        <v>4</v>
      </c>
      <c r="B659">
        <v>2016</v>
      </c>
    </row>
    <row r="660" spans="1:2" x14ac:dyDescent="0.3">
      <c r="A660">
        <v>4</v>
      </c>
      <c r="B660">
        <v>2016</v>
      </c>
    </row>
    <row r="661" spans="1:2" x14ac:dyDescent="0.3">
      <c r="A661">
        <v>2</v>
      </c>
      <c r="B661">
        <v>2016</v>
      </c>
    </row>
    <row r="662" spans="1:2" x14ac:dyDescent="0.3">
      <c r="A662">
        <v>1</v>
      </c>
      <c r="B662">
        <v>2017</v>
      </c>
    </row>
    <row r="663" spans="1:2" x14ac:dyDescent="0.3">
      <c r="A663">
        <v>4</v>
      </c>
      <c r="B663">
        <v>2017</v>
      </c>
    </row>
    <row r="664" spans="1:2" x14ac:dyDescent="0.3">
      <c r="A664">
        <v>1</v>
      </c>
      <c r="B664">
        <v>2015</v>
      </c>
    </row>
    <row r="665" spans="1:2" x14ac:dyDescent="0.3">
      <c r="A665">
        <v>4</v>
      </c>
      <c r="B665">
        <v>2015</v>
      </c>
    </row>
    <row r="666" spans="1:2" x14ac:dyDescent="0.3">
      <c r="A666">
        <v>2</v>
      </c>
      <c r="B666">
        <v>2017</v>
      </c>
    </row>
    <row r="667" spans="1:2" x14ac:dyDescent="0.3">
      <c r="A667">
        <v>1</v>
      </c>
      <c r="B667">
        <v>2016</v>
      </c>
    </row>
    <row r="668" spans="1:2" x14ac:dyDescent="0.3">
      <c r="A668">
        <v>1</v>
      </c>
      <c r="B668">
        <v>2013</v>
      </c>
    </row>
    <row r="669" spans="1:2" x14ac:dyDescent="0.3">
      <c r="A669">
        <v>4</v>
      </c>
      <c r="B669">
        <v>2015</v>
      </c>
    </row>
    <row r="670" spans="1:2" x14ac:dyDescent="0.3">
      <c r="A670">
        <v>4</v>
      </c>
      <c r="B670">
        <v>2016</v>
      </c>
    </row>
    <row r="671" spans="1:2" x14ac:dyDescent="0.3">
      <c r="A671">
        <v>4</v>
      </c>
      <c r="B671">
        <v>2015</v>
      </c>
    </row>
    <row r="672" spans="1:2" x14ac:dyDescent="0.3">
      <c r="A672">
        <v>1</v>
      </c>
      <c r="B672">
        <v>2017</v>
      </c>
    </row>
    <row r="673" spans="1:2" x14ac:dyDescent="0.3">
      <c r="A673">
        <v>4</v>
      </c>
      <c r="B673">
        <v>2016</v>
      </c>
    </row>
    <row r="674" spans="1:2" x14ac:dyDescent="0.3">
      <c r="A674">
        <v>2</v>
      </c>
      <c r="B674">
        <v>2015</v>
      </c>
    </row>
    <row r="675" spans="1:2" x14ac:dyDescent="0.3">
      <c r="A675">
        <v>2</v>
      </c>
      <c r="B675">
        <v>2016</v>
      </c>
    </row>
    <row r="676" spans="1:2" x14ac:dyDescent="0.3">
      <c r="A676">
        <v>1</v>
      </c>
      <c r="B676">
        <v>2016</v>
      </c>
    </row>
    <row r="677" spans="1:2" x14ac:dyDescent="0.3">
      <c r="A677">
        <v>4</v>
      </c>
      <c r="B677">
        <v>2017</v>
      </c>
    </row>
    <row r="678" spans="1:2" x14ac:dyDescent="0.3">
      <c r="A678">
        <v>4</v>
      </c>
      <c r="B678">
        <v>2016</v>
      </c>
    </row>
    <row r="679" spans="1:2" x14ac:dyDescent="0.3">
      <c r="A679">
        <v>4</v>
      </c>
      <c r="B679">
        <v>2016</v>
      </c>
    </row>
    <row r="680" spans="1:2" x14ac:dyDescent="0.3">
      <c r="A680">
        <v>4</v>
      </c>
      <c r="B680">
        <v>2016</v>
      </c>
    </row>
    <row r="681" spans="1:2" x14ac:dyDescent="0.3">
      <c r="A681">
        <v>4</v>
      </c>
      <c r="B681">
        <v>2015</v>
      </c>
    </row>
    <row r="682" spans="1:2" x14ac:dyDescent="0.3">
      <c r="A682">
        <v>4</v>
      </c>
      <c r="B682">
        <v>2015</v>
      </c>
    </row>
    <row r="683" spans="1:2" x14ac:dyDescent="0.3">
      <c r="A683">
        <v>4</v>
      </c>
      <c r="B683">
        <v>2015</v>
      </c>
    </row>
    <row r="684" spans="1:2" x14ac:dyDescent="0.3">
      <c r="A684">
        <v>1</v>
      </c>
      <c r="B684">
        <v>2017</v>
      </c>
    </row>
    <row r="685" spans="1:2" x14ac:dyDescent="0.3">
      <c r="A685">
        <v>1</v>
      </c>
      <c r="B685">
        <v>2014</v>
      </c>
    </row>
    <row r="686" spans="1:2" x14ac:dyDescent="0.3">
      <c r="A686">
        <v>2</v>
      </c>
      <c r="B686">
        <v>2017</v>
      </c>
    </row>
    <row r="687" spans="1:2" x14ac:dyDescent="0.3">
      <c r="A687">
        <v>4</v>
      </c>
      <c r="B687">
        <v>2015</v>
      </c>
    </row>
    <row r="688" spans="1:2" x14ac:dyDescent="0.3">
      <c r="A688">
        <v>1</v>
      </c>
      <c r="B688">
        <v>2017</v>
      </c>
    </row>
    <row r="689" spans="1:2" x14ac:dyDescent="0.3">
      <c r="A689">
        <v>4</v>
      </c>
      <c r="B689">
        <v>2017</v>
      </c>
    </row>
    <row r="690" spans="1:2" x14ac:dyDescent="0.3">
      <c r="A690">
        <v>4</v>
      </c>
      <c r="B690">
        <v>2015</v>
      </c>
    </row>
    <row r="691" spans="1:2" x14ac:dyDescent="0.3">
      <c r="A691">
        <v>1</v>
      </c>
      <c r="B691">
        <v>2015</v>
      </c>
    </row>
    <row r="692" spans="1:2" x14ac:dyDescent="0.3">
      <c r="A692">
        <v>2</v>
      </c>
      <c r="B692">
        <v>2017</v>
      </c>
    </row>
    <row r="693" spans="1:2" x14ac:dyDescent="0.3">
      <c r="A693">
        <v>2</v>
      </c>
      <c r="B693">
        <v>2016</v>
      </c>
    </row>
    <row r="694" spans="1:2" x14ac:dyDescent="0.3">
      <c r="A694">
        <v>1</v>
      </c>
      <c r="B694">
        <v>2016</v>
      </c>
    </row>
    <row r="695" spans="1:2" x14ac:dyDescent="0.3">
      <c r="A695">
        <v>4</v>
      </c>
      <c r="B695">
        <v>2016</v>
      </c>
    </row>
    <row r="696" spans="1:2" x14ac:dyDescent="0.3">
      <c r="A696">
        <v>1</v>
      </c>
      <c r="B696">
        <v>2016</v>
      </c>
    </row>
    <row r="697" spans="1:2" x14ac:dyDescent="0.3">
      <c r="A697">
        <v>2</v>
      </c>
      <c r="B697">
        <v>2016</v>
      </c>
    </row>
    <row r="698" spans="1:2" x14ac:dyDescent="0.3">
      <c r="A698">
        <v>4</v>
      </c>
      <c r="B698">
        <v>2016</v>
      </c>
    </row>
    <row r="699" spans="1:2" x14ac:dyDescent="0.3">
      <c r="A699">
        <v>1</v>
      </c>
      <c r="B699">
        <v>2016</v>
      </c>
    </row>
    <row r="700" spans="1:2" x14ac:dyDescent="0.3">
      <c r="A700">
        <v>4</v>
      </c>
      <c r="B700">
        <v>2013</v>
      </c>
    </row>
    <row r="701" spans="1:2" x14ac:dyDescent="0.3">
      <c r="A701">
        <v>4</v>
      </c>
      <c r="B701">
        <v>2016</v>
      </c>
    </row>
    <row r="702" spans="1:2" x14ac:dyDescent="0.3">
      <c r="A702">
        <v>1</v>
      </c>
      <c r="B702">
        <v>2015</v>
      </c>
    </row>
    <row r="703" spans="1:2" x14ac:dyDescent="0.3">
      <c r="A703">
        <v>4</v>
      </c>
      <c r="B703">
        <v>2016</v>
      </c>
    </row>
    <row r="704" spans="1:2" x14ac:dyDescent="0.3">
      <c r="A704">
        <v>4</v>
      </c>
      <c r="B704">
        <v>2014</v>
      </c>
    </row>
    <row r="705" spans="1:2" x14ac:dyDescent="0.3">
      <c r="A705">
        <v>4</v>
      </c>
      <c r="B705">
        <v>2016</v>
      </c>
    </row>
    <row r="706" spans="1:2" x14ac:dyDescent="0.3">
      <c r="A706">
        <v>4</v>
      </c>
      <c r="B706">
        <v>2016</v>
      </c>
    </row>
    <row r="707" spans="1:2" x14ac:dyDescent="0.3">
      <c r="A707">
        <v>4</v>
      </c>
      <c r="B707">
        <v>2014</v>
      </c>
    </row>
    <row r="708" spans="1:2" x14ac:dyDescent="0.3">
      <c r="A708">
        <v>1</v>
      </c>
      <c r="B708">
        <v>2017</v>
      </c>
    </row>
    <row r="709" spans="1:2" x14ac:dyDescent="0.3">
      <c r="A709">
        <v>4</v>
      </c>
      <c r="B709">
        <v>2016</v>
      </c>
    </row>
    <row r="710" spans="1:2" x14ac:dyDescent="0.3">
      <c r="A710">
        <v>4</v>
      </c>
      <c r="B710">
        <v>2017</v>
      </c>
    </row>
    <row r="711" spans="1:2" x14ac:dyDescent="0.3">
      <c r="A711">
        <v>1</v>
      </c>
      <c r="B711">
        <v>2015</v>
      </c>
    </row>
    <row r="712" spans="1:2" x14ac:dyDescent="0.3">
      <c r="A712">
        <v>4</v>
      </c>
      <c r="B712">
        <v>2016</v>
      </c>
    </row>
    <row r="713" spans="1:2" x14ac:dyDescent="0.3">
      <c r="A713">
        <v>2</v>
      </c>
      <c r="B713">
        <v>2015</v>
      </c>
    </row>
    <row r="714" spans="1:2" x14ac:dyDescent="0.3">
      <c r="A714">
        <v>4</v>
      </c>
      <c r="B714">
        <v>2017</v>
      </c>
    </row>
    <row r="715" spans="1:2" x14ac:dyDescent="0.3">
      <c r="A715">
        <v>4</v>
      </c>
      <c r="B715">
        <v>2017</v>
      </c>
    </row>
    <row r="716" spans="1:2" x14ac:dyDescent="0.3">
      <c r="A716">
        <v>4</v>
      </c>
      <c r="B716">
        <v>2015</v>
      </c>
    </row>
    <row r="717" spans="1:2" x14ac:dyDescent="0.3">
      <c r="A717">
        <v>2</v>
      </c>
      <c r="B717">
        <v>2015</v>
      </c>
    </row>
    <row r="718" spans="1:2" x14ac:dyDescent="0.3">
      <c r="A718">
        <v>1</v>
      </c>
      <c r="B718">
        <v>2015</v>
      </c>
    </row>
    <row r="719" spans="1:2" x14ac:dyDescent="0.3">
      <c r="A719">
        <v>4</v>
      </c>
      <c r="B719">
        <v>2014</v>
      </c>
    </row>
    <row r="720" spans="1:2" x14ac:dyDescent="0.3">
      <c r="A720">
        <v>4</v>
      </c>
      <c r="B720">
        <v>2017</v>
      </c>
    </row>
    <row r="721" spans="1:2" x14ac:dyDescent="0.3">
      <c r="A721">
        <v>1</v>
      </c>
      <c r="B721">
        <v>2015</v>
      </c>
    </row>
    <row r="722" spans="1:2" x14ac:dyDescent="0.3">
      <c r="A722">
        <v>1</v>
      </c>
      <c r="B722">
        <v>2015</v>
      </c>
    </row>
    <row r="723" spans="1:2" x14ac:dyDescent="0.3">
      <c r="A723">
        <v>4</v>
      </c>
      <c r="B723">
        <v>2015</v>
      </c>
    </row>
    <row r="724" spans="1:2" x14ac:dyDescent="0.3">
      <c r="A724">
        <v>1</v>
      </c>
      <c r="B724">
        <v>2016</v>
      </c>
    </row>
    <row r="725" spans="1:2" x14ac:dyDescent="0.3">
      <c r="A725">
        <v>4</v>
      </c>
      <c r="B725">
        <v>2014</v>
      </c>
    </row>
    <row r="726" spans="1:2" x14ac:dyDescent="0.3">
      <c r="A726">
        <v>1</v>
      </c>
      <c r="B726">
        <v>2017</v>
      </c>
    </row>
    <row r="727" spans="1:2" x14ac:dyDescent="0.3">
      <c r="A727">
        <v>2</v>
      </c>
      <c r="B727">
        <v>2012</v>
      </c>
    </row>
    <row r="728" spans="1:2" x14ac:dyDescent="0.3">
      <c r="A728">
        <v>4</v>
      </c>
      <c r="B728">
        <v>2016</v>
      </c>
    </row>
    <row r="729" spans="1:2" x14ac:dyDescent="0.3">
      <c r="A729">
        <v>4</v>
      </c>
      <c r="B729">
        <v>2017</v>
      </c>
    </row>
    <row r="730" spans="1:2" x14ac:dyDescent="0.3">
      <c r="A730">
        <v>1</v>
      </c>
      <c r="B730">
        <v>2016</v>
      </c>
    </row>
    <row r="731" spans="1:2" x14ac:dyDescent="0.3">
      <c r="A731">
        <v>1</v>
      </c>
      <c r="B731">
        <v>2014</v>
      </c>
    </row>
    <row r="732" spans="1:2" x14ac:dyDescent="0.3">
      <c r="A732">
        <v>1</v>
      </c>
      <c r="B732">
        <v>2016</v>
      </c>
    </row>
    <row r="733" spans="1:2" x14ac:dyDescent="0.3">
      <c r="A733">
        <v>1</v>
      </c>
      <c r="B733">
        <v>2016</v>
      </c>
    </row>
    <row r="734" spans="1:2" x14ac:dyDescent="0.3">
      <c r="A734">
        <v>2</v>
      </c>
      <c r="B734">
        <v>2017</v>
      </c>
    </row>
    <row r="735" spans="1:2" x14ac:dyDescent="0.3">
      <c r="A735">
        <v>4</v>
      </c>
      <c r="B735">
        <v>2015</v>
      </c>
    </row>
    <row r="736" spans="1:2" x14ac:dyDescent="0.3">
      <c r="A736">
        <v>4</v>
      </c>
      <c r="B736">
        <v>2016</v>
      </c>
    </row>
    <row r="737" spans="1:2" x14ac:dyDescent="0.3">
      <c r="A737">
        <v>1</v>
      </c>
      <c r="B737">
        <v>2016</v>
      </c>
    </row>
    <row r="738" spans="1:2" x14ac:dyDescent="0.3">
      <c r="A738">
        <v>4</v>
      </c>
      <c r="B738">
        <v>2016</v>
      </c>
    </row>
    <row r="739" spans="1:2" x14ac:dyDescent="0.3">
      <c r="A739">
        <v>4</v>
      </c>
      <c r="B739">
        <v>2016</v>
      </c>
    </row>
    <row r="740" spans="1:2" x14ac:dyDescent="0.3">
      <c r="A740">
        <v>4</v>
      </c>
      <c r="B740">
        <v>2016</v>
      </c>
    </row>
    <row r="741" spans="1:2" x14ac:dyDescent="0.3">
      <c r="A741">
        <v>1</v>
      </c>
      <c r="B741">
        <v>2016</v>
      </c>
    </row>
    <row r="742" spans="1:2" x14ac:dyDescent="0.3">
      <c r="A742">
        <v>4</v>
      </c>
      <c r="B742">
        <v>2016</v>
      </c>
    </row>
    <row r="743" spans="1:2" x14ac:dyDescent="0.3">
      <c r="A743">
        <v>4</v>
      </c>
      <c r="B743">
        <v>2016</v>
      </c>
    </row>
    <row r="744" spans="1:2" x14ac:dyDescent="0.3">
      <c r="A744">
        <v>4</v>
      </c>
      <c r="B744">
        <v>2016</v>
      </c>
    </row>
    <row r="745" spans="1:2" x14ac:dyDescent="0.3">
      <c r="A745">
        <v>4</v>
      </c>
      <c r="B745">
        <v>2015</v>
      </c>
    </row>
    <row r="746" spans="1:2" x14ac:dyDescent="0.3">
      <c r="A746">
        <v>2</v>
      </c>
      <c r="B746">
        <v>2016</v>
      </c>
    </row>
    <row r="747" spans="1:2" x14ac:dyDescent="0.3">
      <c r="A747">
        <v>4</v>
      </c>
      <c r="B747">
        <v>2016</v>
      </c>
    </row>
    <row r="748" spans="1:2" x14ac:dyDescent="0.3">
      <c r="A748">
        <v>2</v>
      </c>
      <c r="B748">
        <v>2016</v>
      </c>
    </row>
    <row r="749" spans="1:2" x14ac:dyDescent="0.3">
      <c r="A749">
        <v>1</v>
      </c>
      <c r="B749">
        <v>2014</v>
      </c>
    </row>
    <row r="750" spans="1:2" x14ac:dyDescent="0.3">
      <c r="A750">
        <v>4</v>
      </c>
      <c r="B750">
        <v>2016</v>
      </c>
    </row>
    <row r="751" spans="1:2" x14ac:dyDescent="0.3">
      <c r="A751">
        <v>4</v>
      </c>
      <c r="B751">
        <v>2016</v>
      </c>
    </row>
    <row r="752" spans="1:2" x14ac:dyDescent="0.3">
      <c r="A752">
        <v>4</v>
      </c>
      <c r="B752">
        <v>2017</v>
      </c>
    </row>
    <row r="753" spans="1:2" x14ac:dyDescent="0.3">
      <c r="A753">
        <v>2</v>
      </c>
      <c r="B753">
        <v>2013</v>
      </c>
    </row>
    <row r="754" spans="1:2" x14ac:dyDescent="0.3">
      <c r="A754">
        <v>4</v>
      </c>
      <c r="B754">
        <v>2016</v>
      </c>
    </row>
    <row r="755" spans="1:2" x14ac:dyDescent="0.3">
      <c r="A755">
        <v>4</v>
      </c>
      <c r="B755">
        <v>2015</v>
      </c>
    </row>
    <row r="756" spans="1:2" x14ac:dyDescent="0.3">
      <c r="A756">
        <v>4</v>
      </c>
      <c r="B756">
        <v>2016</v>
      </c>
    </row>
    <row r="757" spans="1:2" x14ac:dyDescent="0.3">
      <c r="A757">
        <v>4</v>
      </c>
      <c r="B757">
        <v>2015</v>
      </c>
    </row>
    <row r="758" spans="1:2" x14ac:dyDescent="0.3">
      <c r="A758">
        <v>4</v>
      </c>
      <c r="B758">
        <v>2016</v>
      </c>
    </row>
    <row r="759" spans="1:2" x14ac:dyDescent="0.3">
      <c r="A759">
        <v>1</v>
      </c>
      <c r="B759">
        <v>2017</v>
      </c>
    </row>
    <row r="760" spans="1:2" x14ac:dyDescent="0.3">
      <c r="A760">
        <v>1</v>
      </c>
      <c r="B760">
        <v>2016</v>
      </c>
    </row>
    <row r="761" spans="1:2" x14ac:dyDescent="0.3">
      <c r="A761">
        <v>1</v>
      </c>
      <c r="B761">
        <v>2015</v>
      </c>
    </row>
    <row r="762" spans="1:2" x14ac:dyDescent="0.3">
      <c r="A762">
        <v>4</v>
      </c>
      <c r="B762">
        <v>2016</v>
      </c>
    </row>
    <row r="763" spans="1:2" x14ac:dyDescent="0.3">
      <c r="A763">
        <v>4</v>
      </c>
      <c r="B763">
        <v>2015</v>
      </c>
    </row>
    <row r="764" spans="1:2" x14ac:dyDescent="0.3">
      <c r="A764">
        <v>4</v>
      </c>
      <c r="B764">
        <v>2016</v>
      </c>
    </row>
    <row r="765" spans="1:2" x14ac:dyDescent="0.3">
      <c r="A765">
        <v>4</v>
      </c>
      <c r="B765">
        <v>2016</v>
      </c>
    </row>
    <row r="766" spans="1:2" x14ac:dyDescent="0.3">
      <c r="A766">
        <v>1</v>
      </c>
      <c r="B766">
        <v>2016</v>
      </c>
    </row>
    <row r="767" spans="1:2" x14ac:dyDescent="0.3">
      <c r="A767">
        <v>2</v>
      </c>
      <c r="B767">
        <v>2016</v>
      </c>
    </row>
    <row r="768" spans="1:2" x14ac:dyDescent="0.3">
      <c r="A768">
        <v>4</v>
      </c>
      <c r="B768">
        <v>2016</v>
      </c>
    </row>
    <row r="769" spans="1:2" x14ac:dyDescent="0.3">
      <c r="A769">
        <v>4</v>
      </c>
      <c r="B769">
        <v>2016</v>
      </c>
    </row>
    <row r="770" spans="1:2" x14ac:dyDescent="0.3">
      <c r="A770">
        <v>4</v>
      </c>
      <c r="B770">
        <v>2016</v>
      </c>
    </row>
    <row r="771" spans="1:2" x14ac:dyDescent="0.3">
      <c r="A771">
        <v>1</v>
      </c>
      <c r="B771">
        <v>2014</v>
      </c>
    </row>
    <row r="772" spans="1:2" x14ac:dyDescent="0.3">
      <c r="A772">
        <v>1</v>
      </c>
      <c r="B772">
        <v>2013</v>
      </c>
    </row>
    <row r="773" spans="1:2" x14ac:dyDescent="0.3">
      <c r="A773">
        <v>1</v>
      </c>
      <c r="B773">
        <v>2017</v>
      </c>
    </row>
    <row r="774" spans="1:2" x14ac:dyDescent="0.3">
      <c r="A774">
        <v>1</v>
      </c>
      <c r="B774">
        <v>2016</v>
      </c>
    </row>
    <row r="775" spans="1:2" x14ac:dyDescent="0.3">
      <c r="A775">
        <v>4</v>
      </c>
      <c r="B775">
        <v>2017</v>
      </c>
    </row>
    <row r="776" spans="1:2" x14ac:dyDescent="0.3">
      <c r="A776">
        <v>4</v>
      </c>
      <c r="B776">
        <v>2015</v>
      </c>
    </row>
    <row r="777" spans="1:2" x14ac:dyDescent="0.3">
      <c r="A777">
        <v>4</v>
      </c>
      <c r="B777">
        <v>2013</v>
      </c>
    </row>
    <row r="778" spans="1:2" x14ac:dyDescent="0.3">
      <c r="A778">
        <v>4</v>
      </c>
      <c r="B778">
        <v>2015</v>
      </c>
    </row>
    <row r="779" spans="1:2" x14ac:dyDescent="0.3">
      <c r="A779">
        <v>4</v>
      </c>
      <c r="B779">
        <v>2016</v>
      </c>
    </row>
    <row r="780" spans="1:2" x14ac:dyDescent="0.3">
      <c r="A780">
        <v>4</v>
      </c>
      <c r="B780">
        <v>2016</v>
      </c>
    </row>
    <row r="781" spans="1:2" x14ac:dyDescent="0.3">
      <c r="A781">
        <v>1</v>
      </c>
      <c r="B781">
        <v>2015</v>
      </c>
    </row>
    <row r="782" spans="1:2" x14ac:dyDescent="0.3">
      <c r="A782">
        <v>4</v>
      </c>
      <c r="B782">
        <v>2016</v>
      </c>
    </row>
    <row r="783" spans="1:2" x14ac:dyDescent="0.3">
      <c r="A783">
        <v>4</v>
      </c>
      <c r="B783">
        <v>2015</v>
      </c>
    </row>
    <row r="784" spans="1:2" x14ac:dyDescent="0.3">
      <c r="A784">
        <v>4</v>
      </c>
      <c r="B784">
        <v>2014</v>
      </c>
    </row>
    <row r="785" spans="1:2" x14ac:dyDescent="0.3">
      <c r="A785">
        <v>4</v>
      </c>
      <c r="B785">
        <v>2015</v>
      </c>
    </row>
    <row r="786" spans="1:2" x14ac:dyDescent="0.3">
      <c r="A786">
        <v>4</v>
      </c>
      <c r="B786">
        <v>2015</v>
      </c>
    </row>
    <row r="787" spans="1:2" x14ac:dyDescent="0.3">
      <c r="A787">
        <v>4</v>
      </c>
      <c r="B787">
        <v>2015</v>
      </c>
    </row>
    <row r="788" spans="1:2" x14ac:dyDescent="0.3">
      <c r="A788">
        <v>4</v>
      </c>
      <c r="B788">
        <v>2016</v>
      </c>
    </row>
    <row r="789" spans="1:2" x14ac:dyDescent="0.3">
      <c r="A789">
        <v>4</v>
      </c>
      <c r="B789">
        <v>2016</v>
      </c>
    </row>
    <row r="790" spans="1:2" x14ac:dyDescent="0.3">
      <c r="A790">
        <v>4</v>
      </c>
      <c r="B790">
        <v>2017</v>
      </c>
    </row>
    <row r="791" spans="1:2" x14ac:dyDescent="0.3">
      <c r="A791">
        <v>4</v>
      </c>
      <c r="B791">
        <v>2015</v>
      </c>
    </row>
    <row r="792" spans="1:2" x14ac:dyDescent="0.3">
      <c r="A792">
        <v>1</v>
      </c>
      <c r="B792">
        <v>2017</v>
      </c>
    </row>
    <row r="793" spans="1:2" x14ac:dyDescent="0.3">
      <c r="A793">
        <v>1</v>
      </c>
      <c r="B793">
        <v>2015</v>
      </c>
    </row>
    <row r="794" spans="1:2" x14ac:dyDescent="0.3">
      <c r="A794">
        <v>4</v>
      </c>
      <c r="B794">
        <v>2014</v>
      </c>
    </row>
    <row r="795" spans="1:2" x14ac:dyDescent="0.3">
      <c r="A795">
        <v>1</v>
      </c>
      <c r="B795">
        <v>2015</v>
      </c>
    </row>
    <row r="796" spans="1:2" x14ac:dyDescent="0.3">
      <c r="A796">
        <v>2</v>
      </c>
      <c r="B796">
        <v>2016</v>
      </c>
    </row>
    <row r="797" spans="1:2" x14ac:dyDescent="0.3">
      <c r="A797">
        <v>2</v>
      </c>
      <c r="B797">
        <v>2017</v>
      </c>
    </row>
    <row r="798" spans="1:2" x14ac:dyDescent="0.3">
      <c r="A798">
        <v>4</v>
      </c>
      <c r="B798">
        <v>2013</v>
      </c>
    </row>
    <row r="799" spans="1:2" x14ac:dyDescent="0.3">
      <c r="A799">
        <v>1</v>
      </c>
      <c r="B799">
        <v>2017</v>
      </c>
    </row>
    <row r="800" spans="1:2" x14ac:dyDescent="0.3">
      <c r="A800">
        <v>4</v>
      </c>
      <c r="B800">
        <v>2015</v>
      </c>
    </row>
    <row r="801" spans="1:2" x14ac:dyDescent="0.3">
      <c r="A801">
        <v>1</v>
      </c>
      <c r="B801">
        <v>2014</v>
      </c>
    </row>
    <row r="802" spans="1:2" x14ac:dyDescent="0.3">
      <c r="A802">
        <v>4</v>
      </c>
      <c r="B802">
        <v>2016</v>
      </c>
    </row>
    <row r="803" spans="1:2" x14ac:dyDescent="0.3">
      <c r="A803">
        <v>4</v>
      </c>
      <c r="B803">
        <v>2016</v>
      </c>
    </row>
    <row r="804" spans="1:2" x14ac:dyDescent="0.3">
      <c r="A804">
        <v>1</v>
      </c>
      <c r="B804">
        <v>2016</v>
      </c>
    </row>
    <row r="805" spans="1:2" x14ac:dyDescent="0.3">
      <c r="A805">
        <v>4</v>
      </c>
      <c r="B805">
        <v>2015</v>
      </c>
    </row>
    <row r="806" spans="1:2" x14ac:dyDescent="0.3">
      <c r="A806">
        <v>2</v>
      </c>
      <c r="B806">
        <v>2015</v>
      </c>
    </row>
    <row r="807" spans="1:2" x14ac:dyDescent="0.3">
      <c r="A807">
        <v>2</v>
      </c>
      <c r="B807">
        <v>2017</v>
      </c>
    </row>
    <row r="808" spans="1:2" x14ac:dyDescent="0.3">
      <c r="A808">
        <v>4</v>
      </c>
      <c r="B808">
        <v>2016</v>
      </c>
    </row>
    <row r="809" spans="1:2" x14ac:dyDescent="0.3">
      <c r="A809">
        <v>4</v>
      </c>
      <c r="B809">
        <v>2017</v>
      </c>
    </row>
    <row r="810" spans="1:2" x14ac:dyDescent="0.3">
      <c r="A810">
        <v>4</v>
      </c>
      <c r="B810">
        <v>2016</v>
      </c>
    </row>
    <row r="811" spans="1:2" x14ac:dyDescent="0.3">
      <c r="A811">
        <v>4</v>
      </c>
      <c r="B811">
        <v>2015</v>
      </c>
    </row>
    <row r="812" spans="1:2" x14ac:dyDescent="0.3">
      <c r="A812">
        <v>1</v>
      </c>
      <c r="B812">
        <v>2012</v>
      </c>
    </row>
    <row r="813" spans="1:2" x14ac:dyDescent="0.3">
      <c r="A813">
        <v>4</v>
      </c>
      <c r="B813">
        <v>2015</v>
      </c>
    </row>
    <row r="814" spans="1:2" x14ac:dyDescent="0.3">
      <c r="A814">
        <v>1</v>
      </c>
      <c r="B814">
        <v>2015</v>
      </c>
    </row>
    <row r="815" spans="1:2" x14ac:dyDescent="0.3">
      <c r="A815">
        <v>1</v>
      </c>
      <c r="B815">
        <v>2015</v>
      </c>
    </row>
    <row r="816" spans="1:2" x14ac:dyDescent="0.3">
      <c r="A816">
        <v>4</v>
      </c>
      <c r="B816">
        <v>2015</v>
      </c>
    </row>
    <row r="817" spans="1:2" x14ac:dyDescent="0.3">
      <c r="A817">
        <v>1</v>
      </c>
      <c r="B817">
        <v>2016</v>
      </c>
    </row>
    <row r="818" spans="1:2" x14ac:dyDescent="0.3">
      <c r="A818">
        <v>2</v>
      </c>
      <c r="B818">
        <v>2017</v>
      </c>
    </row>
    <row r="819" spans="1:2" x14ac:dyDescent="0.3">
      <c r="A819">
        <v>1</v>
      </c>
      <c r="B819">
        <v>2015</v>
      </c>
    </row>
    <row r="820" spans="1:2" x14ac:dyDescent="0.3">
      <c r="A820">
        <v>4</v>
      </c>
      <c r="B820">
        <v>2015</v>
      </c>
    </row>
    <row r="821" spans="1:2" x14ac:dyDescent="0.3">
      <c r="A821">
        <v>4</v>
      </c>
      <c r="B821">
        <v>2016</v>
      </c>
    </row>
    <row r="822" spans="1:2" x14ac:dyDescent="0.3">
      <c r="A822">
        <v>1</v>
      </c>
      <c r="B822">
        <v>2015</v>
      </c>
    </row>
    <row r="823" spans="1:2" x14ac:dyDescent="0.3">
      <c r="A823">
        <v>4</v>
      </c>
      <c r="B823">
        <v>2016</v>
      </c>
    </row>
    <row r="824" spans="1:2" x14ac:dyDescent="0.3">
      <c r="A824">
        <v>1</v>
      </c>
      <c r="B824">
        <v>2014</v>
      </c>
    </row>
    <row r="825" spans="1:2" x14ac:dyDescent="0.3">
      <c r="A825">
        <v>4</v>
      </c>
      <c r="B825">
        <v>2017</v>
      </c>
    </row>
    <row r="826" spans="1:2" x14ac:dyDescent="0.3">
      <c r="A826">
        <v>4</v>
      </c>
      <c r="B826">
        <v>2015</v>
      </c>
    </row>
    <row r="827" spans="1:2" x14ac:dyDescent="0.3">
      <c r="A827">
        <v>2</v>
      </c>
      <c r="B827">
        <v>2016</v>
      </c>
    </row>
    <row r="828" spans="1:2" x14ac:dyDescent="0.3">
      <c r="A828">
        <v>4</v>
      </c>
      <c r="B828">
        <v>2015</v>
      </c>
    </row>
    <row r="829" spans="1:2" x14ac:dyDescent="0.3">
      <c r="A829">
        <v>1</v>
      </c>
      <c r="B829">
        <v>2016</v>
      </c>
    </row>
    <row r="830" spans="1:2" x14ac:dyDescent="0.3">
      <c r="A830">
        <v>4</v>
      </c>
      <c r="B830">
        <v>2014</v>
      </c>
    </row>
    <row r="831" spans="1:2" x14ac:dyDescent="0.3">
      <c r="A831">
        <v>4</v>
      </c>
      <c r="B831">
        <v>2017</v>
      </c>
    </row>
    <row r="832" spans="1:2" x14ac:dyDescent="0.3">
      <c r="A832">
        <v>1</v>
      </c>
      <c r="B832">
        <v>2014</v>
      </c>
    </row>
    <row r="833" spans="1:2" x14ac:dyDescent="0.3">
      <c r="A833">
        <v>4</v>
      </c>
      <c r="B833">
        <v>2015</v>
      </c>
    </row>
    <row r="834" spans="1:2" x14ac:dyDescent="0.3">
      <c r="A834">
        <v>1</v>
      </c>
      <c r="B834">
        <v>2016</v>
      </c>
    </row>
    <row r="835" spans="1:2" x14ac:dyDescent="0.3">
      <c r="A835">
        <v>1</v>
      </c>
      <c r="B835">
        <v>2015</v>
      </c>
    </row>
    <row r="836" spans="1:2" x14ac:dyDescent="0.3">
      <c r="A836">
        <v>2</v>
      </c>
      <c r="B836">
        <v>2016</v>
      </c>
    </row>
    <row r="837" spans="1:2" x14ac:dyDescent="0.3">
      <c r="A837">
        <v>4</v>
      </c>
      <c r="B837">
        <v>2017</v>
      </c>
    </row>
    <row r="838" spans="1:2" x14ac:dyDescent="0.3">
      <c r="A838">
        <v>2</v>
      </c>
      <c r="B838">
        <v>2017</v>
      </c>
    </row>
    <row r="839" spans="1:2" x14ac:dyDescent="0.3">
      <c r="A839">
        <v>4</v>
      </c>
      <c r="B839">
        <v>2015</v>
      </c>
    </row>
    <row r="840" spans="1:2" x14ac:dyDescent="0.3">
      <c r="A840">
        <v>4</v>
      </c>
      <c r="B840">
        <v>2017</v>
      </c>
    </row>
    <row r="841" spans="1:2" x14ac:dyDescent="0.3">
      <c r="A841">
        <v>1</v>
      </c>
      <c r="B841">
        <v>2016</v>
      </c>
    </row>
    <row r="842" spans="1:2" x14ac:dyDescent="0.3">
      <c r="A842">
        <v>1</v>
      </c>
      <c r="B842">
        <v>2017</v>
      </c>
    </row>
    <row r="843" spans="1:2" x14ac:dyDescent="0.3">
      <c r="A843">
        <v>1</v>
      </c>
      <c r="B843">
        <v>2017</v>
      </c>
    </row>
    <row r="844" spans="1:2" x14ac:dyDescent="0.3">
      <c r="A844">
        <v>1</v>
      </c>
      <c r="B844">
        <v>2017</v>
      </c>
    </row>
    <row r="845" spans="1:2" x14ac:dyDescent="0.3">
      <c r="A845">
        <v>1</v>
      </c>
      <c r="B845">
        <v>2017</v>
      </c>
    </row>
    <row r="846" spans="1:2" x14ac:dyDescent="0.3">
      <c r="A846">
        <v>1</v>
      </c>
      <c r="B846">
        <v>2016</v>
      </c>
    </row>
    <row r="847" spans="1:2" x14ac:dyDescent="0.3">
      <c r="A847">
        <v>1</v>
      </c>
      <c r="B847">
        <v>2015</v>
      </c>
    </row>
    <row r="848" spans="1:2" x14ac:dyDescent="0.3">
      <c r="A848">
        <v>1</v>
      </c>
      <c r="B848">
        <v>2015</v>
      </c>
    </row>
    <row r="849" spans="1:2" x14ac:dyDescent="0.3">
      <c r="A849">
        <v>4</v>
      </c>
      <c r="B849">
        <v>2015</v>
      </c>
    </row>
    <row r="850" spans="1:2" x14ac:dyDescent="0.3">
      <c r="A850">
        <v>3</v>
      </c>
      <c r="B850">
        <v>2015</v>
      </c>
    </row>
    <row r="851" spans="1:2" x14ac:dyDescent="0.3">
      <c r="A851">
        <v>1</v>
      </c>
      <c r="B851">
        <v>2016</v>
      </c>
    </row>
    <row r="852" spans="1:2" x14ac:dyDescent="0.3">
      <c r="A852">
        <v>4</v>
      </c>
      <c r="B852">
        <v>2015</v>
      </c>
    </row>
    <row r="853" spans="1:2" x14ac:dyDescent="0.3">
      <c r="A853">
        <v>4</v>
      </c>
      <c r="B853">
        <v>2015</v>
      </c>
    </row>
    <row r="854" spans="1:2" x14ac:dyDescent="0.3">
      <c r="A854">
        <v>1</v>
      </c>
      <c r="B854">
        <v>2015</v>
      </c>
    </row>
    <row r="855" spans="1:2" x14ac:dyDescent="0.3">
      <c r="A855">
        <v>1</v>
      </c>
      <c r="B855">
        <v>2015</v>
      </c>
    </row>
    <row r="856" spans="1:2" x14ac:dyDescent="0.3">
      <c r="A856">
        <v>4</v>
      </c>
      <c r="B856">
        <v>2016</v>
      </c>
    </row>
    <row r="857" spans="1:2" x14ac:dyDescent="0.3">
      <c r="A857">
        <v>1</v>
      </c>
      <c r="B857">
        <v>2016</v>
      </c>
    </row>
    <row r="858" spans="1:2" x14ac:dyDescent="0.3">
      <c r="A858">
        <v>4</v>
      </c>
      <c r="B858">
        <v>2017</v>
      </c>
    </row>
    <row r="859" spans="1:2" x14ac:dyDescent="0.3">
      <c r="A859">
        <v>4</v>
      </c>
      <c r="B859">
        <v>2016</v>
      </c>
    </row>
    <row r="860" spans="1:2" x14ac:dyDescent="0.3">
      <c r="A860">
        <v>4</v>
      </c>
      <c r="B860">
        <v>2015</v>
      </c>
    </row>
    <row r="861" spans="1:2" x14ac:dyDescent="0.3">
      <c r="A861">
        <v>2</v>
      </c>
      <c r="B861">
        <v>2016</v>
      </c>
    </row>
    <row r="862" spans="1:2" x14ac:dyDescent="0.3">
      <c r="A862">
        <v>4</v>
      </c>
      <c r="B862">
        <v>2014</v>
      </c>
    </row>
    <row r="863" spans="1:2" x14ac:dyDescent="0.3">
      <c r="A863">
        <v>2</v>
      </c>
      <c r="B863">
        <v>2016</v>
      </c>
    </row>
    <row r="864" spans="1:2" x14ac:dyDescent="0.3">
      <c r="A864">
        <v>4</v>
      </c>
      <c r="B864">
        <v>2014</v>
      </c>
    </row>
    <row r="865" spans="1:2" x14ac:dyDescent="0.3">
      <c r="A865">
        <v>4</v>
      </c>
      <c r="B865">
        <v>2015</v>
      </c>
    </row>
    <row r="866" spans="1:2" x14ac:dyDescent="0.3">
      <c r="A866">
        <v>1</v>
      </c>
      <c r="B866">
        <v>2016</v>
      </c>
    </row>
    <row r="867" spans="1:2" x14ac:dyDescent="0.3">
      <c r="A867">
        <v>4</v>
      </c>
      <c r="B867">
        <v>2015</v>
      </c>
    </row>
    <row r="868" spans="1:2" x14ac:dyDescent="0.3">
      <c r="A868">
        <v>4</v>
      </c>
      <c r="B868">
        <v>2015</v>
      </c>
    </row>
    <row r="869" spans="1:2" x14ac:dyDescent="0.3">
      <c r="A869">
        <v>4</v>
      </c>
      <c r="B869">
        <v>2016</v>
      </c>
    </row>
    <row r="870" spans="1:2" x14ac:dyDescent="0.3">
      <c r="A870">
        <v>2</v>
      </c>
      <c r="B870">
        <v>2014</v>
      </c>
    </row>
    <row r="871" spans="1:2" x14ac:dyDescent="0.3">
      <c r="A871">
        <v>4</v>
      </c>
      <c r="B871">
        <v>2014</v>
      </c>
    </row>
    <row r="872" spans="1:2" x14ac:dyDescent="0.3">
      <c r="A872">
        <v>4</v>
      </c>
      <c r="B872">
        <v>2017</v>
      </c>
    </row>
    <row r="873" spans="1:2" x14ac:dyDescent="0.3">
      <c r="A873">
        <v>2</v>
      </c>
      <c r="B873">
        <v>2013</v>
      </c>
    </row>
    <row r="874" spans="1:2" x14ac:dyDescent="0.3">
      <c r="A874">
        <v>4</v>
      </c>
      <c r="B874">
        <v>2015</v>
      </c>
    </row>
    <row r="875" spans="1:2" x14ac:dyDescent="0.3">
      <c r="A875">
        <v>2</v>
      </c>
      <c r="B875">
        <v>2015</v>
      </c>
    </row>
    <row r="876" spans="1:2" x14ac:dyDescent="0.3">
      <c r="A876">
        <v>4</v>
      </c>
      <c r="B876">
        <v>2015</v>
      </c>
    </row>
    <row r="877" spans="1:2" x14ac:dyDescent="0.3">
      <c r="A877">
        <v>4</v>
      </c>
      <c r="B877">
        <v>2016</v>
      </c>
    </row>
    <row r="878" spans="1:2" x14ac:dyDescent="0.3">
      <c r="A878">
        <v>2</v>
      </c>
      <c r="B878">
        <v>2016</v>
      </c>
    </row>
    <row r="879" spans="1:2" x14ac:dyDescent="0.3">
      <c r="A879">
        <v>2</v>
      </c>
      <c r="B879">
        <v>2015</v>
      </c>
    </row>
    <row r="880" spans="1:2" x14ac:dyDescent="0.3">
      <c r="A880">
        <v>1</v>
      </c>
      <c r="B880">
        <v>2016</v>
      </c>
    </row>
    <row r="881" spans="1:2" x14ac:dyDescent="0.3">
      <c r="A881">
        <v>1</v>
      </c>
      <c r="B881">
        <v>2016</v>
      </c>
    </row>
    <row r="882" spans="1:2" x14ac:dyDescent="0.3">
      <c r="A882">
        <v>1</v>
      </c>
      <c r="B882">
        <v>2015</v>
      </c>
    </row>
    <row r="883" spans="1:2" x14ac:dyDescent="0.3">
      <c r="A883">
        <v>4</v>
      </c>
      <c r="B883">
        <v>2016</v>
      </c>
    </row>
    <row r="884" spans="1:2" x14ac:dyDescent="0.3">
      <c r="A884">
        <v>4</v>
      </c>
      <c r="B884">
        <v>2013</v>
      </c>
    </row>
    <row r="885" spans="1:2" x14ac:dyDescent="0.3">
      <c r="A885">
        <v>1</v>
      </c>
      <c r="B885">
        <v>2017</v>
      </c>
    </row>
    <row r="886" spans="1:2" x14ac:dyDescent="0.3">
      <c r="A886">
        <v>4</v>
      </c>
      <c r="B886">
        <v>2016</v>
      </c>
    </row>
    <row r="887" spans="1:2" x14ac:dyDescent="0.3">
      <c r="A887">
        <v>4</v>
      </c>
      <c r="B887">
        <v>2016</v>
      </c>
    </row>
    <row r="888" spans="1:2" x14ac:dyDescent="0.3">
      <c r="A888">
        <v>4</v>
      </c>
      <c r="B888">
        <v>2015</v>
      </c>
    </row>
    <row r="889" spans="1:2" x14ac:dyDescent="0.3">
      <c r="A889">
        <v>4</v>
      </c>
      <c r="B889">
        <v>2016</v>
      </c>
    </row>
    <row r="890" spans="1:2" x14ac:dyDescent="0.3">
      <c r="A890">
        <v>2</v>
      </c>
      <c r="B890">
        <v>2015</v>
      </c>
    </row>
    <row r="891" spans="1:2" x14ac:dyDescent="0.3">
      <c r="A891">
        <v>4</v>
      </c>
      <c r="B891">
        <v>2015</v>
      </c>
    </row>
    <row r="892" spans="1:2" x14ac:dyDescent="0.3">
      <c r="A892">
        <v>4</v>
      </c>
      <c r="B892">
        <v>2015</v>
      </c>
    </row>
    <row r="893" spans="1:2" x14ac:dyDescent="0.3">
      <c r="A893">
        <v>4</v>
      </c>
      <c r="B893">
        <v>2015</v>
      </c>
    </row>
    <row r="894" spans="1:2" x14ac:dyDescent="0.3">
      <c r="A894">
        <v>1</v>
      </c>
      <c r="B894">
        <v>2017</v>
      </c>
    </row>
    <row r="895" spans="1:2" x14ac:dyDescent="0.3">
      <c r="A895">
        <v>4</v>
      </c>
      <c r="B895">
        <v>2016</v>
      </c>
    </row>
    <row r="896" spans="1:2" x14ac:dyDescent="0.3">
      <c r="A896">
        <v>4</v>
      </c>
      <c r="B896">
        <v>2013</v>
      </c>
    </row>
    <row r="897" spans="1:2" x14ac:dyDescent="0.3">
      <c r="A897">
        <v>4</v>
      </c>
      <c r="B897">
        <v>2016</v>
      </c>
    </row>
    <row r="898" spans="1:2" x14ac:dyDescent="0.3">
      <c r="A898">
        <v>4</v>
      </c>
      <c r="B898">
        <v>2016</v>
      </c>
    </row>
    <row r="899" spans="1:2" x14ac:dyDescent="0.3">
      <c r="A899">
        <v>1</v>
      </c>
      <c r="B899">
        <v>2015</v>
      </c>
    </row>
    <row r="900" spans="1:2" x14ac:dyDescent="0.3">
      <c r="A900">
        <v>4</v>
      </c>
      <c r="B900">
        <v>2015</v>
      </c>
    </row>
    <row r="901" spans="1:2" x14ac:dyDescent="0.3">
      <c r="A901">
        <v>2</v>
      </c>
      <c r="B901">
        <v>2014</v>
      </c>
    </row>
    <row r="902" spans="1:2" x14ac:dyDescent="0.3">
      <c r="A902">
        <v>4</v>
      </c>
      <c r="B902">
        <v>2016</v>
      </c>
    </row>
    <row r="903" spans="1:2" x14ac:dyDescent="0.3">
      <c r="A903">
        <v>4</v>
      </c>
      <c r="B903">
        <v>2016</v>
      </c>
    </row>
    <row r="904" spans="1:2" x14ac:dyDescent="0.3">
      <c r="A904">
        <v>1</v>
      </c>
      <c r="B904">
        <v>2012</v>
      </c>
    </row>
    <row r="905" spans="1:2" x14ac:dyDescent="0.3">
      <c r="A905">
        <v>2</v>
      </c>
      <c r="B905">
        <v>2017</v>
      </c>
    </row>
    <row r="906" spans="1:2" x14ac:dyDescent="0.3">
      <c r="A906">
        <v>1</v>
      </c>
      <c r="B906">
        <v>2016</v>
      </c>
    </row>
    <row r="907" spans="1:2" x14ac:dyDescent="0.3">
      <c r="A907">
        <v>2</v>
      </c>
      <c r="B907">
        <v>2016</v>
      </c>
    </row>
    <row r="908" spans="1:2" x14ac:dyDescent="0.3">
      <c r="A908">
        <v>1</v>
      </c>
      <c r="B908">
        <v>2017</v>
      </c>
    </row>
    <row r="909" spans="1:2" x14ac:dyDescent="0.3">
      <c r="A909">
        <v>1</v>
      </c>
      <c r="B909">
        <v>2016</v>
      </c>
    </row>
    <row r="910" spans="1:2" x14ac:dyDescent="0.3">
      <c r="A910">
        <v>1</v>
      </c>
      <c r="B910">
        <v>2017</v>
      </c>
    </row>
    <row r="911" spans="1:2" x14ac:dyDescent="0.3">
      <c r="A911">
        <v>2</v>
      </c>
      <c r="B911">
        <v>2013</v>
      </c>
    </row>
    <row r="912" spans="1:2" x14ac:dyDescent="0.3">
      <c r="A912">
        <v>4</v>
      </c>
      <c r="B912">
        <v>2017</v>
      </c>
    </row>
    <row r="913" spans="1:2" x14ac:dyDescent="0.3">
      <c r="A913">
        <v>4</v>
      </c>
      <c r="B913">
        <v>2016</v>
      </c>
    </row>
    <row r="914" spans="1:2" x14ac:dyDescent="0.3">
      <c r="A914">
        <v>4</v>
      </c>
      <c r="B914">
        <v>2016</v>
      </c>
    </row>
    <row r="915" spans="1:2" x14ac:dyDescent="0.3">
      <c r="A915">
        <v>1</v>
      </c>
      <c r="B915">
        <v>2015</v>
      </c>
    </row>
    <row r="916" spans="1:2" x14ac:dyDescent="0.3">
      <c r="A916">
        <v>1</v>
      </c>
      <c r="B916">
        <v>2013</v>
      </c>
    </row>
    <row r="917" spans="1:2" x14ac:dyDescent="0.3">
      <c r="A917">
        <v>4</v>
      </c>
      <c r="B917">
        <v>2017</v>
      </c>
    </row>
    <row r="918" spans="1:2" x14ac:dyDescent="0.3">
      <c r="A918">
        <v>4</v>
      </c>
      <c r="B918">
        <v>2016</v>
      </c>
    </row>
    <row r="919" spans="1:2" x14ac:dyDescent="0.3">
      <c r="A919">
        <v>4</v>
      </c>
      <c r="B919">
        <v>2015</v>
      </c>
    </row>
    <row r="920" spans="1:2" x14ac:dyDescent="0.3">
      <c r="A920">
        <v>4</v>
      </c>
      <c r="B920">
        <v>2016</v>
      </c>
    </row>
    <row r="921" spans="1:2" x14ac:dyDescent="0.3">
      <c r="A921">
        <v>1</v>
      </c>
      <c r="B921">
        <v>2016</v>
      </c>
    </row>
    <row r="922" spans="1:2" x14ac:dyDescent="0.3">
      <c r="A922">
        <v>1</v>
      </c>
      <c r="B922">
        <v>2016</v>
      </c>
    </row>
    <row r="923" spans="1:2" x14ac:dyDescent="0.3">
      <c r="A923">
        <v>4</v>
      </c>
      <c r="B923">
        <v>2015</v>
      </c>
    </row>
    <row r="924" spans="1:2" x14ac:dyDescent="0.3">
      <c r="A924">
        <v>1</v>
      </c>
      <c r="B924">
        <v>2014</v>
      </c>
    </row>
    <row r="925" spans="1:2" x14ac:dyDescent="0.3">
      <c r="A925">
        <v>1</v>
      </c>
      <c r="B925">
        <v>2015</v>
      </c>
    </row>
    <row r="926" spans="1:2" x14ac:dyDescent="0.3">
      <c r="A926">
        <v>2</v>
      </c>
      <c r="B926">
        <v>2016</v>
      </c>
    </row>
    <row r="927" spans="1:2" x14ac:dyDescent="0.3">
      <c r="A927">
        <v>2</v>
      </c>
      <c r="B927">
        <v>2015</v>
      </c>
    </row>
    <row r="928" spans="1:2" x14ac:dyDescent="0.3">
      <c r="A928">
        <v>1</v>
      </c>
      <c r="B928">
        <v>2016</v>
      </c>
    </row>
    <row r="929" spans="1:2" x14ac:dyDescent="0.3">
      <c r="A929">
        <v>4</v>
      </c>
      <c r="B929">
        <v>2014</v>
      </c>
    </row>
    <row r="930" spans="1:2" x14ac:dyDescent="0.3">
      <c r="A930">
        <v>4</v>
      </c>
      <c r="B930">
        <v>2017</v>
      </c>
    </row>
    <row r="931" spans="1:2" x14ac:dyDescent="0.3">
      <c r="A931">
        <v>1</v>
      </c>
      <c r="B931">
        <v>2016</v>
      </c>
    </row>
    <row r="932" spans="1:2" x14ac:dyDescent="0.3">
      <c r="A932">
        <v>1</v>
      </c>
      <c r="B932">
        <v>2016</v>
      </c>
    </row>
    <row r="933" spans="1:2" x14ac:dyDescent="0.3">
      <c r="A933">
        <v>1</v>
      </c>
      <c r="B933">
        <v>2017</v>
      </c>
    </row>
    <row r="934" spans="1:2" x14ac:dyDescent="0.3">
      <c r="A934">
        <v>1</v>
      </c>
      <c r="B934">
        <v>2016</v>
      </c>
    </row>
    <row r="935" spans="1:2" x14ac:dyDescent="0.3">
      <c r="A935">
        <v>1</v>
      </c>
      <c r="B935">
        <v>2016</v>
      </c>
    </row>
    <row r="936" spans="1:2" x14ac:dyDescent="0.3">
      <c r="A936">
        <v>4</v>
      </c>
      <c r="B936">
        <v>2016</v>
      </c>
    </row>
    <row r="937" spans="1:2" x14ac:dyDescent="0.3">
      <c r="A937">
        <v>1</v>
      </c>
      <c r="B937">
        <v>2016</v>
      </c>
    </row>
    <row r="938" spans="1:2" x14ac:dyDescent="0.3">
      <c r="A938">
        <v>1</v>
      </c>
      <c r="B938">
        <v>2017</v>
      </c>
    </row>
    <row r="939" spans="1:2" x14ac:dyDescent="0.3">
      <c r="A939">
        <v>4</v>
      </c>
      <c r="B939">
        <v>2016</v>
      </c>
    </row>
    <row r="940" spans="1:2" x14ac:dyDescent="0.3">
      <c r="A940">
        <v>2</v>
      </c>
      <c r="B940">
        <v>2016</v>
      </c>
    </row>
    <row r="941" spans="1:2" x14ac:dyDescent="0.3">
      <c r="A941">
        <v>4</v>
      </c>
      <c r="B941">
        <v>2016</v>
      </c>
    </row>
    <row r="942" spans="1:2" x14ac:dyDescent="0.3">
      <c r="A942">
        <v>4</v>
      </c>
      <c r="B942">
        <v>2015</v>
      </c>
    </row>
    <row r="943" spans="1:2" x14ac:dyDescent="0.3">
      <c r="A943">
        <v>4</v>
      </c>
      <c r="B943">
        <v>2016</v>
      </c>
    </row>
    <row r="944" spans="1:2" x14ac:dyDescent="0.3">
      <c r="A944">
        <v>4</v>
      </c>
      <c r="B944">
        <v>2015</v>
      </c>
    </row>
    <row r="945" spans="1:2" x14ac:dyDescent="0.3">
      <c r="A945">
        <v>4</v>
      </c>
      <c r="B945">
        <v>2017</v>
      </c>
    </row>
    <row r="946" spans="1:2" x14ac:dyDescent="0.3">
      <c r="A946">
        <v>4</v>
      </c>
      <c r="B946">
        <v>2016</v>
      </c>
    </row>
    <row r="947" spans="1:2" x14ac:dyDescent="0.3">
      <c r="A947">
        <v>1</v>
      </c>
      <c r="B947">
        <v>2016</v>
      </c>
    </row>
    <row r="948" spans="1:2" x14ac:dyDescent="0.3">
      <c r="A948">
        <v>4</v>
      </c>
      <c r="B948">
        <v>2017</v>
      </c>
    </row>
    <row r="949" spans="1:2" x14ac:dyDescent="0.3">
      <c r="A949">
        <v>4</v>
      </c>
      <c r="B949">
        <v>2016</v>
      </c>
    </row>
    <row r="950" spans="1:2" x14ac:dyDescent="0.3">
      <c r="A950">
        <v>1</v>
      </c>
      <c r="B950">
        <v>2016</v>
      </c>
    </row>
    <row r="951" spans="1:2" x14ac:dyDescent="0.3">
      <c r="A951">
        <v>1</v>
      </c>
      <c r="B951">
        <v>2016</v>
      </c>
    </row>
    <row r="952" spans="1:2" x14ac:dyDescent="0.3">
      <c r="A952">
        <v>4</v>
      </c>
      <c r="B952">
        <v>2016</v>
      </c>
    </row>
    <row r="953" spans="1:2" x14ac:dyDescent="0.3">
      <c r="A953">
        <v>1</v>
      </c>
      <c r="B953">
        <v>2016</v>
      </c>
    </row>
    <row r="954" spans="1:2" x14ac:dyDescent="0.3">
      <c r="A954">
        <v>4</v>
      </c>
      <c r="B954">
        <v>2016</v>
      </c>
    </row>
    <row r="955" spans="1:2" x14ac:dyDescent="0.3">
      <c r="A955">
        <v>1</v>
      </c>
      <c r="B955">
        <v>2015</v>
      </c>
    </row>
    <row r="956" spans="1:2" x14ac:dyDescent="0.3">
      <c r="A956">
        <v>4</v>
      </c>
      <c r="B956">
        <v>2014</v>
      </c>
    </row>
    <row r="957" spans="1:2" x14ac:dyDescent="0.3">
      <c r="A957">
        <v>4</v>
      </c>
      <c r="B957">
        <v>2016</v>
      </c>
    </row>
    <row r="958" spans="1:2" x14ac:dyDescent="0.3">
      <c r="A958">
        <v>1</v>
      </c>
      <c r="B958">
        <v>2015</v>
      </c>
    </row>
    <row r="959" spans="1:2" x14ac:dyDescent="0.3">
      <c r="A959">
        <v>4</v>
      </c>
      <c r="B959">
        <v>2016</v>
      </c>
    </row>
    <row r="960" spans="1:2" x14ac:dyDescent="0.3">
      <c r="A960">
        <v>3</v>
      </c>
      <c r="B960">
        <v>2016</v>
      </c>
    </row>
    <row r="961" spans="1:2" x14ac:dyDescent="0.3">
      <c r="A961">
        <v>1</v>
      </c>
      <c r="B961">
        <v>2017</v>
      </c>
    </row>
    <row r="962" spans="1:2" x14ac:dyDescent="0.3">
      <c r="A962">
        <v>2</v>
      </c>
      <c r="B962">
        <v>2016</v>
      </c>
    </row>
    <row r="963" spans="1:2" x14ac:dyDescent="0.3">
      <c r="A963">
        <v>4</v>
      </c>
      <c r="B963">
        <v>2015</v>
      </c>
    </row>
    <row r="964" spans="1:2" x14ac:dyDescent="0.3">
      <c r="A964">
        <v>4</v>
      </c>
      <c r="B964">
        <v>2017</v>
      </c>
    </row>
    <row r="965" spans="1:2" x14ac:dyDescent="0.3">
      <c r="A965">
        <v>4</v>
      </c>
      <c r="B965">
        <v>2017</v>
      </c>
    </row>
    <row r="966" spans="1:2" x14ac:dyDescent="0.3">
      <c r="A966">
        <v>4</v>
      </c>
      <c r="B966">
        <v>2016</v>
      </c>
    </row>
    <row r="967" spans="1:2" x14ac:dyDescent="0.3">
      <c r="A967">
        <v>4</v>
      </c>
      <c r="B967">
        <v>2015</v>
      </c>
    </row>
    <row r="968" spans="1:2" x14ac:dyDescent="0.3">
      <c r="A968">
        <v>2</v>
      </c>
      <c r="B968">
        <v>2016</v>
      </c>
    </row>
    <row r="969" spans="1:2" x14ac:dyDescent="0.3">
      <c r="A969">
        <v>2</v>
      </c>
      <c r="B969">
        <v>2016</v>
      </c>
    </row>
    <row r="970" spans="1:2" x14ac:dyDescent="0.3">
      <c r="A970">
        <v>2</v>
      </c>
      <c r="B970">
        <v>2017</v>
      </c>
    </row>
    <row r="971" spans="1:2" x14ac:dyDescent="0.3">
      <c r="A971">
        <v>1</v>
      </c>
      <c r="B971">
        <v>2016</v>
      </c>
    </row>
    <row r="972" spans="1:2" x14ac:dyDescent="0.3">
      <c r="A972">
        <v>4</v>
      </c>
      <c r="B972">
        <v>2016</v>
      </c>
    </row>
    <row r="973" spans="1:2" x14ac:dyDescent="0.3">
      <c r="A973">
        <v>4</v>
      </c>
      <c r="B973">
        <v>2016</v>
      </c>
    </row>
    <row r="974" spans="1:2" x14ac:dyDescent="0.3">
      <c r="A974">
        <v>4</v>
      </c>
      <c r="B974">
        <v>2012</v>
      </c>
    </row>
    <row r="975" spans="1:2" x14ac:dyDescent="0.3">
      <c r="A975">
        <v>1</v>
      </c>
      <c r="B975">
        <v>2016</v>
      </c>
    </row>
    <row r="976" spans="1:2" x14ac:dyDescent="0.3">
      <c r="A976">
        <v>4</v>
      </c>
      <c r="B976">
        <v>2015</v>
      </c>
    </row>
    <row r="977" spans="1:2" x14ac:dyDescent="0.3">
      <c r="A977">
        <v>4</v>
      </c>
      <c r="B977">
        <v>2016</v>
      </c>
    </row>
    <row r="978" spans="1:2" x14ac:dyDescent="0.3">
      <c r="A978">
        <v>1</v>
      </c>
      <c r="B978">
        <v>2015</v>
      </c>
    </row>
    <row r="979" spans="1:2" x14ac:dyDescent="0.3">
      <c r="A979">
        <v>2</v>
      </c>
      <c r="B979">
        <v>2017</v>
      </c>
    </row>
    <row r="980" spans="1:2" x14ac:dyDescent="0.3">
      <c r="A980">
        <v>4</v>
      </c>
      <c r="B980">
        <v>2016</v>
      </c>
    </row>
    <row r="981" spans="1:2" x14ac:dyDescent="0.3">
      <c r="A981">
        <v>4</v>
      </c>
      <c r="B981">
        <v>2014</v>
      </c>
    </row>
    <row r="982" spans="1:2" x14ac:dyDescent="0.3">
      <c r="A982">
        <v>4</v>
      </c>
      <c r="B982">
        <v>2016</v>
      </c>
    </row>
    <row r="983" spans="1:2" x14ac:dyDescent="0.3">
      <c r="A983">
        <v>4</v>
      </c>
      <c r="B983">
        <v>2014</v>
      </c>
    </row>
    <row r="984" spans="1:2" x14ac:dyDescent="0.3">
      <c r="A984">
        <v>4</v>
      </c>
      <c r="B984">
        <v>2017</v>
      </c>
    </row>
    <row r="985" spans="1:2" x14ac:dyDescent="0.3">
      <c r="A985">
        <v>1</v>
      </c>
      <c r="B985">
        <v>2014</v>
      </c>
    </row>
    <row r="986" spans="1:2" x14ac:dyDescent="0.3">
      <c r="A986">
        <v>4</v>
      </c>
      <c r="B986">
        <v>2015</v>
      </c>
    </row>
    <row r="987" spans="1:2" x14ac:dyDescent="0.3">
      <c r="A987">
        <v>1</v>
      </c>
      <c r="B987">
        <v>2016</v>
      </c>
    </row>
    <row r="988" spans="1:2" x14ac:dyDescent="0.3">
      <c r="A988">
        <v>1</v>
      </c>
      <c r="B988">
        <v>2016</v>
      </c>
    </row>
    <row r="989" spans="1:2" x14ac:dyDescent="0.3">
      <c r="A989">
        <v>4</v>
      </c>
      <c r="B989">
        <v>2016</v>
      </c>
    </row>
    <row r="990" spans="1:2" x14ac:dyDescent="0.3">
      <c r="A990">
        <v>2</v>
      </c>
      <c r="B990">
        <v>2015</v>
      </c>
    </row>
    <row r="991" spans="1:2" x14ac:dyDescent="0.3">
      <c r="A991">
        <v>4</v>
      </c>
      <c r="B991">
        <v>2015</v>
      </c>
    </row>
    <row r="992" spans="1:2" x14ac:dyDescent="0.3">
      <c r="A992">
        <v>4</v>
      </c>
      <c r="B992">
        <v>2016</v>
      </c>
    </row>
    <row r="993" spans="1:2" x14ac:dyDescent="0.3">
      <c r="A993">
        <v>4</v>
      </c>
      <c r="B993">
        <v>2015</v>
      </c>
    </row>
    <row r="994" spans="1:2" x14ac:dyDescent="0.3">
      <c r="A994">
        <v>1</v>
      </c>
      <c r="B994">
        <v>2016</v>
      </c>
    </row>
    <row r="995" spans="1:2" x14ac:dyDescent="0.3">
      <c r="A995">
        <v>1</v>
      </c>
      <c r="B995">
        <v>2016</v>
      </c>
    </row>
    <row r="996" spans="1:2" x14ac:dyDescent="0.3">
      <c r="A996">
        <v>4</v>
      </c>
      <c r="B996">
        <v>2016</v>
      </c>
    </row>
    <row r="997" spans="1:2" x14ac:dyDescent="0.3">
      <c r="A997">
        <v>4</v>
      </c>
      <c r="B997">
        <v>2016</v>
      </c>
    </row>
    <row r="998" spans="1:2" x14ac:dyDescent="0.3">
      <c r="A998">
        <v>1</v>
      </c>
      <c r="B998">
        <v>2016</v>
      </c>
    </row>
    <row r="999" spans="1:2" x14ac:dyDescent="0.3">
      <c r="A999">
        <v>4</v>
      </c>
      <c r="B999">
        <v>2015</v>
      </c>
    </row>
    <row r="1000" spans="1:2" x14ac:dyDescent="0.3">
      <c r="A1000">
        <v>4</v>
      </c>
      <c r="B1000">
        <v>2016</v>
      </c>
    </row>
    <row r="1001" spans="1:2" x14ac:dyDescent="0.3">
      <c r="A1001">
        <v>4</v>
      </c>
      <c r="B1001">
        <v>2017</v>
      </c>
    </row>
    <row r="1002" spans="1:2" x14ac:dyDescent="0.3">
      <c r="A1002">
        <v>1</v>
      </c>
      <c r="B1002">
        <v>2016</v>
      </c>
    </row>
    <row r="1003" spans="1:2" x14ac:dyDescent="0.3">
      <c r="A1003">
        <v>4</v>
      </c>
      <c r="B1003">
        <v>2016</v>
      </c>
    </row>
    <row r="1004" spans="1:2" x14ac:dyDescent="0.3">
      <c r="A1004">
        <v>1</v>
      </c>
      <c r="B1004">
        <v>2016</v>
      </c>
    </row>
    <row r="1005" spans="1:2" x14ac:dyDescent="0.3">
      <c r="A1005">
        <v>1</v>
      </c>
      <c r="B1005">
        <v>2016</v>
      </c>
    </row>
    <row r="1006" spans="1:2" x14ac:dyDescent="0.3">
      <c r="A1006">
        <v>1</v>
      </c>
      <c r="B1006">
        <v>2016</v>
      </c>
    </row>
    <row r="1007" spans="1:2" x14ac:dyDescent="0.3">
      <c r="A1007">
        <v>1</v>
      </c>
      <c r="B1007">
        <v>2016</v>
      </c>
    </row>
    <row r="1008" spans="1:2" x14ac:dyDescent="0.3">
      <c r="A1008">
        <v>1</v>
      </c>
      <c r="B1008">
        <v>2016</v>
      </c>
    </row>
    <row r="1009" spans="1:2" x14ac:dyDescent="0.3">
      <c r="A1009">
        <v>4</v>
      </c>
      <c r="B1009">
        <v>2014</v>
      </c>
    </row>
    <row r="1010" spans="1:2" x14ac:dyDescent="0.3">
      <c r="A1010">
        <v>4</v>
      </c>
      <c r="B1010">
        <v>2013</v>
      </c>
    </row>
    <row r="1011" spans="1:2" x14ac:dyDescent="0.3">
      <c r="A1011">
        <v>1</v>
      </c>
      <c r="B1011">
        <v>2016</v>
      </c>
    </row>
    <row r="1012" spans="1:2" x14ac:dyDescent="0.3">
      <c r="A1012">
        <v>4</v>
      </c>
      <c r="B1012">
        <v>2016</v>
      </c>
    </row>
    <row r="1013" spans="1:2" x14ac:dyDescent="0.3">
      <c r="A1013">
        <v>1</v>
      </c>
      <c r="B1013">
        <v>2017</v>
      </c>
    </row>
    <row r="1014" spans="1:2" x14ac:dyDescent="0.3">
      <c r="A1014">
        <v>1</v>
      </c>
      <c r="B1014">
        <v>2016</v>
      </c>
    </row>
    <row r="1015" spans="1:2" x14ac:dyDescent="0.3">
      <c r="A1015">
        <v>1</v>
      </c>
      <c r="B1015">
        <v>2014</v>
      </c>
    </row>
    <row r="1016" spans="1:2" x14ac:dyDescent="0.3">
      <c r="A1016">
        <v>1</v>
      </c>
      <c r="B1016">
        <v>2016</v>
      </c>
    </row>
    <row r="1017" spans="1:2" x14ac:dyDescent="0.3">
      <c r="A1017">
        <v>1</v>
      </c>
      <c r="B1017">
        <v>2016</v>
      </c>
    </row>
    <row r="1018" spans="1:2" x14ac:dyDescent="0.3">
      <c r="A1018">
        <v>4</v>
      </c>
      <c r="B1018">
        <v>2016</v>
      </c>
    </row>
    <row r="1019" spans="1:2" x14ac:dyDescent="0.3">
      <c r="A1019">
        <v>2</v>
      </c>
      <c r="B1019">
        <v>2016</v>
      </c>
    </row>
    <row r="1020" spans="1:2" x14ac:dyDescent="0.3">
      <c r="A1020">
        <v>4</v>
      </c>
      <c r="B1020">
        <v>2016</v>
      </c>
    </row>
    <row r="1021" spans="1:2" x14ac:dyDescent="0.3">
      <c r="A1021">
        <v>4</v>
      </c>
      <c r="B1021">
        <v>2015</v>
      </c>
    </row>
    <row r="1022" spans="1:2" x14ac:dyDescent="0.3">
      <c r="A1022">
        <v>1</v>
      </c>
      <c r="B1022">
        <v>2015</v>
      </c>
    </row>
    <row r="1023" spans="1:2" x14ac:dyDescent="0.3">
      <c r="A1023">
        <v>4</v>
      </c>
      <c r="B1023">
        <v>2017</v>
      </c>
    </row>
    <row r="1024" spans="1:2" x14ac:dyDescent="0.3">
      <c r="A1024">
        <v>4</v>
      </c>
      <c r="B1024">
        <v>2015</v>
      </c>
    </row>
    <row r="1025" spans="1:2" x14ac:dyDescent="0.3">
      <c r="A1025">
        <v>4</v>
      </c>
      <c r="B1025">
        <v>2015</v>
      </c>
    </row>
    <row r="1026" spans="1:2" x14ac:dyDescent="0.3">
      <c r="A1026">
        <v>4</v>
      </c>
      <c r="B1026">
        <v>2016</v>
      </c>
    </row>
    <row r="1027" spans="1:2" x14ac:dyDescent="0.3">
      <c r="A1027">
        <v>4</v>
      </c>
      <c r="B1027">
        <v>2014</v>
      </c>
    </row>
    <row r="1028" spans="1:2" x14ac:dyDescent="0.3">
      <c r="A1028">
        <v>2</v>
      </c>
      <c r="B1028">
        <v>2016</v>
      </c>
    </row>
    <row r="1029" spans="1:2" x14ac:dyDescent="0.3">
      <c r="A1029">
        <v>4</v>
      </c>
      <c r="B1029">
        <v>2014</v>
      </c>
    </row>
    <row r="1030" spans="1:2" x14ac:dyDescent="0.3">
      <c r="A1030">
        <v>4</v>
      </c>
      <c r="B1030">
        <v>2016</v>
      </c>
    </row>
    <row r="1031" spans="1:2" x14ac:dyDescent="0.3">
      <c r="A1031">
        <v>4</v>
      </c>
      <c r="B1031">
        <v>2017</v>
      </c>
    </row>
    <row r="1032" spans="1:2" x14ac:dyDescent="0.3">
      <c r="A1032">
        <v>1</v>
      </c>
      <c r="B1032">
        <v>2015</v>
      </c>
    </row>
    <row r="1033" spans="1:2" x14ac:dyDescent="0.3">
      <c r="A1033">
        <v>1</v>
      </c>
      <c r="B1033">
        <v>2016</v>
      </c>
    </row>
    <row r="1034" spans="1:2" x14ac:dyDescent="0.3">
      <c r="A1034">
        <v>4</v>
      </c>
      <c r="B1034">
        <v>2015</v>
      </c>
    </row>
    <row r="1035" spans="1:2" x14ac:dyDescent="0.3">
      <c r="A1035">
        <v>4</v>
      </c>
      <c r="B1035">
        <v>2016</v>
      </c>
    </row>
    <row r="1036" spans="1:2" x14ac:dyDescent="0.3">
      <c r="A1036">
        <v>4</v>
      </c>
      <c r="B1036">
        <v>2016</v>
      </c>
    </row>
    <row r="1037" spans="1:2" x14ac:dyDescent="0.3">
      <c r="A1037">
        <v>4</v>
      </c>
      <c r="B1037">
        <v>2017</v>
      </c>
    </row>
    <row r="1038" spans="1:2" x14ac:dyDescent="0.3">
      <c r="A1038">
        <v>1</v>
      </c>
      <c r="B1038">
        <v>2016</v>
      </c>
    </row>
    <row r="1039" spans="1:2" x14ac:dyDescent="0.3">
      <c r="A1039">
        <v>4</v>
      </c>
      <c r="B1039">
        <v>2015</v>
      </c>
    </row>
    <row r="1040" spans="1:2" x14ac:dyDescent="0.3">
      <c r="A1040">
        <v>1</v>
      </c>
      <c r="B1040">
        <v>2016</v>
      </c>
    </row>
    <row r="1041" spans="1:2" x14ac:dyDescent="0.3">
      <c r="A1041">
        <v>4</v>
      </c>
      <c r="B1041">
        <v>2017</v>
      </c>
    </row>
    <row r="1042" spans="1:2" x14ac:dyDescent="0.3">
      <c r="A1042">
        <v>1</v>
      </c>
      <c r="B1042">
        <v>2016</v>
      </c>
    </row>
    <row r="1043" spans="1:2" x14ac:dyDescent="0.3">
      <c r="A1043">
        <v>1</v>
      </c>
      <c r="B1043">
        <v>2017</v>
      </c>
    </row>
    <row r="1044" spans="1:2" x14ac:dyDescent="0.3">
      <c r="A1044">
        <v>1</v>
      </c>
      <c r="B1044">
        <v>2017</v>
      </c>
    </row>
    <row r="1045" spans="1:2" x14ac:dyDescent="0.3">
      <c r="A1045">
        <v>1</v>
      </c>
      <c r="B1045">
        <v>2015</v>
      </c>
    </row>
    <row r="1046" spans="1:2" x14ac:dyDescent="0.3">
      <c r="A1046">
        <v>4</v>
      </c>
      <c r="B1046">
        <v>2015</v>
      </c>
    </row>
    <row r="1047" spans="1:2" x14ac:dyDescent="0.3">
      <c r="A1047">
        <v>4</v>
      </c>
      <c r="B1047">
        <v>2015</v>
      </c>
    </row>
    <row r="1048" spans="1:2" x14ac:dyDescent="0.3">
      <c r="A1048">
        <v>1</v>
      </c>
      <c r="B1048">
        <v>2016</v>
      </c>
    </row>
    <row r="1049" spans="1:2" x14ac:dyDescent="0.3">
      <c r="A1049">
        <v>4</v>
      </c>
      <c r="B1049">
        <v>2015</v>
      </c>
    </row>
    <row r="1050" spans="1:2" x14ac:dyDescent="0.3">
      <c r="A1050">
        <v>1</v>
      </c>
      <c r="B1050">
        <v>2015</v>
      </c>
    </row>
    <row r="1051" spans="1:2" x14ac:dyDescent="0.3">
      <c r="A1051">
        <v>4</v>
      </c>
      <c r="B1051">
        <v>2016</v>
      </c>
    </row>
    <row r="1052" spans="1:2" x14ac:dyDescent="0.3">
      <c r="A1052">
        <v>4</v>
      </c>
      <c r="B1052">
        <v>2015</v>
      </c>
    </row>
    <row r="1053" spans="1:2" x14ac:dyDescent="0.3">
      <c r="A1053">
        <v>1</v>
      </c>
      <c r="B1053">
        <v>2015</v>
      </c>
    </row>
    <row r="1054" spans="1:2" x14ac:dyDescent="0.3">
      <c r="A1054">
        <v>4</v>
      </c>
      <c r="B1054">
        <v>2016</v>
      </c>
    </row>
    <row r="1055" spans="1:2" x14ac:dyDescent="0.3">
      <c r="A1055">
        <v>4</v>
      </c>
      <c r="B1055">
        <v>2014</v>
      </c>
    </row>
    <row r="1056" spans="1:2" x14ac:dyDescent="0.3">
      <c r="A1056">
        <v>4</v>
      </c>
      <c r="B1056">
        <v>2015</v>
      </c>
    </row>
    <row r="1057" spans="1:2" x14ac:dyDescent="0.3">
      <c r="A1057">
        <v>1</v>
      </c>
      <c r="B1057">
        <v>2017</v>
      </c>
    </row>
    <row r="1058" spans="1:2" x14ac:dyDescent="0.3">
      <c r="A1058">
        <v>1</v>
      </c>
      <c r="B1058">
        <v>2016</v>
      </c>
    </row>
    <row r="1059" spans="1:2" x14ac:dyDescent="0.3">
      <c r="A1059">
        <v>4</v>
      </c>
      <c r="B1059">
        <v>2016</v>
      </c>
    </row>
    <row r="1060" spans="1:2" x14ac:dyDescent="0.3">
      <c r="A1060">
        <v>2</v>
      </c>
      <c r="B1060">
        <v>2016</v>
      </c>
    </row>
    <row r="1061" spans="1:2" x14ac:dyDescent="0.3">
      <c r="A1061">
        <v>1</v>
      </c>
      <c r="B1061">
        <v>2017</v>
      </c>
    </row>
    <row r="1062" spans="1:2" x14ac:dyDescent="0.3">
      <c r="A1062">
        <v>4</v>
      </c>
      <c r="B1062">
        <v>2015</v>
      </c>
    </row>
    <row r="1063" spans="1:2" x14ac:dyDescent="0.3">
      <c r="A1063">
        <v>4</v>
      </c>
      <c r="B1063">
        <v>2015</v>
      </c>
    </row>
    <row r="1064" spans="1:2" x14ac:dyDescent="0.3">
      <c r="A1064">
        <v>1</v>
      </c>
      <c r="B1064">
        <v>2017</v>
      </c>
    </row>
    <row r="1065" spans="1:2" x14ac:dyDescent="0.3">
      <c r="A1065">
        <v>1</v>
      </c>
      <c r="B1065">
        <v>2017</v>
      </c>
    </row>
    <row r="1066" spans="1:2" x14ac:dyDescent="0.3">
      <c r="A1066">
        <v>1</v>
      </c>
      <c r="B1066">
        <v>2017</v>
      </c>
    </row>
    <row r="1067" spans="1:2" x14ac:dyDescent="0.3">
      <c r="A1067">
        <v>4</v>
      </c>
      <c r="B1067">
        <v>2017</v>
      </c>
    </row>
    <row r="1068" spans="1:2" x14ac:dyDescent="0.3">
      <c r="A1068">
        <v>1</v>
      </c>
      <c r="B1068">
        <v>2016</v>
      </c>
    </row>
    <row r="1069" spans="1:2" x14ac:dyDescent="0.3">
      <c r="A1069">
        <v>1</v>
      </c>
      <c r="B1069">
        <v>2016</v>
      </c>
    </row>
    <row r="1070" spans="1:2" x14ac:dyDescent="0.3">
      <c r="A1070">
        <v>4</v>
      </c>
      <c r="B1070">
        <v>2016</v>
      </c>
    </row>
    <row r="1071" spans="1:2" x14ac:dyDescent="0.3">
      <c r="A1071">
        <v>1</v>
      </c>
      <c r="B1071">
        <v>2016</v>
      </c>
    </row>
    <row r="1072" spans="1:2" x14ac:dyDescent="0.3">
      <c r="A1072">
        <v>4</v>
      </c>
      <c r="B1072">
        <v>2017</v>
      </c>
    </row>
    <row r="1073" spans="1:2" x14ac:dyDescent="0.3">
      <c r="A1073">
        <v>1</v>
      </c>
      <c r="B1073">
        <v>2015</v>
      </c>
    </row>
    <row r="1074" spans="1:2" x14ac:dyDescent="0.3">
      <c r="A1074">
        <v>1</v>
      </c>
      <c r="B1074">
        <v>2015</v>
      </c>
    </row>
    <row r="1075" spans="1:2" x14ac:dyDescent="0.3">
      <c r="A1075">
        <v>4</v>
      </c>
      <c r="B1075">
        <v>2016</v>
      </c>
    </row>
    <row r="1076" spans="1:2" x14ac:dyDescent="0.3">
      <c r="A1076">
        <v>1</v>
      </c>
      <c r="B1076">
        <v>2016</v>
      </c>
    </row>
    <row r="1077" spans="1:2" x14ac:dyDescent="0.3">
      <c r="A1077">
        <v>4</v>
      </c>
      <c r="B1077">
        <v>2016</v>
      </c>
    </row>
    <row r="1078" spans="1:2" x14ac:dyDescent="0.3">
      <c r="A1078">
        <v>1</v>
      </c>
      <c r="B1078">
        <v>2015</v>
      </c>
    </row>
    <row r="1079" spans="1:2" x14ac:dyDescent="0.3">
      <c r="A1079">
        <v>1</v>
      </c>
      <c r="B1079">
        <v>2016</v>
      </c>
    </row>
    <row r="1080" spans="1:2" x14ac:dyDescent="0.3">
      <c r="A1080">
        <v>1</v>
      </c>
      <c r="B1080">
        <v>2017</v>
      </c>
    </row>
    <row r="1081" spans="1:2" x14ac:dyDescent="0.3">
      <c r="A1081">
        <v>1</v>
      </c>
      <c r="B1081">
        <v>2015</v>
      </c>
    </row>
    <row r="1082" spans="1:2" x14ac:dyDescent="0.3">
      <c r="A1082">
        <v>1</v>
      </c>
      <c r="B1082">
        <v>2017</v>
      </c>
    </row>
    <row r="1083" spans="1:2" x14ac:dyDescent="0.3">
      <c r="A1083">
        <v>1</v>
      </c>
      <c r="B1083">
        <v>2016</v>
      </c>
    </row>
    <row r="1084" spans="1:2" x14ac:dyDescent="0.3">
      <c r="A1084">
        <v>4</v>
      </c>
      <c r="B1084">
        <v>2015</v>
      </c>
    </row>
    <row r="1085" spans="1:2" x14ac:dyDescent="0.3">
      <c r="A1085">
        <v>4</v>
      </c>
      <c r="B1085">
        <v>2014</v>
      </c>
    </row>
    <row r="1086" spans="1:2" x14ac:dyDescent="0.3">
      <c r="A1086">
        <v>1</v>
      </c>
      <c r="B1086">
        <v>2016</v>
      </c>
    </row>
    <row r="1087" spans="1:2" x14ac:dyDescent="0.3">
      <c r="A1087">
        <v>3</v>
      </c>
      <c r="B1087">
        <v>2015</v>
      </c>
    </row>
    <row r="1088" spans="1:2" x14ac:dyDescent="0.3">
      <c r="A1088">
        <v>3</v>
      </c>
      <c r="B1088">
        <v>2016</v>
      </c>
    </row>
    <row r="1089" spans="1:2" x14ac:dyDescent="0.3">
      <c r="A1089">
        <v>2</v>
      </c>
      <c r="B1089">
        <v>2016</v>
      </c>
    </row>
    <row r="1090" spans="1:2" x14ac:dyDescent="0.3">
      <c r="A1090">
        <v>1</v>
      </c>
      <c r="B1090">
        <v>2014</v>
      </c>
    </row>
    <row r="1091" spans="1:2" x14ac:dyDescent="0.3">
      <c r="A1091">
        <v>4</v>
      </c>
      <c r="B1091">
        <v>2015</v>
      </c>
    </row>
    <row r="1092" spans="1:2" x14ac:dyDescent="0.3">
      <c r="A1092">
        <v>4</v>
      </c>
      <c r="B1092">
        <v>2016</v>
      </c>
    </row>
    <row r="1093" spans="1:2" x14ac:dyDescent="0.3">
      <c r="A1093">
        <v>4</v>
      </c>
      <c r="B1093">
        <v>2017</v>
      </c>
    </row>
    <row r="1094" spans="1:2" x14ac:dyDescent="0.3">
      <c r="A1094">
        <v>4</v>
      </c>
      <c r="B1094">
        <v>2015</v>
      </c>
    </row>
    <row r="1095" spans="1:2" x14ac:dyDescent="0.3">
      <c r="A1095">
        <v>1</v>
      </c>
      <c r="B1095">
        <v>2016</v>
      </c>
    </row>
    <row r="1096" spans="1:2" x14ac:dyDescent="0.3">
      <c r="A1096">
        <v>4</v>
      </c>
      <c r="B1096">
        <v>2016</v>
      </c>
    </row>
    <row r="1097" spans="1:2" x14ac:dyDescent="0.3">
      <c r="A1097">
        <v>4</v>
      </c>
      <c r="B1097">
        <v>2017</v>
      </c>
    </row>
    <row r="1098" spans="1:2" x14ac:dyDescent="0.3">
      <c r="A1098">
        <v>4</v>
      </c>
      <c r="B1098">
        <v>2015</v>
      </c>
    </row>
    <row r="1099" spans="1:2" x14ac:dyDescent="0.3">
      <c r="A1099">
        <v>4</v>
      </c>
      <c r="B1099">
        <v>2015</v>
      </c>
    </row>
    <row r="1100" spans="1:2" x14ac:dyDescent="0.3">
      <c r="A1100">
        <v>1</v>
      </c>
      <c r="B1100">
        <v>2015</v>
      </c>
    </row>
    <row r="1101" spans="1:2" x14ac:dyDescent="0.3">
      <c r="A1101">
        <v>4</v>
      </c>
      <c r="B1101">
        <v>2017</v>
      </c>
    </row>
    <row r="1102" spans="1:2" x14ac:dyDescent="0.3">
      <c r="A1102">
        <v>1</v>
      </c>
      <c r="B1102">
        <v>2016</v>
      </c>
    </row>
    <row r="1103" spans="1:2" x14ac:dyDescent="0.3">
      <c r="A1103">
        <v>1</v>
      </c>
      <c r="B1103">
        <v>2015</v>
      </c>
    </row>
    <row r="1104" spans="1:2" x14ac:dyDescent="0.3">
      <c r="A1104">
        <v>4</v>
      </c>
      <c r="B1104">
        <v>2015</v>
      </c>
    </row>
    <row r="1105" spans="1:2" x14ac:dyDescent="0.3">
      <c r="A1105">
        <v>4</v>
      </c>
      <c r="B1105">
        <v>2016</v>
      </c>
    </row>
    <row r="1106" spans="1:2" x14ac:dyDescent="0.3">
      <c r="A1106">
        <v>2</v>
      </c>
      <c r="B1106">
        <v>2017</v>
      </c>
    </row>
    <row r="1107" spans="1:2" x14ac:dyDescent="0.3">
      <c r="A1107">
        <v>4</v>
      </c>
      <c r="B1107">
        <v>2017</v>
      </c>
    </row>
    <row r="1108" spans="1:2" x14ac:dyDescent="0.3">
      <c r="A1108">
        <v>4</v>
      </c>
      <c r="B1108">
        <v>2017</v>
      </c>
    </row>
    <row r="1109" spans="1:2" x14ac:dyDescent="0.3">
      <c r="A1109">
        <v>4</v>
      </c>
      <c r="B1109">
        <v>2016</v>
      </c>
    </row>
    <row r="1110" spans="1:2" x14ac:dyDescent="0.3">
      <c r="A1110">
        <v>4</v>
      </c>
      <c r="B1110">
        <v>2015</v>
      </c>
    </row>
    <row r="1111" spans="1:2" x14ac:dyDescent="0.3">
      <c r="A1111">
        <v>1</v>
      </c>
      <c r="B1111">
        <v>2016</v>
      </c>
    </row>
    <row r="1112" spans="1:2" x14ac:dyDescent="0.3">
      <c r="A1112">
        <v>4</v>
      </c>
      <c r="B1112">
        <v>2017</v>
      </c>
    </row>
    <row r="1113" spans="1:2" x14ac:dyDescent="0.3">
      <c r="A1113">
        <v>2</v>
      </c>
      <c r="B1113">
        <v>2016</v>
      </c>
    </row>
    <row r="1114" spans="1:2" x14ac:dyDescent="0.3">
      <c r="A1114">
        <v>1</v>
      </c>
      <c r="B1114">
        <v>2015</v>
      </c>
    </row>
    <row r="1115" spans="1:2" x14ac:dyDescent="0.3">
      <c r="A1115">
        <v>4</v>
      </c>
      <c r="B1115">
        <v>2017</v>
      </c>
    </row>
    <row r="1116" spans="1:2" x14ac:dyDescent="0.3">
      <c r="A1116">
        <v>4</v>
      </c>
      <c r="B1116">
        <v>2016</v>
      </c>
    </row>
    <row r="1117" spans="1:2" x14ac:dyDescent="0.3">
      <c r="A1117">
        <v>1</v>
      </c>
      <c r="B1117">
        <v>2016</v>
      </c>
    </row>
    <row r="1118" spans="1:2" x14ac:dyDescent="0.3">
      <c r="A1118">
        <v>1</v>
      </c>
      <c r="B1118">
        <v>2017</v>
      </c>
    </row>
    <row r="1119" spans="1:2" x14ac:dyDescent="0.3">
      <c r="A1119">
        <v>1</v>
      </c>
      <c r="B1119">
        <v>2015</v>
      </c>
    </row>
    <row r="1120" spans="1:2" x14ac:dyDescent="0.3">
      <c r="A1120">
        <v>4</v>
      </c>
      <c r="B1120">
        <v>2016</v>
      </c>
    </row>
    <row r="1121" spans="1:2" x14ac:dyDescent="0.3">
      <c r="A1121">
        <v>2</v>
      </c>
      <c r="B1121">
        <v>2016</v>
      </c>
    </row>
    <row r="1122" spans="1:2" x14ac:dyDescent="0.3">
      <c r="A1122">
        <v>4</v>
      </c>
      <c r="B1122">
        <v>2016</v>
      </c>
    </row>
    <row r="1123" spans="1:2" x14ac:dyDescent="0.3">
      <c r="A1123">
        <v>4</v>
      </c>
      <c r="B1123">
        <v>2017</v>
      </c>
    </row>
    <row r="1124" spans="1:2" x14ac:dyDescent="0.3">
      <c r="A1124">
        <v>2</v>
      </c>
      <c r="B1124">
        <v>2015</v>
      </c>
    </row>
    <row r="1125" spans="1:2" x14ac:dyDescent="0.3">
      <c r="A1125">
        <v>1</v>
      </c>
      <c r="B1125">
        <v>2016</v>
      </c>
    </row>
    <row r="1126" spans="1:2" x14ac:dyDescent="0.3">
      <c r="A1126">
        <v>1</v>
      </c>
      <c r="B1126">
        <v>2017</v>
      </c>
    </row>
    <row r="1127" spans="1:2" x14ac:dyDescent="0.3">
      <c r="A1127">
        <v>1</v>
      </c>
      <c r="B1127">
        <v>2016</v>
      </c>
    </row>
    <row r="1128" spans="1:2" x14ac:dyDescent="0.3">
      <c r="A1128">
        <v>4</v>
      </c>
      <c r="B1128">
        <v>2017</v>
      </c>
    </row>
    <row r="1129" spans="1:2" x14ac:dyDescent="0.3">
      <c r="A1129">
        <v>1</v>
      </c>
      <c r="B1129">
        <v>2017</v>
      </c>
    </row>
    <row r="1130" spans="1:2" x14ac:dyDescent="0.3">
      <c r="A1130">
        <v>3</v>
      </c>
      <c r="B1130">
        <v>2017</v>
      </c>
    </row>
    <row r="1131" spans="1:2" x14ac:dyDescent="0.3">
      <c r="A1131">
        <v>4</v>
      </c>
      <c r="B1131">
        <v>2015</v>
      </c>
    </row>
    <row r="1132" spans="1:2" x14ac:dyDescent="0.3">
      <c r="A1132">
        <v>1</v>
      </c>
      <c r="B1132">
        <v>2017</v>
      </c>
    </row>
    <row r="1133" spans="1:2" x14ac:dyDescent="0.3">
      <c r="A1133">
        <v>1</v>
      </c>
      <c r="B1133">
        <v>2015</v>
      </c>
    </row>
    <row r="1134" spans="1:2" x14ac:dyDescent="0.3">
      <c r="A1134">
        <v>4</v>
      </c>
      <c r="B1134">
        <v>2017</v>
      </c>
    </row>
    <row r="1135" spans="1:2" x14ac:dyDescent="0.3">
      <c r="A1135">
        <v>4</v>
      </c>
      <c r="B1135">
        <v>2015</v>
      </c>
    </row>
    <row r="1136" spans="1:2" x14ac:dyDescent="0.3">
      <c r="A1136">
        <v>2</v>
      </c>
      <c r="B1136">
        <v>2016</v>
      </c>
    </row>
    <row r="1137" spans="1:2" x14ac:dyDescent="0.3">
      <c r="A1137">
        <v>4</v>
      </c>
      <c r="B1137">
        <v>2017</v>
      </c>
    </row>
    <row r="1138" spans="1:2" x14ac:dyDescent="0.3">
      <c r="A1138">
        <v>1</v>
      </c>
      <c r="B1138">
        <v>2015</v>
      </c>
    </row>
    <row r="1139" spans="1:2" x14ac:dyDescent="0.3">
      <c r="A1139">
        <v>4</v>
      </c>
      <c r="B1139">
        <v>2016</v>
      </c>
    </row>
    <row r="1140" spans="1:2" x14ac:dyDescent="0.3">
      <c r="A1140">
        <v>1</v>
      </c>
      <c r="B1140">
        <v>2015</v>
      </c>
    </row>
    <row r="1141" spans="1:2" x14ac:dyDescent="0.3">
      <c r="A1141">
        <v>2</v>
      </c>
      <c r="B1141">
        <v>2017</v>
      </c>
    </row>
    <row r="1142" spans="1:2" x14ac:dyDescent="0.3">
      <c r="A1142">
        <v>4</v>
      </c>
      <c r="B1142">
        <v>2016</v>
      </c>
    </row>
    <row r="1143" spans="1:2" x14ac:dyDescent="0.3">
      <c r="A1143">
        <v>1</v>
      </c>
      <c r="B1143">
        <v>2016</v>
      </c>
    </row>
    <row r="1144" spans="1:2" x14ac:dyDescent="0.3">
      <c r="A1144">
        <v>4</v>
      </c>
      <c r="B1144">
        <v>2017</v>
      </c>
    </row>
    <row r="1145" spans="1:2" x14ac:dyDescent="0.3">
      <c r="A1145">
        <v>4</v>
      </c>
      <c r="B1145">
        <v>2015</v>
      </c>
    </row>
    <row r="1146" spans="1:2" x14ac:dyDescent="0.3">
      <c r="A1146">
        <v>4</v>
      </c>
      <c r="B1146">
        <v>2016</v>
      </c>
    </row>
    <row r="1147" spans="1:2" x14ac:dyDescent="0.3">
      <c r="A1147">
        <v>4</v>
      </c>
      <c r="B1147">
        <v>2016</v>
      </c>
    </row>
    <row r="1148" spans="1:2" x14ac:dyDescent="0.3">
      <c r="A1148">
        <v>4</v>
      </c>
      <c r="B1148">
        <v>2017</v>
      </c>
    </row>
    <row r="1149" spans="1:2" x14ac:dyDescent="0.3">
      <c r="A1149">
        <v>4</v>
      </c>
      <c r="B1149">
        <v>2016</v>
      </c>
    </row>
    <row r="1150" spans="1:2" x14ac:dyDescent="0.3">
      <c r="A1150">
        <v>4</v>
      </c>
      <c r="B1150">
        <v>2016</v>
      </c>
    </row>
    <row r="1151" spans="1:2" x14ac:dyDescent="0.3">
      <c r="A1151">
        <v>4</v>
      </c>
      <c r="B1151">
        <v>2015</v>
      </c>
    </row>
    <row r="1152" spans="1:2" x14ac:dyDescent="0.3">
      <c r="A1152">
        <v>4</v>
      </c>
      <c r="B1152">
        <v>2017</v>
      </c>
    </row>
    <row r="1153" spans="1:2" x14ac:dyDescent="0.3">
      <c r="A1153">
        <v>4</v>
      </c>
      <c r="B1153">
        <v>2016</v>
      </c>
    </row>
    <row r="1154" spans="1:2" x14ac:dyDescent="0.3">
      <c r="A1154">
        <v>4</v>
      </c>
      <c r="B1154">
        <v>2017</v>
      </c>
    </row>
    <row r="1155" spans="1:2" x14ac:dyDescent="0.3">
      <c r="A1155">
        <v>4</v>
      </c>
      <c r="B1155">
        <v>2017</v>
      </c>
    </row>
    <row r="1156" spans="1:2" x14ac:dyDescent="0.3">
      <c r="A1156">
        <v>4</v>
      </c>
      <c r="B1156">
        <v>2016</v>
      </c>
    </row>
    <row r="1157" spans="1:2" x14ac:dyDescent="0.3">
      <c r="A1157">
        <v>1</v>
      </c>
      <c r="B1157">
        <v>2016</v>
      </c>
    </row>
    <row r="1158" spans="1:2" x14ac:dyDescent="0.3">
      <c r="A1158">
        <v>1</v>
      </c>
      <c r="B1158">
        <v>2016</v>
      </c>
    </row>
    <row r="1159" spans="1:2" x14ac:dyDescent="0.3">
      <c r="A1159">
        <v>2</v>
      </c>
      <c r="B1159">
        <v>2017</v>
      </c>
    </row>
    <row r="1160" spans="1:2" x14ac:dyDescent="0.3">
      <c r="A1160">
        <v>1</v>
      </c>
      <c r="B1160">
        <v>2016</v>
      </c>
    </row>
    <row r="1161" spans="1:2" x14ac:dyDescent="0.3">
      <c r="A1161">
        <v>4</v>
      </c>
      <c r="B1161">
        <v>2015</v>
      </c>
    </row>
    <row r="1162" spans="1:2" x14ac:dyDescent="0.3">
      <c r="A1162">
        <v>1</v>
      </c>
      <c r="B1162">
        <v>2017</v>
      </c>
    </row>
    <row r="1163" spans="1:2" x14ac:dyDescent="0.3">
      <c r="A1163">
        <v>4</v>
      </c>
      <c r="B1163">
        <v>2016</v>
      </c>
    </row>
    <row r="1164" spans="1:2" x14ac:dyDescent="0.3">
      <c r="A1164">
        <v>1</v>
      </c>
      <c r="B1164">
        <v>2016</v>
      </c>
    </row>
    <row r="1165" spans="1:2" x14ac:dyDescent="0.3">
      <c r="A1165">
        <v>4</v>
      </c>
      <c r="B1165">
        <v>2016</v>
      </c>
    </row>
    <row r="1166" spans="1:2" x14ac:dyDescent="0.3">
      <c r="A1166">
        <v>1</v>
      </c>
      <c r="B1166">
        <v>2017</v>
      </c>
    </row>
    <row r="1167" spans="1:2" x14ac:dyDescent="0.3">
      <c r="A1167">
        <v>4</v>
      </c>
      <c r="B1167">
        <v>2016</v>
      </c>
    </row>
    <row r="1168" spans="1:2" x14ac:dyDescent="0.3">
      <c r="A1168">
        <v>3</v>
      </c>
      <c r="B1168">
        <v>2016</v>
      </c>
    </row>
    <row r="1169" spans="1:11" x14ac:dyDescent="0.3">
      <c r="A1169">
        <v>4</v>
      </c>
      <c r="B1169">
        <v>2017</v>
      </c>
    </row>
    <row r="1170" spans="1:11" x14ac:dyDescent="0.3">
      <c r="A1170">
        <v>2</v>
      </c>
      <c r="B1170">
        <v>2016</v>
      </c>
    </row>
    <row r="1171" spans="1:11" x14ac:dyDescent="0.3">
      <c r="A1171">
        <v>1</v>
      </c>
      <c r="B1171">
        <v>2016</v>
      </c>
    </row>
    <row r="1172" spans="1:11" x14ac:dyDescent="0.3">
      <c r="A1172">
        <v>4</v>
      </c>
      <c r="B1172">
        <v>2017</v>
      </c>
    </row>
    <row r="1173" spans="1:11" x14ac:dyDescent="0.3">
      <c r="A1173">
        <v>4</v>
      </c>
      <c r="B1173">
        <v>2016</v>
      </c>
    </row>
    <row r="1174" spans="1:11" x14ac:dyDescent="0.3">
      <c r="A1174">
        <v>1</v>
      </c>
      <c r="B1174">
        <v>2016</v>
      </c>
    </row>
    <row r="1175" spans="1:11" x14ac:dyDescent="0.3">
      <c r="A1175">
        <v>1</v>
      </c>
      <c r="B1175">
        <v>2017</v>
      </c>
    </row>
    <row r="1176" spans="1:11" x14ac:dyDescent="0.3">
      <c r="A1176">
        <v>1</v>
      </c>
      <c r="B1176">
        <v>2015</v>
      </c>
    </row>
    <row r="1177" spans="1:11" x14ac:dyDescent="0.3">
      <c r="A1177">
        <v>4</v>
      </c>
      <c r="B1177">
        <v>2016</v>
      </c>
    </row>
    <row r="1178" spans="1:11" x14ac:dyDescent="0.3">
      <c r="A1178">
        <v>1</v>
      </c>
      <c r="B1178">
        <v>2017</v>
      </c>
    </row>
    <row r="1179" spans="1:11" x14ac:dyDescent="0.3">
      <c r="A1179">
        <v>4</v>
      </c>
      <c r="B1179">
        <v>2016</v>
      </c>
    </row>
    <row r="1180" spans="1:11" x14ac:dyDescent="0.3">
      <c r="A1180">
        <v>1</v>
      </c>
      <c r="B1180">
        <v>2017</v>
      </c>
    </row>
    <row r="1181" spans="1:11" x14ac:dyDescent="0.3">
      <c r="A1181">
        <v>1</v>
      </c>
      <c r="B1181">
        <v>2017</v>
      </c>
    </row>
    <row r="1182" spans="1:11" x14ac:dyDescent="0.3">
      <c r="A1182">
        <v>4</v>
      </c>
      <c r="B1182">
        <v>2016</v>
      </c>
      <c r="G1182" s="4"/>
      <c r="K1182" s="4"/>
    </row>
    <row r="1183" spans="1:11" x14ac:dyDescent="0.3">
      <c r="A1183">
        <v>4</v>
      </c>
      <c r="B1183">
        <v>2017</v>
      </c>
      <c r="G1183" s="4"/>
      <c r="K1183" s="4"/>
    </row>
    <row r="1184" spans="1:11" x14ac:dyDescent="0.3">
      <c r="A1184">
        <v>4</v>
      </c>
      <c r="B1184">
        <v>2016</v>
      </c>
      <c r="G1184" s="4"/>
      <c r="K1184" s="4"/>
    </row>
    <row r="1185" spans="1:11" x14ac:dyDescent="0.3">
      <c r="A1185">
        <v>1</v>
      </c>
      <c r="B1185">
        <v>2017</v>
      </c>
      <c r="G1185" s="4"/>
      <c r="K1185" s="4"/>
    </row>
    <row r="1186" spans="1:11" x14ac:dyDescent="0.3">
      <c r="A1186">
        <v>2</v>
      </c>
      <c r="B1186">
        <v>2017</v>
      </c>
      <c r="G1186" s="4"/>
      <c r="K1186" s="4"/>
    </row>
    <row r="1187" spans="1:11" x14ac:dyDescent="0.3">
      <c r="A1187">
        <v>4</v>
      </c>
      <c r="B1187">
        <v>2016</v>
      </c>
      <c r="G1187" s="4"/>
      <c r="K1187" s="4"/>
    </row>
    <row r="1188" spans="1:11" x14ac:dyDescent="0.3">
      <c r="A1188">
        <v>4</v>
      </c>
      <c r="B1188">
        <v>2015</v>
      </c>
      <c r="G1188" s="4"/>
      <c r="K1188" s="4"/>
    </row>
    <row r="1189" spans="1:11" x14ac:dyDescent="0.3">
      <c r="A1189">
        <v>1</v>
      </c>
      <c r="B1189">
        <v>2017</v>
      </c>
      <c r="G1189" s="4"/>
      <c r="K1189" s="4"/>
    </row>
    <row r="1190" spans="1:11" x14ac:dyDescent="0.3">
      <c r="A1190">
        <v>1</v>
      </c>
      <c r="B1190">
        <v>2017</v>
      </c>
      <c r="G1190" s="4"/>
      <c r="K1190" s="4"/>
    </row>
    <row r="1191" spans="1:11" x14ac:dyDescent="0.3">
      <c r="A1191">
        <v>1</v>
      </c>
      <c r="B1191">
        <v>2016</v>
      </c>
      <c r="G1191" s="4"/>
      <c r="K1191" s="4"/>
    </row>
    <row r="1192" spans="1:11" x14ac:dyDescent="0.3">
      <c r="A1192">
        <v>4</v>
      </c>
      <c r="B1192">
        <v>2017</v>
      </c>
      <c r="G1192" s="4"/>
      <c r="K1192" s="4"/>
    </row>
    <row r="1193" spans="1:11" x14ac:dyDescent="0.3">
      <c r="A1193">
        <v>4</v>
      </c>
      <c r="B1193">
        <v>2017</v>
      </c>
      <c r="G1193" s="4"/>
      <c r="K1193" s="4"/>
    </row>
    <row r="1194" spans="1:11" x14ac:dyDescent="0.3">
      <c r="A1194">
        <v>4</v>
      </c>
      <c r="B1194">
        <v>2016</v>
      </c>
      <c r="G1194" s="4"/>
      <c r="K1194" s="4"/>
    </row>
    <row r="1195" spans="1:11" x14ac:dyDescent="0.3">
      <c r="A1195">
        <v>1</v>
      </c>
      <c r="B1195">
        <v>2017</v>
      </c>
      <c r="G1195" s="4"/>
      <c r="K1195" s="4"/>
    </row>
    <row r="1196" spans="1:11" x14ac:dyDescent="0.3">
      <c r="A1196">
        <v>1</v>
      </c>
      <c r="B1196">
        <v>2017</v>
      </c>
      <c r="G1196" s="4"/>
      <c r="K1196" s="4"/>
    </row>
    <row r="1197" spans="1:11" x14ac:dyDescent="0.3">
      <c r="A1197">
        <v>4</v>
      </c>
      <c r="B1197">
        <v>2017</v>
      </c>
      <c r="G1197" s="4"/>
      <c r="K1197" s="4"/>
    </row>
    <row r="1198" spans="1:11" x14ac:dyDescent="0.3">
      <c r="A1198">
        <v>4</v>
      </c>
      <c r="B1198">
        <v>2017</v>
      </c>
      <c r="G1198" s="4"/>
      <c r="K1198" s="4"/>
    </row>
    <row r="1199" spans="1:11" x14ac:dyDescent="0.3">
      <c r="A1199">
        <v>4</v>
      </c>
      <c r="B1199">
        <v>2017</v>
      </c>
      <c r="G1199" s="4"/>
      <c r="K1199" s="4"/>
    </row>
    <row r="1200" spans="1:11" x14ac:dyDescent="0.3">
      <c r="A1200">
        <v>1</v>
      </c>
      <c r="B1200">
        <v>2017</v>
      </c>
      <c r="G1200" s="4"/>
      <c r="K1200" s="4"/>
    </row>
    <row r="1201" spans="1:11" x14ac:dyDescent="0.3">
      <c r="A1201">
        <v>4</v>
      </c>
      <c r="B1201">
        <v>2017</v>
      </c>
      <c r="G1201" s="4"/>
      <c r="K1201" s="4"/>
    </row>
    <row r="1202" spans="1:11" x14ac:dyDescent="0.3">
      <c r="A1202">
        <v>1</v>
      </c>
      <c r="B1202">
        <v>2017</v>
      </c>
      <c r="G1202" s="4"/>
      <c r="K1202" s="4"/>
    </row>
    <row r="1203" spans="1:11" x14ac:dyDescent="0.3">
      <c r="A1203">
        <v>1</v>
      </c>
      <c r="B1203">
        <v>2017</v>
      </c>
      <c r="G1203" s="4"/>
      <c r="K1203" s="4"/>
    </row>
    <row r="1204" spans="1:11" x14ac:dyDescent="0.3">
      <c r="A1204">
        <v>1</v>
      </c>
      <c r="B1204">
        <v>2017</v>
      </c>
      <c r="G1204" s="4"/>
      <c r="K1204" s="4"/>
    </row>
    <row r="1205" spans="1:11" x14ac:dyDescent="0.3">
      <c r="G1205" s="4"/>
      <c r="K1205" s="4"/>
    </row>
    <row r="1206" spans="1:11" x14ac:dyDescent="0.3">
      <c r="G1206" s="4"/>
      <c r="K1206" s="4"/>
    </row>
    <row r="1207" spans="1:11" x14ac:dyDescent="0.3">
      <c r="G1207" s="4"/>
      <c r="K1207" s="4"/>
    </row>
    <row r="1208" spans="1:11" x14ac:dyDescent="0.3">
      <c r="G1208" s="4"/>
      <c r="K1208" s="4"/>
    </row>
    <row r="1209" spans="1:11" x14ac:dyDescent="0.3">
      <c r="G1209" s="4"/>
      <c r="K1209" s="4"/>
    </row>
    <row r="1210" spans="1:11" x14ac:dyDescent="0.3">
      <c r="G1210" s="4"/>
      <c r="K1210" s="4"/>
    </row>
    <row r="1211" spans="1:11" x14ac:dyDescent="0.3">
      <c r="G1211" s="4"/>
      <c r="K1211" s="4"/>
    </row>
    <row r="1212" spans="1:11" x14ac:dyDescent="0.3">
      <c r="G1212" s="4"/>
      <c r="K1212" s="4"/>
    </row>
    <row r="1213" spans="1:11" x14ac:dyDescent="0.3">
      <c r="G1213" s="4"/>
      <c r="K1213" s="4"/>
    </row>
    <row r="1214" spans="1:11" x14ac:dyDescent="0.3">
      <c r="G1214" s="4"/>
      <c r="K1214" s="4"/>
    </row>
    <row r="1215" spans="1:11" x14ac:dyDescent="0.3">
      <c r="G1215" s="4"/>
      <c r="K1215" s="4"/>
    </row>
    <row r="1216" spans="1:11" x14ac:dyDescent="0.3">
      <c r="G1216" s="4"/>
      <c r="K1216" s="4"/>
    </row>
    <row r="1217" spans="7:11" x14ac:dyDescent="0.3">
      <c r="G1217" s="4"/>
      <c r="K1217" s="4"/>
    </row>
    <row r="1218" spans="7:11" x14ac:dyDescent="0.3">
      <c r="G1218" s="4"/>
      <c r="K1218" s="4"/>
    </row>
    <row r="1219" spans="7:11" x14ac:dyDescent="0.3">
      <c r="G1219" s="4"/>
      <c r="K1219" s="4"/>
    </row>
    <row r="1220" spans="7:11" x14ac:dyDescent="0.3">
      <c r="G1220" s="4"/>
      <c r="K1220" s="4"/>
    </row>
    <row r="1221" spans="7:11" x14ac:dyDescent="0.3">
      <c r="G1221" s="4"/>
      <c r="K1221" s="4"/>
    </row>
    <row r="1222" spans="7:11" x14ac:dyDescent="0.3">
      <c r="G1222" s="4"/>
      <c r="K1222" s="4"/>
    </row>
    <row r="1223" spans="7:11" x14ac:dyDescent="0.3">
      <c r="G1223" s="4"/>
      <c r="K1223" s="4"/>
    </row>
    <row r="1224" spans="7:11" x14ac:dyDescent="0.3">
      <c r="G1224" s="4"/>
      <c r="K1224" s="4"/>
    </row>
    <row r="1225" spans="7:11" x14ac:dyDescent="0.3">
      <c r="G1225" s="4"/>
      <c r="K1225" s="4"/>
    </row>
    <row r="1226" spans="7:11" x14ac:dyDescent="0.3">
      <c r="G1226" s="4"/>
      <c r="K1226" s="4"/>
    </row>
    <row r="1227" spans="7:11" x14ac:dyDescent="0.3">
      <c r="G1227" s="4"/>
      <c r="K1227" s="4"/>
    </row>
    <row r="1228" spans="7:11" x14ac:dyDescent="0.3">
      <c r="G1228" s="4"/>
      <c r="K1228" s="4"/>
    </row>
    <row r="1229" spans="7:11" x14ac:dyDescent="0.3">
      <c r="G1229" s="4"/>
      <c r="K1229" s="4"/>
    </row>
    <row r="1230" spans="7:11" x14ac:dyDescent="0.3">
      <c r="G1230" s="4"/>
      <c r="K1230" s="4"/>
    </row>
    <row r="1231" spans="7:11" x14ac:dyDescent="0.3">
      <c r="G1231" s="4"/>
      <c r="K1231" s="4"/>
    </row>
    <row r="1232" spans="7:11" x14ac:dyDescent="0.3">
      <c r="G1232" s="4"/>
      <c r="K1232" s="4"/>
    </row>
    <row r="1233" spans="7:11" x14ac:dyDescent="0.3">
      <c r="G1233" s="4"/>
      <c r="K1233" s="4"/>
    </row>
    <row r="1234" spans="7:11" x14ac:dyDescent="0.3">
      <c r="G1234" s="4"/>
      <c r="K1234" s="4"/>
    </row>
    <row r="1235" spans="7:11" x14ac:dyDescent="0.3">
      <c r="G1235" s="4"/>
      <c r="K1235" s="4"/>
    </row>
    <row r="1236" spans="7:11" x14ac:dyDescent="0.3">
      <c r="G1236" s="4"/>
      <c r="K1236" s="4"/>
    </row>
    <row r="1237" spans="7:11" x14ac:dyDescent="0.3">
      <c r="G1237" s="4"/>
      <c r="K1237" s="4"/>
    </row>
    <row r="1238" spans="7:11" x14ac:dyDescent="0.3">
      <c r="G1238" s="4"/>
      <c r="K1238" s="4"/>
    </row>
    <row r="1239" spans="7:11" x14ac:dyDescent="0.3">
      <c r="G1239" s="4"/>
      <c r="K1239" s="4"/>
    </row>
    <row r="1240" spans="7:11" x14ac:dyDescent="0.3">
      <c r="G1240" s="4"/>
      <c r="K1240" s="4"/>
    </row>
    <row r="1241" spans="7:11" x14ac:dyDescent="0.3">
      <c r="G1241" s="4"/>
      <c r="K1241" s="4"/>
    </row>
    <row r="1242" spans="7:11" x14ac:dyDescent="0.3">
      <c r="G1242" s="4"/>
      <c r="K1242" s="4"/>
    </row>
    <row r="1243" spans="7:11" x14ac:dyDescent="0.3">
      <c r="G1243" s="4"/>
      <c r="K1243" s="4"/>
    </row>
    <row r="1244" spans="7:11" x14ac:dyDescent="0.3">
      <c r="G1244" s="4"/>
      <c r="K1244" s="4"/>
    </row>
    <row r="1245" spans="7:11" x14ac:dyDescent="0.3">
      <c r="G1245" s="4"/>
      <c r="K1245" s="4"/>
    </row>
    <row r="1246" spans="7:11" x14ac:dyDescent="0.3">
      <c r="G1246" s="4"/>
      <c r="K1246" s="4"/>
    </row>
    <row r="1247" spans="7:11" x14ac:dyDescent="0.3">
      <c r="G1247" s="4"/>
      <c r="K1247" s="4"/>
    </row>
    <row r="1248" spans="7:11" x14ac:dyDescent="0.3">
      <c r="G1248" s="4"/>
      <c r="K1248" s="4"/>
    </row>
    <row r="1249" spans="7:11" x14ac:dyDescent="0.3">
      <c r="G1249" s="4"/>
      <c r="K1249" s="4"/>
    </row>
    <row r="1250" spans="7:11" x14ac:dyDescent="0.3">
      <c r="G1250" s="4"/>
      <c r="K1250" s="4"/>
    </row>
    <row r="1251" spans="7:11" x14ac:dyDescent="0.3">
      <c r="G1251" s="4"/>
      <c r="K1251" s="4"/>
    </row>
    <row r="1252" spans="7:11" x14ac:dyDescent="0.3">
      <c r="G1252" s="4"/>
      <c r="K1252" s="4"/>
    </row>
    <row r="1253" spans="7:11" x14ac:dyDescent="0.3">
      <c r="G1253" s="4"/>
      <c r="K1253" s="4"/>
    </row>
    <row r="1254" spans="7:11" x14ac:dyDescent="0.3">
      <c r="G1254" s="4"/>
      <c r="K1254" s="4"/>
    </row>
    <row r="1255" spans="7:11" x14ac:dyDescent="0.3">
      <c r="G1255" s="4"/>
      <c r="K1255" s="4"/>
    </row>
    <row r="1256" spans="7:11" x14ac:dyDescent="0.3">
      <c r="G1256" s="4"/>
      <c r="K1256" s="4"/>
    </row>
    <row r="1257" spans="7:11" x14ac:dyDescent="0.3">
      <c r="G1257" s="4"/>
      <c r="K1257" s="4"/>
    </row>
    <row r="1258" spans="7:11" x14ac:dyDescent="0.3">
      <c r="G1258" s="4"/>
      <c r="K1258" s="4"/>
    </row>
    <row r="1259" spans="7:11" x14ac:dyDescent="0.3">
      <c r="G1259" s="4"/>
      <c r="K1259" s="4"/>
    </row>
    <row r="1260" spans="7:11" x14ac:dyDescent="0.3">
      <c r="G1260" s="4"/>
      <c r="K1260" s="4"/>
    </row>
    <row r="1261" spans="7:11" x14ac:dyDescent="0.3">
      <c r="G1261" s="4"/>
      <c r="K1261" s="4"/>
    </row>
    <row r="1262" spans="7:11" x14ac:dyDescent="0.3">
      <c r="G1262" s="4"/>
      <c r="K1262" s="4"/>
    </row>
    <row r="1263" spans="7:11" x14ac:dyDescent="0.3">
      <c r="G1263" s="4"/>
      <c r="K1263" s="4"/>
    </row>
    <row r="1264" spans="7:11" x14ac:dyDescent="0.3">
      <c r="G1264" s="4"/>
      <c r="K1264" s="4"/>
    </row>
    <row r="1265" spans="7:11" x14ac:dyDescent="0.3">
      <c r="G1265" s="4"/>
      <c r="K1265" s="4"/>
    </row>
    <row r="1266" spans="7:11" x14ac:dyDescent="0.3">
      <c r="G1266" s="4"/>
      <c r="K1266" s="4"/>
    </row>
    <row r="1267" spans="7:11" x14ac:dyDescent="0.3">
      <c r="G1267" s="4"/>
      <c r="K1267" s="4"/>
    </row>
    <row r="1268" spans="7:11" x14ac:dyDescent="0.3">
      <c r="G1268" s="4"/>
      <c r="K1268" s="4"/>
    </row>
    <row r="1269" spans="7:11" x14ac:dyDescent="0.3">
      <c r="G1269" s="4"/>
      <c r="K1269" s="4"/>
    </row>
    <row r="1270" spans="7:11" x14ac:dyDescent="0.3">
      <c r="G1270" s="4"/>
      <c r="K1270" s="4"/>
    </row>
    <row r="1271" spans="7:11" x14ac:dyDescent="0.3">
      <c r="G1271" s="4"/>
      <c r="K1271" s="4"/>
    </row>
    <row r="1272" spans="7:11" x14ac:dyDescent="0.3">
      <c r="G1272" s="4"/>
      <c r="K1272" s="4"/>
    </row>
    <row r="1273" spans="7:11" x14ac:dyDescent="0.3">
      <c r="G1273" s="4"/>
      <c r="K1273" s="4"/>
    </row>
    <row r="1274" spans="7:11" x14ac:dyDescent="0.3">
      <c r="G1274" s="4"/>
      <c r="K1274" s="4"/>
    </row>
    <row r="1275" spans="7:11" x14ac:dyDescent="0.3">
      <c r="G1275" s="4"/>
      <c r="K1275" s="4"/>
    </row>
    <row r="1276" spans="7:11" x14ac:dyDescent="0.3">
      <c r="G1276" s="4"/>
      <c r="K1276" s="4"/>
    </row>
    <row r="1277" spans="7:11" x14ac:dyDescent="0.3">
      <c r="G1277" s="4"/>
      <c r="K1277" s="4"/>
    </row>
    <row r="1278" spans="7:11" x14ac:dyDescent="0.3">
      <c r="G1278" s="4"/>
      <c r="K1278" s="4"/>
    </row>
    <row r="1279" spans="7:11" x14ac:dyDescent="0.3">
      <c r="G1279" s="4"/>
      <c r="K1279" s="4"/>
    </row>
    <row r="1280" spans="7:11" x14ac:dyDescent="0.3">
      <c r="G1280" s="4"/>
      <c r="K1280" s="4"/>
    </row>
    <row r="1281" spans="7:11" x14ac:dyDescent="0.3">
      <c r="G1281" s="4"/>
      <c r="K1281" s="4"/>
    </row>
    <row r="1282" spans="7:11" x14ac:dyDescent="0.3">
      <c r="G1282" s="4"/>
      <c r="K1282" s="4"/>
    </row>
    <row r="1283" spans="7:11" x14ac:dyDescent="0.3">
      <c r="G1283" s="4"/>
      <c r="K1283" s="4"/>
    </row>
    <row r="1284" spans="7:11" x14ac:dyDescent="0.3">
      <c r="G1284" s="4"/>
      <c r="K1284" s="4"/>
    </row>
    <row r="1285" spans="7:11" x14ac:dyDescent="0.3">
      <c r="G1285" s="4"/>
      <c r="K1285" s="4"/>
    </row>
    <row r="1286" spans="7:11" x14ac:dyDescent="0.3">
      <c r="G1286" s="4"/>
      <c r="K1286" s="4"/>
    </row>
    <row r="1287" spans="7:11" x14ac:dyDescent="0.3">
      <c r="G1287" s="4"/>
      <c r="K1287" s="4"/>
    </row>
    <row r="1288" spans="7:11" x14ac:dyDescent="0.3">
      <c r="G1288" s="4"/>
      <c r="K1288" s="4"/>
    </row>
    <row r="1289" spans="7:11" x14ac:dyDescent="0.3">
      <c r="G1289" s="4"/>
      <c r="K1289" s="4"/>
    </row>
    <row r="1290" spans="7:11" x14ac:dyDescent="0.3">
      <c r="G1290" s="4"/>
      <c r="K1290" s="4"/>
    </row>
    <row r="1291" spans="7:11" x14ac:dyDescent="0.3">
      <c r="G1291" s="4"/>
      <c r="K1291" s="4"/>
    </row>
    <row r="1292" spans="7:11" x14ac:dyDescent="0.3">
      <c r="G1292" s="4"/>
      <c r="K1292" s="4"/>
    </row>
    <row r="1293" spans="7:11" x14ac:dyDescent="0.3">
      <c r="G1293" s="4"/>
      <c r="K1293" s="4"/>
    </row>
    <row r="1294" spans="7:11" x14ac:dyDescent="0.3">
      <c r="G1294" s="4"/>
      <c r="K1294" s="4"/>
    </row>
    <row r="1295" spans="7:11" x14ac:dyDescent="0.3">
      <c r="G1295" s="4"/>
      <c r="K1295" s="4"/>
    </row>
    <row r="1296" spans="7:11" x14ac:dyDescent="0.3">
      <c r="G1296" s="4"/>
      <c r="K1296" s="4"/>
    </row>
    <row r="1297" spans="7:11" x14ac:dyDescent="0.3">
      <c r="G1297" s="4"/>
      <c r="K1297" s="4"/>
    </row>
    <row r="1298" spans="7:11" x14ac:dyDescent="0.3">
      <c r="G1298" s="4"/>
      <c r="K1298" s="4"/>
    </row>
    <row r="1299" spans="7:11" x14ac:dyDescent="0.3">
      <c r="G1299" s="4"/>
      <c r="K1299" s="4"/>
    </row>
    <row r="1300" spans="7:11" x14ac:dyDescent="0.3">
      <c r="G1300" s="4"/>
      <c r="K1300" s="4"/>
    </row>
    <row r="1301" spans="7:11" x14ac:dyDescent="0.3">
      <c r="G1301" s="4"/>
      <c r="K1301" s="4"/>
    </row>
    <row r="1302" spans="7:11" x14ac:dyDescent="0.3">
      <c r="G1302" s="4"/>
      <c r="K1302" s="4"/>
    </row>
    <row r="1303" spans="7:11" x14ac:dyDescent="0.3">
      <c r="G1303" s="4"/>
      <c r="K1303" s="4"/>
    </row>
    <row r="1304" spans="7:11" x14ac:dyDescent="0.3">
      <c r="G1304" s="4"/>
      <c r="K1304" s="4"/>
    </row>
    <row r="1305" spans="7:11" x14ac:dyDescent="0.3">
      <c r="G1305" s="4"/>
      <c r="K1305" s="4"/>
    </row>
    <row r="1306" spans="7:11" x14ac:dyDescent="0.3">
      <c r="G1306" s="4"/>
      <c r="K1306" s="4"/>
    </row>
    <row r="1307" spans="7:11" x14ac:dyDescent="0.3">
      <c r="G1307" s="4"/>
      <c r="K1307" s="4"/>
    </row>
    <row r="1308" spans="7:11" x14ac:dyDescent="0.3">
      <c r="G1308" s="4"/>
      <c r="K1308" s="4"/>
    </row>
    <row r="1309" spans="7:11" x14ac:dyDescent="0.3">
      <c r="G1309" s="4"/>
      <c r="K1309" s="4"/>
    </row>
    <row r="1310" spans="7:11" x14ac:dyDescent="0.3">
      <c r="G1310" s="4"/>
      <c r="K1310" s="4"/>
    </row>
    <row r="1311" spans="7:11" x14ac:dyDescent="0.3">
      <c r="G1311" s="4"/>
      <c r="K1311" s="4"/>
    </row>
    <row r="1312" spans="7:11" x14ac:dyDescent="0.3">
      <c r="G1312" s="4"/>
      <c r="K1312" s="4"/>
    </row>
    <row r="1313" spans="7:11" x14ac:dyDescent="0.3">
      <c r="G1313" s="4"/>
      <c r="K1313" s="4"/>
    </row>
    <row r="1314" spans="7:11" x14ac:dyDescent="0.3">
      <c r="G1314" s="4"/>
      <c r="K1314" s="4"/>
    </row>
    <row r="1315" spans="7:11" x14ac:dyDescent="0.3">
      <c r="G1315" s="4"/>
      <c r="K1315" s="4"/>
    </row>
    <row r="1316" spans="7:11" x14ac:dyDescent="0.3">
      <c r="G1316" s="4"/>
      <c r="K1316" s="4"/>
    </row>
    <row r="1317" spans="7:11" x14ac:dyDescent="0.3">
      <c r="G1317" s="4"/>
      <c r="K1317" s="4"/>
    </row>
    <row r="1318" spans="7:11" x14ac:dyDescent="0.3">
      <c r="G1318" s="4"/>
      <c r="K1318" s="4"/>
    </row>
    <row r="1319" spans="7:11" x14ac:dyDescent="0.3">
      <c r="G1319" s="4"/>
      <c r="K1319" s="4"/>
    </row>
    <row r="1320" spans="7:11" x14ac:dyDescent="0.3">
      <c r="G1320" s="4"/>
      <c r="K1320" s="4"/>
    </row>
    <row r="1321" spans="7:11" x14ac:dyDescent="0.3">
      <c r="G1321" s="4"/>
      <c r="K1321" s="4"/>
    </row>
    <row r="1322" spans="7:11" x14ac:dyDescent="0.3">
      <c r="G1322" s="4"/>
      <c r="K1322" s="4"/>
    </row>
    <row r="1323" spans="7:11" x14ac:dyDescent="0.3">
      <c r="G1323" s="4"/>
      <c r="K1323" s="4"/>
    </row>
    <row r="1324" spans="7:11" x14ac:dyDescent="0.3">
      <c r="G1324" s="4"/>
      <c r="K1324" s="4"/>
    </row>
    <row r="1325" spans="7:11" x14ac:dyDescent="0.3">
      <c r="G1325" s="4"/>
      <c r="K1325" s="4"/>
    </row>
    <row r="1326" spans="7:11" x14ac:dyDescent="0.3">
      <c r="G1326" s="4"/>
      <c r="K1326" s="4"/>
    </row>
    <row r="1327" spans="7:11" x14ac:dyDescent="0.3">
      <c r="G1327" s="4"/>
      <c r="K1327" s="4"/>
    </row>
    <row r="1328" spans="7:11" x14ac:dyDescent="0.3">
      <c r="G1328" s="4"/>
      <c r="K1328" s="4"/>
    </row>
    <row r="1329" spans="7:11" x14ac:dyDescent="0.3">
      <c r="G1329" s="4"/>
      <c r="K1329" s="4"/>
    </row>
    <row r="1330" spans="7:11" x14ac:dyDescent="0.3">
      <c r="G1330" s="4"/>
      <c r="K1330" s="4"/>
    </row>
    <row r="1331" spans="7:11" x14ac:dyDescent="0.3">
      <c r="G1331" s="4"/>
      <c r="K1331" s="4"/>
    </row>
    <row r="1332" spans="7:11" x14ac:dyDescent="0.3">
      <c r="G1332" s="4"/>
      <c r="K1332" s="4"/>
    </row>
    <row r="1333" spans="7:11" x14ac:dyDescent="0.3">
      <c r="G1333" s="4"/>
      <c r="K1333" s="4"/>
    </row>
    <row r="1334" spans="7:11" x14ac:dyDescent="0.3">
      <c r="G1334" s="4"/>
      <c r="K1334" s="4"/>
    </row>
    <row r="1335" spans="7:11" x14ac:dyDescent="0.3">
      <c r="G1335" s="4"/>
      <c r="K1335" s="4"/>
    </row>
    <row r="1336" spans="7:11" x14ac:dyDescent="0.3">
      <c r="G1336" s="4"/>
      <c r="K1336" s="4"/>
    </row>
    <row r="1337" spans="7:11" x14ac:dyDescent="0.3">
      <c r="G1337" s="4"/>
      <c r="K1337" s="4"/>
    </row>
    <row r="1338" spans="7:11" x14ac:dyDescent="0.3">
      <c r="G1338" s="4"/>
      <c r="K1338" s="4"/>
    </row>
    <row r="1339" spans="7:11" x14ac:dyDescent="0.3">
      <c r="G1339" s="4"/>
      <c r="K1339" s="4"/>
    </row>
    <row r="1340" spans="7:11" x14ac:dyDescent="0.3">
      <c r="G1340" s="4"/>
      <c r="K1340" s="4"/>
    </row>
    <row r="1341" spans="7:11" x14ac:dyDescent="0.3">
      <c r="G1341" s="4"/>
      <c r="K1341" s="4"/>
    </row>
    <row r="1342" spans="7:11" x14ac:dyDescent="0.3">
      <c r="G1342" s="4"/>
      <c r="K1342" s="4"/>
    </row>
    <row r="1343" spans="7:11" x14ac:dyDescent="0.3">
      <c r="G1343" s="4"/>
      <c r="K1343" s="4"/>
    </row>
    <row r="1344" spans="7:11" x14ac:dyDescent="0.3">
      <c r="G1344" s="4"/>
      <c r="K1344" s="4"/>
    </row>
    <row r="1345" spans="7:11" x14ac:dyDescent="0.3">
      <c r="G1345" s="4"/>
      <c r="K1345" s="4"/>
    </row>
    <row r="1346" spans="7:11" x14ac:dyDescent="0.3">
      <c r="G1346" s="4"/>
      <c r="K1346" s="4"/>
    </row>
    <row r="1347" spans="7:11" x14ac:dyDescent="0.3">
      <c r="G1347" s="4"/>
      <c r="K1347" s="4"/>
    </row>
    <row r="1348" spans="7:11" x14ac:dyDescent="0.3">
      <c r="G1348" s="4"/>
      <c r="K1348" s="4"/>
    </row>
    <row r="1349" spans="7:11" x14ac:dyDescent="0.3">
      <c r="G1349" s="4"/>
      <c r="K1349" s="4"/>
    </row>
    <row r="1350" spans="7:11" x14ac:dyDescent="0.3">
      <c r="G1350" s="4"/>
      <c r="K1350" s="4"/>
    </row>
    <row r="1351" spans="7:11" x14ac:dyDescent="0.3">
      <c r="G1351" s="4"/>
      <c r="K1351" s="4"/>
    </row>
    <row r="1352" spans="7:11" x14ac:dyDescent="0.3">
      <c r="G1352" s="4"/>
      <c r="K1352" s="4"/>
    </row>
    <row r="1353" spans="7:11" x14ac:dyDescent="0.3">
      <c r="G1353" s="4"/>
      <c r="K1353" s="4"/>
    </row>
    <row r="1354" spans="7:11" x14ac:dyDescent="0.3">
      <c r="G1354" s="4"/>
      <c r="K1354" s="4"/>
    </row>
    <row r="1355" spans="7:11" x14ac:dyDescent="0.3">
      <c r="G1355" s="4"/>
      <c r="K1355" s="4"/>
    </row>
    <row r="1356" spans="7:11" x14ac:dyDescent="0.3">
      <c r="G1356" s="4"/>
      <c r="K1356" s="4"/>
    </row>
    <row r="1357" spans="7:11" x14ac:dyDescent="0.3">
      <c r="G1357" s="4"/>
      <c r="K1357" s="4"/>
    </row>
    <row r="1358" spans="7:11" x14ac:dyDescent="0.3">
      <c r="G1358" s="4"/>
      <c r="K1358" s="4"/>
    </row>
    <row r="1359" spans="7:11" x14ac:dyDescent="0.3">
      <c r="G1359" s="4"/>
      <c r="K1359" s="4"/>
    </row>
    <row r="1360" spans="7:11" x14ac:dyDescent="0.3">
      <c r="G1360" s="4"/>
      <c r="K1360" s="4"/>
    </row>
    <row r="1361" spans="7:11" x14ac:dyDescent="0.3">
      <c r="G1361" s="4"/>
      <c r="K1361" s="4"/>
    </row>
    <row r="1362" spans="7:11" x14ac:dyDescent="0.3">
      <c r="G1362" s="4"/>
      <c r="K1362" s="4"/>
    </row>
    <row r="1363" spans="7:11" x14ac:dyDescent="0.3">
      <c r="G1363" s="4"/>
      <c r="K1363" s="4"/>
    </row>
    <row r="1364" spans="7:11" x14ac:dyDescent="0.3">
      <c r="G1364" s="4"/>
      <c r="K1364" s="4"/>
    </row>
    <row r="1365" spans="7:11" x14ac:dyDescent="0.3">
      <c r="G1365" s="4"/>
      <c r="K1365" s="4"/>
    </row>
    <row r="1366" spans="7:11" x14ac:dyDescent="0.3">
      <c r="G1366" s="4"/>
      <c r="K1366" s="4"/>
    </row>
    <row r="1367" spans="7:11" x14ac:dyDescent="0.3">
      <c r="G1367" s="4"/>
      <c r="K1367" s="4"/>
    </row>
    <row r="1368" spans="7:11" x14ac:dyDescent="0.3">
      <c r="G1368" s="4"/>
      <c r="K1368" s="4"/>
    </row>
    <row r="1369" spans="7:11" x14ac:dyDescent="0.3">
      <c r="G1369" s="4"/>
      <c r="K1369" s="4"/>
    </row>
    <row r="1370" spans="7:11" x14ac:dyDescent="0.3">
      <c r="G1370" s="4"/>
      <c r="K1370" s="4"/>
    </row>
    <row r="1371" spans="7:11" x14ac:dyDescent="0.3">
      <c r="G1371" s="4"/>
      <c r="K1371" s="4"/>
    </row>
    <row r="1372" spans="7:11" x14ac:dyDescent="0.3">
      <c r="G1372" s="4"/>
      <c r="K1372" s="4"/>
    </row>
    <row r="1373" spans="7:11" x14ac:dyDescent="0.3">
      <c r="G1373" s="4"/>
      <c r="K1373" s="4"/>
    </row>
    <row r="1374" spans="7:11" x14ac:dyDescent="0.3">
      <c r="G1374" s="4"/>
      <c r="K1374" s="4"/>
    </row>
    <row r="1375" spans="7:11" x14ac:dyDescent="0.3">
      <c r="G1375" s="4"/>
      <c r="K1375" s="4"/>
    </row>
    <row r="1376" spans="7:11" x14ac:dyDescent="0.3">
      <c r="G1376" s="4"/>
      <c r="K1376" s="4"/>
    </row>
    <row r="1377" spans="7:11" x14ac:dyDescent="0.3">
      <c r="G1377" s="4"/>
      <c r="K1377" s="4"/>
    </row>
    <row r="1378" spans="7:11" x14ac:dyDescent="0.3">
      <c r="G1378" s="4"/>
      <c r="K1378" s="4"/>
    </row>
    <row r="1379" spans="7:11" x14ac:dyDescent="0.3">
      <c r="G1379" s="4"/>
      <c r="K1379" s="4"/>
    </row>
    <row r="1380" spans="7:11" x14ac:dyDescent="0.3">
      <c r="G1380" s="4"/>
      <c r="K1380" s="4"/>
    </row>
    <row r="1381" spans="7:11" x14ac:dyDescent="0.3">
      <c r="G1381" s="4"/>
      <c r="K1381" s="4"/>
    </row>
    <row r="1382" spans="7:11" x14ac:dyDescent="0.3">
      <c r="G1382" s="4"/>
      <c r="K1382" s="4"/>
    </row>
    <row r="1383" spans="7:11" x14ac:dyDescent="0.3">
      <c r="G1383" s="4"/>
      <c r="K1383" s="4"/>
    </row>
    <row r="1384" spans="7:11" x14ac:dyDescent="0.3">
      <c r="G1384" s="4"/>
      <c r="K1384" s="4"/>
    </row>
    <row r="1385" spans="7:11" x14ac:dyDescent="0.3">
      <c r="G1385" s="4"/>
      <c r="K1385" s="4"/>
    </row>
    <row r="1386" spans="7:11" x14ac:dyDescent="0.3">
      <c r="G1386" s="4"/>
      <c r="K1386" s="4"/>
    </row>
    <row r="1387" spans="7:11" x14ac:dyDescent="0.3">
      <c r="G1387" s="4"/>
      <c r="K1387" s="4"/>
    </row>
    <row r="1388" spans="7:11" x14ac:dyDescent="0.3">
      <c r="G1388" s="4"/>
      <c r="K1388" s="4"/>
    </row>
    <row r="1389" spans="7:11" x14ac:dyDescent="0.3">
      <c r="G1389" s="4"/>
      <c r="K1389" s="4"/>
    </row>
    <row r="1390" spans="7:11" x14ac:dyDescent="0.3">
      <c r="G1390" s="4"/>
      <c r="K1390" s="4"/>
    </row>
    <row r="1391" spans="7:11" x14ac:dyDescent="0.3">
      <c r="G1391" s="4"/>
      <c r="K1391" s="4"/>
    </row>
    <row r="1392" spans="7:11" x14ac:dyDescent="0.3">
      <c r="G1392" s="4"/>
      <c r="K1392" s="4"/>
    </row>
    <row r="1393" spans="7:11" x14ac:dyDescent="0.3">
      <c r="G1393" s="4"/>
      <c r="K1393" s="4"/>
    </row>
    <row r="1394" spans="7:11" x14ac:dyDescent="0.3">
      <c r="G1394" s="4"/>
      <c r="K1394" s="4"/>
    </row>
    <row r="1395" spans="7:11" x14ac:dyDescent="0.3">
      <c r="G1395" s="4"/>
      <c r="K1395" s="4"/>
    </row>
    <row r="1396" spans="7:11" x14ac:dyDescent="0.3">
      <c r="G1396" s="4"/>
      <c r="K1396" s="4"/>
    </row>
    <row r="1397" spans="7:11" x14ac:dyDescent="0.3">
      <c r="G1397" s="4"/>
      <c r="K1397" s="4"/>
    </row>
    <row r="1398" spans="7:11" x14ac:dyDescent="0.3">
      <c r="G1398" s="4"/>
      <c r="K1398" s="4"/>
    </row>
    <row r="1399" spans="7:11" x14ac:dyDescent="0.3">
      <c r="G1399" s="4"/>
      <c r="K1399" s="4"/>
    </row>
    <row r="1400" spans="7:11" x14ac:dyDescent="0.3">
      <c r="G1400" s="4"/>
      <c r="K1400" s="4"/>
    </row>
    <row r="1401" spans="7:11" x14ac:dyDescent="0.3">
      <c r="G1401" s="4"/>
      <c r="K1401" s="4"/>
    </row>
    <row r="1402" spans="7:11" x14ac:dyDescent="0.3">
      <c r="G1402" s="4"/>
      <c r="K1402" s="4"/>
    </row>
    <row r="1403" spans="7:11" x14ac:dyDescent="0.3">
      <c r="G1403" s="4"/>
      <c r="K1403" s="4"/>
    </row>
    <row r="1404" spans="7:11" x14ac:dyDescent="0.3">
      <c r="G1404" s="4"/>
      <c r="K1404" s="4"/>
    </row>
    <row r="1405" spans="7:11" x14ac:dyDescent="0.3">
      <c r="G1405" s="4"/>
      <c r="K1405" s="4"/>
    </row>
    <row r="1406" spans="7:11" x14ac:dyDescent="0.3">
      <c r="G1406" s="4"/>
      <c r="K1406" s="4"/>
    </row>
    <row r="1407" spans="7:11" x14ac:dyDescent="0.3">
      <c r="G1407" s="4"/>
      <c r="K1407" s="4"/>
    </row>
    <row r="1408" spans="7:11" x14ac:dyDescent="0.3">
      <c r="G1408" s="4"/>
      <c r="K1408" s="4"/>
    </row>
    <row r="1409" spans="7:11" x14ac:dyDescent="0.3">
      <c r="G1409" s="4"/>
      <c r="K1409" s="4"/>
    </row>
    <row r="1410" spans="7:11" x14ac:dyDescent="0.3">
      <c r="G1410" s="4"/>
      <c r="K1410" s="4"/>
    </row>
    <row r="1411" spans="7:11" x14ac:dyDescent="0.3">
      <c r="G1411" s="4"/>
      <c r="K1411" s="4"/>
    </row>
    <row r="1412" spans="7:11" x14ac:dyDescent="0.3">
      <c r="G1412" s="4"/>
      <c r="K1412" s="4"/>
    </row>
    <row r="1413" spans="7:11" x14ac:dyDescent="0.3">
      <c r="G1413" s="4"/>
      <c r="K1413" s="4"/>
    </row>
    <row r="1414" spans="7:11" x14ac:dyDescent="0.3">
      <c r="G1414" s="4"/>
      <c r="K1414" s="4"/>
    </row>
    <row r="1415" spans="7:11" x14ac:dyDescent="0.3">
      <c r="G1415" s="4"/>
      <c r="K1415" s="4"/>
    </row>
    <row r="1416" spans="7:11" x14ac:dyDescent="0.3">
      <c r="G1416" s="4"/>
      <c r="K1416" s="4"/>
    </row>
    <row r="1417" spans="7:11" x14ac:dyDescent="0.3">
      <c r="G1417" s="4"/>
      <c r="K1417" s="4"/>
    </row>
    <row r="1418" spans="7:11" x14ac:dyDescent="0.3">
      <c r="G1418" s="4"/>
      <c r="K1418" s="4"/>
    </row>
    <row r="1419" spans="7:11" x14ac:dyDescent="0.3">
      <c r="G1419" s="4"/>
      <c r="K1419" s="4"/>
    </row>
    <row r="1420" spans="7:11" x14ac:dyDescent="0.3">
      <c r="G1420" s="4"/>
      <c r="K1420" s="4"/>
    </row>
    <row r="1421" spans="7:11" x14ac:dyDescent="0.3">
      <c r="G1421" s="4"/>
      <c r="K1421" s="4"/>
    </row>
    <row r="1422" spans="7:11" x14ac:dyDescent="0.3">
      <c r="G1422" s="4"/>
      <c r="K1422" s="4"/>
    </row>
    <row r="1423" spans="7:11" x14ac:dyDescent="0.3">
      <c r="G1423" s="4"/>
      <c r="K1423" s="4"/>
    </row>
    <row r="1424" spans="7:11" x14ac:dyDescent="0.3">
      <c r="G1424" s="4"/>
      <c r="K1424" s="4"/>
    </row>
    <row r="1425" spans="7:11" x14ac:dyDescent="0.3">
      <c r="G1425" s="4"/>
      <c r="K1425" s="4"/>
    </row>
    <row r="1426" spans="7:11" x14ac:dyDescent="0.3">
      <c r="G1426" s="4"/>
      <c r="K1426" s="4"/>
    </row>
    <row r="1427" spans="7:11" x14ac:dyDescent="0.3">
      <c r="G1427" s="4"/>
      <c r="K1427" s="4"/>
    </row>
    <row r="1428" spans="7:11" x14ac:dyDescent="0.3">
      <c r="G1428" s="4"/>
      <c r="K1428" s="4"/>
    </row>
    <row r="1429" spans="7:11" x14ac:dyDescent="0.3">
      <c r="G1429" s="4"/>
      <c r="K1429" s="4"/>
    </row>
    <row r="1430" spans="7:11" x14ac:dyDescent="0.3">
      <c r="G1430" s="4"/>
      <c r="K1430" s="4"/>
    </row>
    <row r="1431" spans="7:11" x14ac:dyDescent="0.3">
      <c r="G1431" s="4"/>
      <c r="K1431" s="4"/>
    </row>
    <row r="1432" spans="7:11" x14ac:dyDescent="0.3">
      <c r="G1432" s="4"/>
      <c r="K1432" s="4"/>
    </row>
    <row r="1433" spans="7:11" x14ac:dyDescent="0.3">
      <c r="G1433" s="4"/>
      <c r="K1433" s="4"/>
    </row>
    <row r="1434" spans="7:11" x14ac:dyDescent="0.3">
      <c r="G1434" s="4"/>
      <c r="K1434" s="4"/>
    </row>
    <row r="1435" spans="7:11" x14ac:dyDescent="0.3">
      <c r="G1435" s="4"/>
      <c r="K1435" s="4"/>
    </row>
    <row r="1436" spans="7:11" x14ac:dyDescent="0.3">
      <c r="G1436" s="4"/>
      <c r="K1436" s="4"/>
    </row>
    <row r="1437" spans="7:11" x14ac:dyDescent="0.3">
      <c r="G1437" s="4"/>
      <c r="K1437" s="4"/>
    </row>
    <row r="1438" spans="7:11" x14ac:dyDescent="0.3">
      <c r="G1438" s="4"/>
      <c r="K1438" s="4"/>
    </row>
    <row r="1439" spans="7:11" x14ac:dyDescent="0.3">
      <c r="G1439" s="4"/>
      <c r="K1439" s="4"/>
    </row>
    <row r="1440" spans="7:11" x14ac:dyDescent="0.3">
      <c r="G1440" s="4"/>
      <c r="K1440" s="4"/>
    </row>
    <row r="1441" spans="7:11" x14ac:dyDescent="0.3">
      <c r="G1441" s="4"/>
      <c r="K1441" s="4"/>
    </row>
    <row r="1442" spans="7:11" x14ac:dyDescent="0.3">
      <c r="G1442" s="4"/>
      <c r="K1442" s="4"/>
    </row>
    <row r="1443" spans="7:11" x14ac:dyDescent="0.3">
      <c r="G1443" s="4"/>
      <c r="K1443" s="4"/>
    </row>
    <row r="1444" spans="7:11" x14ac:dyDescent="0.3">
      <c r="G1444" s="4"/>
      <c r="K1444" s="4"/>
    </row>
    <row r="1445" spans="7:11" x14ac:dyDescent="0.3">
      <c r="G1445" s="4"/>
      <c r="K1445" s="4"/>
    </row>
    <row r="1446" spans="7:11" x14ac:dyDescent="0.3">
      <c r="G1446" s="4"/>
      <c r="K1446" s="4"/>
    </row>
    <row r="1447" spans="7:11" x14ac:dyDescent="0.3">
      <c r="G1447" s="4"/>
      <c r="K1447" s="4"/>
    </row>
    <row r="1448" spans="7:11" x14ac:dyDescent="0.3">
      <c r="G1448" s="4"/>
      <c r="K1448" s="4"/>
    </row>
    <row r="1449" spans="7:11" x14ac:dyDescent="0.3">
      <c r="G1449" s="4"/>
      <c r="K1449" s="4"/>
    </row>
    <row r="1450" spans="7:11" x14ac:dyDescent="0.3">
      <c r="G1450" s="4"/>
      <c r="K1450" s="4"/>
    </row>
    <row r="1451" spans="7:11" x14ac:dyDescent="0.3">
      <c r="G1451" s="4"/>
      <c r="K1451" s="4"/>
    </row>
    <row r="1452" spans="7:11" x14ac:dyDescent="0.3">
      <c r="G1452" s="4"/>
      <c r="K1452" s="4"/>
    </row>
    <row r="1453" spans="7:11" x14ac:dyDescent="0.3">
      <c r="G1453" s="4"/>
      <c r="K1453" s="4"/>
    </row>
    <row r="1454" spans="7:11" x14ac:dyDescent="0.3">
      <c r="G1454" s="4"/>
      <c r="K1454" s="4"/>
    </row>
    <row r="1455" spans="7:11" x14ac:dyDescent="0.3">
      <c r="G1455" s="4"/>
      <c r="K1455" s="4"/>
    </row>
    <row r="1456" spans="7:11" x14ac:dyDescent="0.3">
      <c r="G1456" s="4"/>
      <c r="K1456" s="4"/>
    </row>
    <row r="1457" spans="7:11" x14ac:dyDescent="0.3">
      <c r="G1457" s="4"/>
      <c r="K1457" s="4"/>
    </row>
    <row r="1458" spans="7:11" x14ac:dyDescent="0.3">
      <c r="G1458" s="4"/>
      <c r="K1458" s="4"/>
    </row>
    <row r="1459" spans="7:11" x14ac:dyDescent="0.3">
      <c r="G1459" s="4"/>
      <c r="K1459" s="4"/>
    </row>
    <row r="1460" spans="7:11" x14ac:dyDescent="0.3">
      <c r="G1460" s="4"/>
      <c r="K1460" s="4"/>
    </row>
    <row r="1461" spans="7:11" x14ac:dyDescent="0.3">
      <c r="G1461" s="4"/>
      <c r="K1461" s="4"/>
    </row>
    <row r="1462" spans="7:11" x14ac:dyDescent="0.3">
      <c r="G1462" s="4"/>
      <c r="K1462" s="4"/>
    </row>
    <row r="1463" spans="7:11" x14ac:dyDescent="0.3">
      <c r="G1463" s="4"/>
      <c r="K1463" s="4"/>
    </row>
    <row r="1464" spans="7:11" x14ac:dyDescent="0.3">
      <c r="G1464" s="4"/>
      <c r="K1464" s="4"/>
    </row>
    <row r="1465" spans="7:11" x14ac:dyDescent="0.3">
      <c r="G1465" s="4"/>
      <c r="K1465" s="4"/>
    </row>
    <row r="1466" spans="7:11" x14ac:dyDescent="0.3">
      <c r="G1466" s="4"/>
      <c r="K1466" s="4"/>
    </row>
    <row r="1467" spans="7:11" x14ac:dyDescent="0.3">
      <c r="G1467" s="4"/>
      <c r="K1467" s="4"/>
    </row>
    <row r="1468" spans="7:11" x14ac:dyDescent="0.3">
      <c r="G1468" s="4"/>
      <c r="K1468" s="4"/>
    </row>
    <row r="1469" spans="7:11" x14ac:dyDescent="0.3">
      <c r="G1469" s="4"/>
      <c r="K1469" s="4"/>
    </row>
    <row r="1470" spans="7:11" x14ac:dyDescent="0.3">
      <c r="G1470" s="4"/>
      <c r="K1470" s="4"/>
    </row>
    <row r="1471" spans="7:11" x14ac:dyDescent="0.3">
      <c r="G1471" s="4"/>
      <c r="K1471" s="4"/>
    </row>
    <row r="1472" spans="7:11" x14ac:dyDescent="0.3">
      <c r="G1472" s="4"/>
      <c r="K1472" s="4"/>
    </row>
    <row r="1473" spans="7:11" x14ac:dyDescent="0.3">
      <c r="G1473" s="4"/>
      <c r="K1473" s="4"/>
    </row>
    <row r="1474" spans="7:11" x14ac:dyDescent="0.3">
      <c r="G1474" s="4"/>
      <c r="K1474" s="4"/>
    </row>
    <row r="1475" spans="7:11" x14ac:dyDescent="0.3">
      <c r="G1475" s="4"/>
      <c r="K1475" s="4"/>
    </row>
    <row r="1476" spans="7:11" x14ac:dyDescent="0.3">
      <c r="G1476" s="4"/>
      <c r="K1476" s="4"/>
    </row>
    <row r="1477" spans="7:11" x14ac:dyDescent="0.3">
      <c r="G1477" s="4"/>
      <c r="K1477" s="4"/>
    </row>
    <row r="1478" spans="7:11" x14ac:dyDescent="0.3">
      <c r="G1478" s="4"/>
      <c r="K1478" s="4"/>
    </row>
    <row r="1479" spans="7:11" x14ac:dyDescent="0.3">
      <c r="G1479" s="4"/>
      <c r="K1479" s="4"/>
    </row>
    <row r="1480" spans="7:11" x14ac:dyDescent="0.3">
      <c r="G1480" s="4"/>
      <c r="K1480" s="4"/>
    </row>
    <row r="1481" spans="7:11" x14ac:dyDescent="0.3">
      <c r="G1481" s="4"/>
      <c r="K1481" s="4"/>
    </row>
    <row r="1482" spans="7:11" x14ac:dyDescent="0.3">
      <c r="G1482" s="4"/>
      <c r="K1482" s="4"/>
    </row>
    <row r="1483" spans="7:11" x14ac:dyDescent="0.3">
      <c r="G1483" s="4"/>
      <c r="K1483" s="4"/>
    </row>
    <row r="1484" spans="7:11" x14ac:dyDescent="0.3">
      <c r="G1484" s="4"/>
      <c r="K1484" s="4"/>
    </row>
    <row r="1485" spans="7:11" x14ac:dyDescent="0.3">
      <c r="G1485" s="4"/>
      <c r="K1485" s="4"/>
    </row>
    <row r="1486" spans="7:11" x14ac:dyDescent="0.3">
      <c r="G1486" s="4"/>
      <c r="K1486" s="4"/>
    </row>
    <row r="1487" spans="7:11" x14ac:dyDescent="0.3">
      <c r="G1487" s="4"/>
      <c r="K1487" s="4"/>
    </row>
    <row r="1488" spans="7:11" x14ac:dyDescent="0.3">
      <c r="G1488" s="4"/>
      <c r="K1488" s="4"/>
    </row>
    <row r="1489" spans="7:11" x14ac:dyDescent="0.3">
      <c r="G1489" s="4"/>
      <c r="K1489" s="4"/>
    </row>
    <row r="1490" spans="7:11" x14ac:dyDescent="0.3">
      <c r="G1490" s="4"/>
      <c r="K1490" s="4"/>
    </row>
    <row r="1491" spans="7:11" x14ac:dyDescent="0.3">
      <c r="G1491" s="4"/>
      <c r="K1491" s="4"/>
    </row>
    <row r="1492" spans="7:11" x14ac:dyDescent="0.3">
      <c r="G1492" s="4"/>
      <c r="K1492" s="4"/>
    </row>
    <row r="1493" spans="7:11" x14ac:dyDescent="0.3">
      <c r="G1493" s="4"/>
      <c r="K1493" s="4"/>
    </row>
    <row r="1494" spans="7:11" x14ac:dyDescent="0.3">
      <c r="G1494" s="4"/>
      <c r="K1494" s="4"/>
    </row>
    <row r="1495" spans="7:11" x14ac:dyDescent="0.3">
      <c r="G1495" s="4"/>
      <c r="K1495" s="4"/>
    </row>
    <row r="1496" spans="7:11" x14ac:dyDescent="0.3">
      <c r="G1496" s="4"/>
      <c r="K1496" s="4"/>
    </row>
    <row r="1497" spans="7:11" x14ac:dyDescent="0.3">
      <c r="G1497" s="4"/>
      <c r="K1497" s="4"/>
    </row>
    <row r="1498" spans="7:11" x14ac:dyDescent="0.3">
      <c r="G1498" s="4"/>
      <c r="K1498" s="4"/>
    </row>
    <row r="1499" spans="7:11" x14ac:dyDescent="0.3">
      <c r="G1499" s="4"/>
      <c r="K1499" s="4"/>
    </row>
    <row r="1500" spans="7:11" x14ac:dyDescent="0.3">
      <c r="G1500" s="4"/>
      <c r="K1500" s="4"/>
    </row>
    <row r="1501" spans="7:11" x14ac:dyDescent="0.3">
      <c r="G1501" s="4"/>
      <c r="K1501" s="4"/>
    </row>
    <row r="1502" spans="7:11" x14ac:dyDescent="0.3">
      <c r="G1502" s="4"/>
      <c r="K1502" s="4"/>
    </row>
    <row r="1503" spans="7:11" x14ac:dyDescent="0.3">
      <c r="G1503" s="4"/>
      <c r="K1503" s="4"/>
    </row>
    <row r="1504" spans="7:11" x14ac:dyDescent="0.3">
      <c r="G1504" s="4"/>
      <c r="K1504" s="4"/>
    </row>
    <row r="1505" spans="7:11" x14ac:dyDescent="0.3">
      <c r="G1505" s="4"/>
      <c r="K1505" s="4"/>
    </row>
    <row r="1506" spans="7:11" x14ac:dyDescent="0.3">
      <c r="G1506" s="4"/>
      <c r="K1506" s="4"/>
    </row>
    <row r="1507" spans="7:11" x14ac:dyDescent="0.3">
      <c r="G1507" s="4"/>
      <c r="K1507" s="4"/>
    </row>
    <row r="1508" spans="7:11" x14ac:dyDescent="0.3">
      <c r="G1508" s="4"/>
      <c r="K1508" s="4"/>
    </row>
    <row r="1509" spans="7:11" x14ac:dyDescent="0.3">
      <c r="G1509" s="4"/>
      <c r="K1509" s="4"/>
    </row>
    <row r="1510" spans="7:11" x14ac:dyDescent="0.3">
      <c r="G1510" s="4"/>
      <c r="K1510" s="4"/>
    </row>
    <row r="1511" spans="7:11" x14ac:dyDescent="0.3">
      <c r="G1511" s="4"/>
      <c r="K1511" s="4"/>
    </row>
    <row r="1512" spans="7:11" x14ac:dyDescent="0.3">
      <c r="G1512" s="4"/>
      <c r="K1512" s="4"/>
    </row>
    <row r="1513" spans="7:11" x14ac:dyDescent="0.3">
      <c r="G1513" s="4"/>
      <c r="K1513" s="4"/>
    </row>
    <row r="1514" spans="7:11" x14ac:dyDescent="0.3">
      <c r="G1514" s="4"/>
      <c r="K1514" s="4"/>
    </row>
    <row r="1515" spans="7:11" x14ac:dyDescent="0.3">
      <c r="G1515" s="4"/>
      <c r="K1515" s="4"/>
    </row>
    <row r="1516" spans="7:11" x14ac:dyDescent="0.3">
      <c r="G1516" s="4"/>
      <c r="K1516" s="4"/>
    </row>
    <row r="1517" spans="7:11" x14ac:dyDescent="0.3">
      <c r="G1517" s="4"/>
      <c r="K1517" s="4"/>
    </row>
    <row r="1518" spans="7:11" x14ac:dyDescent="0.3">
      <c r="G1518" s="4"/>
      <c r="K1518" s="4"/>
    </row>
    <row r="1519" spans="7:11" x14ac:dyDescent="0.3">
      <c r="G1519" s="4"/>
      <c r="K1519" s="4"/>
    </row>
    <row r="1520" spans="7:11" x14ac:dyDescent="0.3">
      <c r="G1520" s="4"/>
      <c r="K1520" s="4"/>
    </row>
    <row r="1521" spans="7:11" x14ac:dyDescent="0.3">
      <c r="G1521" s="4"/>
      <c r="K1521" s="4"/>
    </row>
    <row r="1522" spans="7:11" x14ac:dyDescent="0.3">
      <c r="G1522" s="4"/>
      <c r="K1522" s="4"/>
    </row>
    <row r="1523" spans="7:11" x14ac:dyDescent="0.3">
      <c r="G1523" s="4"/>
      <c r="K1523" s="4"/>
    </row>
    <row r="1524" spans="7:11" x14ac:dyDescent="0.3">
      <c r="G1524" s="4"/>
      <c r="K1524" s="4"/>
    </row>
    <row r="1525" spans="7:11" x14ac:dyDescent="0.3">
      <c r="G1525" s="4"/>
      <c r="K1525" s="4"/>
    </row>
    <row r="1526" spans="7:11" x14ac:dyDescent="0.3">
      <c r="G1526" s="4"/>
      <c r="K1526" s="4"/>
    </row>
    <row r="1527" spans="7:11" x14ac:dyDescent="0.3">
      <c r="G1527" s="4"/>
      <c r="K1527" s="4"/>
    </row>
    <row r="1528" spans="7:11" x14ac:dyDescent="0.3">
      <c r="G1528" s="4"/>
      <c r="K1528" s="4"/>
    </row>
    <row r="1529" spans="7:11" x14ac:dyDescent="0.3">
      <c r="G1529" s="4"/>
      <c r="K1529" s="4"/>
    </row>
    <row r="1530" spans="7:11" x14ac:dyDescent="0.3">
      <c r="G1530" s="4"/>
      <c r="K1530" s="4"/>
    </row>
    <row r="1531" spans="7:11" x14ac:dyDescent="0.3">
      <c r="G1531" s="4"/>
      <c r="K1531" s="4"/>
    </row>
    <row r="1532" spans="7:11" x14ac:dyDescent="0.3">
      <c r="G1532" s="4"/>
      <c r="K1532" s="4"/>
    </row>
    <row r="1533" spans="7:11" x14ac:dyDescent="0.3">
      <c r="G1533" s="4"/>
      <c r="K1533" s="4"/>
    </row>
    <row r="1534" spans="7:11" x14ac:dyDescent="0.3">
      <c r="G1534" s="4"/>
      <c r="K1534" s="4"/>
    </row>
    <row r="1535" spans="7:11" x14ac:dyDescent="0.3">
      <c r="G1535" s="4"/>
      <c r="K1535" s="4"/>
    </row>
    <row r="1536" spans="7:11" x14ac:dyDescent="0.3">
      <c r="G1536" s="4"/>
      <c r="K1536" s="4"/>
    </row>
    <row r="1537" spans="7:11" x14ac:dyDescent="0.3">
      <c r="G1537" s="4"/>
      <c r="K1537" s="4"/>
    </row>
    <row r="1538" spans="7:11" x14ac:dyDescent="0.3">
      <c r="G1538" s="4"/>
      <c r="K1538" s="4"/>
    </row>
    <row r="1539" spans="7:11" x14ac:dyDescent="0.3">
      <c r="G1539" s="4"/>
      <c r="K1539" s="4"/>
    </row>
    <row r="1540" spans="7:11" x14ac:dyDescent="0.3">
      <c r="G1540" s="4"/>
      <c r="K1540" s="4"/>
    </row>
    <row r="1541" spans="7:11" x14ac:dyDescent="0.3">
      <c r="G1541" s="4"/>
      <c r="K1541" s="4"/>
    </row>
    <row r="1542" spans="7:11" x14ac:dyDescent="0.3">
      <c r="G1542" s="4"/>
      <c r="K1542" s="4"/>
    </row>
    <row r="1543" spans="7:11" x14ac:dyDescent="0.3">
      <c r="G1543" s="4"/>
      <c r="K1543" s="4"/>
    </row>
    <row r="1544" spans="7:11" x14ac:dyDescent="0.3">
      <c r="G1544" s="4"/>
      <c r="K1544" s="4"/>
    </row>
    <row r="1545" spans="7:11" x14ac:dyDescent="0.3">
      <c r="G1545" s="4"/>
      <c r="K1545" s="4"/>
    </row>
    <row r="1546" spans="7:11" x14ac:dyDescent="0.3">
      <c r="G1546" s="4"/>
      <c r="K1546" s="4"/>
    </row>
    <row r="1547" spans="7:11" x14ac:dyDescent="0.3">
      <c r="G1547" s="4"/>
      <c r="K1547" s="4"/>
    </row>
    <row r="1548" spans="7:11" x14ac:dyDescent="0.3">
      <c r="G1548" s="4"/>
      <c r="K1548" s="4"/>
    </row>
    <row r="1549" spans="7:11" x14ac:dyDescent="0.3">
      <c r="G1549" s="4"/>
      <c r="K1549" s="4"/>
    </row>
    <row r="1550" spans="7:11" x14ac:dyDescent="0.3">
      <c r="G1550" s="4"/>
      <c r="K1550" s="4"/>
    </row>
    <row r="1551" spans="7:11" x14ac:dyDescent="0.3">
      <c r="G1551" s="4"/>
      <c r="K1551" s="4"/>
    </row>
    <row r="1552" spans="7:11" x14ac:dyDescent="0.3">
      <c r="G1552" s="4"/>
      <c r="K1552" s="4"/>
    </row>
    <row r="1553" spans="7:11" x14ac:dyDescent="0.3">
      <c r="G1553" s="4"/>
      <c r="K1553" s="4"/>
    </row>
    <row r="1554" spans="7:11" x14ac:dyDescent="0.3">
      <c r="G1554" s="4"/>
      <c r="K1554" s="4"/>
    </row>
    <row r="1555" spans="7:11" x14ac:dyDescent="0.3">
      <c r="G1555" s="4"/>
      <c r="K1555" s="4"/>
    </row>
    <row r="1556" spans="7:11" x14ac:dyDescent="0.3">
      <c r="G1556" s="4"/>
      <c r="K1556" s="4"/>
    </row>
    <row r="1557" spans="7:11" x14ac:dyDescent="0.3">
      <c r="G1557" s="4"/>
      <c r="K1557" s="4"/>
    </row>
    <row r="1558" spans="7:11" x14ac:dyDescent="0.3">
      <c r="G1558" s="4"/>
      <c r="K1558" s="4"/>
    </row>
    <row r="1559" spans="7:11" x14ac:dyDescent="0.3">
      <c r="G1559" s="4"/>
      <c r="K1559" s="4"/>
    </row>
    <row r="1560" spans="7:11" x14ac:dyDescent="0.3">
      <c r="G1560" s="4"/>
      <c r="K1560" s="4"/>
    </row>
    <row r="1561" spans="7:11" x14ac:dyDescent="0.3">
      <c r="G1561" s="4"/>
      <c r="K1561" s="4"/>
    </row>
    <row r="1562" spans="7:11" x14ac:dyDescent="0.3">
      <c r="G1562" s="4"/>
      <c r="K1562" s="4"/>
    </row>
    <row r="1563" spans="7:11" x14ac:dyDescent="0.3">
      <c r="G1563" s="4"/>
      <c r="K1563" s="4"/>
    </row>
    <row r="1564" spans="7:11" x14ac:dyDescent="0.3">
      <c r="G1564" s="4"/>
      <c r="K1564" s="4"/>
    </row>
    <row r="1565" spans="7:11" x14ac:dyDescent="0.3">
      <c r="G1565" s="4"/>
      <c r="K1565" s="4"/>
    </row>
    <row r="1566" spans="7:11" x14ac:dyDescent="0.3">
      <c r="G1566" s="4"/>
      <c r="K1566" s="4"/>
    </row>
    <row r="1567" spans="7:11" x14ac:dyDescent="0.3">
      <c r="G1567" s="4"/>
      <c r="K1567" s="4"/>
    </row>
    <row r="1568" spans="7:11" x14ac:dyDescent="0.3">
      <c r="G1568" s="4"/>
      <c r="K1568" s="4"/>
    </row>
    <row r="1569" spans="7:11" x14ac:dyDescent="0.3">
      <c r="G1569" s="4"/>
      <c r="K1569" s="4"/>
    </row>
    <row r="1570" spans="7:11" x14ac:dyDescent="0.3">
      <c r="G1570" s="4"/>
      <c r="K1570" s="4"/>
    </row>
    <row r="1571" spans="7:11" x14ac:dyDescent="0.3">
      <c r="G1571" s="4"/>
      <c r="K1571" s="4"/>
    </row>
    <row r="1572" spans="7:11" x14ac:dyDescent="0.3">
      <c r="G1572" s="4"/>
      <c r="K1572" s="4"/>
    </row>
    <row r="1573" spans="7:11" x14ac:dyDescent="0.3">
      <c r="G1573" s="4"/>
      <c r="K1573" s="4"/>
    </row>
    <row r="1574" spans="7:11" x14ac:dyDescent="0.3">
      <c r="G1574" s="4"/>
      <c r="K1574" s="4"/>
    </row>
    <row r="1575" spans="7:11" x14ac:dyDescent="0.3">
      <c r="G1575" s="4"/>
      <c r="K1575" s="4"/>
    </row>
    <row r="1576" spans="7:11" x14ac:dyDescent="0.3">
      <c r="G1576" s="4"/>
      <c r="K1576" s="4"/>
    </row>
    <row r="1577" spans="7:11" x14ac:dyDescent="0.3">
      <c r="G1577" s="4"/>
      <c r="K1577" s="4"/>
    </row>
    <row r="1578" spans="7:11" x14ac:dyDescent="0.3">
      <c r="G1578" s="4"/>
      <c r="K1578" s="4"/>
    </row>
    <row r="1579" spans="7:11" x14ac:dyDescent="0.3">
      <c r="G1579" s="4"/>
      <c r="K1579" s="4"/>
    </row>
    <row r="1580" spans="7:11" x14ac:dyDescent="0.3">
      <c r="G1580" s="4"/>
      <c r="K1580" s="4"/>
    </row>
    <row r="1581" spans="7:11" x14ac:dyDescent="0.3">
      <c r="G1581" s="4"/>
      <c r="K1581" s="4"/>
    </row>
    <row r="1582" spans="7:11" x14ac:dyDescent="0.3">
      <c r="G1582" s="4"/>
      <c r="K1582" s="4"/>
    </row>
    <row r="1583" spans="7:11" x14ac:dyDescent="0.3">
      <c r="G1583" s="4"/>
      <c r="K1583" s="4"/>
    </row>
    <row r="1584" spans="7:11" x14ac:dyDescent="0.3">
      <c r="G1584" s="4"/>
      <c r="K1584" s="4"/>
    </row>
    <row r="1585" spans="7:11" x14ac:dyDescent="0.3">
      <c r="G1585" s="4"/>
      <c r="K1585" s="4"/>
    </row>
    <row r="1586" spans="7:11" x14ac:dyDescent="0.3">
      <c r="G1586" s="4"/>
      <c r="K1586" s="4"/>
    </row>
    <row r="1587" spans="7:11" x14ac:dyDescent="0.3">
      <c r="G1587" s="4"/>
      <c r="K1587" s="4"/>
    </row>
    <row r="1588" spans="7:11" x14ac:dyDescent="0.3">
      <c r="G1588" s="4"/>
      <c r="K1588" s="4"/>
    </row>
    <row r="1589" spans="7:11" x14ac:dyDescent="0.3">
      <c r="G1589" s="4"/>
      <c r="K1589" s="4"/>
    </row>
    <row r="1590" spans="7:11" x14ac:dyDescent="0.3">
      <c r="G1590" s="4"/>
      <c r="K1590" s="4"/>
    </row>
    <row r="1591" spans="7:11" x14ac:dyDescent="0.3">
      <c r="G1591" s="4"/>
      <c r="K1591" s="4"/>
    </row>
    <row r="1592" spans="7:11" x14ac:dyDescent="0.3">
      <c r="G1592" s="4"/>
      <c r="K1592" s="4"/>
    </row>
    <row r="1593" spans="7:11" x14ac:dyDescent="0.3">
      <c r="G1593" s="4"/>
      <c r="K1593" s="4"/>
    </row>
    <row r="1594" spans="7:11" x14ac:dyDescent="0.3">
      <c r="G1594" s="4"/>
      <c r="K1594" s="4"/>
    </row>
    <row r="1595" spans="7:11" x14ac:dyDescent="0.3">
      <c r="G1595" s="4"/>
      <c r="K1595" s="4"/>
    </row>
    <row r="1596" spans="7:11" x14ac:dyDescent="0.3">
      <c r="G1596" s="4"/>
      <c r="K1596" s="4"/>
    </row>
    <row r="1597" spans="7:11" x14ac:dyDescent="0.3">
      <c r="G1597" s="4"/>
      <c r="K1597" s="4"/>
    </row>
    <row r="1598" spans="7:11" x14ac:dyDescent="0.3">
      <c r="G1598" s="4"/>
      <c r="K1598" s="4"/>
    </row>
    <row r="1599" spans="7:11" x14ac:dyDescent="0.3">
      <c r="G1599" s="4"/>
      <c r="K1599" s="4"/>
    </row>
    <row r="1600" spans="7:11" x14ac:dyDescent="0.3">
      <c r="G1600" s="4"/>
      <c r="K1600" s="4"/>
    </row>
    <row r="1601" spans="7:11" x14ac:dyDescent="0.3">
      <c r="G1601" s="4"/>
      <c r="K1601" s="4"/>
    </row>
    <row r="1602" spans="7:11" x14ac:dyDescent="0.3">
      <c r="G1602" s="4"/>
      <c r="K1602" s="4"/>
    </row>
    <row r="1603" spans="7:11" x14ac:dyDescent="0.3">
      <c r="G1603" s="4"/>
      <c r="K1603" s="4"/>
    </row>
    <row r="1604" spans="7:11" x14ac:dyDescent="0.3">
      <c r="G1604" s="4"/>
      <c r="K1604" s="4"/>
    </row>
    <row r="1605" spans="7:11" x14ac:dyDescent="0.3">
      <c r="G1605" s="4"/>
      <c r="K1605" s="4"/>
    </row>
    <row r="1606" spans="7:11" x14ac:dyDescent="0.3">
      <c r="G1606" s="4"/>
      <c r="K1606" s="4"/>
    </row>
    <row r="1607" spans="7:11" x14ac:dyDescent="0.3">
      <c r="G1607" s="4"/>
      <c r="K1607" s="4"/>
    </row>
    <row r="1608" spans="7:11" x14ac:dyDescent="0.3">
      <c r="G1608" s="4"/>
      <c r="K1608" s="4"/>
    </row>
    <row r="1609" spans="7:11" x14ac:dyDescent="0.3">
      <c r="G1609" s="4"/>
      <c r="K1609" s="4"/>
    </row>
    <row r="1610" spans="7:11" x14ac:dyDescent="0.3">
      <c r="G1610" s="4"/>
      <c r="K1610" s="4"/>
    </row>
    <row r="1611" spans="7:11" x14ac:dyDescent="0.3">
      <c r="G1611" s="4"/>
      <c r="K1611" s="4"/>
    </row>
    <row r="1612" spans="7:11" x14ac:dyDescent="0.3">
      <c r="G1612" s="4"/>
      <c r="K1612" s="4"/>
    </row>
    <row r="1613" spans="7:11" x14ac:dyDescent="0.3">
      <c r="G1613" s="4"/>
      <c r="K1613" s="4"/>
    </row>
    <row r="1614" spans="7:11" x14ac:dyDescent="0.3">
      <c r="G1614" s="4"/>
      <c r="K1614" s="4"/>
    </row>
    <row r="1615" spans="7:11" x14ac:dyDescent="0.3">
      <c r="G1615" s="4"/>
      <c r="K1615" s="4"/>
    </row>
    <row r="1616" spans="7:11" x14ac:dyDescent="0.3">
      <c r="G1616" s="4"/>
      <c r="K1616" s="4"/>
    </row>
    <row r="1617" spans="7:11" x14ac:dyDescent="0.3">
      <c r="G1617" s="4"/>
      <c r="K1617" s="4"/>
    </row>
    <row r="1618" spans="7:11" x14ac:dyDescent="0.3">
      <c r="G1618" s="4"/>
      <c r="K1618" s="4"/>
    </row>
    <row r="1619" spans="7:11" x14ac:dyDescent="0.3">
      <c r="G1619" s="4"/>
      <c r="K1619" s="4"/>
    </row>
    <row r="1620" spans="7:11" x14ac:dyDescent="0.3">
      <c r="G1620" s="4"/>
      <c r="K1620" s="4"/>
    </row>
    <row r="1621" spans="7:11" x14ac:dyDescent="0.3">
      <c r="G1621" s="4"/>
      <c r="K1621" s="4"/>
    </row>
    <row r="1622" spans="7:11" x14ac:dyDescent="0.3">
      <c r="G1622" s="4"/>
      <c r="K1622" s="4"/>
    </row>
    <row r="1623" spans="7:11" x14ac:dyDescent="0.3">
      <c r="G1623" s="4"/>
      <c r="K1623" s="4"/>
    </row>
    <row r="1624" spans="7:11" x14ac:dyDescent="0.3">
      <c r="G1624" s="4"/>
      <c r="K1624" s="4"/>
    </row>
    <row r="1625" spans="7:11" x14ac:dyDescent="0.3">
      <c r="G1625" s="4"/>
      <c r="K1625" s="4"/>
    </row>
    <row r="1626" spans="7:11" x14ac:dyDescent="0.3">
      <c r="G1626" s="4"/>
      <c r="K1626" s="4"/>
    </row>
    <row r="1627" spans="7:11" x14ac:dyDescent="0.3">
      <c r="G1627" s="4"/>
      <c r="K1627" s="4"/>
    </row>
    <row r="1628" spans="7:11" x14ac:dyDescent="0.3">
      <c r="G1628" s="4"/>
      <c r="K1628" s="4"/>
    </row>
    <row r="1629" spans="7:11" x14ac:dyDescent="0.3">
      <c r="G1629" s="4"/>
      <c r="K1629" s="4"/>
    </row>
    <row r="1630" spans="7:11" x14ac:dyDescent="0.3">
      <c r="G1630" s="4"/>
      <c r="K1630" s="4"/>
    </row>
    <row r="1631" spans="7:11" x14ac:dyDescent="0.3">
      <c r="G1631" s="4"/>
      <c r="K1631" s="4"/>
    </row>
    <row r="1632" spans="7:11" x14ac:dyDescent="0.3">
      <c r="G1632" s="4"/>
      <c r="K1632" s="4"/>
    </row>
    <row r="1633" spans="7:11" x14ac:dyDescent="0.3">
      <c r="G1633" s="4"/>
      <c r="K1633" s="4"/>
    </row>
    <row r="1634" spans="7:11" x14ac:dyDescent="0.3">
      <c r="G1634" s="4"/>
      <c r="K1634" s="4"/>
    </row>
    <row r="1635" spans="7:11" x14ac:dyDescent="0.3">
      <c r="G1635" s="4"/>
      <c r="K1635" s="4"/>
    </row>
    <row r="1636" spans="7:11" x14ac:dyDescent="0.3">
      <c r="G1636" s="4"/>
      <c r="K1636" s="4"/>
    </row>
    <row r="1637" spans="7:11" x14ac:dyDescent="0.3">
      <c r="G1637" s="4"/>
      <c r="K1637" s="4"/>
    </row>
    <row r="1638" spans="7:11" x14ac:dyDescent="0.3">
      <c r="G1638" s="4"/>
      <c r="K1638" s="4"/>
    </row>
    <row r="1639" spans="7:11" x14ac:dyDescent="0.3">
      <c r="G1639" s="4"/>
      <c r="K1639" s="4"/>
    </row>
    <row r="1640" spans="7:11" x14ac:dyDescent="0.3">
      <c r="G1640" s="4"/>
      <c r="K1640" s="4"/>
    </row>
    <row r="1641" spans="7:11" x14ac:dyDescent="0.3">
      <c r="G1641" s="4"/>
      <c r="K1641" s="4"/>
    </row>
    <row r="1642" spans="7:11" x14ac:dyDescent="0.3">
      <c r="G1642" s="4"/>
      <c r="K1642" s="4"/>
    </row>
    <row r="1643" spans="7:11" x14ac:dyDescent="0.3">
      <c r="G1643" s="4"/>
      <c r="K1643" s="4"/>
    </row>
    <row r="1644" spans="7:11" x14ac:dyDescent="0.3">
      <c r="G1644" s="4"/>
      <c r="K1644" s="4"/>
    </row>
    <row r="1645" spans="7:11" x14ac:dyDescent="0.3">
      <c r="G1645" s="4"/>
      <c r="K1645" s="4"/>
    </row>
    <row r="1646" spans="7:11" x14ac:dyDescent="0.3">
      <c r="G1646" s="4"/>
      <c r="K1646" s="4"/>
    </row>
    <row r="1647" spans="7:11" x14ac:dyDescent="0.3">
      <c r="G1647" s="4"/>
      <c r="K1647" s="4"/>
    </row>
    <row r="1648" spans="7:11" x14ac:dyDescent="0.3">
      <c r="G1648" s="4"/>
      <c r="K1648" s="4"/>
    </row>
    <row r="1649" spans="7:11" x14ac:dyDescent="0.3">
      <c r="G1649" s="4"/>
      <c r="K1649" s="4"/>
    </row>
    <row r="1650" spans="7:11" x14ac:dyDescent="0.3">
      <c r="G1650" s="4"/>
      <c r="K1650" s="4"/>
    </row>
    <row r="1651" spans="7:11" x14ac:dyDescent="0.3">
      <c r="G1651" s="4"/>
      <c r="K1651" s="4"/>
    </row>
    <row r="1652" spans="7:11" x14ac:dyDescent="0.3">
      <c r="G1652" s="4"/>
      <c r="K1652" s="4"/>
    </row>
    <row r="1653" spans="7:11" x14ac:dyDescent="0.3">
      <c r="G1653" s="4"/>
      <c r="K1653" s="4"/>
    </row>
    <row r="1654" spans="7:11" x14ac:dyDescent="0.3">
      <c r="G1654" s="4"/>
      <c r="K1654" s="4"/>
    </row>
    <row r="1655" spans="7:11" x14ac:dyDescent="0.3">
      <c r="G1655" s="4"/>
      <c r="K1655" s="4"/>
    </row>
    <row r="1656" spans="7:11" x14ac:dyDescent="0.3">
      <c r="G1656" s="4"/>
      <c r="K1656" s="4"/>
    </row>
    <row r="1657" spans="7:11" x14ac:dyDescent="0.3">
      <c r="G1657" s="4"/>
      <c r="K1657" s="4"/>
    </row>
    <row r="1658" spans="7:11" x14ac:dyDescent="0.3">
      <c r="G1658" s="4"/>
      <c r="K1658" s="4"/>
    </row>
    <row r="1659" spans="7:11" x14ac:dyDescent="0.3">
      <c r="G1659" s="4"/>
      <c r="K1659" s="4"/>
    </row>
    <row r="1660" spans="7:11" x14ac:dyDescent="0.3">
      <c r="G1660" s="4"/>
      <c r="K1660" s="4"/>
    </row>
    <row r="1661" spans="7:11" x14ac:dyDescent="0.3">
      <c r="G1661" s="4"/>
      <c r="K1661" s="4"/>
    </row>
    <row r="1662" spans="7:11" x14ac:dyDescent="0.3">
      <c r="G1662" s="4"/>
      <c r="K1662" s="4"/>
    </row>
    <row r="1663" spans="7:11" x14ac:dyDescent="0.3">
      <c r="G1663" s="4"/>
      <c r="K1663" s="4"/>
    </row>
    <row r="1664" spans="7:11" x14ac:dyDescent="0.3">
      <c r="G1664" s="4"/>
      <c r="K1664" s="4"/>
    </row>
    <row r="1665" spans="7:11" x14ac:dyDescent="0.3">
      <c r="G1665" s="4"/>
      <c r="K1665" s="4"/>
    </row>
    <row r="1666" spans="7:11" x14ac:dyDescent="0.3">
      <c r="G1666" s="4"/>
      <c r="K1666" s="4"/>
    </row>
    <row r="1667" spans="7:11" x14ac:dyDescent="0.3">
      <c r="G1667" s="4"/>
      <c r="K1667" s="4"/>
    </row>
    <row r="1668" spans="7:11" x14ac:dyDescent="0.3">
      <c r="G1668" s="4"/>
      <c r="K1668" s="4"/>
    </row>
    <row r="1669" spans="7:11" x14ac:dyDescent="0.3">
      <c r="G1669" s="4"/>
      <c r="K1669" s="4"/>
    </row>
    <row r="1670" spans="7:11" x14ac:dyDescent="0.3">
      <c r="G1670" s="4"/>
      <c r="K1670" s="4"/>
    </row>
    <row r="1671" spans="7:11" x14ac:dyDescent="0.3">
      <c r="G1671" s="4"/>
      <c r="K1671" s="4"/>
    </row>
    <row r="1672" spans="7:11" x14ac:dyDescent="0.3">
      <c r="G1672" s="4"/>
      <c r="K1672" s="4"/>
    </row>
    <row r="1673" spans="7:11" x14ac:dyDescent="0.3">
      <c r="G1673" s="4"/>
      <c r="K1673" s="4"/>
    </row>
    <row r="1674" spans="7:11" x14ac:dyDescent="0.3">
      <c r="G1674" s="4"/>
      <c r="K1674" s="4"/>
    </row>
    <row r="1675" spans="7:11" x14ac:dyDescent="0.3">
      <c r="G1675" s="4"/>
      <c r="K1675" s="4"/>
    </row>
    <row r="1676" spans="7:11" x14ac:dyDescent="0.3">
      <c r="G1676" s="4"/>
      <c r="K1676" s="4"/>
    </row>
    <row r="1677" spans="7:11" x14ac:dyDescent="0.3">
      <c r="G1677" s="4"/>
      <c r="K1677" s="4"/>
    </row>
    <row r="1678" spans="7:11" x14ac:dyDescent="0.3">
      <c r="G1678" s="4"/>
      <c r="K1678" s="4"/>
    </row>
    <row r="1679" spans="7:11" x14ac:dyDescent="0.3">
      <c r="G1679" s="4"/>
      <c r="K1679" s="4"/>
    </row>
    <row r="1680" spans="7:11" x14ac:dyDescent="0.3">
      <c r="G1680" s="4"/>
      <c r="K1680" s="4"/>
    </row>
    <row r="1681" spans="7:11" x14ac:dyDescent="0.3">
      <c r="G1681" s="4"/>
      <c r="K1681" s="4"/>
    </row>
    <row r="1682" spans="7:11" x14ac:dyDescent="0.3">
      <c r="G1682" s="4"/>
      <c r="K1682" s="4"/>
    </row>
    <row r="1683" spans="7:11" x14ac:dyDescent="0.3">
      <c r="G1683" s="4"/>
      <c r="K1683" s="4"/>
    </row>
    <row r="1684" spans="7:11" x14ac:dyDescent="0.3">
      <c r="G1684" s="4"/>
      <c r="K1684" s="4"/>
    </row>
    <row r="1685" spans="7:11" x14ac:dyDescent="0.3">
      <c r="G1685" s="4"/>
      <c r="K1685" s="4"/>
    </row>
    <row r="1686" spans="7:11" x14ac:dyDescent="0.3">
      <c r="G1686" s="4"/>
      <c r="K1686" s="4"/>
    </row>
    <row r="1687" spans="7:11" x14ac:dyDescent="0.3">
      <c r="G1687" s="4"/>
      <c r="K1687" s="4"/>
    </row>
    <row r="1688" spans="7:11" x14ac:dyDescent="0.3">
      <c r="G1688" s="4"/>
      <c r="K1688" s="4"/>
    </row>
    <row r="1689" spans="7:11" x14ac:dyDescent="0.3">
      <c r="G1689" s="4"/>
      <c r="K1689" s="4"/>
    </row>
    <row r="1690" spans="7:11" x14ac:dyDescent="0.3">
      <c r="G1690" s="4"/>
      <c r="K1690" s="4"/>
    </row>
    <row r="1691" spans="7:11" x14ac:dyDescent="0.3">
      <c r="G1691" s="4"/>
      <c r="K1691" s="4"/>
    </row>
    <row r="1692" spans="7:11" x14ac:dyDescent="0.3">
      <c r="G1692" s="4"/>
      <c r="K1692" s="4"/>
    </row>
    <row r="1693" spans="7:11" x14ac:dyDescent="0.3">
      <c r="G1693" s="4"/>
      <c r="K1693" s="4"/>
    </row>
    <row r="1694" spans="7:11" x14ac:dyDescent="0.3">
      <c r="G1694" s="4"/>
      <c r="K1694" s="4"/>
    </row>
    <row r="1695" spans="7:11" x14ac:dyDescent="0.3">
      <c r="G1695" s="4"/>
      <c r="K1695" s="4"/>
    </row>
    <row r="1696" spans="7:11" x14ac:dyDescent="0.3">
      <c r="G1696" s="4"/>
      <c r="K1696" s="4"/>
    </row>
    <row r="1697" spans="7:11" x14ac:dyDescent="0.3">
      <c r="G1697" s="4"/>
      <c r="K1697" s="4"/>
    </row>
    <row r="1698" spans="7:11" x14ac:dyDescent="0.3">
      <c r="G1698" s="4"/>
      <c r="K1698" s="4"/>
    </row>
    <row r="1699" spans="7:11" x14ac:dyDescent="0.3">
      <c r="G1699" s="4"/>
      <c r="K1699" s="4"/>
    </row>
    <row r="1700" spans="7:11" x14ac:dyDescent="0.3">
      <c r="G1700" s="4"/>
      <c r="K1700" s="4"/>
    </row>
    <row r="1701" spans="7:11" x14ac:dyDescent="0.3">
      <c r="G1701" s="4"/>
      <c r="K1701" s="4"/>
    </row>
    <row r="1702" spans="7:11" x14ac:dyDescent="0.3">
      <c r="G1702" s="4"/>
      <c r="K1702" s="4"/>
    </row>
    <row r="1703" spans="7:11" x14ac:dyDescent="0.3">
      <c r="G1703" s="4"/>
      <c r="K1703" s="4"/>
    </row>
    <row r="1704" spans="7:11" x14ac:dyDescent="0.3">
      <c r="G1704" s="4"/>
      <c r="K1704" s="4"/>
    </row>
    <row r="1705" spans="7:11" x14ac:dyDescent="0.3">
      <c r="G1705" s="4"/>
      <c r="K1705" s="4"/>
    </row>
    <row r="1706" spans="7:11" x14ac:dyDescent="0.3">
      <c r="G1706" s="4"/>
      <c r="K1706" s="4"/>
    </row>
    <row r="1707" spans="7:11" x14ac:dyDescent="0.3">
      <c r="G1707" s="4"/>
      <c r="K1707" s="4"/>
    </row>
    <row r="1708" spans="7:11" x14ac:dyDescent="0.3">
      <c r="G1708" s="4"/>
      <c r="K1708" s="4"/>
    </row>
    <row r="1709" spans="7:11" x14ac:dyDescent="0.3">
      <c r="G1709" s="4"/>
      <c r="K1709" s="4"/>
    </row>
    <row r="1710" spans="7:11" x14ac:dyDescent="0.3">
      <c r="G1710" s="4"/>
      <c r="K1710" s="4"/>
    </row>
    <row r="1711" spans="7:11" x14ac:dyDescent="0.3">
      <c r="G1711" s="4"/>
      <c r="K1711" s="4"/>
    </row>
    <row r="1712" spans="7:11" x14ac:dyDescent="0.3">
      <c r="G1712" s="4"/>
      <c r="K1712" s="4"/>
    </row>
    <row r="1713" spans="7:11" x14ac:dyDescent="0.3">
      <c r="G1713" s="4"/>
      <c r="K1713" s="4"/>
    </row>
    <row r="1714" spans="7:11" x14ac:dyDescent="0.3">
      <c r="G1714" s="4"/>
      <c r="K1714" s="4"/>
    </row>
    <row r="1715" spans="7:11" x14ac:dyDescent="0.3">
      <c r="G1715" s="4"/>
      <c r="K1715" s="4"/>
    </row>
    <row r="1716" spans="7:11" x14ac:dyDescent="0.3">
      <c r="G1716" s="4"/>
      <c r="K1716" s="4"/>
    </row>
    <row r="1717" spans="7:11" x14ac:dyDescent="0.3">
      <c r="G1717" s="4"/>
      <c r="K1717" s="4"/>
    </row>
    <row r="1718" spans="7:11" x14ac:dyDescent="0.3">
      <c r="G1718" s="4"/>
      <c r="K1718" s="4"/>
    </row>
    <row r="1719" spans="7:11" x14ac:dyDescent="0.3">
      <c r="G1719" s="4"/>
      <c r="K1719" s="4"/>
    </row>
    <row r="1720" spans="7:11" x14ac:dyDescent="0.3">
      <c r="G1720" s="4"/>
      <c r="K1720" s="4"/>
    </row>
    <row r="1721" spans="7:11" x14ac:dyDescent="0.3">
      <c r="G1721" s="4"/>
      <c r="K1721" s="4"/>
    </row>
    <row r="1722" spans="7:11" x14ac:dyDescent="0.3">
      <c r="G1722" s="4"/>
      <c r="K1722" s="4"/>
    </row>
    <row r="1723" spans="7:11" x14ac:dyDescent="0.3">
      <c r="G1723" s="4"/>
      <c r="K1723" s="4"/>
    </row>
    <row r="1724" spans="7:11" x14ac:dyDescent="0.3">
      <c r="G1724" s="4"/>
      <c r="K1724" s="4"/>
    </row>
    <row r="1725" spans="7:11" x14ac:dyDescent="0.3">
      <c r="G1725" s="4"/>
      <c r="K1725" s="4"/>
    </row>
    <row r="1726" spans="7:11" x14ac:dyDescent="0.3">
      <c r="G1726" s="4"/>
      <c r="K1726" s="4"/>
    </row>
    <row r="1727" spans="7:11" x14ac:dyDescent="0.3">
      <c r="G1727" s="4"/>
      <c r="K1727" s="4"/>
    </row>
    <row r="1728" spans="7:11" x14ac:dyDescent="0.3">
      <c r="G1728" s="4"/>
      <c r="K1728" s="4"/>
    </row>
    <row r="1729" spans="7:11" x14ac:dyDescent="0.3">
      <c r="G1729" s="4"/>
      <c r="K1729" s="4"/>
    </row>
    <row r="1730" spans="7:11" x14ac:dyDescent="0.3">
      <c r="G1730" s="4"/>
      <c r="K1730" s="4"/>
    </row>
    <row r="1731" spans="7:11" x14ac:dyDescent="0.3">
      <c r="G1731" s="4"/>
      <c r="K1731" s="4"/>
    </row>
    <row r="1732" spans="7:11" x14ac:dyDescent="0.3">
      <c r="G1732" s="4"/>
      <c r="K1732" s="4"/>
    </row>
    <row r="1733" spans="7:11" x14ac:dyDescent="0.3">
      <c r="G1733" s="4"/>
      <c r="K1733" s="4"/>
    </row>
    <row r="1734" spans="7:11" x14ac:dyDescent="0.3">
      <c r="G1734" s="4"/>
      <c r="K1734" s="4"/>
    </row>
    <row r="1735" spans="7:11" x14ac:dyDescent="0.3">
      <c r="G1735" s="4"/>
      <c r="K1735" s="4"/>
    </row>
    <row r="1736" spans="7:11" x14ac:dyDescent="0.3">
      <c r="G1736" s="4"/>
      <c r="K1736" s="4"/>
    </row>
    <row r="1737" spans="7:11" x14ac:dyDescent="0.3">
      <c r="G1737" s="4"/>
      <c r="K1737" s="4"/>
    </row>
    <row r="1738" spans="7:11" x14ac:dyDescent="0.3">
      <c r="G1738" s="4"/>
      <c r="K1738" s="4"/>
    </row>
    <row r="1739" spans="7:11" x14ac:dyDescent="0.3">
      <c r="G1739" s="4"/>
      <c r="K1739" s="4"/>
    </row>
    <row r="1740" spans="7:11" x14ac:dyDescent="0.3">
      <c r="G1740" s="4"/>
      <c r="K1740" s="4"/>
    </row>
    <row r="1741" spans="7:11" x14ac:dyDescent="0.3">
      <c r="G1741" s="4"/>
      <c r="K1741" s="4"/>
    </row>
    <row r="1742" spans="7:11" x14ac:dyDescent="0.3">
      <c r="G1742" s="4"/>
      <c r="K1742" s="4"/>
    </row>
    <row r="1743" spans="7:11" x14ac:dyDescent="0.3">
      <c r="G1743" s="4"/>
      <c r="K1743" s="4"/>
    </row>
    <row r="1744" spans="7:11" x14ac:dyDescent="0.3">
      <c r="G1744" s="4"/>
      <c r="K1744" s="4"/>
    </row>
    <row r="1745" spans="7:11" x14ac:dyDescent="0.3">
      <c r="G1745" s="4"/>
      <c r="K1745" s="4"/>
    </row>
    <row r="1746" spans="7:11" x14ac:dyDescent="0.3">
      <c r="G1746" s="4"/>
      <c r="K1746" s="4"/>
    </row>
    <row r="1747" spans="7:11" x14ac:dyDescent="0.3">
      <c r="G1747" s="4"/>
      <c r="K1747" s="4"/>
    </row>
    <row r="1748" spans="7:11" x14ac:dyDescent="0.3">
      <c r="G1748" s="4"/>
      <c r="K1748" s="4"/>
    </row>
    <row r="1749" spans="7:11" x14ac:dyDescent="0.3">
      <c r="G1749" s="4"/>
      <c r="K1749" s="4"/>
    </row>
    <row r="1750" spans="7:11" x14ac:dyDescent="0.3">
      <c r="G1750" s="4"/>
      <c r="K1750" s="4"/>
    </row>
    <row r="1751" spans="7:11" x14ac:dyDescent="0.3">
      <c r="G1751" s="4"/>
      <c r="K1751" s="4"/>
    </row>
    <row r="1752" spans="7:11" x14ac:dyDescent="0.3">
      <c r="G1752" s="4"/>
      <c r="K1752" s="4"/>
    </row>
    <row r="1753" spans="7:11" x14ac:dyDescent="0.3">
      <c r="G1753" s="4"/>
      <c r="K1753" s="4"/>
    </row>
    <row r="1754" spans="7:11" x14ac:dyDescent="0.3">
      <c r="G1754" s="4"/>
      <c r="K1754" s="4"/>
    </row>
    <row r="1755" spans="7:11" x14ac:dyDescent="0.3">
      <c r="G1755" s="4"/>
      <c r="K1755" s="4"/>
    </row>
    <row r="1756" spans="7:11" x14ac:dyDescent="0.3">
      <c r="G1756" s="4"/>
      <c r="K1756" s="4"/>
    </row>
    <row r="1757" spans="7:11" x14ac:dyDescent="0.3">
      <c r="G1757" s="4"/>
      <c r="K1757" s="4"/>
    </row>
    <row r="1758" spans="7:11" x14ac:dyDescent="0.3">
      <c r="G1758" s="4"/>
      <c r="K1758" s="4"/>
    </row>
    <row r="1759" spans="7:11" x14ac:dyDescent="0.3">
      <c r="G1759" s="4"/>
      <c r="K1759" s="4"/>
    </row>
    <row r="1760" spans="7:11" x14ac:dyDescent="0.3">
      <c r="G1760" s="4"/>
      <c r="K1760" s="4"/>
    </row>
    <row r="1761" spans="7:11" x14ac:dyDescent="0.3">
      <c r="G1761" s="4"/>
      <c r="K1761" s="4"/>
    </row>
    <row r="1762" spans="7:11" x14ac:dyDescent="0.3">
      <c r="G1762" s="4"/>
      <c r="K1762" s="4"/>
    </row>
    <row r="1763" spans="7:11" x14ac:dyDescent="0.3">
      <c r="G1763" s="4"/>
      <c r="K1763" s="4"/>
    </row>
    <row r="1764" spans="7:11" x14ac:dyDescent="0.3">
      <c r="G1764" s="4"/>
      <c r="K1764" s="4"/>
    </row>
    <row r="1765" spans="7:11" x14ac:dyDescent="0.3">
      <c r="G1765" s="4"/>
      <c r="K1765" s="4"/>
    </row>
    <row r="1766" spans="7:11" x14ac:dyDescent="0.3">
      <c r="G1766" s="4"/>
      <c r="K1766" s="4"/>
    </row>
    <row r="1767" spans="7:11" x14ac:dyDescent="0.3">
      <c r="G1767" s="4"/>
      <c r="K1767" s="4"/>
    </row>
    <row r="1768" spans="7:11" x14ac:dyDescent="0.3">
      <c r="G1768" s="4"/>
      <c r="K1768" s="4"/>
    </row>
    <row r="1769" spans="7:11" x14ac:dyDescent="0.3">
      <c r="G1769" s="4"/>
      <c r="K1769" s="4"/>
    </row>
    <row r="1770" spans="7:11" x14ac:dyDescent="0.3">
      <c r="G1770" s="4"/>
      <c r="K1770" s="4"/>
    </row>
    <row r="1771" spans="7:11" x14ac:dyDescent="0.3">
      <c r="G1771" s="4"/>
      <c r="K1771" s="4"/>
    </row>
    <row r="1772" spans="7:11" x14ac:dyDescent="0.3">
      <c r="G1772" s="4"/>
      <c r="K1772" s="4"/>
    </row>
    <row r="1773" spans="7:11" x14ac:dyDescent="0.3">
      <c r="G1773" s="4"/>
      <c r="K1773" s="4"/>
    </row>
    <row r="1774" spans="7:11" x14ac:dyDescent="0.3">
      <c r="G1774" s="4"/>
      <c r="K1774" s="4"/>
    </row>
    <row r="1775" spans="7:11" x14ac:dyDescent="0.3">
      <c r="G1775" s="4"/>
      <c r="K1775" s="4"/>
    </row>
    <row r="1776" spans="7:11" x14ac:dyDescent="0.3">
      <c r="G1776" s="4"/>
      <c r="K1776" s="4"/>
    </row>
    <row r="1777" spans="7:11" x14ac:dyDescent="0.3">
      <c r="G1777" s="4"/>
      <c r="K1777" s="4"/>
    </row>
    <row r="1778" spans="7:11" x14ac:dyDescent="0.3">
      <c r="G1778" s="4"/>
      <c r="K1778" s="4"/>
    </row>
    <row r="1779" spans="7:11" x14ac:dyDescent="0.3">
      <c r="G1779" s="4"/>
      <c r="K1779" s="4"/>
    </row>
    <row r="1780" spans="7:11" x14ac:dyDescent="0.3">
      <c r="G1780" s="4"/>
      <c r="K1780" s="4"/>
    </row>
    <row r="1781" spans="7:11" x14ac:dyDescent="0.3">
      <c r="G1781" s="4"/>
      <c r="K1781" s="4"/>
    </row>
    <row r="1782" spans="7:11" x14ac:dyDescent="0.3">
      <c r="G1782" s="4"/>
      <c r="K1782" s="4"/>
    </row>
    <row r="1783" spans="7:11" x14ac:dyDescent="0.3">
      <c r="G1783" s="4"/>
      <c r="K1783" s="4"/>
    </row>
    <row r="1784" spans="7:11" x14ac:dyDescent="0.3">
      <c r="G1784" s="4"/>
      <c r="K1784" s="4"/>
    </row>
    <row r="1785" spans="7:11" x14ac:dyDescent="0.3">
      <c r="G1785" s="4"/>
      <c r="K1785" s="4"/>
    </row>
    <row r="1786" spans="7:11" x14ac:dyDescent="0.3">
      <c r="G1786" s="4"/>
      <c r="K1786" s="4"/>
    </row>
    <row r="1787" spans="7:11" x14ac:dyDescent="0.3">
      <c r="G1787" s="4"/>
      <c r="K1787" s="4"/>
    </row>
    <row r="1788" spans="7:11" x14ac:dyDescent="0.3">
      <c r="G1788" s="4"/>
      <c r="K1788" s="4"/>
    </row>
    <row r="1789" spans="7:11" x14ac:dyDescent="0.3">
      <c r="G1789" s="4"/>
      <c r="K1789" s="4"/>
    </row>
    <row r="1790" spans="7:11" x14ac:dyDescent="0.3">
      <c r="G1790" s="4"/>
      <c r="K1790" s="4"/>
    </row>
    <row r="1791" spans="7:11" x14ac:dyDescent="0.3">
      <c r="G1791" s="4"/>
      <c r="K1791" s="4"/>
    </row>
    <row r="1792" spans="7:11" x14ac:dyDescent="0.3">
      <c r="G1792" s="4"/>
      <c r="K1792" s="4"/>
    </row>
    <row r="1793" spans="7:11" x14ac:dyDescent="0.3">
      <c r="G1793" s="4"/>
      <c r="K1793" s="4"/>
    </row>
    <row r="1794" spans="7:11" x14ac:dyDescent="0.3">
      <c r="G1794" s="4"/>
      <c r="K1794" s="4"/>
    </row>
    <row r="1795" spans="7:11" x14ac:dyDescent="0.3">
      <c r="G1795" s="4"/>
      <c r="K1795" s="4"/>
    </row>
    <row r="1796" spans="7:11" x14ac:dyDescent="0.3">
      <c r="G1796" s="4"/>
      <c r="K1796" s="4"/>
    </row>
    <row r="1797" spans="7:11" x14ac:dyDescent="0.3">
      <c r="G1797" s="4"/>
      <c r="K1797" s="4"/>
    </row>
    <row r="1798" spans="7:11" x14ac:dyDescent="0.3">
      <c r="G1798" s="4"/>
      <c r="K1798" s="4"/>
    </row>
    <row r="1799" spans="7:11" x14ac:dyDescent="0.3">
      <c r="G1799" s="4"/>
      <c r="K1799" s="4"/>
    </row>
    <row r="1800" spans="7:11" x14ac:dyDescent="0.3">
      <c r="G1800" s="4"/>
      <c r="K1800" s="4"/>
    </row>
    <row r="1801" spans="7:11" x14ac:dyDescent="0.3">
      <c r="G1801" s="4"/>
      <c r="K1801" s="4"/>
    </row>
    <row r="1802" spans="7:11" x14ac:dyDescent="0.3">
      <c r="G1802" s="4"/>
      <c r="K1802" s="4"/>
    </row>
    <row r="1803" spans="7:11" x14ac:dyDescent="0.3">
      <c r="G1803" s="4"/>
      <c r="K1803" s="4"/>
    </row>
    <row r="1804" spans="7:11" x14ac:dyDescent="0.3">
      <c r="G1804" s="4"/>
      <c r="K1804" s="4"/>
    </row>
    <row r="1805" spans="7:11" x14ac:dyDescent="0.3">
      <c r="G1805" s="4"/>
      <c r="K1805" s="4"/>
    </row>
    <row r="1806" spans="7:11" x14ac:dyDescent="0.3">
      <c r="G1806" s="4"/>
      <c r="K1806" s="4"/>
    </row>
    <row r="1807" spans="7:11" x14ac:dyDescent="0.3">
      <c r="G1807" s="4"/>
      <c r="K1807" s="4"/>
    </row>
    <row r="1808" spans="7:11" x14ac:dyDescent="0.3">
      <c r="G1808" s="4"/>
      <c r="K1808" s="4"/>
    </row>
    <row r="1809" spans="7:11" x14ac:dyDescent="0.3">
      <c r="G1809" s="4"/>
      <c r="K1809" s="4"/>
    </row>
    <row r="1810" spans="7:11" x14ac:dyDescent="0.3">
      <c r="G1810" s="4"/>
      <c r="K1810" s="4"/>
    </row>
    <row r="1811" spans="7:11" x14ac:dyDescent="0.3">
      <c r="G1811" s="4"/>
      <c r="K1811" s="4"/>
    </row>
    <row r="1812" spans="7:11" x14ac:dyDescent="0.3">
      <c r="G1812" s="4"/>
      <c r="K1812" s="4"/>
    </row>
    <row r="1813" spans="7:11" x14ac:dyDescent="0.3">
      <c r="G1813" s="4"/>
      <c r="K1813" s="4"/>
    </row>
    <row r="1814" spans="7:11" x14ac:dyDescent="0.3">
      <c r="G1814" s="4"/>
      <c r="K1814" s="4"/>
    </row>
    <row r="1815" spans="7:11" x14ac:dyDescent="0.3">
      <c r="G1815" s="4"/>
      <c r="K1815" s="4"/>
    </row>
    <row r="1816" spans="7:11" x14ac:dyDescent="0.3">
      <c r="G1816" s="4"/>
      <c r="K1816" s="4"/>
    </row>
    <row r="1817" spans="7:11" x14ac:dyDescent="0.3">
      <c r="G1817" s="4"/>
      <c r="K1817" s="4"/>
    </row>
    <row r="1818" spans="7:11" x14ac:dyDescent="0.3">
      <c r="G1818" s="4"/>
      <c r="K1818" s="4"/>
    </row>
    <row r="1819" spans="7:11" x14ac:dyDescent="0.3">
      <c r="G1819" s="4"/>
      <c r="K1819" s="4"/>
    </row>
    <row r="1820" spans="7:11" x14ac:dyDescent="0.3">
      <c r="G1820" s="4"/>
      <c r="K1820" s="4"/>
    </row>
    <row r="1821" spans="7:11" x14ac:dyDescent="0.3">
      <c r="G1821" s="4"/>
      <c r="K1821" s="4"/>
    </row>
    <row r="1822" spans="7:11" x14ac:dyDescent="0.3">
      <c r="G1822" s="4"/>
      <c r="K1822" s="4"/>
    </row>
    <row r="1823" spans="7:11" x14ac:dyDescent="0.3">
      <c r="G1823" s="4"/>
      <c r="K1823" s="4"/>
    </row>
    <row r="1824" spans="7:11" x14ac:dyDescent="0.3">
      <c r="G1824" s="4"/>
      <c r="K1824" s="4"/>
    </row>
    <row r="1825" spans="7:11" x14ac:dyDescent="0.3">
      <c r="G1825" s="4"/>
      <c r="K1825" s="4"/>
    </row>
    <row r="1826" spans="7:11" x14ac:dyDescent="0.3">
      <c r="G1826" s="4"/>
      <c r="K1826" s="4"/>
    </row>
    <row r="1827" spans="7:11" x14ac:dyDescent="0.3">
      <c r="G1827" s="4"/>
      <c r="K1827" s="4"/>
    </row>
    <row r="1828" spans="7:11" x14ac:dyDescent="0.3">
      <c r="G1828" s="4"/>
      <c r="K1828" s="4"/>
    </row>
    <row r="1829" spans="7:11" x14ac:dyDescent="0.3">
      <c r="G1829" s="4"/>
      <c r="K1829" s="4"/>
    </row>
    <row r="1830" spans="7:11" x14ac:dyDescent="0.3">
      <c r="G1830" s="4"/>
      <c r="K1830" s="4"/>
    </row>
    <row r="1831" spans="7:11" x14ac:dyDescent="0.3">
      <c r="G1831" s="4"/>
      <c r="K1831" s="4"/>
    </row>
    <row r="1832" spans="7:11" x14ac:dyDescent="0.3">
      <c r="G1832" s="4"/>
      <c r="K1832" s="4"/>
    </row>
    <row r="1833" spans="7:11" x14ac:dyDescent="0.3">
      <c r="G1833" s="4"/>
      <c r="K1833" s="4"/>
    </row>
    <row r="1834" spans="7:11" x14ac:dyDescent="0.3">
      <c r="G1834" s="4"/>
      <c r="K1834" s="4"/>
    </row>
    <row r="1835" spans="7:11" x14ac:dyDescent="0.3">
      <c r="G1835" s="4"/>
      <c r="K1835" s="4"/>
    </row>
    <row r="1836" spans="7:11" x14ac:dyDescent="0.3">
      <c r="G1836" s="4"/>
      <c r="K1836" s="4"/>
    </row>
    <row r="1837" spans="7:11" x14ac:dyDescent="0.3">
      <c r="G1837" s="4"/>
      <c r="K1837" s="4"/>
    </row>
    <row r="1838" spans="7:11" x14ac:dyDescent="0.3">
      <c r="G1838" s="4"/>
      <c r="K1838" s="4"/>
    </row>
    <row r="1839" spans="7:11" x14ac:dyDescent="0.3">
      <c r="G1839" s="4"/>
      <c r="K1839" s="4"/>
    </row>
    <row r="1840" spans="7:11" x14ac:dyDescent="0.3">
      <c r="G1840" s="4"/>
      <c r="K1840" s="4"/>
    </row>
    <row r="1841" spans="7:11" x14ac:dyDescent="0.3">
      <c r="G1841" s="4"/>
      <c r="K1841" s="4"/>
    </row>
    <row r="1842" spans="7:11" x14ac:dyDescent="0.3">
      <c r="G1842" s="4"/>
      <c r="K1842" s="4"/>
    </row>
    <row r="1843" spans="7:11" x14ac:dyDescent="0.3">
      <c r="G1843" s="4"/>
      <c r="K1843" s="4"/>
    </row>
    <row r="1844" spans="7:11" x14ac:dyDescent="0.3">
      <c r="G1844" s="4"/>
      <c r="K1844" s="4"/>
    </row>
    <row r="1845" spans="7:11" x14ac:dyDescent="0.3">
      <c r="G1845" s="4"/>
      <c r="K1845" s="4"/>
    </row>
    <row r="1846" spans="7:11" x14ac:dyDescent="0.3">
      <c r="G1846" s="4"/>
      <c r="K1846" s="4"/>
    </row>
    <row r="1847" spans="7:11" x14ac:dyDescent="0.3">
      <c r="G1847" s="4"/>
      <c r="K1847" s="4"/>
    </row>
    <row r="1848" spans="7:11" x14ac:dyDescent="0.3">
      <c r="G1848" s="4"/>
      <c r="K1848" s="4"/>
    </row>
    <row r="1849" spans="7:11" x14ac:dyDescent="0.3">
      <c r="G1849" s="4"/>
      <c r="K1849" s="4"/>
    </row>
    <row r="1850" spans="7:11" x14ac:dyDescent="0.3">
      <c r="G1850" s="4"/>
      <c r="K1850" s="4"/>
    </row>
    <row r="1851" spans="7:11" x14ac:dyDescent="0.3">
      <c r="G1851" s="4"/>
      <c r="K1851" s="4"/>
    </row>
    <row r="1852" spans="7:11" x14ac:dyDescent="0.3">
      <c r="G1852" s="4"/>
      <c r="K1852" s="4"/>
    </row>
    <row r="1853" spans="7:11" x14ac:dyDescent="0.3">
      <c r="G1853" s="4"/>
      <c r="K1853" s="4"/>
    </row>
    <row r="1854" spans="7:11" x14ac:dyDescent="0.3">
      <c r="G1854" s="4"/>
      <c r="K1854" s="4"/>
    </row>
    <row r="1855" spans="7:11" x14ac:dyDescent="0.3">
      <c r="G1855" s="4"/>
      <c r="K1855" s="4"/>
    </row>
    <row r="1856" spans="7:11" x14ac:dyDescent="0.3">
      <c r="G1856" s="4"/>
      <c r="K1856" s="4"/>
    </row>
    <row r="1857" spans="7:11" x14ac:dyDescent="0.3">
      <c r="G1857" s="4"/>
      <c r="K1857" s="4"/>
    </row>
    <row r="1858" spans="7:11" x14ac:dyDescent="0.3">
      <c r="G1858" s="4"/>
      <c r="K1858" s="4"/>
    </row>
    <row r="1859" spans="7:11" x14ac:dyDescent="0.3">
      <c r="G1859" s="4"/>
      <c r="K1859" s="4"/>
    </row>
    <row r="1860" spans="7:11" x14ac:dyDescent="0.3">
      <c r="G1860" s="4"/>
      <c r="K1860" s="4"/>
    </row>
    <row r="1861" spans="7:11" x14ac:dyDescent="0.3">
      <c r="G1861" s="4"/>
      <c r="K1861" s="4"/>
    </row>
    <row r="1862" spans="7:11" x14ac:dyDescent="0.3">
      <c r="G1862" s="4"/>
      <c r="K1862" s="4"/>
    </row>
    <row r="1863" spans="7:11" x14ac:dyDescent="0.3">
      <c r="G1863" s="4"/>
      <c r="K1863" s="4"/>
    </row>
    <row r="1864" spans="7:11" x14ac:dyDescent="0.3">
      <c r="G1864" s="4"/>
      <c r="K1864" s="4"/>
    </row>
    <row r="1865" spans="7:11" x14ac:dyDescent="0.3">
      <c r="G1865" s="4"/>
      <c r="K1865" s="4"/>
    </row>
    <row r="1866" spans="7:11" x14ac:dyDescent="0.3">
      <c r="G1866" s="4"/>
      <c r="K1866" s="4"/>
    </row>
    <row r="1867" spans="7:11" x14ac:dyDescent="0.3">
      <c r="G1867" s="4"/>
      <c r="K1867" s="4"/>
    </row>
    <row r="1868" spans="7:11" x14ac:dyDescent="0.3">
      <c r="G1868" s="4"/>
      <c r="K1868" s="4"/>
    </row>
    <row r="1869" spans="7:11" x14ac:dyDescent="0.3">
      <c r="G1869" s="4"/>
      <c r="K1869" s="4"/>
    </row>
    <row r="1870" spans="7:11" x14ac:dyDescent="0.3">
      <c r="G1870" s="4"/>
      <c r="K1870" s="4"/>
    </row>
    <row r="1871" spans="7:11" x14ac:dyDescent="0.3">
      <c r="G1871" s="4"/>
      <c r="K1871" s="4"/>
    </row>
    <row r="1872" spans="7:11" x14ac:dyDescent="0.3">
      <c r="G1872" s="4"/>
      <c r="K1872" s="4"/>
    </row>
    <row r="1873" spans="7:11" x14ac:dyDescent="0.3">
      <c r="G1873" s="4"/>
      <c r="K1873" s="4"/>
    </row>
    <row r="1874" spans="7:11" x14ac:dyDescent="0.3">
      <c r="G1874" s="4"/>
      <c r="K1874" s="4"/>
    </row>
    <row r="1875" spans="7:11" x14ac:dyDescent="0.3">
      <c r="G1875" s="4"/>
      <c r="K1875" s="4"/>
    </row>
    <row r="1876" spans="7:11" x14ac:dyDescent="0.3">
      <c r="G1876" s="4"/>
      <c r="K1876" s="4"/>
    </row>
    <row r="1877" spans="7:11" x14ac:dyDescent="0.3">
      <c r="G1877" s="4"/>
      <c r="K1877" s="4"/>
    </row>
    <row r="1878" spans="7:11" x14ac:dyDescent="0.3">
      <c r="G1878" s="4"/>
      <c r="K1878" s="4"/>
    </row>
    <row r="1879" spans="7:11" x14ac:dyDescent="0.3">
      <c r="G1879" s="4"/>
      <c r="K1879" s="4"/>
    </row>
    <row r="1880" spans="7:11" x14ac:dyDescent="0.3">
      <c r="G1880" s="4"/>
      <c r="K1880" s="4"/>
    </row>
    <row r="1881" spans="7:11" x14ac:dyDescent="0.3">
      <c r="G1881" s="4"/>
      <c r="K1881" s="4"/>
    </row>
    <row r="1882" spans="7:11" x14ac:dyDescent="0.3">
      <c r="G1882" s="4"/>
      <c r="K1882" s="4"/>
    </row>
    <row r="1883" spans="7:11" x14ac:dyDescent="0.3">
      <c r="G1883" s="4"/>
      <c r="K1883" s="4"/>
    </row>
    <row r="1884" spans="7:11" x14ac:dyDescent="0.3">
      <c r="G1884" s="4"/>
      <c r="K1884" s="4"/>
    </row>
    <row r="1885" spans="7:11" x14ac:dyDescent="0.3">
      <c r="G1885" s="4"/>
      <c r="K1885" s="4"/>
    </row>
    <row r="1886" spans="7:11" x14ac:dyDescent="0.3">
      <c r="G1886" s="4"/>
      <c r="K1886" s="4"/>
    </row>
    <row r="1887" spans="7:11" x14ac:dyDescent="0.3">
      <c r="G1887" s="4"/>
      <c r="K1887" s="4"/>
    </row>
    <row r="1888" spans="7:11" x14ac:dyDescent="0.3">
      <c r="G1888" s="4"/>
      <c r="K1888" s="4"/>
    </row>
    <row r="1889" spans="7:11" x14ac:dyDescent="0.3">
      <c r="G1889" s="4"/>
      <c r="K1889" s="4"/>
    </row>
    <row r="1890" spans="7:11" x14ac:dyDescent="0.3">
      <c r="G1890" s="4"/>
      <c r="K1890" s="4"/>
    </row>
    <row r="1891" spans="7:11" x14ac:dyDescent="0.3">
      <c r="G1891" s="4"/>
      <c r="K1891" s="4"/>
    </row>
    <row r="1892" spans="7:11" x14ac:dyDescent="0.3">
      <c r="G1892" s="4"/>
      <c r="K1892" s="4"/>
    </row>
    <row r="1893" spans="7:11" x14ac:dyDescent="0.3">
      <c r="G1893" s="4"/>
      <c r="K1893" s="4"/>
    </row>
    <row r="1894" spans="7:11" x14ac:dyDescent="0.3">
      <c r="G1894" s="4"/>
      <c r="K1894" s="4"/>
    </row>
    <row r="1895" spans="7:11" x14ac:dyDescent="0.3">
      <c r="G1895" s="4"/>
      <c r="K1895" s="4"/>
    </row>
    <row r="1896" spans="7:11" x14ac:dyDescent="0.3">
      <c r="G1896" s="4"/>
      <c r="K1896" s="4"/>
    </row>
    <row r="1897" spans="7:11" x14ac:dyDescent="0.3">
      <c r="G1897" s="4"/>
      <c r="K1897" s="4"/>
    </row>
    <row r="1898" spans="7:11" x14ac:dyDescent="0.3">
      <c r="G1898" s="4"/>
      <c r="K1898" s="4"/>
    </row>
    <row r="1899" spans="7:11" x14ac:dyDescent="0.3">
      <c r="G1899" s="4"/>
      <c r="K1899" s="4"/>
    </row>
    <row r="1900" spans="7:11" x14ac:dyDescent="0.3">
      <c r="G1900" s="4"/>
      <c r="K1900" s="4"/>
    </row>
    <row r="1901" spans="7:11" x14ac:dyDescent="0.3">
      <c r="G1901" s="4"/>
      <c r="K1901" s="4"/>
    </row>
    <row r="1902" spans="7:11" x14ac:dyDescent="0.3">
      <c r="G1902" s="4"/>
      <c r="K1902" s="4"/>
    </row>
    <row r="1903" spans="7:11" x14ac:dyDescent="0.3">
      <c r="G1903" s="4"/>
      <c r="K1903" s="4"/>
    </row>
    <row r="1904" spans="7:11" x14ac:dyDescent="0.3">
      <c r="G1904" s="4"/>
      <c r="K1904" s="4"/>
    </row>
    <row r="1905" spans="7:11" x14ac:dyDescent="0.3">
      <c r="G1905" s="4"/>
      <c r="K1905" s="4"/>
    </row>
    <row r="1906" spans="7:11" x14ac:dyDescent="0.3">
      <c r="G1906" s="4"/>
      <c r="K1906" s="4"/>
    </row>
    <row r="1907" spans="7:11" x14ac:dyDescent="0.3">
      <c r="G1907" s="4"/>
      <c r="K1907" s="4"/>
    </row>
    <row r="1908" spans="7:11" x14ac:dyDescent="0.3">
      <c r="G1908" s="4"/>
      <c r="K1908" s="4"/>
    </row>
    <row r="1909" spans="7:11" x14ac:dyDescent="0.3">
      <c r="G1909" s="4"/>
      <c r="K1909" s="4"/>
    </row>
    <row r="1910" spans="7:11" x14ac:dyDescent="0.3">
      <c r="G1910" s="4"/>
      <c r="K1910" s="4"/>
    </row>
    <row r="1911" spans="7:11" x14ac:dyDescent="0.3">
      <c r="G1911" s="4"/>
      <c r="K1911" s="4"/>
    </row>
    <row r="1912" spans="7:11" x14ac:dyDescent="0.3">
      <c r="G1912" s="4"/>
      <c r="K1912" s="4"/>
    </row>
    <row r="1913" spans="7:11" x14ac:dyDescent="0.3">
      <c r="G1913" s="4"/>
      <c r="K1913" s="4"/>
    </row>
    <row r="1914" spans="7:11" x14ac:dyDescent="0.3">
      <c r="G1914" s="4"/>
      <c r="K1914" s="4"/>
    </row>
    <row r="1915" spans="7:11" x14ac:dyDescent="0.3">
      <c r="G1915" s="4"/>
      <c r="K1915" s="4"/>
    </row>
    <row r="1916" spans="7:11" x14ac:dyDescent="0.3">
      <c r="G1916" s="4"/>
      <c r="K1916" s="4"/>
    </row>
    <row r="1917" spans="7:11" x14ac:dyDescent="0.3">
      <c r="G1917" s="4"/>
      <c r="K1917" s="4"/>
    </row>
    <row r="1918" spans="7:11" x14ac:dyDescent="0.3">
      <c r="G1918" s="4"/>
      <c r="K1918" s="4"/>
    </row>
    <row r="1919" spans="7:11" x14ac:dyDescent="0.3">
      <c r="G1919" s="4"/>
      <c r="K1919" s="4"/>
    </row>
    <row r="1920" spans="7:11" x14ac:dyDescent="0.3">
      <c r="G1920" s="4"/>
      <c r="K1920" s="4"/>
    </row>
    <row r="1921" spans="7:11" x14ac:dyDescent="0.3">
      <c r="G1921" s="4"/>
      <c r="K1921" s="4"/>
    </row>
    <row r="1922" spans="7:11" x14ac:dyDescent="0.3">
      <c r="G1922" s="4"/>
      <c r="K1922" s="4"/>
    </row>
    <row r="1923" spans="7:11" x14ac:dyDescent="0.3">
      <c r="G1923" s="4"/>
      <c r="K1923" s="4"/>
    </row>
    <row r="1924" spans="7:11" x14ac:dyDescent="0.3">
      <c r="G1924" s="4"/>
      <c r="K1924" s="4"/>
    </row>
    <row r="1925" spans="7:11" x14ac:dyDescent="0.3">
      <c r="G1925" s="4"/>
      <c r="K1925" s="4"/>
    </row>
    <row r="1926" spans="7:11" x14ac:dyDescent="0.3">
      <c r="G1926" s="4"/>
      <c r="K1926" s="4"/>
    </row>
    <row r="1927" spans="7:11" x14ac:dyDescent="0.3">
      <c r="G1927" s="4"/>
      <c r="K1927" s="4"/>
    </row>
    <row r="1928" spans="7:11" x14ac:dyDescent="0.3">
      <c r="G1928" s="4"/>
      <c r="K1928" s="4"/>
    </row>
    <row r="1929" spans="7:11" x14ac:dyDescent="0.3">
      <c r="G1929" s="4"/>
      <c r="K1929" s="4"/>
    </row>
    <row r="1930" spans="7:11" x14ac:dyDescent="0.3">
      <c r="G1930" s="4"/>
      <c r="K1930" s="4"/>
    </row>
    <row r="1931" spans="7:11" x14ac:dyDescent="0.3">
      <c r="G1931" s="4"/>
      <c r="K1931" s="4"/>
    </row>
    <row r="1932" spans="7:11" x14ac:dyDescent="0.3">
      <c r="G1932" s="4"/>
      <c r="K1932" s="4"/>
    </row>
    <row r="1933" spans="7:11" x14ac:dyDescent="0.3">
      <c r="G1933" s="4"/>
      <c r="K1933" s="4"/>
    </row>
    <row r="1934" spans="7:11" x14ac:dyDescent="0.3">
      <c r="G1934" s="4"/>
      <c r="K1934" s="4"/>
    </row>
    <row r="1935" spans="7:11" x14ac:dyDescent="0.3">
      <c r="G1935" s="4"/>
      <c r="K1935" s="4"/>
    </row>
    <row r="1936" spans="7:11" x14ac:dyDescent="0.3">
      <c r="G1936" s="4"/>
      <c r="K1936" s="4"/>
    </row>
    <row r="1937" spans="7:11" x14ac:dyDescent="0.3">
      <c r="G1937" s="4"/>
      <c r="K1937" s="4"/>
    </row>
    <row r="1938" spans="7:11" x14ac:dyDescent="0.3">
      <c r="G1938" s="4"/>
      <c r="K1938" s="4"/>
    </row>
    <row r="1939" spans="7:11" x14ac:dyDescent="0.3">
      <c r="G1939" s="4"/>
      <c r="K1939" s="4"/>
    </row>
    <row r="1940" spans="7:11" x14ac:dyDescent="0.3">
      <c r="G1940" s="4"/>
      <c r="K1940" s="4"/>
    </row>
    <row r="1941" spans="7:11" x14ac:dyDescent="0.3">
      <c r="G1941" s="4"/>
      <c r="K1941" s="4"/>
    </row>
    <row r="1942" spans="7:11" x14ac:dyDescent="0.3">
      <c r="G1942" s="4"/>
      <c r="K1942" s="4"/>
    </row>
    <row r="1943" spans="7:11" x14ac:dyDescent="0.3">
      <c r="G1943" s="4"/>
      <c r="K1943" s="4"/>
    </row>
    <row r="1944" spans="7:11" x14ac:dyDescent="0.3">
      <c r="G1944" s="4"/>
      <c r="K1944" s="4"/>
    </row>
    <row r="1945" spans="7:11" x14ac:dyDescent="0.3">
      <c r="G1945" s="4"/>
      <c r="K1945" s="4"/>
    </row>
    <row r="1946" spans="7:11" x14ac:dyDescent="0.3">
      <c r="G1946" s="4"/>
      <c r="K1946" s="4"/>
    </row>
    <row r="1947" spans="7:11" x14ac:dyDescent="0.3">
      <c r="G1947" s="4"/>
      <c r="K1947" s="4"/>
    </row>
    <row r="1948" spans="7:11" x14ac:dyDescent="0.3">
      <c r="G1948" s="4"/>
      <c r="K1948" s="4"/>
    </row>
    <row r="1949" spans="7:11" x14ac:dyDescent="0.3">
      <c r="G1949" s="4"/>
      <c r="K1949" s="4"/>
    </row>
    <row r="1950" spans="7:11" x14ac:dyDescent="0.3">
      <c r="G1950" s="4"/>
      <c r="K1950" s="4"/>
    </row>
    <row r="1951" spans="7:11" x14ac:dyDescent="0.3">
      <c r="G1951" s="4"/>
      <c r="K1951" s="4"/>
    </row>
    <row r="1952" spans="7:11" x14ac:dyDescent="0.3">
      <c r="G1952" s="4"/>
      <c r="K1952" s="4"/>
    </row>
    <row r="1953" spans="7:11" x14ac:dyDescent="0.3">
      <c r="G1953" s="4"/>
      <c r="K1953" s="4"/>
    </row>
    <row r="1954" spans="7:11" x14ac:dyDescent="0.3">
      <c r="G1954" s="4"/>
      <c r="K1954" s="4"/>
    </row>
    <row r="1955" spans="7:11" x14ac:dyDescent="0.3">
      <c r="G1955" s="4"/>
      <c r="K1955" s="4"/>
    </row>
    <row r="1956" spans="7:11" x14ac:dyDescent="0.3">
      <c r="G1956" s="4"/>
      <c r="K1956" s="4"/>
    </row>
    <row r="1957" spans="7:11" x14ac:dyDescent="0.3">
      <c r="G1957" s="4"/>
      <c r="K1957" s="4"/>
    </row>
    <row r="1958" spans="7:11" x14ac:dyDescent="0.3">
      <c r="G1958" s="4"/>
      <c r="K1958" s="4"/>
    </row>
    <row r="1959" spans="7:11" x14ac:dyDescent="0.3">
      <c r="G1959" s="4"/>
      <c r="K1959" s="4"/>
    </row>
    <row r="1960" spans="7:11" x14ac:dyDescent="0.3">
      <c r="G1960" s="4"/>
      <c r="K1960" s="4"/>
    </row>
    <row r="1961" spans="7:11" x14ac:dyDescent="0.3">
      <c r="G1961" s="4"/>
      <c r="K1961" s="4"/>
    </row>
    <row r="1962" spans="7:11" x14ac:dyDescent="0.3">
      <c r="G1962" s="4"/>
      <c r="K1962" s="4"/>
    </row>
    <row r="1963" spans="7:11" x14ac:dyDescent="0.3">
      <c r="G1963" s="4"/>
      <c r="K1963" s="4"/>
    </row>
    <row r="1964" spans="7:11" x14ac:dyDescent="0.3">
      <c r="G1964" s="4"/>
      <c r="K1964" s="4"/>
    </row>
    <row r="1965" spans="7:11" x14ac:dyDescent="0.3">
      <c r="G1965" s="4"/>
      <c r="K1965" s="4"/>
    </row>
    <row r="1966" spans="7:11" x14ac:dyDescent="0.3">
      <c r="G1966" s="4"/>
      <c r="K1966" s="4"/>
    </row>
    <row r="1967" spans="7:11" x14ac:dyDescent="0.3">
      <c r="G1967" s="4"/>
      <c r="K1967" s="4"/>
    </row>
    <row r="1968" spans="7:11" x14ac:dyDescent="0.3">
      <c r="G1968" s="4"/>
      <c r="K1968" s="4"/>
    </row>
    <row r="1969" spans="7:11" x14ac:dyDescent="0.3">
      <c r="G1969" s="4"/>
      <c r="K1969" s="4"/>
    </row>
    <row r="1970" spans="7:11" x14ac:dyDescent="0.3">
      <c r="G1970" s="4"/>
      <c r="K1970" s="4"/>
    </row>
    <row r="1971" spans="7:11" x14ac:dyDescent="0.3">
      <c r="G1971" s="4"/>
      <c r="K1971" s="4"/>
    </row>
    <row r="1972" spans="7:11" x14ac:dyDescent="0.3">
      <c r="G1972" s="4"/>
      <c r="K1972" s="4"/>
    </row>
    <row r="1973" spans="7:11" x14ac:dyDescent="0.3">
      <c r="G1973" s="4"/>
      <c r="K1973" s="4"/>
    </row>
    <row r="1974" spans="7:11" x14ac:dyDescent="0.3">
      <c r="G1974" s="4"/>
      <c r="K1974" s="4"/>
    </row>
    <row r="1975" spans="7:11" x14ac:dyDescent="0.3">
      <c r="G1975" s="4"/>
      <c r="K1975" s="4"/>
    </row>
    <row r="1976" spans="7:11" x14ac:dyDescent="0.3">
      <c r="G1976" s="4"/>
      <c r="K1976" s="4"/>
    </row>
    <row r="1977" spans="7:11" x14ac:dyDescent="0.3">
      <c r="G1977" s="4"/>
      <c r="K1977" s="4"/>
    </row>
    <row r="1978" spans="7:11" x14ac:dyDescent="0.3">
      <c r="G1978" s="4"/>
      <c r="K1978" s="4"/>
    </row>
    <row r="1979" spans="7:11" x14ac:dyDescent="0.3">
      <c r="G1979" s="4"/>
      <c r="K1979" s="4"/>
    </row>
    <row r="1980" spans="7:11" x14ac:dyDescent="0.3">
      <c r="G1980" s="4"/>
      <c r="K1980" s="4"/>
    </row>
    <row r="1981" spans="7:11" x14ac:dyDescent="0.3">
      <c r="G1981" s="4"/>
      <c r="K1981" s="4"/>
    </row>
    <row r="1982" spans="7:11" x14ac:dyDescent="0.3">
      <c r="G1982" s="4"/>
      <c r="K1982" s="4"/>
    </row>
    <row r="1983" spans="7:11" x14ac:dyDescent="0.3">
      <c r="G1983" s="4"/>
      <c r="K1983" s="4"/>
    </row>
    <row r="1984" spans="7:11" x14ac:dyDescent="0.3">
      <c r="G1984" s="4"/>
      <c r="K1984" s="4"/>
    </row>
    <row r="1985" spans="7:11" x14ac:dyDescent="0.3">
      <c r="G1985" s="4"/>
      <c r="K1985" s="4"/>
    </row>
    <row r="1986" spans="7:11" x14ac:dyDescent="0.3">
      <c r="G1986" s="4"/>
      <c r="K1986" s="4"/>
    </row>
    <row r="1987" spans="7:11" x14ac:dyDescent="0.3">
      <c r="G1987" s="4"/>
      <c r="K1987" s="4"/>
    </row>
    <row r="1988" spans="7:11" x14ac:dyDescent="0.3">
      <c r="G1988" s="4"/>
      <c r="K1988" s="4"/>
    </row>
    <row r="1989" spans="7:11" x14ac:dyDescent="0.3">
      <c r="G1989" s="4"/>
      <c r="K1989" s="4"/>
    </row>
    <row r="1990" spans="7:11" x14ac:dyDescent="0.3">
      <c r="G1990" s="4"/>
      <c r="K1990" s="4"/>
    </row>
    <row r="1991" spans="7:11" x14ac:dyDescent="0.3">
      <c r="G1991" s="4"/>
      <c r="K1991" s="4"/>
    </row>
    <row r="1992" spans="7:11" x14ac:dyDescent="0.3">
      <c r="G1992" s="4"/>
      <c r="K1992" s="4"/>
    </row>
    <row r="1993" spans="7:11" x14ac:dyDescent="0.3">
      <c r="G1993" s="4"/>
      <c r="K1993" s="4"/>
    </row>
    <row r="1994" spans="7:11" x14ac:dyDescent="0.3">
      <c r="G1994" s="4"/>
      <c r="K1994" s="4"/>
    </row>
    <row r="1995" spans="7:11" x14ac:dyDescent="0.3">
      <c r="G1995" s="4"/>
      <c r="K1995" s="4"/>
    </row>
    <row r="1996" spans="7:11" x14ac:dyDescent="0.3">
      <c r="G1996" s="4"/>
      <c r="K1996" s="4"/>
    </row>
    <row r="1997" spans="7:11" x14ac:dyDescent="0.3">
      <c r="G1997" s="4"/>
      <c r="K1997" s="4"/>
    </row>
    <row r="1998" spans="7:11" x14ac:dyDescent="0.3">
      <c r="G1998" s="4"/>
      <c r="K1998" s="4"/>
    </row>
    <row r="1999" spans="7:11" x14ac:dyDescent="0.3">
      <c r="G1999" s="4"/>
      <c r="K1999" s="4"/>
    </row>
    <row r="2000" spans="7:11" x14ac:dyDescent="0.3">
      <c r="G2000" s="4"/>
      <c r="K2000" s="4"/>
    </row>
    <row r="2001" spans="7:11" x14ac:dyDescent="0.3">
      <c r="G2001" s="4"/>
      <c r="K2001" s="4"/>
    </row>
    <row r="2002" spans="7:11" x14ac:dyDescent="0.3">
      <c r="G2002" s="4"/>
      <c r="K2002" s="4"/>
    </row>
    <row r="2003" spans="7:11" x14ac:dyDescent="0.3">
      <c r="G2003" s="4"/>
      <c r="K2003" s="4"/>
    </row>
    <row r="2004" spans="7:11" x14ac:dyDescent="0.3">
      <c r="G2004" s="4"/>
      <c r="K2004" s="4"/>
    </row>
    <row r="2005" spans="7:11" x14ac:dyDescent="0.3">
      <c r="G2005" s="4"/>
      <c r="K2005" s="4"/>
    </row>
    <row r="2006" spans="7:11" x14ac:dyDescent="0.3">
      <c r="G2006" s="4"/>
      <c r="K2006" s="4"/>
    </row>
    <row r="2007" spans="7:11" x14ac:dyDescent="0.3">
      <c r="G2007" s="4"/>
      <c r="K2007" s="4"/>
    </row>
    <row r="2008" spans="7:11" x14ac:dyDescent="0.3">
      <c r="G2008" s="4"/>
      <c r="K2008" s="4"/>
    </row>
    <row r="2009" spans="7:11" x14ac:dyDescent="0.3">
      <c r="G2009" s="4"/>
      <c r="K2009" s="4"/>
    </row>
    <row r="2010" spans="7:11" x14ac:dyDescent="0.3">
      <c r="G2010" s="4"/>
      <c r="K2010" s="4"/>
    </row>
    <row r="2011" spans="7:11" x14ac:dyDescent="0.3">
      <c r="G2011" s="4"/>
      <c r="K2011" s="4"/>
    </row>
    <row r="2012" spans="7:11" x14ac:dyDescent="0.3">
      <c r="G2012" s="4"/>
      <c r="K2012" s="4"/>
    </row>
    <row r="2013" spans="7:11" x14ac:dyDescent="0.3">
      <c r="G2013" s="4"/>
      <c r="K2013" s="4"/>
    </row>
    <row r="2014" spans="7:11" x14ac:dyDescent="0.3">
      <c r="G2014" s="4"/>
      <c r="K2014" s="4"/>
    </row>
    <row r="2015" spans="7:11" x14ac:dyDescent="0.3">
      <c r="G2015" s="4"/>
      <c r="K2015" s="4"/>
    </row>
    <row r="2016" spans="7:11" x14ac:dyDescent="0.3">
      <c r="G2016" s="4"/>
      <c r="K2016" s="4"/>
    </row>
    <row r="2017" spans="7:11" x14ac:dyDescent="0.3">
      <c r="G2017" s="4"/>
      <c r="K2017" s="4"/>
    </row>
    <row r="2018" spans="7:11" x14ac:dyDescent="0.3">
      <c r="G2018" s="4"/>
      <c r="K2018" s="4"/>
    </row>
    <row r="2019" spans="7:11" x14ac:dyDescent="0.3">
      <c r="G2019" s="4"/>
      <c r="K2019" s="4"/>
    </row>
    <row r="2020" spans="7:11" x14ac:dyDescent="0.3">
      <c r="G2020" s="4"/>
      <c r="K2020" s="4"/>
    </row>
    <row r="2021" spans="7:11" x14ac:dyDescent="0.3">
      <c r="G2021" s="4"/>
      <c r="K2021" s="4"/>
    </row>
    <row r="2022" spans="7:11" x14ac:dyDescent="0.3">
      <c r="G2022" s="4"/>
      <c r="K2022" s="4"/>
    </row>
    <row r="2023" spans="7:11" x14ac:dyDescent="0.3">
      <c r="G2023" s="4"/>
      <c r="K2023" s="4"/>
    </row>
    <row r="2024" spans="7:11" x14ac:dyDescent="0.3">
      <c r="G2024" s="4"/>
      <c r="K2024" s="4"/>
    </row>
    <row r="2025" spans="7:11" x14ac:dyDescent="0.3">
      <c r="G2025" s="4"/>
      <c r="K2025" s="4"/>
    </row>
    <row r="2026" spans="7:11" x14ac:dyDescent="0.3">
      <c r="G2026" s="4"/>
      <c r="K2026" s="4"/>
    </row>
    <row r="2027" spans="7:11" x14ac:dyDescent="0.3">
      <c r="G2027" s="4"/>
      <c r="K2027" s="4"/>
    </row>
    <row r="2028" spans="7:11" x14ac:dyDescent="0.3">
      <c r="G2028" s="4"/>
      <c r="K2028" s="4"/>
    </row>
    <row r="2029" spans="7:11" x14ac:dyDescent="0.3">
      <c r="G2029" s="4"/>
      <c r="K2029" s="4"/>
    </row>
    <row r="2030" spans="7:11" x14ac:dyDescent="0.3">
      <c r="G2030" s="4"/>
      <c r="K2030" s="4"/>
    </row>
    <row r="2031" spans="7:11" x14ac:dyDescent="0.3">
      <c r="G2031" s="4"/>
      <c r="K2031" s="4"/>
    </row>
    <row r="2032" spans="7:11" x14ac:dyDescent="0.3">
      <c r="G2032" s="4"/>
      <c r="K2032" s="4"/>
    </row>
    <row r="2033" spans="7:11" x14ac:dyDescent="0.3">
      <c r="G2033" s="4"/>
      <c r="K2033" s="4"/>
    </row>
    <row r="2034" spans="7:11" x14ac:dyDescent="0.3">
      <c r="G2034" s="4"/>
      <c r="K2034" s="4"/>
    </row>
    <row r="2035" spans="7:11" x14ac:dyDescent="0.3">
      <c r="G2035" s="4"/>
      <c r="K2035" s="4"/>
    </row>
    <row r="2036" spans="7:11" x14ac:dyDescent="0.3">
      <c r="G2036" s="4"/>
      <c r="K2036" s="4"/>
    </row>
    <row r="2037" spans="7:11" x14ac:dyDescent="0.3">
      <c r="G2037" s="4"/>
      <c r="K2037" s="4"/>
    </row>
    <row r="2038" spans="7:11" x14ac:dyDescent="0.3">
      <c r="G2038" s="4"/>
      <c r="K2038" s="4"/>
    </row>
    <row r="2039" spans="7:11" x14ac:dyDescent="0.3">
      <c r="G2039" s="4"/>
      <c r="K2039" s="4"/>
    </row>
    <row r="2040" spans="7:11" x14ac:dyDescent="0.3">
      <c r="G2040" s="4"/>
      <c r="K2040" s="4"/>
    </row>
    <row r="2041" spans="7:11" x14ac:dyDescent="0.3">
      <c r="G2041" s="4"/>
      <c r="K2041" s="4"/>
    </row>
    <row r="2042" spans="7:11" x14ac:dyDescent="0.3">
      <c r="G2042" s="4"/>
      <c r="K2042" s="4"/>
    </row>
    <row r="2043" spans="7:11" x14ac:dyDescent="0.3">
      <c r="G2043" s="4"/>
      <c r="K2043" s="4"/>
    </row>
    <row r="2044" spans="7:11" x14ac:dyDescent="0.3">
      <c r="G2044" s="4"/>
      <c r="K2044" s="4"/>
    </row>
    <row r="2045" spans="7:11" x14ac:dyDescent="0.3">
      <c r="G2045" s="4"/>
      <c r="K2045" s="4"/>
    </row>
    <row r="2046" spans="7:11" x14ac:dyDescent="0.3">
      <c r="G2046" s="4"/>
      <c r="K2046" s="4"/>
    </row>
    <row r="2047" spans="7:11" x14ac:dyDescent="0.3">
      <c r="G2047" s="4"/>
      <c r="K2047" s="4"/>
    </row>
    <row r="2048" spans="7:11" x14ac:dyDescent="0.3">
      <c r="G2048" s="4"/>
      <c r="K2048" s="4"/>
    </row>
    <row r="2049" spans="7:11" x14ac:dyDescent="0.3">
      <c r="G2049" s="4"/>
      <c r="K2049" s="4"/>
    </row>
    <row r="2050" spans="7:11" x14ac:dyDescent="0.3">
      <c r="G2050" s="4"/>
      <c r="K2050" s="4"/>
    </row>
    <row r="2051" spans="7:11" x14ac:dyDescent="0.3">
      <c r="G2051" s="4"/>
      <c r="K2051" s="4"/>
    </row>
    <row r="2052" spans="7:11" x14ac:dyDescent="0.3">
      <c r="G2052" s="4"/>
      <c r="K2052" s="4"/>
    </row>
    <row r="2053" spans="7:11" x14ac:dyDescent="0.3">
      <c r="G2053" s="4"/>
      <c r="K2053" s="4"/>
    </row>
    <row r="2054" spans="7:11" x14ac:dyDescent="0.3">
      <c r="G2054" s="4"/>
      <c r="K2054" s="4"/>
    </row>
    <row r="2055" spans="7:11" x14ac:dyDescent="0.3">
      <c r="G2055" s="4"/>
      <c r="K2055" s="4"/>
    </row>
    <row r="2056" spans="7:11" x14ac:dyDescent="0.3">
      <c r="G2056" s="4"/>
      <c r="K2056" s="4"/>
    </row>
    <row r="2057" spans="7:11" x14ac:dyDescent="0.3">
      <c r="G2057" s="4"/>
      <c r="K2057" s="4"/>
    </row>
    <row r="2058" spans="7:11" x14ac:dyDescent="0.3">
      <c r="G2058" s="4"/>
      <c r="K2058" s="4"/>
    </row>
    <row r="2059" spans="7:11" x14ac:dyDescent="0.3">
      <c r="G2059" s="4"/>
      <c r="K2059" s="4"/>
    </row>
    <row r="2060" spans="7:11" x14ac:dyDescent="0.3">
      <c r="G2060" s="4"/>
      <c r="K2060" s="4"/>
    </row>
    <row r="2061" spans="7:11" x14ac:dyDescent="0.3">
      <c r="G2061" s="4"/>
      <c r="K2061" s="4"/>
    </row>
    <row r="2062" spans="7:11" x14ac:dyDescent="0.3">
      <c r="G2062" s="4"/>
      <c r="K2062" s="4"/>
    </row>
    <row r="2063" spans="7:11" x14ac:dyDescent="0.3">
      <c r="G2063" s="4"/>
      <c r="K2063" s="4"/>
    </row>
    <row r="2064" spans="7:11" x14ac:dyDescent="0.3">
      <c r="G2064" s="4"/>
      <c r="K2064" s="4"/>
    </row>
    <row r="2065" spans="7:11" x14ac:dyDescent="0.3">
      <c r="G2065" s="4"/>
      <c r="K2065" s="4"/>
    </row>
    <row r="2066" spans="7:11" x14ac:dyDescent="0.3">
      <c r="G2066" s="4"/>
      <c r="K2066" s="4"/>
    </row>
    <row r="2067" spans="7:11" x14ac:dyDescent="0.3">
      <c r="G2067" s="4"/>
      <c r="K2067" s="4"/>
    </row>
    <row r="2068" spans="7:11" x14ac:dyDescent="0.3">
      <c r="G2068" s="4"/>
      <c r="K2068" s="4"/>
    </row>
    <row r="2069" spans="7:11" x14ac:dyDescent="0.3">
      <c r="G2069" s="4"/>
      <c r="K2069" s="4"/>
    </row>
    <row r="2070" spans="7:11" x14ac:dyDescent="0.3">
      <c r="G2070" s="4"/>
      <c r="K2070" s="4"/>
    </row>
    <row r="2071" spans="7:11" x14ac:dyDescent="0.3">
      <c r="G2071" s="4"/>
      <c r="K2071" s="4"/>
    </row>
    <row r="2072" spans="7:11" x14ac:dyDescent="0.3">
      <c r="G2072" s="4"/>
      <c r="K2072" s="4"/>
    </row>
    <row r="2073" spans="7:11" x14ac:dyDescent="0.3">
      <c r="G2073" s="4"/>
      <c r="K2073" s="4"/>
    </row>
    <row r="2074" spans="7:11" x14ac:dyDescent="0.3">
      <c r="G2074" s="4"/>
      <c r="K2074" s="4"/>
    </row>
    <row r="2075" spans="7:11" x14ac:dyDescent="0.3">
      <c r="G2075" s="4"/>
      <c r="K2075" s="4"/>
    </row>
    <row r="2076" spans="7:11" x14ac:dyDescent="0.3">
      <c r="G2076" s="4"/>
      <c r="K2076" s="4"/>
    </row>
    <row r="2077" spans="7:11" x14ac:dyDescent="0.3">
      <c r="G2077" s="4"/>
      <c r="K2077" s="4"/>
    </row>
    <row r="2078" spans="7:11" x14ac:dyDescent="0.3">
      <c r="G2078" s="4"/>
      <c r="K2078" s="4"/>
    </row>
    <row r="2079" spans="7:11" x14ac:dyDescent="0.3">
      <c r="G2079" s="4"/>
      <c r="K2079" s="4"/>
    </row>
    <row r="2080" spans="7:11" x14ac:dyDescent="0.3">
      <c r="G2080" s="4"/>
      <c r="K2080" s="4"/>
    </row>
    <row r="2081" spans="7:11" x14ac:dyDescent="0.3">
      <c r="G2081" s="4"/>
      <c r="K2081" s="4"/>
    </row>
    <row r="2082" spans="7:11" x14ac:dyDescent="0.3">
      <c r="G2082" s="4"/>
      <c r="K2082" s="4"/>
    </row>
    <row r="2083" spans="7:11" x14ac:dyDescent="0.3">
      <c r="G2083" s="4"/>
      <c r="K2083" s="4"/>
    </row>
    <row r="2084" spans="7:11" x14ac:dyDescent="0.3">
      <c r="G2084" s="4"/>
      <c r="K2084" s="4"/>
    </row>
    <row r="2085" spans="7:11" x14ac:dyDescent="0.3">
      <c r="G2085" s="4"/>
      <c r="K2085" s="4"/>
    </row>
    <row r="2086" spans="7:11" x14ac:dyDescent="0.3">
      <c r="G2086" s="4"/>
      <c r="K2086" s="4"/>
    </row>
    <row r="2087" spans="7:11" x14ac:dyDescent="0.3">
      <c r="G2087" s="4"/>
      <c r="K2087" s="4"/>
    </row>
    <row r="2088" spans="7:11" x14ac:dyDescent="0.3">
      <c r="G2088" s="4"/>
      <c r="K2088" s="4"/>
    </row>
    <row r="2089" spans="7:11" x14ac:dyDescent="0.3">
      <c r="G2089" s="4"/>
      <c r="K2089" s="4"/>
    </row>
    <row r="2090" spans="7:11" x14ac:dyDescent="0.3">
      <c r="G2090" s="4"/>
      <c r="K2090" s="4"/>
    </row>
    <row r="2091" spans="7:11" x14ac:dyDescent="0.3">
      <c r="G2091" s="4"/>
      <c r="K2091" s="4"/>
    </row>
    <row r="2092" spans="7:11" x14ac:dyDescent="0.3">
      <c r="G2092" s="4"/>
      <c r="K2092" s="4"/>
    </row>
    <row r="2093" spans="7:11" x14ac:dyDescent="0.3">
      <c r="G2093" s="4"/>
      <c r="K2093" s="4"/>
    </row>
    <row r="2094" spans="7:11" x14ac:dyDescent="0.3">
      <c r="G2094" s="4"/>
      <c r="K2094" s="4"/>
    </row>
    <row r="2095" spans="7:11" x14ac:dyDescent="0.3">
      <c r="G2095" s="4"/>
      <c r="K2095" s="4"/>
    </row>
    <row r="2096" spans="7:11" x14ac:dyDescent="0.3">
      <c r="G2096" s="4"/>
      <c r="K2096" s="4"/>
    </row>
    <row r="2097" spans="7:11" x14ac:dyDescent="0.3">
      <c r="G2097" s="4"/>
      <c r="K2097" s="4"/>
    </row>
    <row r="2098" spans="7:11" x14ac:dyDescent="0.3">
      <c r="G2098" s="4"/>
      <c r="K2098" s="4"/>
    </row>
    <row r="2099" spans="7:11" x14ac:dyDescent="0.3">
      <c r="G2099" s="4"/>
      <c r="K2099" s="4"/>
    </row>
    <row r="2100" spans="7:11" x14ac:dyDescent="0.3">
      <c r="G2100" s="4"/>
      <c r="K2100" s="4"/>
    </row>
    <row r="2101" spans="7:11" x14ac:dyDescent="0.3">
      <c r="G2101" s="4"/>
      <c r="K2101" s="4"/>
    </row>
    <row r="2102" spans="7:11" x14ac:dyDescent="0.3">
      <c r="G2102" s="4"/>
      <c r="K2102" s="4"/>
    </row>
    <row r="2103" spans="7:11" x14ac:dyDescent="0.3">
      <c r="G2103" s="4"/>
      <c r="K2103" s="4"/>
    </row>
    <row r="2104" spans="7:11" x14ac:dyDescent="0.3">
      <c r="G2104" s="4"/>
      <c r="K2104" s="4"/>
    </row>
    <row r="2105" spans="7:11" x14ac:dyDescent="0.3">
      <c r="G2105" s="4"/>
      <c r="K2105" s="4"/>
    </row>
    <row r="2106" spans="7:11" x14ac:dyDescent="0.3">
      <c r="G2106" s="4"/>
      <c r="K2106" s="4"/>
    </row>
    <row r="2107" spans="7:11" x14ac:dyDescent="0.3">
      <c r="G2107" s="4"/>
      <c r="K2107" s="4"/>
    </row>
    <row r="2108" spans="7:11" x14ac:dyDescent="0.3">
      <c r="G2108" s="4"/>
      <c r="K2108" s="4"/>
    </row>
    <row r="2109" spans="7:11" x14ac:dyDescent="0.3">
      <c r="G2109" s="4"/>
      <c r="K2109" s="4"/>
    </row>
    <row r="2110" spans="7:11" x14ac:dyDescent="0.3">
      <c r="G2110" s="4"/>
      <c r="K2110" s="4"/>
    </row>
    <row r="2111" spans="7:11" x14ac:dyDescent="0.3">
      <c r="G2111" s="4"/>
      <c r="K2111" s="4"/>
    </row>
    <row r="2112" spans="7:11" x14ac:dyDescent="0.3">
      <c r="G2112" s="4"/>
      <c r="K2112" s="4"/>
    </row>
    <row r="2113" spans="7:11" x14ac:dyDescent="0.3">
      <c r="G2113" s="4"/>
      <c r="K2113" s="4"/>
    </row>
    <row r="2114" spans="7:11" x14ac:dyDescent="0.3">
      <c r="G2114" s="4"/>
      <c r="K2114" s="4"/>
    </row>
    <row r="2115" spans="7:11" x14ac:dyDescent="0.3">
      <c r="G2115" s="4"/>
      <c r="K2115" s="4"/>
    </row>
    <row r="2116" spans="7:11" x14ac:dyDescent="0.3">
      <c r="G2116" s="4"/>
      <c r="K2116" s="4"/>
    </row>
    <row r="2117" spans="7:11" x14ac:dyDescent="0.3">
      <c r="G2117" s="4"/>
      <c r="K2117" s="4"/>
    </row>
    <row r="2118" spans="7:11" x14ac:dyDescent="0.3">
      <c r="G2118" s="4"/>
      <c r="K2118" s="4"/>
    </row>
    <row r="2119" spans="7:11" x14ac:dyDescent="0.3">
      <c r="G2119" s="4"/>
      <c r="K2119" s="4"/>
    </row>
    <row r="2120" spans="7:11" x14ac:dyDescent="0.3">
      <c r="G2120" s="4"/>
      <c r="K2120" s="4"/>
    </row>
    <row r="2121" spans="7:11" x14ac:dyDescent="0.3">
      <c r="G2121" s="4"/>
      <c r="K2121" s="4"/>
    </row>
    <row r="2122" spans="7:11" x14ac:dyDescent="0.3">
      <c r="G2122" s="4"/>
      <c r="K2122" s="4"/>
    </row>
    <row r="2123" spans="7:11" x14ac:dyDescent="0.3">
      <c r="G2123" s="4"/>
      <c r="K2123" s="4"/>
    </row>
    <row r="2124" spans="7:11" x14ac:dyDescent="0.3">
      <c r="G2124" s="4"/>
      <c r="K2124" s="4"/>
    </row>
    <row r="2125" spans="7:11" x14ac:dyDescent="0.3">
      <c r="G2125" s="4"/>
      <c r="K2125" s="4"/>
    </row>
    <row r="2126" spans="7:11" x14ac:dyDescent="0.3">
      <c r="G2126" s="4"/>
      <c r="K2126" s="4"/>
    </row>
    <row r="2127" spans="7:11" x14ac:dyDescent="0.3">
      <c r="G2127" s="4"/>
      <c r="K2127" s="4"/>
    </row>
    <row r="2128" spans="7:11" x14ac:dyDescent="0.3">
      <c r="G2128" s="4"/>
      <c r="K2128" s="4"/>
    </row>
    <row r="2129" spans="7:11" x14ac:dyDescent="0.3">
      <c r="G2129" s="4"/>
      <c r="K2129" s="4"/>
    </row>
    <row r="2130" spans="7:11" x14ac:dyDescent="0.3">
      <c r="G2130" s="4"/>
      <c r="K2130" s="4"/>
    </row>
    <row r="2131" spans="7:11" x14ac:dyDescent="0.3">
      <c r="G2131" s="4"/>
      <c r="K2131" s="4"/>
    </row>
    <row r="2132" spans="7:11" x14ac:dyDescent="0.3">
      <c r="G2132" s="4"/>
      <c r="K2132" s="4"/>
    </row>
    <row r="2133" spans="7:11" x14ac:dyDescent="0.3">
      <c r="G2133" s="4"/>
      <c r="K2133" s="4"/>
    </row>
    <row r="2134" spans="7:11" x14ac:dyDescent="0.3">
      <c r="G2134" s="4"/>
      <c r="K2134" s="4"/>
    </row>
    <row r="2135" spans="7:11" x14ac:dyDescent="0.3">
      <c r="G2135" s="4"/>
      <c r="K2135" s="4"/>
    </row>
    <row r="2136" spans="7:11" x14ac:dyDescent="0.3">
      <c r="G2136" s="4"/>
      <c r="K2136" s="4"/>
    </row>
    <row r="2137" spans="7:11" x14ac:dyDescent="0.3">
      <c r="G2137" s="4"/>
      <c r="K2137" s="4"/>
    </row>
    <row r="2138" spans="7:11" x14ac:dyDescent="0.3">
      <c r="G2138" s="4"/>
      <c r="K2138" s="4"/>
    </row>
    <row r="2139" spans="7:11" x14ac:dyDescent="0.3">
      <c r="G2139" s="4"/>
      <c r="K2139" s="4"/>
    </row>
    <row r="2140" spans="7:11" x14ac:dyDescent="0.3">
      <c r="G2140" s="4"/>
      <c r="K2140" s="4"/>
    </row>
    <row r="2141" spans="7:11" x14ac:dyDescent="0.3">
      <c r="G2141" s="4"/>
      <c r="K2141" s="4"/>
    </row>
    <row r="2142" spans="7:11" x14ac:dyDescent="0.3">
      <c r="G2142" s="4"/>
      <c r="K2142" s="4"/>
    </row>
    <row r="2143" spans="7:11" x14ac:dyDescent="0.3">
      <c r="G2143" s="4"/>
      <c r="K2143" s="4"/>
    </row>
    <row r="2144" spans="7:11" x14ac:dyDescent="0.3">
      <c r="G2144" s="4"/>
      <c r="K2144" s="4"/>
    </row>
    <row r="2145" spans="7:11" x14ac:dyDescent="0.3">
      <c r="G2145" s="4"/>
      <c r="K2145" s="4"/>
    </row>
    <row r="2146" spans="7:11" x14ac:dyDescent="0.3">
      <c r="G2146" s="4"/>
      <c r="K2146" s="4"/>
    </row>
    <row r="2147" spans="7:11" x14ac:dyDescent="0.3">
      <c r="G2147" s="4"/>
      <c r="K2147" s="4"/>
    </row>
    <row r="2148" spans="7:11" x14ac:dyDescent="0.3">
      <c r="G2148" s="4"/>
      <c r="K2148" s="4"/>
    </row>
    <row r="2149" spans="7:11" x14ac:dyDescent="0.3">
      <c r="G2149" s="4"/>
      <c r="K2149" s="4"/>
    </row>
    <row r="2150" spans="7:11" x14ac:dyDescent="0.3">
      <c r="G2150" s="4"/>
      <c r="K2150" s="4"/>
    </row>
    <row r="2151" spans="7:11" x14ac:dyDescent="0.3">
      <c r="G2151" s="4"/>
      <c r="K2151" s="4"/>
    </row>
    <row r="2152" spans="7:11" x14ac:dyDescent="0.3">
      <c r="G2152" s="4"/>
      <c r="K2152" s="4"/>
    </row>
    <row r="2153" spans="7:11" x14ac:dyDescent="0.3">
      <c r="G2153" s="4"/>
      <c r="K2153" s="4"/>
    </row>
    <row r="2154" spans="7:11" x14ac:dyDescent="0.3">
      <c r="G2154" s="4"/>
      <c r="K2154" s="4"/>
    </row>
    <row r="2155" spans="7:11" x14ac:dyDescent="0.3">
      <c r="G2155" s="4"/>
      <c r="K2155" s="4"/>
    </row>
    <row r="2156" spans="7:11" x14ac:dyDescent="0.3">
      <c r="G2156" s="4"/>
      <c r="K2156" s="4"/>
    </row>
    <row r="2157" spans="7:11" x14ac:dyDescent="0.3">
      <c r="G2157" s="4"/>
      <c r="K2157" s="4"/>
    </row>
    <row r="2158" spans="7:11" x14ac:dyDescent="0.3">
      <c r="G2158" s="4"/>
      <c r="K2158" s="4"/>
    </row>
    <row r="2159" spans="7:11" x14ac:dyDescent="0.3">
      <c r="G2159" s="4"/>
      <c r="K2159" s="4"/>
    </row>
    <row r="2160" spans="7:11" x14ac:dyDescent="0.3">
      <c r="G2160" s="4"/>
      <c r="K2160" s="4"/>
    </row>
    <row r="2161" spans="7:11" x14ac:dyDescent="0.3">
      <c r="G2161" s="4"/>
      <c r="K2161" s="4"/>
    </row>
    <row r="2162" spans="7:11" x14ac:dyDescent="0.3">
      <c r="G2162" s="4"/>
      <c r="K2162" s="4"/>
    </row>
    <row r="2163" spans="7:11" x14ac:dyDescent="0.3">
      <c r="G2163" s="4"/>
      <c r="K2163" s="4"/>
    </row>
    <row r="2164" spans="7:11" x14ac:dyDescent="0.3">
      <c r="G2164" s="4"/>
      <c r="K2164" s="4"/>
    </row>
    <row r="2165" spans="7:11" x14ac:dyDescent="0.3">
      <c r="G2165" s="4"/>
      <c r="K2165" s="4"/>
    </row>
    <row r="2166" spans="7:11" x14ac:dyDescent="0.3">
      <c r="G2166" s="4"/>
      <c r="K2166" s="4"/>
    </row>
    <row r="2167" spans="7:11" x14ac:dyDescent="0.3">
      <c r="G2167" s="4"/>
      <c r="K2167" s="4"/>
    </row>
    <row r="2168" spans="7:11" x14ac:dyDescent="0.3">
      <c r="G2168" s="4"/>
      <c r="K2168" s="4"/>
    </row>
    <row r="2169" spans="7:11" x14ac:dyDescent="0.3">
      <c r="G2169" s="4"/>
      <c r="K2169" s="4"/>
    </row>
    <row r="2170" spans="7:11" x14ac:dyDescent="0.3">
      <c r="G2170" s="4"/>
      <c r="K2170" s="4"/>
    </row>
    <row r="2171" spans="7:11" x14ac:dyDescent="0.3">
      <c r="G2171" s="4"/>
      <c r="K2171" s="4"/>
    </row>
    <row r="2172" spans="7:11" x14ac:dyDescent="0.3">
      <c r="G2172" s="4"/>
      <c r="K2172" s="4"/>
    </row>
    <row r="2173" spans="7:11" x14ac:dyDescent="0.3">
      <c r="G2173" s="4"/>
      <c r="K2173" s="4"/>
    </row>
    <row r="2174" spans="7:11" x14ac:dyDescent="0.3">
      <c r="G2174" s="4"/>
      <c r="K2174" s="4"/>
    </row>
    <row r="2175" spans="7:11" x14ac:dyDescent="0.3">
      <c r="G2175" s="4"/>
      <c r="K2175" s="4"/>
    </row>
    <row r="2176" spans="7:11" x14ac:dyDescent="0.3">
      <c r="G2176" s="4"/>
      <c r="K2176" s="4"/>
    </row>
    <row r="2177" spans="7:11" x14ac:dyDescent="0.3">
      <c r="G2177" s="4"/>
      <c r="K2177" s="4"/>
    </row>
    <row r="2178" spans="7:11" x14ac:dyDescent="0.3">
      <c r="G2178" s="4"/>
      <c r="K2178" s="4"/>
    </row>
    <row r="2179" spans="7:11" x14ac:dyDescent="0.3">
      <c r="G2179" s="4"/>
      <c r="K2179" s="4"/>
    </row>
    <row r="2180" spans="7:11" x14ac:dyDescent="0.3">
      <c r="G2180" s="4"/>
      <c r="K2180" s="4"/>
    </row>
    <row r="2181" spans="7:11" x14ac:dyDescent="0.3">
      <c r="G2181" s="4"/>
      <c r="K2181" s="4"/>
    </row>
    <row r="2182" spans="7:11" x14ac:dyDescent="0.3">
      <c r="G2182" s="4"/>
      <c r="K2182" s="4"/>
    </row>
    <row r="2183" spans="7:11" x14ac:dyDescent="0.3">
      <c r="G2183" s="4"/>
      <c r="K2183" s="4"/>
    </row>
    <row r="2184" spans="7:11" x14ac:dyDescent="0.3">
      <c r="G2184" s="4"/>
      <c r="K2184" s="4"/>
    </row>
    <row r="2185" spans="7:11" x14ac:dyDescent="0.3">
      <c r="G2185" s="4"/>
      <c r="K2185" s="4"/>
    </row>
    <row r="2186" spans="7:11" x14ac:dyDescent="0.3">
      <c r="G2186" s="4"/>
      <c r="K2186" s="4"/>
    </row>
    <row r="2187" spans="7:11" x14ac:dyDescent="0.3">
      <c r="G2187" s="4"/>
      <c r="K2187" s="4"/>
    </row>
    <row r="2188" spans="7:11" x14ac:dyDescent="0.3">
      <c r="G2188" s="4"/>
      <c r="K2188" s="4"/>
    </row>
    <row r="2189" spans="7:11" x14ac:dyDescent="0.3">
      <c r="G2189" s="4"/>
      <c r="K2189" s="4"/>
    </row>
    <row r="2190" spans="7:11" x14ac:dyDescent="0.3">
      <c r="G2190" s="4"/>
      <c r="K2190" s="4"/>
    </row>
    <row r="2191" spans="7:11" x14ac:dyDescent="0.3">
      <c r="G2191" s="4"/>
      <c r="K2191" s="4"/>
    </row>
    <row r="2192" spans="7:11" x14ac:dyDescent="0.3">
      <c r="G2192" s="4"/>
      <c r="K2192" s="4"/>
    </row>
    <row r="2193" spans="7:11" x14ac:dyDescent="0.3">
      <c r="G2193" s="4"/>
      <c r="K2193" s="4"/>
    </row>
    <row r="2194" spans="7:11" x14ac:dyDescent="0.3">
      <c r="G2194" s="4"/>
      <c r="K2194" s="4"/>
    </row>
    <row r="2195" spans="7:11" x14ac:dyDescent="0.3">
      <c r="G2195" s="4"/>
      <c r="K2195" s="4"/>
    </row>
    <row r="2196" spans="7:11" x14ac:dyDescent="0.3">
      <c r="G2196" s="4"/>
      <c r="K2196" s="4"/>
    </row>
    <row r="2197" spans="7:11" x14ac:dyDescent="0.3">
      <c r="G2197" s="4"/>
      <c r="K2197" s="4"/>
    </row>
    <row r="2198" spans="7:11" x14ac:dyDescent="0.3">
      <c r="G2198" s="4"/>
      <c r="K2198" s="4"/>
    </row>
    <row r="2199" spans="7:11" x14ac:dyDescent="0.3">
      <c r="G2199" s="4"/>
      <c r="K2199" s="4"/>
    </row>
    <row r="2200" spans="7:11" x14ac:dyDescent="0.3">
      <c r="G2200" s="4"/>
      <c r="K2200" s="4"/>
    </row>
    <row r="2201" spans="7:11" x14ac:dyDescent="0.3">
      <c r="G2201" s="4"/>
      <c r="K2201" s="4"/>
    </row>
    <row r="2202" spans="7:11" x14ac:dyDescent="0.3">
      <c r="G2202" s="4"/>
      <c r="K2202" s="4"/>
    </row>
    <row r="2203" spans="7:11" x14ac:dyDescent="0.3">
      <c r="G2203" s="4"/>
      <c r="K2203" s="4"/>
    </row>
    <row r="2204" spans="7:11" x14ac:dyDescent="0.3">
      <c r="G2204" s="4"/>
      <c r="K2204" s="4"/>
    </row>
    <row r="2205" spans="7:11" x14ac:dyDescent="0.3">
      <c r="G2205" s="4"/>
      <c r="K2205" s="4"/>
    </row>
    <row r="2206" spans="7:11" x14ac:dyDescent="0.3">
      <c r="G2206" s="4"/>
      <c r="K2206" s="4"/>
    </row>
    <row r="2207" spans="7:11" x14ac:dyDescent="0.3">
      <c r="G2207" s="4"/>
      <c r="K2207" s="4"/>
    </row>
    <row r="2208" spans="7:11" x14ac:dyDescent="0.3">
      <c r="G2208" s="4"/>
      <c r="K2208" s="4"/>
    </row>
    <row r="2209" spans="7:11" x14ac:dyDescent="0.3">
      <c r="G2209" s="4"/>
      <c r="K2209" s="4"/>
    </row>
    <row r="2210" spans="7:11" x14ac:dyDescent="0.3">
      <c r="G2210" s="4"/>
      <c r="K2210" s="4"/>
    </row>
    <row r="2211" spans="7:11" x14ac:dyDescent="0.3">
      <c r="G2211" s="4"/>
      <c r="K2211" s="4"/>
    </row>
    <row r="2212" spans="7:11" x14ac:dyDescent="0.3">
      <c r="G2212" s="4"/>
      <c r="K2212" s="4"/>
    </row>
    <row r="2213" spans="7:11" x14ac:dyDescent="0.3">
      <c r="G2213" s="4"/>
      <c r="K2213" s="4"/>
    </row>
    <row r="2214" spans="7:11" x14ac:dyDescent="0.3">
      <c r="G2214" s="4"/>
      <c r="K2214" s="4"/>
    </row>
    <row r="2215" spans="7:11" x14ac:dyDescent="0.3">
      <c r="G2215" s="4"/>
      <c r="K2215" s="4"/>
    </row>
    <row r="2216" spans="7:11" x14ac:dyDescent="0.3">
      <c r="G2216" s="4"/>
      <c r="K2216" s="4"/>
    </row>
    <row r="2217" spans="7:11" x14ac:dyDescent="0.3">
      <c r="G2217" s="4"/>
      <c r="K2217" s="4"/>
    </row>
    <row r="2218" spans="7:11" x14ac:dyDescent="0.3">
      <c r="G2218" s="4"/>
      <c r="K2218" s="4"/>
    </row>
    <row r="2219" spans="7:11" x14ac:dyDescent="0.3">
      <c r="G2219" s="4"/>
      <c r="K2219" s="4"/>
    </row>
    <row r="2220" spans="7:11" x14ac:dyDescent="0.3">
      <c r="G2220" s="4"/>
      <c r="K2220" s="4"/>
    </row>
    <row r="2221" spans="7:11" x14ac:dyDescent="0.3">
      <c r="G2221" s="4"/>
      <c r="K2221" s="4"/>
    </row>
    <row r="2222" spans="7:11" x14ac:dyDescent="0.3">
      <c r="G2222" s="4"/>
      <c r="K2222" s="4"/>
    </row>
    <row r="2223" spans="7:11" x14ac:dyDescent="0.3">
      <c r="G2223" s="4"/>
      <c r="K2223" s="4"/>
    </row>
    <row r="2224" spans="7:11" x14ac:dyDescent="0.3">
      <c r="G2224" s="4"/>
      <c r="K2224" s="4"/>
    </row>
    <row r="2225" spans="7:11" x14ac:dyDescent="0.3">
      <c r="G2225" s="4"/>
      <c r="K2225" s="4"/>
    </row>
    <row r="2226" spans="7:11" x14ac:dyDescent="0.3">
      <c r="G2226" s="4"/>
      <c r="K2226" s="4"/>
    </row>
    <row r="2227" spans="7:11" x14ac:dyDescent="0.3">
      <c r="G2227" s="4"/>
      <c r="K2227" s="4"/>
    </row>
    <row r="2228" spans="7:11" x14ac:dyDescent="0.3">
      <c r="G2228" s="4"/>
      <c r="K2228" s="4"/>
    </row>
    <row r="2229" spans="7:11" x14ac:dyDescent="0.3">
      <c r="G2229" s="4"/>
      <c r="K2229" s="4"/>
    </row>
    <row r="2230" spans="7:11" x14ac:dyDescent="0.3">
      <c r="G2230" s="4"/>
      <c r="K2230" s="4"/>
    </row>
    <row r="2231" spans="7:11" x14ac:dyDescent="0.3">
      <c r="G2231" s="4"/>
      <c r="K2231" s="4"/>
    </row>
    <row r="2232" spans="7:11" x14ac:dyDescent="0.3">
      <c r="G2232" s="4"/>
      <c r="K2232" s="4"/>
    </row>
    <row r="2233" spans="7:11" x14ac:dyDescent="0.3">
      <c r="G2233" s="4"/>
      <c r="K2233" s="4"/>
    </row>
    <row r="2234" spans="7:11" x14ac:dyDescent="0.3">
      <c r="G2234" s="4"/>
      <c r="K2234" s="4"/>
    </row>
    <row r="2235" spans="7:11" x14ac:dyDescent="0.3">
      <c r="G2235" s="4"/>
      <c r="K2235" s="4"/>
    </row>
    <row r="2236" spans="7:11" x14ac:dyDescent="0.3">
      <c r="G2236" s="4"/>
      <c r="K2236" s="4"/>
    </row>
    <row r="2237" spans="7:11" x14ac:dyDescent="0.3">
      <c r="G2237" s="4"/>
      <c r="K2237" s="4"/>
    </row>
    <row r="2238" spans="7:11" x14ac:dyDescent="0.3">
      <c r="G2238" s="4"/>
      <c r="K2238" s="4"/>
    </row>
    <row r="2239" spans="7:11" x14ac:dyDescent="0.3">
      <c r="G2239" s="4"/>
      <c r="K2239" s="4"/>
    </row>
    <row r="2240" spans="7:11" x14ac:dyDescent="0.3">
      <c r="G2240" s="4"/>
      <c r="K2240" s="4"/>
    </row>
    <row r="2241" spans="7:11" x14ac:dyDescent="0.3">
      <c r="G2241" s="4"/>
      <c r="K2241" s="4"/>
    </row>
    <row r="2242" spans="7:11" x14ac:dyDescent="0.3">
      <c r="G2242" s="4"/>
      <c r="K2242" s="4"/>
    </row>
    <row r="2243" spans="7:11" x14ac:dyDescent="0.3">
      <c r="G2243" s="4"/>
      <c r="K2243" s="4"/>
    </row>
    <row r="2244" spans="7:11" x14ac:dyDescent="0.3">
      <c r="G2244" s="4"/>
      <c r="K2244" s="4"/>
    </row>
    <row r="2245" spans="7:11" x14ac:dyDescent="0.3">
      <c r="G2245" s="4"/>
      <c r="K2245" s="4"/>
    </row>
    <row r="2246" spans="7:11" x14ac:dyDescent="0.3">
      <c r="G2246" s="4"/>
      <c r="K2246" s="4"/>
    </row>
    <row r="2247" spans="7:11" x14ac:dyDescent="0.3">
      <c r="G2247" s="4"/>
      <c r="K2247" s="4"/>
    </row>
    <row r="2248" spans="7:11" x14ac:dyDescent="0.3">
      <c r="G2248" s="4"/>
      <c r="K2248" s="4"/>
    </row>
    <row r="2249" spans="7:11" x14ac:dyDescent="0.3">
      <c r="G2249" s="4"/>
      <c r="K2249" s="4"/>
    </row>
    <row r="2250" spans="7:11" x14ac:dyDescent="0.3">
      <c r="G2250" s="4"/>
      <c r="K2250" s="4"/>
    </row>
    <row r="2251" spans="7:11" x14ac:dyDescent="0.3">
      <c r="G2251" s="4"/>
      <c r="K2251" s="4"/>
    </row>
    <row r="2252" spans="7:11" x14ac:dyDescent="0.3">
      <c r="G2252" s="4"/>
      <c r="K2252" s="4"/>
    </row>
    <row r="2253" spans="7:11" x14ac:dyDescent="0.3">
      <c r="G2253" s="4"/>
      <c r="K2253" s="4"/>
    </row>
    <row r="2254" spans="7:11" x14ac:dyDescent="0.3">
      <c r="G2254" s="4"/>
      <c r="K2254" s="4"/>
    </row>
    <row r="2255" spans="7:11" x14ac:dyDescent="0.3">
      <c r="G2255" s="4"/>
      <c r="K2255" s="4"/>
    </row>
    <row r="2256" spans="7:11" x14ac:dyDescent="0.3">
      <c r="G2256" s="4"/>
      <c r="K2256" s="4"/>
    </row>
    <row r="2257" spans="7:11" x14ac:dyDescent="0.3">
      <c r="G2257" s="4"/>
      <c r="K2257" s="4"/>
    </row>
    <row r="2258" spans="7:11" x14ac:dyDescent="0.3">
      <c r="G2258" s="4"/>
      <c r="K2258" s="4"/>
    </row>
    <row r="2259" spans="7:11" x14ac:dyDescent="0.3">
      <c r="G2259" s="4"/>
      <c r="K2259" s="4"/>
    </row>
    <row r="2260" spans="7:11" x14ac:dyDescent="0.3">
      <c r="G2260" s="4"/>
      <c r="K2260" s="4"/>
    </row>
    <row r="2261" spans="7:11" x14ac:dyDescent="0.3">
      <c r="G2261" s="4"/>
      <c r="K2261" s="4"/>
    </row>
    <row r="2262" spans="7:11" x14ac:dyDescent="0.3">
      <c r="G2262" s="4"/>
      <c r="K2262" s="4"/>
    </row>
    <row r="2263" spans="7:11" x14ac:dyDescent="0.3">
      <c r="G2263" s="4"/>
      <c r="K2263" s="4"/>
    </row>
    <row r="2264" spans="7:11" x14ac:dyDescent="0.3">
      <c r="G2264" s="4"/>
      <c r="K2264" s="4"/>
    </row>
    <row r="2265" spans="7:11" x14ac:dyDescent="0.3">
      <c r="G2265" s="4"/>
      <c r="K2265" s="4"/>
    </row>
    <row r="2266" spans="7:11" x14ac:dyDescent="0.3">
      <c r="G2266" s="4"/>
      <c r="K2266" s="4"/>
    </row>
    <row r="2267" spans="7:11" x14ac:dyDescent="0.3">
      <c r="G2267" s="4"/>
      <c r="K2267" s="4"/>
    </row>
    <row r="2268" spans="7:11" x14ac:dyDescent="0.3">
      <c r="G2268" s="4"/>
      <c r="K2268" s="4"/>
    </row>
    <row r="2269" spans="7:11" x14ac:dyDescent="0.3">
      <c r="G2269" s="4"/>
      <c r="K2269" s="4"/>
    </row>
    <row r="2270" spans="7:11" x14ac:dyDescent="0.3">
      <c r="G2270" s="4"/>
      <c r="K2270" s="4"/>
    </row>
    <row r="2271" spans="7:11" x14ac:dyDescent="0.3">
      <c r="G2271" s="4"/>
      <c r="K2271" s="4"/>
    </row>
    <row r="2272" spans="7:11" x14ac:dyDescent="0.3">
      <c r="G2272" s="4"/>
      <c r="K2272" s="4"/>
    </row>
    <row r="2273" spans="7:11" x14ac:dyDescent="0.3">
      <c r="G2273" s="4"/>
      <c r="K2273" s="4"/>
    </row>
    <row r="2274" spans="7:11" x14ac:dyDescent="0.3">
      <c r="G2274" s="4"/>
      <c r="K2274" s="4"/>
    </row>
    <row r="2275" spans="7:11" x14ac:dyDescent="0.3">
      <c r="G2275" s="4"/>
      <c r="K2275" s="4"/>
    </row>
    <row r="2276" spans="7:11" x14ac:dyDescent="0.3">
      <c r="G2276" s="4"/>
      <c r="K2276" s="4"/>
    </row>
    <row r="2277" spans="7:11" x14ac:dyDescent="0.3">
      <c r="G2277" s="4"/>
      <c r="K2277" s="4"/>
    </row>
    <row r="2278" spans="7:11" x14ac:dyDescent="0.3">
      <c r="G2278" s="4"/>
      <c r="K2278" s="4"/>
    </row>
    <row r="2279" spans="7:11" x14ac:dyDescent="0.3">
      <c r="G2279" s="4"/>
      <c r="K2279" s="4"/>
    </row>
    <row r="2280" spans="7:11" x14ac:dyDescent="0.3">
      <c r="G2280" s="4"/>
      <c r="K2280" s="4"/>
    </row>
    <row r="2281" spans="7:11" x14ac:dyDescent="0.3">
      <c r="G2281" s="4"/>
      <c r="K2281" s="4"/>
    </row>
    <row r="2282" spans="7:11" x14ac:dyDescent="0.3">
      <c r="G2282" s="4"/>
      <c r="K2282" s="4"/>
    </row>
    <row r="2283" spans="7:11" x14ac:dyDescent="0.3">
      <c r="G2283" s="4"/>
      <c r="K2283" s="4"/>
    </row>
    <row r="2284" spans="7:11" x14ac:dyDescent="0.3">
      <c r="G2284" s="4"/>
      <c r="K2284" s="4"/>
    </row>
    <row r="2285" spans="7:11" x14ac:dyDescent="0.3">
      <c r="G2285" s="4"/>
      <c r="K2285" s="4"/>
    </row>
    <row r="2286" spans="7:11" x14ac:dyDescent="0.3">
      <c r="G2286" s="4"/>
      <c r="K2286" s="4"/>
    </row>
    <row r="2287" spans="7:11" x14ac:dyDescent="0.3">
      <c r="G2287" s="4"/>
      <c r="K2287" s="4"/>
    </row>
    <row r="2288" spans="7:11" x14ac:dyDescent="0.3">
      <c r="G2288" s="4"/>
      <c r="K2288" s="4"/>
    </row>
    <row r="2289" spans="7:11" x14ac:dyDescent="0.3">
      <c r="G2289" s="4"/>
      <c r="K2289" s="4"/>
    </row>
    <row r="2290" spans="7:11" x14ac:dyDescent="0.3">
      <c r="G2290" s="4"/>
      <c r="K2290" s="4"/>
    </row>
    <row r="2291" spans="7:11" x14ac:dyDescent="0.3">
      <c r="G2291" s="4"/>
      <c r="K2291" s="4"/>
    </row>
    <row r="2292" spans="7:11" x14ac:dyDescent="0.3">
      <c r="G2292" s="4"/>
      <c r="K2292" s="4"/>
    </row>
    <row r="2293" spans="7:11" x14ac:dyDescent="0.3">
      <c r="G2293" s="4"/>
      <c r="K2293" s="4"/>
    </row>
    <row r="2294" spans="7:11" x14ac:dyDescent="0.3">
      <c r="G2294" s="4"/>
      <c r="K2294" s="4"/>
    </row>
    <row r="2295" spans="7:11" x14ac:dyDescent="0.3">
      <c r="G2295" s="4"/>
      <c r="K2295" s="4"/>
    </row>
    <row r="2296" spans="7:11" x14ac:dyDescent="0.3">
      <c r="G2296" s="4"/>
      <c r="K2296" s="4"/>
    </row>
    <row r="2297" spans="7:11" x14ac:dyDescent="0.3">
      <c r="G2297" s="4"/>
      <c r="K2297" s="4"/>
    </row>
    <row r="2298" spans="7:11" x14ac:dyDescent="0.3">
      <c r="G2298" s="4"/>
      <c r="K2298" s="4"/>
    </row>
    <row r="2299" spans="7:11" x14ac:dyDescent="0.3">
      <c r="G2299" s="4"/>
      <c r="K2299" s="4"/>
    </row>
    <row r="2300" spans="7:11" x14ac:dyDescent="0.3">
      <c r="G2300" s="4"/>
      <c r="K2300" s="4"/>
    </row>
    <row r="2301" spans="7:11" x14ac:dyDescent="0.3">
      <c r="G2301" s="4"/>
      <c r="K2301" s="4"/>
    </row>
    <row r="2302" spans="7:11" x14ac:dyDescent="0.3">
      <c r="G2302" s="4"/>
      <c r="K2302" s="4"/>
    </row>
    <row r="2303" spans="7:11" x14ac:dyDescent="0.3">
      <c r="G2303" s="4"/>
      <c r="K2303" s="4"/>
    </row>
    <row r="2304" spans="7:11" x14ac:dyDescent="0.3">
      <c r="G2304" s="4"/>
      <c r="K2304" s="4"/>
    </row>
    <row r="2305" spans="7:11" x14ac:dyDescent="0.3">
      <c r="G2305" s="4"/>
      <c r="K2305" s="4"/>
    </row>
    <row r="2306" spans="7:11" x14ac:dyDescent="0.3">
      <c r="G2306" s="4"/>
      <c r="K2306" s="4"/>
    </row>
    <row r="2307" spans="7:11" x14ac:dyDescent="0.3">
      <c r="G2307" s="4"/>
      <c r="K2307" s="4"/>
    </row>
    <row r="2308" spans="7:11" x14ac:dyDescent="0.3">
      <c r="G2308" s="4"/>
      <c r="K2308" s="4"/>
    </row>
    <row r="2309" spans="7:11" x14ac:dyDescent="0.3">
      <c r="G2309" s="4"/>
      <c r="K2309" s="4"/>
    </row>
    <row r="2310" spans="7:11" x14ac:dyDescent="0.3">
      <c r="G2310" s="4"/>
      <c r="K2310" s="4"/>
    </row>
    <row r="2311" spans="7:11" x14ac:dyDescent="0.3">
      <c r="G2311" s="4"/>
      <c r="K2311" s="4"/>
    </row>
    <row r="2312" spans="7:11" x14ac:dyDescent="0.3">
      <c r="G2312" s="4"/>
      <c r="K2312" s="4"/>
    </row>
    <row r="2313" spans="7:11" x14ac:dyDescent="0.3">
      <c r="G2313" s="4"/>
      <c r="K2313" s="4"/>
    </row>
    <row r="2314" spans="7:11" x14ac:dyDescent="0.3">
      <c r="G2314" s="4"/>
      <c r="K2314" s="4"/>
    </row>
    <row r="2315" spans="7:11" x14ac:dyDescent="0.3">
      <c r="G2315" s="4"/>
      <c r="K2315" s="4"/>
    </row>
    <row r="2316" spans="7:11" x14ac:dyDescent="0.3">
      <c r="G2316" s="4"/>
      <c r="K2316" s="4"/>
    </row>
    <row r="2317" spans="7:11" x14ac:dyDescent="0.3">
      <c r="G2317" s="4"/>
      <c r="K2317" s="4"/>
    </row>
    <row r="2318" spans="7:11" x14ac:dyDescent="0.3">
      <c r="G2318" s="4"/>
      <c r="K2318" s="4"/>
    </row>
    <row r="2319" spans="7:11" x14ac:dyDescent="0.3">
      <c r="G2319" s="4"/>
      <c r="K2319" s="4"/>
    </row>
    <row r="2320" spans="7:11" x14ac:dyDescent="0.3">
      <c r="G2320" s="4"/>
      <c r="K2320" s="4"/>
    </row>
    <row r="2321" spans="7:11" x14ac:dyDescent="0.3">
      <c r="G2321" s="4"/>
      <c r="K2321" s="4"/>
    </row>
    <row r="2322" spans="7:11" x14ac:dyDescent="0.3">
      <c r="G2322" s="4"/>
      <c r="K2322" s="4"/>
    </row>
    <row r="2323" spans="7:11" x14ac:dyDescent="0.3">
      <c r="G2323" s="4"/>
      <c r="K2323" s="4"/>
    </row>
    <row r="2324" spans="7:11" x14ac:dyDescent="0.3">
      <c r="G2324" s="4"/>
      <c r="K2324" s="4"/>
    </row>
    <row r="2325" spans="7:11" x14ac:dyDescent="0.3">
      <c r="G2325" s="4"/>
      <c r="K2325" s="4"/>
    </row>
    <row r="2326" spans="7:11" x14ac:dyDescent="0.3">
      <c r="G2326" s="4"/>
      <c r="K2326" s="4"/>
    </row>
    <row r="2327" spans="7:11" x14ac:dyDescent="0.3">
      <c r="G2327" s="4"/>
      <c r="K2327" s="4"/>
    </row>
    <row r="2328" spans="7:11" x14ac:dyDescent="0.3">
      <c r="G2328" s="4"/>
      <c r="K2328" s="4"/>
    </row>
    <row r="2329" spans="7:11" x14ac:dyDescent="0.3">
      <c r="G2329" s="4"/>
      <c r="K2329" s="4"/>
    </row>
    <row r="2330" spans="7:11" x14ac:dyDescent="0.3">
      <c r="G2330" s="4"/>
      <c r="K2330" s="4"/>
    </row>
    <row r="2331" spans="7:11" x14ac:dyDescent="0.3">
      <c r="G2331" s="4"/>
      <c r="K2331" s="4"/>
    </row>
    <row r="2332" spans="7:11" x14ac:dyDescent="0.3">
      <c r="G2332" s="4"/>
      <c r="K2332" s="4"/>
    </row>
    <row r="2333" spans="7:11" x14ac:dyDescent="0.3">
      <c r="G2333" s="4"/>
      <c r="K2333" s="4"/>
    </row>
    <row r="2334" spans="7:11" x14ac:dyDescent="0.3">
      <c r="G2334" s="4"/>
      <c r="K2334" s="4"/>
    </row>
    <row r="2335" spans="7:11" x14ac:dyDescent="0.3">
      <c r="G2335" s="4"/>
      <c r="K2335" s="4"/>
    </row>
    <row r="2336" spans="7:11" x14ac:dyDescent="0.3">
      <c r="G2336" s="4"/>
      <c r="K2336" s="4"/>
    </row>
    <row r="2337" spans="7:11" x14ac:dyDescent="0.3">
      <c r="G2337" s="4"/>
      <c r="K2337" s="4"/>
    </row>
    <row r="2338" spans="7:11" x14ac:dyDescent="0.3">
      <c r="G2338" s="4"/>
      <c r="K2338" s="4"/>
    </row>
    <row r="2339" spans="7:11" x14ac:dyDescent="0.3">
      <c r="G2339" s="4"/>
      <c r="K2339" s="4"/>
    </row>
    <row r="2340" spans="7:11" x14ac:dyDescent="0.3">
      <c r="G2340" s="4"/>
      <c r="K2340" s="4"/>
    </row>
    <row r="2341" spans="7:11" x14ac:dyDescent="0.3">
      <c r="G2341" s="4"/>
      <c r="K2341" s="4"/>
    </row>
    <row r="2342" spans="7:11" x14ac:dyDescent="0.3">
      <c r="G2342" s="4"/>
      <c r="K2342" s="4"/>
    </row>
    <row r="2343" spans="7:11" x14ac:dyDescent="0.3">
      <c r="G2343" s="4"/>
      <c r="K2343" s="4"/>
    </row>
    <row r="2344" spans="7:11" x14ac:dyDescent="0.3">
      <c r="G2344" s="4"/>
      <c r="K2344" s="4"/>
    </row>
    <row r="2345" spans="7:11" x14ac:dyDescent="0.3">
      <c r="G2345" s="4"/>
      <c r="K2345" s="4"/>
    </row>
    <row r="2346" spans="7:11" x14ac:dyDescent="0.3">
      <c r="G2346" s="4"/>
      <c r="K2346" s="4"/>
    </row>
    <row r="2347" spans="7:11" x14ac:dyDescent="0.3">
      <c r="G2347" s="4"/>
      <c r="K2347" s="4"/>
    </row>
    <row r="2348" spans="7:11" x14ac:dyDescent="0.3">
      <c r="G2348" s="4"/>
      <c r="K2348" s="4"/>
    </row>
    <row r="2349" spans="7:11" x14ac:dyDescent="0.3">
      <c r="G2349" s="4"/>
      <c r="K2349" s="4"/>
    </row>
    <row r="2350" spans="7:11" x14ac:dyDescent="0.3">
      <c r="G2350" s="4"/>
      <c r="K2350" s="4"/>
    </row>
    <row r="2351" spans="7:11" x14ac:dyDescent="0.3">
      <c r="G2351" s="4"/>
      <c r="K2351" s="4"/>
    </row>
    <row r="2352" spans="7:11" x14ac:dyDescent="0.3">
      <c r="G2352" s="4"/>
      <c r="K2352" s="4"/>
    </row>
    <row r="2353" spans="7:11" x14ac:dyDescent="0.3">
      <c r="G2353" s="4"/>
      <c r="K2353" s="4"/>
    </row>
    <row r="2354" spans="7:11" x14ac:dyDescent="0.3">
      <c r="G2354" s="4"/>
      <c r="K2354" s="4"/>
    </row>
    <row r="2355" spans="7:11" x14ac:dyDescent="0.3">
      <c r="G2355" s="4"/>
      <c r="K2355" s="4"/>
    </row>
    <row r="2356" spans="7:11" x14ac:dyDescent="0.3">
      <c r="G2356" s="4"/>
      <c r="K2356" s="4"/>
    </row>
    <row r="2357" spans="7:11" x14ac:dyDescent="0.3">
      <c r="G2357" s="4"/>
      <c r="K2357" s="4"/>
    </row>
    <row r="2358" spans="7:11" x14ac:dyDescent="0.3">
      <c r="G2358" s="4"/>
      <c r="K2358" s="4"/>
    </row>
    <row r="2359" spans="7:11" x14ac:dyDescent="0.3">
      <c r="G2359" s="4"/>
      <c r="K2359" s="4"/>
    </row>
    <row r="2360" spans="7:11" x14ac:dyDescent="0.3">
      <c r="G2360" s="4"/>
      <c r="K2360" s="4"/>
    </row>
    <row r="2361" spans="7:11" x14ac:dyDescent="0.3">
      <c r="G2361" s="4"/>
      <c r="K2361" s="4"/>
    </row>
    <row r="2362" spans="7:11" x14ac:dyDescent="0.3">
      <c r="G2362" s="4"/>
      <c r="K2362" s="4"/>
    </row>
    <row r="2363" spans="7:11" x14ac:dyDescent="0.3">
      <c r="G2363" s="4"/>
      <c r="K2363" s="4"/>
    </row>
    <row r="2364" spans="7:11" x14ac:dyDescent="0.3">
      <c r="G2364" s="4"/>
      <c r="K2364" s="4"/>
    </row>
    <row r="2365" spans="7:11" x14ac:dyDescent="0.3">
      <c r="G2365" s="4"/>
      <c r="K2365" s="4"/>
    </row>
    <row r="2366" spans="7:11" x14ac:dyDescent="0.3">
      <c r="G2366" s="4"/>
      <c r="K2366" s="4"/>
    </row>
    <row r="2367" spans="7:11" x14ac:dyDescent="0.3">
      <c r="G2367" s="4"/>
      <c r="K2367" s="4"/>
    </row>
    <row r="2368" spans="7:11" x14ac:dyDescent="0.3">
      <c r="G2368" s="4"/>
      <c r="K2368" s="4"/>
    </row>
    <row r="2369" spans="7:11" x14ac:dyDescent="0.3">
      <c r="G2369" s="4"/>
      <c r="K2369" s="4"/>
    </row>
    <row r="2370" spans="7:11" x14ac:dyDescent="0.3">
      <c r="G2370" s="4"/>
      <c r="K2370" s="4"/>
    </row>
    <row r="2371" spans="7:11" x14ac:dyDescent="0.3">
      <c r="G2371" s="4"/>
      <c r="K2371" s="4"/>
    </row>
    <row r="2372" spans="7:11" x14ac:dyDescent="0.3">
      <c r="G2372" s="4"/>
      <c r="K2372" s="4"/>
    </row>
    <row r="2373" spans="7:11" x14ac:dyDescent="0.3">
      <c r="G2373" s="4"/>
      <c r="K2373" s="4"/>
    </row>
    <row r="2374" spans="7:11" x14ac:dyDescent="0.3">
      <c r="G2374" s="4"/>
      <c r="K2374" s="4"/>
    </row>
    <row r="2375" spans="7:11" x14ac:dyDescent="0.3">
      <c r="G2375" s="4"/>
      <c r="K2375" s="4"/>
    </row>
    <row r="2376" spans="7:11" x14ac:dyDescent="0.3">
      <c r="G2376" s="4"/>
      <c r="K2376" s="4"/>
    </row>
    <row r="2377" spans="7:11" x14ac:dyDescent="0.3">
      <c r="G2377" s="4"/>
      <c r="K2377" s="4"/>
    </row>
    <row r="2378" spans="7:11" x14ac:dyDescent="0.3">
      <c r="G2378" s="4"/>
      <c r="K2378" s="4"/>
    </row>
    <row r="2379" spans="7:11" x14ac:dyDescent="0.3">
      <c r="G2379" s="4"/>
      <c r="K2379" s="4"/>
    </row>
    <row r="2380" spans="7:11" x14ac:dyDescent="0.3">
      <c r="G2380" s="4"/>
      <c r="K2380" s="4"/>
    </row>
    <row r="2381" spans="7:11" x14ac:dyDescent="0.3">
      <c r="G2381" s="4"/>
      <c r="K2381" s="4"/>
    </row>
    <row r="2382" spans="7:11" x14ac:dyDescent="0.3">
      <c r="G2382" s="4"/>
      <c r="K2382" s="4"/>
    </row>
    <row r="2383" spans="7:11" x14ac:dyDescent="0.3">
      <c r="G2383" s="4"/>
      <c r="K2383" s="4"/>
    </row>
    <row r="2384" spans="7:11" x14ac:dyDescent="0.3">
      <c r="G2384" s="4"/>
      <c r="K2384" s="4"/>
    </row>
  </sheetData>
  <autoFilter ref="A1:B1204" xr:uid="{BF8E9DDF-E8E1-4AB0-A948-3D451454D158}"/>
  <sortState xmlns:xlrd2="http://schemas.microsoft.com/office/spreadsheetml/2017/richdata2" ref="H1182:K2384">
    <sortCondition ref="J118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5E82F-FA85-4ED9-B1A3-4A901F77A1C7}">
  <dimension ref="A1:F116"/>
  <sheetViews>
    <sheetView topLeftCell="A10" workbookViewId="0">
      <selection activeCell="D15" sqref="D15:F25"/>
    </sheetView>
  </sheetViews>
  <sheetFormatPr defaultRowHeight="14.4" x14ac:dyDescent="0.3"/>
  <cols>
    <col min="1" max="1" width="11.33203125" bestFit="1" customWidth="1"/>
    <col min="2" max="2" width="10.109375" bestFit="1" customWidth="1"/>
    <col min="3" max="3" width="12.6640625" bestFit="1" customWidth="1"/>
    <col min="4" max="4" width="41.21875" bestFit="1" customWidth="1"/>
    <col min="5" max="5" width="12.6640625" bestFit="1" customWidth="1"/>
    <col min="6" max="6" width="12" bestFit="1" customWidth="1"/>
  </cols>
  <sheetData>
    <row r="1" spans="1:6" x14ac:dyDescent="0.3">
      <c r="A1" s="3" t="s">
        <v>2449</v>
      </c>
      <c r="B1" s="3" t="s">
        <v>2450</v>
      </c>
    </row>
    <row r="2" spans="1:6" x14ac:dyDescent="0.3">
      <c r="A2">
        <v>0.78</v>
      </c>
      <c r="B2">
        <v>0.48</v>
      </c>
      <c r="D2" t="s">
        <v>2444</v>
      </c>
    </row>
    <row r="3" spans="1:6" ht="15" thickBot="1" x14ac:dyDescent="0.35">
      <c r="A3">
        <v>0.85</v>
      </c>
      <c r="B3">
        <v>0.76</v>
      </c>
    </row>
    <row r="4" spans="1:6" x14ac:dyDescent="0.3">
      <c r="A4">
        <v>0.96</v>
      </c>
      <c r="B4">
        <v>0.71</v>
      </c>
      <c r="D4" s="2"/>
      <c r="E4" s="2" t="s">
        <v>2449</v>
      </c>
      <c r="F4" s="2" t="s">
        <v>2450</v>
      </c>
    </row>
    <row r="5" spans="1:6" x14ac:dyDescent="0.3">
      <c r="A5">
        <v>0.87</v>
      </c>
      <c r="B5">
        <v>0.57999999999999996</v>
      </c>
      <c r="D5" t="s">
        <v>2418</v>
      </c>
      <c r="E5">
        <v>0.62747826086956515</v>
      </c>
      <c r="F5">
        <v>0.65939130434782556</v>
      </c>
    </row>
    <row r="6" spans="1:6" x14ac:dyDescent="0.3">
      <c r="A6">
        <v>0.94</v>
      </c>
      <c r="B6">
        <v>0.21</v>
      </c>
      <c r="D6" t="s">
        <v>2435</v>
      </c>
      <c r="E6">
        <v>8.4404988558352309E-2</v>
      </c>
      <c r="F6">
        <v>8.9146117467582955E-2</v>
      </c>
    </row>
    <row r="7" spans="1:6" x14ac:dyDescent="0.3">
      <c r="A7">
        <v>0.95</v>
      </c>
      <c r="B7">
        <v>0.52</v>
      </c>
      <c r="D7" t="s">
        <v>2436</v>
      </c>
      <c r="E7">
        <v>115</v>
      </c>
      <c r="F7">
        <v>115</v>
      </c>
    </row>
    <row r="8" spans="1:6" x14ac:dyDescent="0.3">
      <c r="A8">
        <v>0.32</v>
      </c>
      <c r="B8">
        <v>0.2</v>
      </c>
      <c r="D8" t="s">
        <v>2438</v>
      </c>
      <c r="E8">
        <v>114</v>
      </c>
      <c r="F8">
        <v>114</v>
      </c>
    </row>
    <row r="9" spans="1:6" x14ac:dyDescent="0.3">
      <c r="A9">
        <v>0.14000000000000001</v>
      </c>
      <c r="B9">
        <v>0.28999999999999998</v>
      </c>
      <c r="D9" t="s">
        <v>2446</v>
      </c>
      <c r="E9">
        <v>0.94681620418348889</v>
      </c>
    </row>
    <row r="10" spans="1:6" x14ac:dyDescent="0.3">
      <c r="A10">
        <v>0.46</v>
      </c>
      <c r="B10">
        <v>0.3</v>
      </c>
      <c r="D10" t="s">
        <v>2447</v>
      </c>
      <c r="E10">
        <v>0.3854891314363813</v>
      </c>
    </row>
    <row r="11" spans="1:6" ht="15" thickBot="1" x14ac:dyDescent="0.35">
      <c r="A11">
        <v>0.89</v>
      </c>
      <c r="B11">
        <v>0.92</v>
      </c>
      <c r="D11" s="1" t="s">
        <v>2448</v>
      </c>
      <c r="E11" s="1">
        <v>0.73388854278658533</v>
      </c>
      <c r="F11" s="1"/>
    </row>
    <row r="12" spans="1:6" x14ac:dyDescent="0.3">
      <c r="A12">
        <v>0.34</v>
      </c>
      <c r="B12">
        <v>0.76</v>
      </c>
    </row>
    <row r="13" spans="1:6" x14ac:dyDescent="0.3">
      <c r="A13">
        <v>0.02</v>
      </c>
      <c r="B13">
        <v>0.34</v>
      </c>
      <c r="D13" t="s">
        <v>2445</v>
      </c>
    </row>
    <row r="14" spans="1:6" ht="15" thickBot="1" x14ac:dyDescent="0.35">
      <c r="A14">
        <v>0.76</v>
      </c>
      <c r="B14">
        <v>1</v>
      </c>
    </row>
    <row r="15" spans="1:6" x14ac:dyDescent="0.3">
      <c r="A15">
        <v>0.68</v>
      </c>
      <c r="B15">
        <v>0.89</v>
      </c>
      <c r="D15" s="2"/>
      <c r="E15" s="2" t="s">
        <v>2449</v>
      </c>
      <c r="F15" s="2" t="s">
        <v>2450</v>
      </c>
    </row>
    <row r="16" spans="1:6" x14ac:dyDescent="0.3">
      <c r="A16">
        <v>0.24</v>
      </c>
      <c r="B16">
        <v>0.57999999999999996</v>
      </c>
      <c r="D16" t="s">
        <v>2418</v>
      </c>
      <c r="E16">
        <v>0.62747826086956515</v>
      </c>
      <c r="F16">
        <v>0.65939130434782556</v>
      </c>
    </row>
    <row r="17" spans="1:6" x14ac:dyDescent="0.3">
      <c r="A17">
        <v>0.12</v>
      </c>
      <c r="B17">
        <v>0.24</v>
      </c>
      <c r="D17" t="s">
        <v>2435</v>
      </c>
      <c r="E17">
        <v>8.4404988558352309E-2</v>
      </c>
      <c r="F17">
        <v>8.9146117467582955E-2</v>
      </c>
    </row>
    <row r="18" spans="1:6" x14ac:dyDescent="0.3">
      <c r="A18">
        <v>0.56000000000000005</v>
      </c>
      <c r="B18">
        <v>0.69</v>
      </c>
      <c r="D18" t="s">
        <v>2436</v>
      </c>
      <c r="E18">
        <v>115</v>
      </c>
      <c r="F18">
        <v>115</v>
      </c>
    </row>
    <row r="19" spans="1:6" x14ac:dyDescent="0.3">
      <c r="A19">
        <v>0.8</v>
      </c>
      <c r="B19">
        <v>0.76</v>
      </c>
      <c r="D19" t="s">
        <v>2437</v>
      </c>
      <c r="E19">
        <v>0</v>
      </c>
    </row>
    <row r="20" spans="1:6" x14ac:dyDescent="0.3">
      <c r="A20">
        <v>0.5</v>
      </c>
      <c r="B20">
        <v>0.12</v>
      </c>
      <c r="D20" t="s">
        <v>2438</v>
      </c>
      <c r="E20">
        <v>228</v>
      </c>
    </row>
    <row r="21" spans="1:6" x14ac:dyDescent="0.3">
      <c r="A21">
        <v>0.48</v>
      </c>
      <c r="B21">
        <v>0.47</v>
      </c>
      <c r="D21" t="s">
        <v>2439</v>
      </c>
      <c r="E21">
        <v>-0.82149221325252408</v>
      </c>
    </row>
    <row r="22" spans="1:6" x14ac:dyDescent="0.3">
      <c r="A22">
        <v>0.4</v>
      </c>
      <c r="B22">
        <v>0.61</v>
      </c>
      <c r="D22" t="s">
        <v>2440</v>
      </c>
      <c r="E22">
        <v>0.20611206300595419</v>
      </c>
    </row>
    <row r="23" spans="1:6" x14ac:dyDescent="0.3">
      <c r="A23">
        <v>0.74</v>
      </c>
      <c r="B23">
        <v>0.75</v>
      </c>
      <c r="D23" t="s">
        <v>2441</v>
      </c>
      <c r="E23">
        <v>1.6515642280672536</v>
      </c>
    </row>
    <row r="24" spans="1:6" x14ac:dyDescent="0.3">
      <c r="A24">
        <v>0.18</v>
      </c>
      <c r="B24">
        <v>0.96</v>
      </c>
      <c r="D24" t="s">
        <v>2442</v>
      </c>
      <c r="E24">
        <v>0.41222412601190839</v>
      </c>
    </row>
    <row r="25" spans="1:6" ht="15" thickBot="1" x14ac:dyDescent="0.35">
      <c r="A25">
        <v>0.89</v>
      </c>
      <c r="B25">
        <v>0.53</v>
      </c>
      <c r="D25" s="1" t="s">
        <v>2443</v>
      </c>
      <c r="E25" s="1">
        <v>1.9704231946745263</v>
      </c>
      <c r="F25" s="1"/>
    </row>
    <row r="26" spans="1:6" x14ac:dyDescent="0.3">
      <c r="A26">
        <v>0.68</v>
      </c>
      <c r="B26">
        <v>0.78</v>
      </c>
    </row>
    <row r="27" spans="1:6" x14ac:dyDescent="0.3">
      <c r="A27">
        <v>0.92</v>
      </c>
      <c r="B27">
        <v>0.15</v>
      </c>
    </row>
    <row r="28" spans="1:6" x14ac:dyDescent="0.3">
      <c r="A28">
        <v>0.19</v>
      </c>
      <c r="B28">
        <v>0.34</v>
      </c>
    </row>
    <row r="29" spans="1:6" x14ac:dyDescent="0.3">
      <c r="A29">
        <v>0.8</v>
      </c>
      <c r="B29">
        <v>0.77</v>
      </c>
    </row>
    <row r="30" spans="1:6" x14ac:dyDescent="0.3">
      <c r="A30">
        <v>0.92</v>
      </c>
      <c r="B30">
        <v>0.94</v>
      </c>
    </row>
    <row r="31" spans="1:6" x14ac:dyDescent="0.3">
      <c r="A31">
        <v>0.32</v>
      </c>
      <c r="B31">
        <v>0.5</v>
      </c>
    </row>
    <row r="32" spans="1:6" x14ac:dyDescent="0.3">
      <c r="A32">
        <v>0.21</v>
      </c>
      <c r="B32">
        <v>0.88</v>
      </c>
    </row>
    <row r="33" spans="1:2" x14ac:dyDescent="0.3">
      <c r="A33">
        <v>0.76</v>
      </c>
      <c r="B33">
        <v>0.18</v>
      </c>
    </row>
    <row r="34" spans="1:2" x14ac:dyDescent="0.3">
      <c r="A34">
        <v>0.24</v>
      </c>
      <c r="B34">
        <v>0.94</v>
      </c>
    </row>
    <row r="35" spans="1:2" x14ac:dyDescent="0.3">
      <c r="A35">
        <v>0.66</v>
      </c>
      <c r="B35">
        <v>0.14000000000000001</v>
      </c>
    </row>
    <row r="36" spans="1:2" x14ac:dyDescent="0.3">
      <c r="A36">
        <v>0.64</v>
      </c>
      <c r="B36">
        <v>0.52</v>
      </c>
    </row>
    <row r="37" spans="1:2" x14ac:dyDescent="0.3">
      <c r="A37">
        <v>0.8</v>
      </c>
      <c r="B37">
        <v>0.47</v>
      </c>
    </row>
    <row r="38" spans="1:2" x14ac:dyDescent="0.3">
      <c r="A38">
        <v>0.38</v>
      </c>
      <c r="B38">
        <v>0.57999999999999996</v>
      </c>
    </row>
    <row r="39" spans="1:2" x14ac:dyDescent="0.3">
      <c r="A39">
        <v>0.73</v>
      </c>
      <c r="B39">
        <v>0.37</v>
      </c>
    </row>
    <row r="40" spans="1:2" x14ac:dyDescent="0.3">
      <c r="A40">
        <v>0.28000000000000003</v>
      </c>
      <c r="B40">
        <v>0.99</v>
      </c>
    </row>
    <row r="41" spans="1:2" x14ac:dyDescent="0.3">
      <c r="A41">
        <v>0.23</v>
      </c>
      <c r="B41">
        <v>0.99</v>
      </c>
    </row>
    <row r="42" spans="1:2" x14ac:dyDescent="0.3">
      <c r="A42">
        <v>0.79</v>
      </c>
      <c r="B42">
        <v>0.99</v>
      </c>
    </row>
    <row r="43" spans="1:2" x14ac:dyDescent="0.3">
      <c r="A43">
        <v>0.12</v>
      </c>
      <c r="B43">
        <v>0.99</v>
      </c>
    </row>
    <row r="44" spans="1:2" x14ac:dyDescent="0.3">
      <c r="A44">
        <v>0.68</v>
      </c>
      <c r="B44">
        <v>0.14000000000000001</v>
      </c>
    </row>
    <row r="45" spans="1:2" x14ac:dyDescent="0.3">
      <c r="A45">
        <v>0.66</v>
      </c>
      <c r="B45">
        <v>0.96</v>
      </c>
    </row>
    <row r="46" spans="1:2" x14ac:dyDescent="0.3">
      <c r="A46">
        <v>0.78</v>
      </c>
      <c r="B46">
        <v>0.11</v>
      </c>
    </row>
    <row r="47" spans="1:2" x14ac:dyDescent="0.3">
      <c r="A47">
        <v>0.53</v>
      </c>
      <c r="B47">
        <v>0.89</v>
      </c>
    </row>
    <row r="48" spans="1:2" x14ac:dyDescent="0.3">
      <c r="A48">
        <v>0.76</v>
      </c>
      <c r="B48">
        <v>0.89</v>
      </c>
    </row>
    <row r="49" spans="1:2" x14ac:dyDescent="0.3">
      <c r="A49">
        <v>0.08</v>
      </c>
      <c r="B49">
        <v>0.89</v>
      </c>
    </row>
    <row r="50" spans="1:2" x14ac:dyDescent="0.3">
      <c r="A50">
        <v>0.89</v>
      </c>
      <c r="B50">
        <v>0.24</v>
      </c>
    </row>
    <row r="51" spans="1:2" x14ac:dyDescent="0.3">
      <c r="A51">
        <v>0.3</v>
      </c>
      <c r="B51">
        <v>0.67</v>
      </c>
    </row>
    <row r="52" spans="1:2" x14ac:dyDescent="0.3">
      <c r="A52">
        <v>0.68</v>
      </c>
      <c r="B52">
        <v>0.92</v>
      </c>
    </row>
    <row r="53" spans="1:2" x14ac:dyDescent="0.3">
      <c r="A53">
        <v>0.23</v>
      </c>
      <c r="B53">
        <v>0.92</v>
      </c>
    </row>
    <row r="54" spans="1:2" x14ac:dyDescent="0.3">
      <c r="A54">
        <v>0.78</v>
      </c>
      <c r="B54">
        <v>0.57999999999999996</v>
      </c>
    </row>
    <row r="55" spans="1:2" x14ac:dyDescent="0.3">
      <c r="A55">
        <v>0.94</v>
      </c>
      <c r="B55">
        <v>0.37</v>
      </c>
    </row>
    <row r="56" spans="1:2" x14ac:dyDescent="0.3">
      <c r="A56">
        <v>0.17</v>
      </c>
      <c r="B56">
        <v>0.13</v>
      </c>
    </row>
    <row r="57" spans="1:2" x14ac:dyDescent="0.3">
      <c r="A57">
        <v>0.43</v>
      </c>
      <c r="B57">
        <v>0.56999999999999995</v>
      </c>
    </row>
    <row r="58" spans="1:2" x14ac:dyDescent="0.3">
      <c r="A58">
        <v>0.06</v>
      </c>
      <c r="B58">
        <v>0.66</v>
      </c>
    </row>
    <row r="59" spans="1:2" x14ac:dyDescent="0.3">
      <c r="A59">
        <v>0.76</v>
      </c>
      <c r="B59">
        <v>0.62</v>
      </c>
    </row>
    <row r="60" spans="1:2" x14ac:dyDescent="0.3">
      <c r="A60">
        <v>0.51</v>
      </c>
      <c r="B60">
        <v>0.94</v>
      </c>
    </row>
    <row r="61" spans="1:2" x14ac:dyDescent="0.3">
      <c r="A61">
        <v>0.01</v>
      </c>
      <c r="B61">
        <v>0.94</v>
      </c>
    </row>
    <row r="62" spans="1:2" x14ac:dyDescent="0.3">
      <c r="A62">
        <v>0.8</v>
      </c>
      <c r="B62">
        <v>0.94</v>
      </c>
    </row>
    <row r="63" spans="1:2" x14ac:dyDescent="0.3">
      <c r="A63">
        <v>0.57999999999999996</v>
      </c>
      <c r="B63">
        <v>0.94</v>
      </c>
    </row>
    <row r="64" spans="1:2" x14ac:dyDescent="0.3">
      <c r="A64">
        <v>0.64</v>
      </c>
      <c r="B64">
        <v>0.94</v>
      </c>
    </row>
    <row r="65" spans="1:2" x14ac:dyDescent="0.3">
      <c r="A65">
        <v>0.99</v>
      </c>
      <c r="B65">
        <v>0.94</v>
      </c>
    </row>
    <row r="66" spans="1:2" x14ac:dyDescent="0.3">
      <c r="A66">
        <v>0.99</v>
      </c>
      <c r="B66">
        <v>0.34</v>
      </c>
    </row>
    <row r="67" spans="1:2" x14ac:dyDescent="0.3">
      <c r="A67">
        <v>0.99</v>
      </c>
      <c r="B67">
        <v>0.61</v>
      </c>
    </row>
    <row r="68" spans="1:2" x14ac:dyDescent="0.3">
      <c r="A68">
        <v>0.52</v>
      </c>
      <c r="B68">
        <v>0.2</v>
      </c>
    </row>
    <row r="69" spans="1:2" x14ac:dyDescent="0.3">
      <c r="A69">
        <v>0.89</v>
      </c>
      <c r="B69">
        <v>0.88</v>
      </c>
    </row>
    <row r="70" spans="1:2" x14ac:dyDescent="0.3">
      <c r="A70">
        <v>0.89</v>
      </c>
      <c r="B70">
        <v>0.92</v>
      </c>
    </row>
    <row r="71" spans="1:2" x14ac:dyDescent="0.3">
      <c r="A71">
        <v>0.55000000000000004</v>
      </c>
      <c r="B71">
        <v>0.92</v>
      </c>
    </row>
    <row r="72" spans="1:2" x14ac:dyDescent="0.3">
      <c r="A72">
        <v>0.92</v>
      </c>
      <c r="B72">
        <v>0.92</v>
      </c>
    </row>
    <row r="73" spans="1:2" x14ac:dyDescent="0.3">
      <c r="A73">
        <v>0.72</v>
      </c>
      <c r="B73">
        <v>0.8</v>
      </c>
    </row>
    <row r="74" spans="1:2" x14ac:dyDescent="0.3">
      <c r="A74">
        <v>0.55000000000000004</v>
      </c>
      <c r="B74">
        <v>0.8</v>
      </c>
    </row>
    <row r="75" spans="1:2" x14ac:dyDescent="0.3">
      <c r="A75">
        <v>0.17</v>
      </c>
      <c r="B75">
        <v>0.8</v>
      </c>
    </row>
    <row r="76" spans="1:2" x14ac:dyDescent="0.3">
      <c r="A76">
        <v>0.92</v>
      </c>
      <c r="B76">
        <v>0.8</v>
      </c>
    </row>
    <row r="77" spans="1:2" x14ac:dyDescent="0.3">
      <c r="A77">
        <v>0.92</v>
      </c>
      <c r="B77">
        <v>0.8</v>
      </c>
    </row>
    <row r="78" spans="1:2" x14ac:dyDescent="0.3">
      <c r="A78">
        <v>0.55000000000000004</v>
      </c>
      <c r="B78">
        <v>0.14000000000000001</v>
      </c>
    </row>
    <row r="79" spans="1:2" x14ac:dyDescent="0.3">
      <c r="A79">
        <v>0.96</v>
      </c>
      <c r="B79">
        <v>0.92</v>
      </c>
    </row>
    <row r="80" spans="1:2" x14ac:dyDescent="0.3">
      <c r="A80">
        <v>0.96</v>
      </c>
      <c r="B80">
        <v>0.92</v>
      </c>
    </row>
    <row r="81" spans="1:2" x14ac:dyDescent="0.3">
      <c r="A81">
        <v>0.96</v>
      </c>
      <c r="B81">
        <v>0.92</v>
      </c>
    </row>
    <row r="82" spans="1:2" x14ac:dyDescent="0.3">
      <c r="A82">
        <v>0.96</v>
      </c>
      <c r="B82">
        <v>0.11</v>
      </c>
    </row>
    <row r="83" spans="1:2" x14ac:dyDescent="0.3">
      <c r="A83">
        <v>0.76</v>
      </c>
      <c r="B83">
        <v>0.68</v>
      </c>
    </row>
    <row r="84" spans="1:2" x14ac:dyDescent="0.3">
      <c r="A84">
        <v>0.93</v>
      </c>
      <c r="B84">
        <v>0.65</v>
      </c>
    </row>
    <row r="85" spans="1:2" x14ac:dyDescent="0.3">
      <c r="A85">
        <v>0.89</v>
      </c>
      <c r="B85">
        <v>0.55000000000000004</v>
      </c>
    </row>
    <row r="86" spans="1:2" x14ac:dyDescent="0.3">
      <c r="A86">
        <v>0.89</v>
      </c>
      <c r="B86">
        <v>0.16</v>
      </c>
    </row>
    <row r="87" spans="1:2" x14ac:dyDescent="0.3">
      <c r="A87">
        <v>0.17</v>
      </c>
      <c r="B87">
        <v>0.34</v>
      </c>
    </row>
    <row r="88" spans="1:2" x14ac:dyDescent="0.3">
      <c r="A88">
        <v>0.18</v>
      </c>
      <c r="B88">
        <v>0.18</v>
      </c>
    </row>
    <row r="89" spans="1:2" x14ac:dyDescent="0.3">
      <c r="A89">
        <v>0.78</v>
      </c>
      <c r="B89">
        <v>0.66</v>
      </c>
    </row>
    <row r="90" spans="1:2" x14ac:dyDescent="0.3">
      <c r="A90">
        <v>0.78</v>
      </c>
      <c r="B90">
        <v>0.96</v>
      </c>
    </row>
    <row r="91" spans="1:2" x14ac:dyDescent="0.3">
      <c r="A91">
        <v>0.73</v>
      </c>
      <c r="B91">
        <v>0.96</v>
      </c>
    </row>
    <row r="92" spans="1:2" x14ac:dyDescent="0.3">
      <c r="A92">
        <v>0.95</v>
      </c>
      <c r="B92">
        <v>0.96</v>
      </c>
    </row>
    <row r="93" spans="1:2" x14ac:dyDescent="0.3">
      <c r="A93">
        <v>0.95</v>
      </c>
      <c r="B93">
        <v>0.96</v>
      </c>
    </row>
    <row r="94" spans="1:2" x14ac:dyDescent="0.3">
      <c r="A94">
        <v>0.96</v>
      </c>
      <c r="B94">
        <v>0.93</v>
      </c>
    </row>
    <row r="95" spans="1:2" x14ac:dyDescent="0.3">
      <c r="A95">
        <v>0.96</v>
      </c>
      <c r="B95">
        <v>0.93</v>
      </c>
    </row>
    <row r="96" spans="1:2" x14ac:dyDescent="0.3">
      <c r="A96">
        <v>0.74</v>
      </c>
      <c r="B96">
        <v>0.93</v>
      </c>
    </row>
    <row r="97" spans="1:2" x14ac:dyDescent="0.3">
      <c r="A97">
        <v>0.33</v>
      </c>
      <c r="B97">
        <v>0.93</v>
      </c>
    </row>
    <row r="98" spans="1:2" x14ac:dyDescent="0.3">
      <c r="A98">
        <v>0.18</v>
      </c>
      <c r="B98">
        <v>0.93</v>
      </c>
    </row>
    <row r="99" spans="1:2" x14ac:dyDescent="0.3">
      <c r="A99">
        <v>0.76</v>
      </c>
      <c r="B99">
        <v>0.3</v>
      </c>
    </row>
    <row r="100" spans="1:2" x14ac:dyDescent="0.3">
      <c r="A100">
        <v>0.76</v>
      </c>
      <c r="B100">
        <v>0.99</v>
      </c>
    </row>
    <row r="101" spans="1:2" x14ac:dyDescent="0.3">
      <c r="A101">
        <v>0.3</v>
      </c>
      <c r="B101">
        <v>0.99</v>
      </c>
    </row>
    <row r="102" spans="1:2" x14ac:dyDescent="0.3">
      <c r="A102">
        <v>0.49</v>
      </c>
      <c r="B102">
        <v>0.99</v>
      </c>
    </row>
    <row r="103" spans="1:2" x14ac:dyDescent="0.3">
      <c r="A103">
        <v>0.66</v>
      </c>
      <c r="B103">
        <v>0.99</v>
      </c>
    </row>
    <row r="104" spans="1:2" x14ac:dyDescent="0.3">
      <c r="A104">
        <v>0.39</v>
      </c>
      <c r="B104">
        <v>0.99</v>
      </c>
    </row>
    <row r="105" spans="1:2" x14ac:dyDescent="0.3">
      <c r="A105">
        <v>0.77</v>
      </c>
      <c r="B105">
        <v>0.99</v>
      </c>
    </row>
    <row r="106" spans="1:2" x14ac:dyDescent="0.3">
      <c r="A106">
        <v>0.89</v>
      </c>
      <c r="B106">
        <v>0.86</v>
      </c>
    </row>
    <row r="107" spans="1:2" x14ac:dyDescent="0.3">
      <c r="A107">
        <v>0.21</v>
      </c>
      <c r="B107">
        <v>0.24</v>
      </c>
    </row>
    <row r="108" spans="1:2" x14ac:dyDescent="0.3">
      <c r="A108">
        <v>0.6</v>
      </c>
      <c r="B108">
        <v>0.87</v>
      </c>
    </row>
    <row r="109" spans="1:2" x14ac:dyDescent="0.3">
      <c r="A109">
        <v>0.76</v>
      </c>
      <c r="B109">
        <v>0.47</v>
      </c>
    </row>
    <row r="110" spans="1:2" x14ac:dyDescent="0.3">
      <c r="A110">
        <v>0.96</v>
      </c>
      <c r="B110">
        <v>0.8</v>
      </c>
    </row>
    <row r="111" spans="1:2" x14ac:dyDescent="0.3">
      <c r="A111">
        <v>0.62</v>
      </c>
      <c r="B111">
        <v>0.13</v>
      </c>
    </row>
    <row r="112" spans="1:2" x14ac:dyDescent="0.3">
      <c r="A112">
        <v>0.78</v>
      </c>
      <c r="B112">
        <v>0.55000000000000004</v>
      </c>
    </row>
    <row r="113" spans="1:2" x14ac:dyDescent="0.3">
      <c r="A113">
        <v>7.0000000000000007E-2</v>
      </c>
      <c r="B113">
        <v>0.11</v>
      </c>
    </row>
    <row r="114" spans="1:2" x14ac:dyDescent="0.3">
      <c r="A114">
        <v>0.99</v>
      </c>
      <c r="B114">
        <v>0.79</v>
      </c>
    </row>
    <row r="115" spans="1:2" x14ac:dyDescent="0.3">
      <c r="A115">
        <v>0.78</v>
      </c>
      <c r="B115">
        <v>0.15</v>
      </c>
    </row>
    <row r="116" spans="1:2" x14ac:dyDescent="0.3">
      <c r="A116">
        <v>0.97</v>
      </c>
      <c r="B116">
        <v>0.72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549D7-E30F-4F73-A273-03F4C3C24E24}">
  <dimension ref="A1:G1204"/>
  <sheetViews>
    <sheetView workbookViewId="0">
      <selection activeCell="F21" sqref="F21"/>
    </sheetView>
  </sheetViews>
  <sheetFormatPr defaultRowHeight="14.4" x14ac:dyDescent="0.3"/>
  <cols>
    <col min="1" max="1" width="7.21875" bestFit="1" customWidth="1"/>
    <col min="2" max="2" width="16.88671875" bestFit="1" customWidth="1"/>
    <col min="6" max="6" width="12" bestFit="1" customWidth="1"/>
    <col min="7" max="7" width="15.21875" bestFit="1" customWidth="1"/>
  </cols>
  <sheetData>
    <row r="1" spans="1:7" x14ac:dyDescent="0.3">
      <c r="A1" s="3" t="s">
        <v>3</v>
      </c>
      <c r="B1" s="3" t="s">
        <v>4</v>
      </c>
    </row>
    <row r="2" spans="1:7" ht="15" thickBot="1" x14ac:dyDescent="0.35">
      <c r="A2">
        <v>0</v>
      </c>
      <c r="B2">
        <v>268923</v>
      </c>
    </row>
    <row r="3" spans="1:7" x14ac:dyDescent="0.3">
      <c r="A3">
        <v>0</v>
      </c>
      <c r="B3">
        <v>161029</v>
      </c>
      <c r="E3" s="2"/>
      <c r="F3" s="2" t="s">
        <v>3</v>
      </c>
      <c r="G3" s="2" t="s">
        <v>4</v>
      </c>
    </row>
    <row r="4" spans="1:7" x14ac:dyDescent="0.3">
      <c r="A4">
        <v>200</v>
      </c>
      <c r="B4">
        <v>121584</v>
      </c>
      <c r="E4" t="s">
        <v>3</v>
      </c>
      <c r="F4">
        <v>1</v>
      </c>
    </row>
    <row r="5" spans="1:7" ht="15" thickBot="1" x14ac:dyDescent="0.35">
      <c r="A5">
        <v>0</v>
      </c>
      <c r="B5">
        <v>120291</v>
      </c>
      <c r="E5" s="1" t="s">
        <v>4</v>
      </c>
      <c r="F5" s="1">
        <v>1.3978844060393483E-2</v>
      </c>
      <c r="G5" s="1">
        <v>1</v>
      </c>
    </row>
    <row r="6" spans="1:7" x14ac:dyDescent="0.3">
      <c r="A6">
        <v>200</v>
      </c>
      <c r="B6">
        <v>114512</v>
      </c>
    </row>
    <row r="7" spans="1:7" x14ac:dyDescent="0.3">
      <c r="A7">
        <v>0</v>
      </c>
      <c r="B7">
        <v>98867</v>
      </c>
    </row>
    <row r="8" spans="1:7" x14ac:dyDescent="0.3">
      <c r="A8">
        <v>30</v>
      </c>
      <c r="B8">
        <v>84897</v>
      </c>
    </row>
    <row r="9" spans="1:7" x14ac:dyDescent="0.3">
      <c r="A9">
        <v>0</v>
      </c>
      <c r="B9">
        <v>83737</v>
      </c>
    </row>
    <row r="10" spans="1:7" x14ac:dyDescent="0.3">
      <c r="A10">
        <v>175</v>
      </c>
      <c r="B10">
        <v>79612</v>
      </c>
    </row>
    <row r="11" spans="1:7" x14ac:dyDescent="0.3">
      <c r="A11">
        <v>190</v>
      </c>
      <c r="B11">
        <v>73783</v>
      </c>
    </row>
    <row r="12" spans="1:7" x14ac:dyDescent="0.3">
      <c r="A12">
        <v>0</v>
      </c>
      <c r="B12">
        <v>73110</v>
      </c>
    </row>
    <row r="13" spans="1:7" x14ac:dyDescent="0.3">
      <c r="A13">
        <v>0</v>
      </c>
      <c r="B13">
        <v>72932</v>
      </c>
    </row>
    <row r="14" spans="1:7" x14ac:dyDescent="0.3">
      <c r="A14">
        <v>0</v>
      </c>
      <c r="B14">
        <v>70773</v>
      </c>
    </row>
    <row r="15" spans="1:7" x14ac:dyDescent="0.3">
      <c r="A15">
        <v>120</v>
      </c>
      <c r="B15">
        <v>69186</v>
      </c>
    </row>
    <row r="16" spans="1:7" x14ac:dyDescent="0.3">
      <c r="A16">
        <v>0</v>
      </c>
      <c r="B16">
        <v>64128</v>
      </c>
    </row>
    <row r="17" spans="1:2" x14ac:dyDescent="0.3">
      <c r="A17">
        <v>0</v>
      </c>
      <c r="B17">
        <v>59639</v>
      </c>
    </row>
    <row r="18" spans="1:2" x14ac:dyDescent="0.3">
      <c r="A18">
        <v>175</v>
      </c>
      <c r="B18">
        <v>59361</v>
      </c>
    </row>
    <row r="19" spans="1:2" x14ac:dyDescent="0.3">
      <c r="A19">
        <v>195</v>
      </c>
      <c r="B19">
        <v>58208</v>
      </c>
    </row>
    <row r="20" spans="1:2" x14ac:dyDescent="0.3">
      <c r="A20">
        <v>195</v>
      </c>
      <c r="B20">
        <v>57422</v>
      </c>
    </row>
    <row r="21" spans="1:2" x14ac:dyDescent="0.3">
      <c r="A21">
        <v>195</v>
      </c>
      <c r="B21">
        <v>55332</v>
      </c>
    </row>
    <row r="22" spans="1:2" x14ac:dyDescent="0.3">
      <c r="A22">
        <v>145</v>
      </c>
      <c r="B22">
        <v>51257</v>
      </c>
    </row>
    <row r="23" spans="1:2" x14ac:dyDescent="0.3">
      <c r="A23">
        <v>180</v>
      </c>
      <c r="B23">
        <v>50815</v>
      </c>
    </row>
    <row r="24" spans="1:2" x14ac:dyDescent="0.3">
      <c r="A24">
        <v>0</v>
      </c>
      <c r="B24">
        <v>48650</v>
      </c>
    </row>
    <row r="25" spans="1:2" x14ac:dyDescent="0.3">
      <c r="A25">
        <v>50</v>
      </c>
      <c r="B25">
        <v>47886</v>
      </c>
    </row>
    <row r="26" spans="1:2" x14ac:dyDescent="0.3">
      <c r="A26">
        <v>0</v>
      </c>
      <c r="B26">
        <v>47062</v>
      </c>
    </row>
    <row r="27" spans="1:2" x14ac:dyDescent="0.3">
      <c r="A27">
        <v>195</v>
      </c>
      <c r="B27">
        <v>43977</v>
      </c>
    </row>
    <row r="28" spans="1:2" x14ac:dyDescent="0.3">
      <c r="A28">
        <v>75</v>
      </c>
      <c r="B28">
        <v>43285</v>
      </c>
    </row>
    <row r="29" spans="1:2" x14ac:dyDescent="0.3">
      <c r="A29">
        <v>0</v>
      </c>
      <c r="B29">
        <v>41478</v>
      </c>
    </row>
    <row r="30" spans="1:2" x14ac:dyDescent="0.3">
      <c r="A30">
        <v>150</v>
      </c>
      <c r="B30">
        <v>40070</v>
      </c>
    </row>
    <row r="31" spans="1:2" x14ac:dyDescent="0.3">
      <c r="A31">
        <v>195</v>
      </c>
      <c r="B31">
        <v>37141</v>
      </c>
    </row>
    <row r="32" spans="1:2" x14ac:dyDescent="0.3">
      <c r="A32">
        <v>0</v>
      </c>
      <c r="B32">
        <v>36322</v>
      </c>
    </row>
    <row r="33" spans="1:2" x14ac:dyDescent="0.3">
      <c r="A33">
        <v>50</v>
      </c>
      <c r="B33">
        <v>35267</v>
      </c>
    </row>
    <row r="34" spans="1:2" x14ac:dyDescent="0.3">
      <c r="A34">
        <v>200</v>
      </c>
      <c r="B34">
        <v>33788</v>
      </c>
    </row>
    <row r="35" spans="1:2" x14ac:dyDescent="0.3">
      <c r="A35">
        <v>195</v>
      </c>
      <c r="B35">
        <v>33677</v>
      </c>
    </row>
    <row r="36" spans="1:2" x14ac:dyDescent="0.3">
      <c r="A36">
        <v>195</v>
      </c>
      <c r="B36">
        <v>32696</v>
      </c>
    </row>
    <row r="37" spans="1:2" x14ac:dyDescent="0.3">
      <c r="A37">
        <v>0</v>
      </c>
      <c r="B37">
        <v>32260</v>
      </c>
    </row>
    <row r="38" spans="1:2" x14ac:dyDescent="0.3">
      <c r="A38">
        <v>195</v>
      </c>
      <c r="B38">
        <v>31499</v>
      </c>
    </row>
    <row r="39" spans="1:2" x14ac:dyDescent="0.3">
      <c r="A39">
        <v>20</v>
      </c>
      <c r="B39">
        <v>31070</v>
      </c>
    </row>
    <row r="40" spans="1:2" x14ac:dyDescent="0.3">
      <c r="A40">
        <v>0</v>
      </c>
      <c r="B40">
        <v>30531</v>
      </c>
    </row>
    <row r="41" spans="1:2" x14ac:dyDescent="0.3">
      <c r="A41">
        <v>0</v>
      </c>
      <c r="B41">
        <v>29990</v>
      </c>
    </row>
    <row r="42" spans="1:2" x14ac:dyDescent="0.3">
      <c r="A42">
        <v>195</v>
      </c>
      <c r="B42">
        <v>29348</v>
      </c>
    </row>
    <row r="43" spans="1:2" x14ac:dyDescent="0.3">
      <c r="A43">
        <v>200</v>
      </c>
      <c r="B43">
        <v>28880</v>
      </c>
    </row>
    <row r="44" spans="1:2" x14ac:dyDescent="0.3">
      <c r="A44">
        <v>195</v>
      </c>
      <c r="B44">
        <v>28694</v>
      </c>
    </row>
    <row r="45" spans="1:2" x14ac:dyDescent="0.3">
      <c r="A45">
        <v>80</v>
      </c>
      <c r="B45">
        <v>28125</v>
      </c>
    </row>
    <row r="46" spans="1:2" x14ac:dyDescent="0.3">
      <c r="A46">
        <v>195</v>
      </c>
      <c r="B46">
        <v>27801</v>
      </c>
    </row>
    <row r="47" spans="1:2" x14ac:dyDescent="0.3">
      <c r="A47">
        <v>20</v>
      </c>
      <c r="B47">
        <v>26800</v>
      </c>
    </row>
    <row r="48" spans="1:2" x14ac:dyDescent="0.3">
      <c r="A48">
        <v>0</v>
      </c>
      <c r="B48">
        <v>26697</v>
      </c>
    </row>
    <row r="49" spans="1:2" x14ac:dyDescent="0.3">
      <c r="A49">
        <v>100</v>
      </c>
      <c r="B49">
        <v>26673</v>
      </c>
    </row>
    <row r="50" spans="1:2" x14ac:dyDescent="0.3">
      <c r="A50">
        <v>0</v>
      </c>
      <c r="B50">
        <v>26541</v>
      </c>
    </row>
    <row r="51" spans="1:2" x14ac:dyDescent="0.3">
      <c r="A51">
        <v>20</v>
      </c>
      <c r="B51">
        <v>25864</v>
      </c>
    </row>
    <row r="52" spans="1:2" x14ac:dyDescent="0.3">
      <c r="A52">
        <v>20</v>
      </c>
      <c r="B52">
        <v>25854</v>
      </c>
    </row>
    <row r="53" spans="1:2" x14ac:dyDescent="0.3">
      <c r="A53">
        <v>195</v>
      </c>
      <c r="B53">
        <v>25799</v>
      </c>
    </row>
    <row r="54" spans="1:2" x14ac:dyDescent="0.3">
      <c r="A54">
        <v>195</v>
      </c>
      <c r="B54">
        <v>24978</v>
      </c>
    </row>
    <row r="55" spans="1:2" x14ac:dyDescent="0.3">
      <c r="A55">
        <v>200</v>
      </c>
      <c r="B55">
        <v>24861</v>
      </c>
    </row>
    <row r="56" spans="1:2" x14ac:dyDescent="0.3">
      <c r="A56">
        <v>150</v>
      </c>
      <c r="B56">
        <v>24575</v>
      </c>
    </row>
    <row r="57" spans="1:2" x14ac:dyDescent="0.3">
      <c r="A57">
        <v>20</v>
      </c>
      <c r="B57">
        <v>23764</v>
      </c>
    </row>
    <row r="58" spans="1:2" x14ac:dyDescent="0.3">
      <c r="A58">
        <v>0</v>
      </c>
      <c r="B58">
        <v>23669</v>
      </c>
    </row>
    <row r="59" spans="1:2" x14ac:dyDescent="0.3">
      <c r="A59">
        <v>95</v>
      </c>
      <c r="B59">
        <v>23572</v>
      </c>
    </row>
    <row r="60" spans="1:2" x14ac:dyDescent="0.3">
      <c r="A60">
        <v>195</v>
      </c>
      <c r="B60">
        <v>23412</v>
      </c>
    </row>
    <row r="61" spans="1:2" x14ac:dyDescent="0.3">
      <c r="A61">
        <v>200</v>
      </c>
      <c r="B61">
        <v>22999</v>
      </c>
    </row>
    <row r="62" spans="1:2" x14ac:dyDescent="0.3">
      <c r="A62">
        <v>95</v>
      </c>
      <c r="B62">
        <v>22623</v>
      </c>
    </row>
    <row r="63" spans="1:2" x14ac:dyDescent="0.3">
      <c r="A63">
        <v>75</v>
      </c>
      <c r="B63">
        <v>22355</v>
      </c>
    </row>
    <row r="64" spans="1:2" x14ac:dyDescent="0.3">
      <c r="A64">
        <v>100</v>
      </c>
      <c r="B64">
        <v>22213</v>
      </c>
    </row>
    <row r="65" spans="1:2" x14ac:dyDescent="0.3">
      <c r="A65">
        <v>140</v>
      </c>
      <c r="B65">
        <v>21998</v>
      </c>
    </row>
    <row r="66" spans="1:2" x14ac:dyDescent="0.3">
      <c r="A66">
        <v>200</v>
      </c>
      <c r="B66">
        <v>21730</v>
      </c>
    </row>
    <row r="67" spans="1:2" x14ac:dyDescent="0.3">
      <c r="A67">
        <v>0</v>
      </c>
      <c r="B67">
        <v>21689</v>
      </c>
    </row>
    <row r="68" spans="1:2" x14ac:dyDescent="0.3">
      <c r="A68">
        <v>0</v>
      </c>
      <c r="B68">
        <v>21682</v>
      </c>
    </row>
    <row r="69" spans="1:2" x14ac:dyDescent="0.3">
      <c r="A69">
        <v>75</v>
      </c>
      <c r="B69">
        <v>21653</v>
      </c>
    </row>
    <row r="70" spans="1:2" x14ac:dyDescent="0.3">
      <c r="A70">
        <v>0</v>
      </c>
      <c r="B70">
        <v>21245</v>
      </c>
    </row>
    <row r="71" spans="1:2" x14ac:dyDescent="0.3">
      <c r="A71">
        <v>0</v>
      </c>
      <c r="B71">
        <v>21147</v>
      </c>
    </row>
    <row r="72" spans="1:2" x14ac:dyDescent="0.3">
      <c r="A72">
        <v>0</v>
      </c>
      <c r="B72">
        <v>21087</v>
      </c>
    </row>
    <row r="73" spans="1:2" x14ac:dyDescent="0.3">
      <c r="A73">
        <v>0</v>
      </c>
      <c r="B73">
        <v>20890</v>
      </c>
    </row>
    <row r="74" spans="1:2" x14ac:dyDescent="0.3">
      <c r="A74">
        <v>190</v>
      </c>
      <c r="B74">
        <v>20652</v>
      </c>
    </row>
    <row r="75" spans="1:2" x14ac:dyDescent="0.3">
      <c r="A75">
        <v>0</v>
      </c>
      <c r="B75">
        <v>20073</v>
      </c>
    </row>
    <row r="76" spans="1:2" x14ac:dyDescent="0.3">
      <c r="A76">
        <v>0</v>
      </c>
      <c r="B76">
        <v>19909</v>
      </c>
    </row>
    <row r="77" spans="1:2" x14ac:dyDescent="0.3">
      <c r="A77">
        <v>30</v>
      </c>
      <c r="B77">
        <v>19210</v>
      </c>
    </row>
    <row r="78" spans="1:2" x14ac:dyDescent="0.3">
      <c r="A78">
        <v>50</v>
      </c>
      <c r="B78">
        <v>18818</v>
      </c>
    </row>
    <row r="79" spans="1:2" x14ac:dyDescent="0.3">
      <c r="A79">
        <v>20</v>
      </c>
      <c r="B79">
        <v>18777</v>
      </c>
    </row>
    <row r="80" spans="1:2" x14ac:dyDescent="0.3">
      <c r="A80">
        <v>0</v>
      </c>
      <c r="B80">
        <v>18496</v>
      </c>
    </row>
    <row r="81" spans="1:2" x14ac:dyDescent="0.3">
      <c r="A81">
        <v>100</v>
      </c>
      <c r="B81">
        <v>18324</v>
      </c>
    </row>
    <row r="82" spans="1:2" x14ac:dyDescent="0.3">
      <c r="A82">
        <v>200</v>
      </c>
      <c r="B82">
        <v>18170</v>
      </c>
    </row>
    <row r="83" spans="1:2" x14ac:dyDescent="0.3">
      <c r="A83">
        <v>20</v>
      </c>
      <c r="B83">
        <v>18143</v>
      </c>
    </row>
    <row r="84" spans="1:2" x14ac:dyDescent="0.3">
      <c r="A84">
        <v>150</v>
      </c>
      <c r="B84">
        <v>18101</v>
      </c>
    </row>
    <row r="85" spans="1:2" x14ac:dyDescent="0.3">
      <c r="A85">
        <v>195</v>
      </c>
      <c r="B85">
        <v>17895</v>
      </c>
    </row>
    <row r="86" spans="1:2" x14ac:dyDescent="0.3">
      <c r="A86">
        <v>75</v>
      </c>
      <c r="B86">
        <v>17802</v>
      </c>
    </row>
    <row r="87" spans="1:2" x14ac:dyDescent="0.3">
      <c r="A87">
        <v>195</v>
      </c>
      <c r="B87">
        <v>17784</v>
      </c>
    </row>
    <row r="88" spans="1:2" x14ac:dyDescent="0.3">
      <c r="A88">
        <v>120</v>
      </c>
      <c r="B88">
        <v>17759</v>
      </c>
    </row>
    <row r="89" spans="1:2" x14ac:dyDescent="0.3">
      <c r="A89">
        <v>70</v>
      </c>
      <c r="B89">
        <v>17714</v>
      </c>
    </row>
    <row r="90" spans="1:2" x14ac:dyDescent="0.3">
      <c r="A90">
        <v>190</v>
      </c>
      <c r="B90">
        <v>17671</v>
      </c>
    </row>
    <row r="91" spans="1:2" x14ac:dyDescent="0.3">
      <c r="A91">
        <v>20</v>
      </c>
      <c r="B91">
        <v>17554</v>
      </c>
    </row>
    <row r="92" spans="1:2" x14ac:dyDescent="0.3">
      <c r="A92">
        <v>0</v>
      </c>
      <c r="B92">
        <v>17463</v>
      </c>
    </row>
    <row r="93" spans="1:2" x14ac:dyDescent="0.3">
      <c r="A93">
        <v>100</v>
      </c>
      <c r="B93">
        <v>17334</v>
      </c>
    </row>
    <row r="94" spans="1:2" x14ac:dyDescent="0.3">
      <c r="A94">
        <v>150</v>
      </c>
      <c r="B94">
        <v>17297</v>
      </c>
    </row>
    <row r="95" spans="1:2" x14ac:dyDescent="0.3">
      <c r="A95">
        <v>50</v>
      </c>
      <c r="B95">
        <v>17113</v>
      </c>
    </row>
    <row r="96" spans="1:2" x14ac:dyDescent="0.3">
      <c r="A96">
        <v>200</v>
      </c>
      <c r="B96">
        <v>17071</v>
      </c>
    </row>
    <row r="97" spans="1:2" x14ac:dyDescent="0.3">
      <c r="A97">
        <v>50</v>
      </c>
      <c r="B97">
        <v>16926</v>
      </c>
    </row>
    <row r="98" spans="1:2" x14ac:dyDescent="0.3">
      <c r="A98">
        <v>60</v>
      </c>
      <c r="B98">
        <v>16829</v>
      </c>
    </row>
    <row r="99" spans="1:2" x14ac:dyDescent="0.3">
      <c r="A99">
        <v>75</v>
      </c>
      <c r="B99">
        <v>16731</v>
      </c>
    </row>
    <row r="100" spans="1:2" x14ac:dyDescent="0.3">
      <c r="A100">
        <v>75</v>
      </c>
      <c r="B100">
        <v>16590</v>
      </c>
    </row>
    <row r="101" spans="1:2" x14ac:dyDescent="0.3">
      <c r="A101">
        <v>0</v>
      </c>
      <c r="B101">
        <v>16527</v>
      </c>
    </row>
    <row r="102" spans="1:2" x14ac:dyDescent="0.3">
      <c r="A102">
        <v>20</v>
      </c>
      <c r="B102">
        <v>16486</v>
      </c>
    </row>
    <row r="103" spans="1:2" x14ac:dyDescent="0.3">
      <c r="A103">
        <v>100</v>
      </c>
      <c r="B103">
        <v>16409</v>
      </c>
    </row>
    <row r="104" spans="1:2" x14ac:dyDescent="0.3">
      <c r="A104">
        <v>195</v>
      </c>
      <c r="B104">
        <v>16282</v>
      </c>
    </row>
    <row r="105" spans="1:2" x14ac:dyDescent="0.3">
      <c r="A105">
        <v>200</v>
      </c>
      <c r="B105">
        <v>16212</v>
      </c>
    </row>
    <row r="106" spans="1:2" x14ac:dyDescent="0.3">
      <c r="A106">
        <v>200</v>
      </c>
      <c r="B106">
        <v>16158</v>
      </c>
    </row>
    <row r="107" spans="1:2" x14ac:dyDescent="0.3">
      <c r="A107">
        <v>40</v>
      </c>
      <c r="B107">
        <v>15724</v>
      </c>
    </row>
    <row r="108" spans="1:2" x14ac:dyDescent="0.3">
      <c r="A108">
        <v>0</v>
      </c>
      <c r="B108">
        <v>15715</v>
      </c>
    </row>
    <row r="109" spans="1:2" x14ac:dyDescent="0.3">
      <c r="A109">
        <v>0</v>
      </c>
      <c r="B109">
        <v>15493</v>
      </c>
    </row>
    <row r="110" spans="1:2" x14ac:dyDescent="0.3">
      <c r="A110">
        <v>0</v>
      </c>
      <c r="B110">
        <v>15462</v>
      </c>
    </row>
    <row r="111" spans="1:2" x14ac:dyDescent="0.3">
      <c r="A111">
        <v>200</v>
      </c>
      <c r="B111">
        <v>15276</v>
      </c>
    </row>
    <row r="112" spans="1:2" x14ac:dyDescent="0.3">
      <c r="A112">
        <v>35</v>
      </c>
      <c r="B112">
        <v>15187</v>
      </c>
    </row>
    <row r="113" spans="1:4" x14ac:dyDescent="0.3">
      <c r="A113">
        <v>0</v>
      </c>
      <c r="B113">
        <v>15134</v>
      </c>
    </row>
    <row r="114" spans="1:4" x14ac:dyDescent="0.3">
      <c r="A114">
        <v>75</v>
      </c>
      <c r="B114">
        <v>15106</v>
      </c>
    </row>
    <row r="115" spans="1:4" x14ac:dyDescent="0.3">
      <c r="A115">
        <v>0</v>
      </c>
      <c r="B115">
        <v>15092</v>
      </c>
    </row>
    <row r="116" spans="1:4" x14ac:dyDescent="0.3">
      <c r="A116">
        <v>135</v>
      </c>
      <c r="B116">
        <v>15064</v>
      </c>
    </row>
    <row r="117" spans="1:4" x14ac:dyDescent="0.3">
      <c r="A117">
        <v>200</v>
      </c>
      <c r="B117">
        <v>14842</v>
      </c>
      <c r="C117">
        <v>0.78</v>
      </c>
      <c r="D117">
        <v>2017</v>
      </c>
    </row>
    <row r="118" spans="1:4" x14ac:dyDescent="0.3">
      <c r="A118">
        <v>60</v>
      </c>
      <c r="B118">
        <v>14813</v>
      </c>
      <c r="C118">
        <v>0.78</v>
      </c>
      <c r="D118">
        <v>2017</v>
      </c>
    </row>
    <row r="119" spans="1:4" x14ac:dyDescent="0.3">
      <c r="A119">
        <v>150</v>
      </c>
      <c r="B119">
        <v>14606</v>
      </c>
      <c r="C119">
        <v>0.78</v>
      </c>
      <c r="D119">
        <v>2017</v>
      </c>
    </row>
    <row r="120" spans="1:4" x14ac:dyDescent="0.3">
      <c r="A120">
        <v>20</v>
      </c>
      <c r="B120">
        <v>14551</v>
      </c>
      <c r="C120">
        <v>0.36</v>
      </c>
      <c r="D120">
        <v>2017</v>
      </c>
    </row>
    <row r="121" spans="1:4" x14ac:dyDescent="0.3">
      <c r="A121">
        <v>100</v>
      </c>
      <c r="B121">
        <v>14260</v>
      </c>
      <c r="C121">
        <v>0.95</v>
      </c>
      <c r="D121">
        <v>2017</v>
      </c>
    </row>
    <row r="122" spans="1:4" x14ac:dyDescent="0.3">
      <c r="A122">
        <v>75</v>
      </c>
      <c r="B122">
        <v>14254</v>
      </c>
      <c r="C122">
        <v>0.95</v>
      </c>
      <c r="D122">
        <v>2017</v>
      </c>
    </row>
    <row r="123" spans="1:4" x14ac:dyDescent="0.3">
      <c r="A123">
        <v>120</v>
      </c>
      <c r="B123">
        <v>14118</v>
      </c>
      <c r="C123">
        <v>0.95</v>
      </c>
      <c r="D123">
        <v>2017</v>
      </c>
    </row>
    <row r="124" spans="1:4" x14ac:dyDescent="0.3">
      <c r="A124">
        <v>190</v>
      </c>
      <c r="B124">
        <v>14103</v>
      </c>
      <c r="C124">
        <v>0.96</v>
      </c>
      <c r="D124">
        <v>2017</v>
      </c>
    </row>
    <row r="125" spans="1:4" x14ac:dyDescent="0.3">
      <c r="A125">
        <v>40</v>
      </c>
      <c r="B125">
        <v>14074</v>
      </c>
      <c r="C125">
        <v>0.96</v>
      </c>
      <c r="D125">
        <v>2017</v>
      </c>
    </row>
    <row r="126" spans="1:4" x14ac:dyDescent="0.3">
      <c r="A126">
        <v>0</v>
      </c>
      <c r="B126">
        <v>14026</v>
      </c>
      <c r="C126">
        <v>0.96</v>
      </c>
      <c r="D126">
        <v>2017</v>
      </c>
    </row>
    <row r="127" spans="1:4" x14ac:dyDescent="0.3">
      <c r="A127">
        <v>20</v>
      </c>
      <c r="B127">
        <v>13960</v>
      </c>
      <c r="C127">
        <v>0.96</v>
      </c>
      <c r="D127">
        <v>2017</v>
      </c>
    </row>
    <row r="128" spans="1:4" x14ac:dyDescent="0.3">
      <c r="A128">
        <v>75</v>
      </c>
      <c r="B128">
        <v>13920</v>
      </c>
      <c r="C128">
        <v>0.34</v>
      </c>
      <c r="D128">
        <v>2017</v>
      </c>
    </row>
    <row r="129" spans="1:4" x14ac:dyDescent="0.3">
      <c r="A129">
        <v>150</v>
      </c>
      <c r="B129">
        <v>13882</v>
      </c>
      <c r="C129">
        <v>0.98</v>
      </c>
      <c r="D129">
        <v>2017</v>
      </c>
    </row>
    <row r="130" spans="1:4" x14ac:dyDescent="0.3">
      <c r="A130">
        <v>80</v>
      </c>
      <c r="B130">
        <v>13708</v>
      </c>
      <c r="C130">
        <v>0.72</v>
      </c>
      <c r="D130">
        <v>2017</v>
      </c>
    </row>
    <row r="131" spans="1:4" x14ac:dyDescent="0.3">
      <c r="A131">
        <v>0</v>
      </c>
      <c r="B131">
        <v>13535</v>
      </c>
      <c r="C131">
        <v>0.62</v>
      </c>
      <c r="D131">
        <v>2017</v>
      </c>
    </row>
    <row r="132" spans="1:4" x14ac:dyDescent="0.3">
      <c r="A132">
        <v>80</v>
      </c>
      <c r="B132">
        <v>13457</v>
      </c>
      <c r="C132">
        <v>0.94</v>
      </c>
      <c r="D132">
        <v>2017</v>
      </c>
    </row>
    <row r="133" spans="1:4" x14ac:dyDescent="0.3">
      <c r="A133">
        <v>150</v>
      </c>
      <c r="B133">
        <v>13439</v>
      </c>
      <c r="C133">
        <v>0.12</v>
      </c>
      <c r="D133">
        <v>2017</v>
      </c>
    </row>
    <row r="134" spans="1:4" x14ac:dyDescent="0.3">
      <c r="A134">
        <v>100</v>
      </c>
      <c r="B134">
        <v>13406</v>
      </c>
      <c r="C134">
        <v>0.79</v>
      </c>
      <c r="D134">
        <v>2017</v>
      </c>
    </row>
    <row r="135" spans="1:4" x14ac:dyDescent="0.3">
      <c r="A135">
        <v>0</v>
      </c>
      <c r="B135">
        <v>13242</v>
      </c>
      <c r="C135">
        <v>0.76</v>
      </c>
      <c r="D135">
        <v>2017</v>
      </c>
    </row>
    <row r="136" spans="1:4" x14ac:dyDescent="0.3">
      <c r="A136">
        <v>0</v>
      </c>
      <c r="B136">
        <v>13210</v>
      </c>
      <c r="C136">
        <v>0.18</v>
      </c>
      <c r="D136">
        <v>2017</v>
      </c>
    </row>
    <row r="137" spans="1:4" x14ac:dyDescent="0.3">
      <c r="A137">
        <v>0</v>
      </c>
      <c r="B137">
        <v>13130</v>
      </c>
      <c r="C137">
        <v>0.2</v>
      </c>
      <c r="D137">
        <v>2017</v>
      </c>
    </row>
    <row r="138" spans="1:4" x14ac:dyDescent="0.3">
      <c r="A138">
        <v>0</v>
      </c>
      <c r="B138">
        <v>13016</v>
      </c>
      <c r="C138">
        <v>0.78</v>
      </c>
      <c r="D138">
        <v>2017</v>
      </c>
    </row>
    <row r="139" spans="1:4" x14ac:dyDescent="0.3">
      <c r="A139">
        <v>80</v>
      </c>
      <c r="B139">
        <v>13010</v>
      </c>
      <c r="C139">
        <v>0.89</v>
      </c>
      <c r="D139">
        <v>2017</v>
      </c>
    </row>
    <row r="140" spans="1:4" x14ac:dyDescent="0.3">
      <c r="A140">
        <v>0</v>
      </c>
      <c r="B140">
        <v>12974</v>
      </c>
      <c r="C140">
        <v>0.76</v>
      </c>
      <c r="D140">
        <v>2017</v>
      </c>
    </row>
    <row r="141" spans="1:4" x14ac:dyDescent="0.3">
      <c r="A141">
        <v>65</v>
      </c>
      <c r="B141">
        <v>12953</v>
      </c>
      <c r="C141">
        <v>0.94</v>
      </c>
      <c r="D141">
        <v>2017</v>
      </c>
    </row>
    <row r="142" spans="1:4" x14ac:dyDescent="0.3">
      <c r="A142">
        <v>0</v>
      </c>
      <c r="B142">
        <v>12952</v>
      </c>
      <c r="C142">
        <v>0.94</v>
      </c>
      <c r="D142">
        <v>2017</v>
      </c>
    </row>
    <row r="143" spans="1:4" x14ac:dyDescent="0.3">
      <c r="A143">
        <v>75</v>
      </c>
      <c r="B143">
        <v>12893</v>
      </c>
      <c r="C143">
        <v>0.18</v>
      </c>
      <c r="D143">
        <v>2017</v>
      </c>
    </row>
    <row r="144" spans="1:4" x14ac:dyDescent="0.3">
      <c r="A144">
        <v>75</v>
      </c>
      <c r="B144">
        <v>12882</v>
      </c>
      <c r="C144">
        <v>0.96</v>
      </c>
      <c r="D144">
        <v>2017</v>
      </c>
    </row>
    <row r="145" spans="1:4" x14ac:dyDescent="0.3">
      <c r="A145">
        <v>200</v>
      </c>
      <c r="B145">
        <v>12873</v>
      </c>
      <c r="C145">
        <v>0.96</v>
      </c>
      <c r="D145">
        <v>2017</v>
      </c>
    </row>
    <row r="146" spans="1:4" x14ac:dyDescent="0.3">
      <c r="A146">
        <v>150</v>
      </c>
      <c r="B146">
        <v>12838</v>
      </c>
      <c r="C146">
        <v>0.96</v>
      </c>
      <c r="D146">
        <v>2017</v>
      </c>
    </row>
    <row r="147" spans="1:4" x14ac:dyDescent="0.3">
      <c r="A147">
        <v>175</v>
      </c>
      <c r="B147">
        <v>12815</v>
      </c>
      <c r="C147">
        <v>0.96</v>
      </c>
      <c r="D147">
        <v>2017</v>
      </c>
    </row>
    <row r="148" spans="1:4" x14ac:dyDescent="0.3">
      <c r="A148">
        <v>20</v>
      </c>
      <c r="B148">
        <v>12781</v>
      </c>
      <c r="C148">
        <v>0.96</v>
      </c>
      <c r="D148">
        <v>2017</v>
      </c>
    </row>
    <row r="149" spans="1:4" x14ac:dyDescent="0.3">
      <c r="A149">
        <v>75</v>
      </c>
      <c r="B149">
        <v>12629</v>
      </c>
      <c r="C149">
        <v>0.74</v>
      </c>
      <c r="D149">
        <v>2017</v>
      </c>
    </row>
    <row r="150" spans="1:4" x14ac:dyDescent="0.3">
      <c r="A150">
        <v>0</v>
      </c>
      <c r="B150">
        <v>12563</v>
      </c>
      <c r="C150">
        <v>0.2</v>
      </c>
      <c r="D150">
        <v>2017</v>
      </c>
    </row>
    <row r="151" spans="1:4" x14ac:dyDescent="0.3">
      <c r="A151">
        <v>20</v>
      </c>
      <c r="B151">
        <v>12458</v>
      </c>
      <c r="C151">
        <v>0.11</v>
      </c>
      <c r="D151">
        <v>2017</v>
      </c>
    </row>
    <row r="152" spans="1:4" x14ac:dyDescent="0.3">
      <c r="A152">
        <v>195</v>
      </c>
      <c r="B152">
        <v>12368</v>
      </c>
      <c r="C152">
        <v>0.89</v>
      </c>
      <c r="D152">
        <v>2017</v>
      </c>
    </row>
    <row r="153" spans="1:4" x14ac:dyDescent="0.3">
      <c r="A153">
        <v>120</v>
      </c>
      <c r="B153">
        <v>12366</v>
      </c>
      <c r="C153">
        <v>0.89</v>
      </c>
      <c r="D153">
        <v>2017</v>
      </c>
    </row>
    <row r="154" spans="1:4" x14ac:dyDescent="0.3">
      <c r="A154">
        <v>0</v>
      </c>
      <c r="B154">
        <v>12336</v>
      </c>
      <c r="C154">
        <v>0.89</v>
      </c>
      <c r="D154">
        <v>2017</v>
      </c>
    </row>
    <row r="155" spans="1:4" x14ac:dyDescent="0.3">
      <c r="A155">
        <v>50</v>
      </c>
      <c r="B155">
        <v>12328</v>
      </c>
      <c r="C155">
        <v>0.89</v>
      </c>
      <c r="D155">
        <v>2017</v>
      </c>
    </row>
    <row r="156" spans="1:4" x14ac:dyDescent="0.3">
      <c r="A156">
        <v>0</v>
      </c>
      <c r="B156">
        <v>12293</v>
      </c>
      <c r="C156">
        <v>0.89</v>
      </c>
      <c r="D156">
        <v>2017</v>
      </c>
    </row>
    <row r="157" spans="1:4" x14ac:dyDescent="0.3">
      <c r="A157">
        <v>0</v>
      </c>
      <c r="B157">
        <v>12201</v>
      </c>
      <c r="C157">
        <v>0.89</v>
      </c>
      <c r="D157">
        <v>2017</v>
      </c>
    </row>
    <row r="158" spans="1:4" x14ac:dyDescent="0.3">
      <c r="A158">
        <v>35</v>
      </c>
      <c r="B158">
        <v>12105</v>
      </c>
      <c r="C158">
        <v>0.89</v>
      </c>
      <c r="D158">
        <v>2017</v>
      </c>
    </row>
    <row r="159" spans="1:4" x14ac:dyDescent="0.3">
      <c r="A159">
        <v>195</v>
      </c>
      <c r="B159">
        <v>12068</v>
      </c>
      <c r="C159">
        <v>0.74</v>
      </c>
      <c r="D159">
        <v>2017</v>
      </c>
    </row>
    <row r="160" spans="1:4" x14ac:dyDescent="0.3">
      <c r="A160">
        <v>195</v>
      </c>
      <c r="B160">
        <v>12021</v>
      </c>
      <c r="C160">
        <v>0.18</v>
      </c>
      <c r="D160">
        <v>2017</v>
      </c>
    </row>
    <row r="161" spans="1:4" x14ac:dyDescent="0.3">
      <c r="A161">
        <v>100</v>
      </c>
      <c r="B161">
        <v>11892</v>
      </c>
      <c r="C161">
        <v>0.94</v>
      </c>
      <c r="D161">
        <v>2017</v>
      </c>
    </row>
    <row r="162" spans="1:4" x14ac:dyDescent="0.3">
      <c r="A162">
        <v>50</v>
      </c>
      <c r="B162">
        <v>11847</v>
      </c>
      <c r="C162">
        <v>0.15</v>
      </c>
      <c r="D162">
        <v>2017</v>
      </c>
    </row>
    <row r="163" spans="1:4" x14ac:dyDescent="0.3">
      <c r="A163">
        <v>200</v>
      </c>
      <c r="B163">
        <v>11832</v>
      </c>
      <c r="C163">
        <v>0.46</v>
      </c>
      <c r="D163">
        <v>2017</v>
      </c>
    </row>
    <row r="164" spans="1:4" x14ac:dyDescent="0.3">
      <c r="A164">
        <v>0</v>
      </c>
      <c r="B164">
        <v>11812</v>
      </c>
      <c r="C164">
        <v>0.96</v>
      </c>
      <c r="D164">
        <v>2017</v>
      </c>
    </row>
    <row r="165" spans="1:4" x14ac:dyDescent="0.3">
      <c r="A165">
        <v>0</v>
      </c>
      <c r="B165">
        <v>11758</v>
      </c>
      <c r="C165">
        <v>0.55000000000000004</v>
      </c>
      <c r="D165">
        <v>2017</v>
      </c>
    </row>
    <row r="166" spans="1:4" x14ac:dyDescent="0.3">
      <c r="A166">
        <v>0</v>
      </c>
      <c r="B166">
        <v>11666</v>
      </c>
      <c r="C166">
        <v>0.81</v>
      </c>
      <c r="D166">
        <v>2017</v>
      </c>
    </row>
    <row r="167" spans="1:4" x14ac:dyDescent="0.3">
      <c r="A167">
        <v>100</v>
      </c>
      <c r="B167">
        <v>11643</v>
      </c>
      <c r="C167">
        <v>0.93</v>
      </c>
      <c r="D167">
        <v>2017</v>
      </c>
    </row>
    <row r="168" spans="1:4" x14ac:dyDescent="0.3">
      <c r="A168">
        <v>200</v>
      </c>
      <c r="B168">
        <v>11574</v>
      </c>
      <c r="C168">
        <v>0.67</v>
      </c>
      <c r="D168">
        <v>2017</v>
      </c>
    </row>
    <row r="169" spans="1:4" x14ac:dyDescent="0.3">
      <c r="A169">
        <v>20</v>
      </c>
      <c r="B169">
        <v>11536</v>
      </c>
      <c r="C169">
        <v>0.52</v>
      </c>
      <c r="D169">
        <v>2017</v>
      </c>
    </row>
    <row r="170" spans="1:4" x14ac:dyDescent="0.3">
      <c r="A170">
        <v>0</v>
      </c>
      <c r="B170">
        <v>11533</v>
      </c>
      <c r="C170">
        <v>0.11</v>
      </c>
      <c r="D170">
        <v>2017</v>
      </c>
    </row>
    <row r="171" spans="1:4" x14ac:dyDescent="0.3">
      <c r="A171">
        <v>200</v>
      </c>
      <c r="B171">
        <v>11492</v>
      </c>
      <c r="C171">
        <v>0.99</v>
      </c>
      <c r="D171">
        <v>2017</v>
      </c>
    </row>
    <row r="172" spans="1:4" x14ac:dyDescent="0.3">
      <c r="A172">
        <v>50</v>
      </c>
      <c r="B172">
        <v>11384</v>
      </c>
      <c r="C172">
        <v>0.44</v>
      </c>
      <c r="D172">
        <v>2017</v>
      </c>
    </row>
    <row r="173" spans="1:4" x14ac:dyDescent="0.3">
      <c r="A173">
        <v>55</v>
      </c>
      <c r="B173">
        <v>11339</v>
      </c>
      <c r="C173">
        <v>0.18</v>
      </c>
      <c r="D173">
        <v>2017</v>
      </c>
    </row>
    <row r="174" spans="1:4" x14ac:dyDescent="0.3">
      <c r="A174">
        <v>195</v>
      </c>
      <c r="B174">
        <v>11285</v>
      </c>
      <c r="C174">
        <v>0.15</v>
      </c>
      <c r="D174">
        <v>2017</v>
      </c>
    </row>
    <row r="175" spans="1:4" x14ac:dyDescent="0.3">
      <c r="A175">
        <v>195</v>
      </c>
      <c r="B175">
        <v>11285</v>
      </c>
      <c r="C175">
        <v>7.0000000000000007E-2</v>
      </c>
      <c r="D175">
        <v>2017</v>
      </c>
    </row>
    <row r="176" spans="1:4" x14ac:dyDescent="0.3">
      <c r="A176">
        <v>50</v>
      </c>
      <c r="B176">
        <v>11262</v>
      </c>
      <c r="C176">
        <v>0.75</v>
      </c>
      <c r="D176">
        <v>2017</v>
      </c>
    </row>
    <row r="177" spans="1:4" x14ac:dyDescent="0.3">
      <c r="A177">
        <v>95</v>
      </c>
      <c r="B177">
        <v>11170</v>
      </c>
      <c r="C177">
        <v>0.39</v>
      </c>
      <c r="D177">
        <v>2017</v>
      </c>
    </row>
    <row r="178" spans="1:4" x14ac:dyDescent="0.3">
      <c r="A178">
        <v>95</v>
      </c>
      <c r="B178">
        <v>11170</v>
      </c>
      <c r="C178">
        <v>0.2</v>
      </c>
      <c r="D178">
        <v>2017</v>
      </c>
    </row>
    <row r="179" spans="1:4" x14ac:dyDescent="0.3">
      <c r="A179">
        <v>20</v>
      </c>
      <c r="B179">
        <v>11167</v>
      </c>
      <c r="C179">
        <v>0.75</v>
      </c>
      <c r="D179">
        <v>2017</v>
      </c>
    </row>
    <row r="180" spans="1:4" x14ac:dyDescent="0.3">
      <c r="A180">
        <v>20</v>
      </c>
      <c r="B180">
        <v>11167</v>
      </c>
      <c r="C180">
        <v>0.96</v>
      </c>
      <c r="D180">
        <v>2017</v>
      </c>
    </row>
    <row r="181" spans="1:4" x14ac:dyDescent="0.3">
      <c r="A181">
        <v>0</v>
      </c>
      <c r="B181">
        <v>11080</v>
      </c>
      <c r="C181">
        <v>0.02</v>
      </c>
      <c r="D181">
        <v>2017</v>
      </c>
    </row>
    <row r="182" spans="1:4" x14ac:dyDescent="0.3">
      <c r="A182">
        <v>0</v>
      </c>
      <c r="B182">
        <v>11026</v>
      </c>
      <c r="C182">
        <v>0.28999999999999998</v>
      </c>
      <c r="D182">
        <v>2017</v>
      </c>
    </row>
    <row r="183" spans="1:4" x14ac:dyDescent="0.3">
      <c r="A183">
        <v>0</v>
      </c>
      <c r="B183">
        <v>11026</v>
      </c>
      <c r="C183">
        <v>0.47</v>
      </c>
      <c r="D183">
        <v>2017</v>
      </c>
    </row>
    <row r="184" spans="1:4" x14ac:dyDescent="0.3">
      <c r="A184">
        <v>200</v>
      </c>
      <c r="B184">
        <v>11011</v>
      </c>
      <c r="C184">
        <v>0.32</v>
      </c>
      <c r="D184">
        <v>2017</v>
      </c>
    </row>
    <row r="185" spans="1:4" x14ac:dyDescent="0.3">
      <c r="A185">
        <v>150</v>
      </c>
      <c r="B185">
        <v>10945</v>
      </c>
      <c r="C185">
        <v>0.83</v>
      </c>
      <c r="D185">
        <v>2017</v>
      </c>
    </row>
    <row r="186" spans="1:4" x14ac:dyDescent="0.3">
      <c r="A186">
        <v>0</v>
      </c>
      <c r="B186">
        <v>10917</v>
      </c>
      <c r="C186">
        <v>0.74</v>
      </c>
      <c r="D186">
        <v>2017</v>
      </c>
    </row>
    <row r="187" spans="1:4" x14ac:dyDescent="0.3">
      <c r="A187">
        <v>75</v>
      </c>
      <c r="B187">
        <v>10890</v>
      </c>
      <c r="C187">
        <v>0.88</v>
      </c>
      <c r="D187">
        <v>2017</v>
      </c>
    </row>
    <row r="188" spans="1:4" x14ac:dyDescent="0.3">
      <c r="A188">
        <v>195</v>
      </c>
      <c r="B188">
        <v>10874</v>
      </c>
      <c r="C188">
        <v>0.76</v>
      </c>
      <c r="D188">
        <v>2017</v>
      </c>
    </row>
    <row r="189" spans="1:4" x14ac:dyDescent="0.3">
      <c r="A189">
        <v>50</v>
      </c>
      <c r="B189">
        <v>10864</v>
      </c>
      <c r="C189">
        <v>0.78</v>
      </c>
      <c r="D189">
        <v>2017</v>
      </c>
    </row>
    <row r="190" spans="1:4" x14ac:dyDescent="0.3">
      <c r="A190">
        <v>0</v>
      </c>
      <c r="B190">
        <v>10780</v>
      </c>
      <c r="C190">
        <v>0.31</v>
      </c>
      <c r="D190">
        <v>2017</v>
      </c>
    </row>
    <row r="191" spans="1:4" x14ac:dyDescent="0.3">
      <c r="A191">
        <v>20</v>
      </c>
      <c r="B191">
        <v>10689</v>
      </c>
      <c r="C191">
        <v>0.39</v>
      </c>
      <c r="D191">
        <v>2017</v>
      </c>
    </row>
    <row r="192" spans="1:4" x14ac:dyDescent="0.3">
      <c r="A192">
        <v>200</v>
      </c>
      <c r="B192">
        <v>10674</v>
      </c>
      <c r="C192">
        <v>0.16</v>
      </c>
      <c r="D192">
        <v>2017</v>
      </c>
    </row>
    <row r="193" spans="1:4" x14ac:dyDescent="0.3">
      <c r="A193">
        <v>20</v>
      </c>
      <c r="B193">
        <v>10610</v>
      </c>
      <c r="C193">
        <v>0.34</v>
      </c>
      <c r="D193">
        <v>2017</v>
      </c>
    </row>
    <row r="194" spans="1:4" x14ac:dyDescent="0.3">
      <c r="A194">
        <v>60</v>
      </c>
      <c r="B194">
        <v>10606</v>
      </c>
      <c r="C194">
        <v>0.6</v>
      </c>
      <c r="D194">
        <v>2017</v>
      </c>
    </row>
    <row r="195" spans="1:4" x14ac:dyDescent="0.3">
      <c r="A195">
        <v>145</v>
      </c>
      <c r="B195">
        <v>10576</v>
      </c>
      <c r="C195">
        <v>0.15</v>
      </c>
      <c r="D195">
        <v>2017</v>
      </c>
    </row>
    <row r="196" spans="1:4" x14ac:dyDescent="0.3">
      <c r="A196">
        <v>195</v>
      </c>
      <c r="B196">
        <v>10518</v>
      </c>
      <c r="C196">
        <v>0.98</v>
      </c>
      <c r="D196">
        <v>2017</v>
      </c>
    </row>
    <row r="197" spans="1:4" x14ac:dyDescent="0.3">
      <c r="A197">
        <v>90</v>
      </c>
      <c r="B197">
        <v>10394</v>
      </c>
      <c r="C197">
        <v>0.98</v>
      </c>
      <c r="D197">
        <v>2017</v>
      </c>
    </row>
    <row r="198" spans="1:4" x14ac:dyDescent="0.3">
      <c r="A198">
        <v>20</v>
      </c>
      <c r="B198">
        <v>10247</v>
      </c>
      <c r="C198">
        <v>0.98</v>
      </c>
      <c r="D198">
        <v>2017</v>
      </c>
    </row>
    <row r="199" spans="1:4" x14ac:dyDescent="0.3">
      <c r="A199">
        <v>0</v>
      </c>
      <c r="B199">
        <v>10179</v>
      </c>
      <c r="C199">
        <v>0.98</v>
      </c>
      <c r="D199">
        <v>2017</v>
      </c>
    </row>
    <row r="200" spans="1:4" x14ac:dyDescent="0.3">
      <c r="A200">
        <v>95</v>
      </c>
      <c r="B200">
        <v>10179</v>
      </c>
      <c r="C200">
        <v>0.71</v>
      </c>
      <c r="D200">
        <v>2017</v>
      </c>
    </row>
    <row r="201" spans="1:4" x14ac:dyDescent="0.3">
      <c r="A201">
        <v>50</v>
      </c>
      <c r="B201">
        <v>10150</v>
      </c>
      <c r="C201">
        <v>0.3</v>
      </c>
      <c r="D201">
        <v>2017</v>
      </c>
    </row>
    <row r="202" spans="1:4" x14ac:dyDescent="0.3">
      <c r="A202">
        <v>0</v>
      </c>
      <c r="B202">
        <v>10110</v>
      </c>
      <c r="C202">
        <v>0.61</v>
      </c>
      <c r="D202">
        <v>2017</v>
      </c>
    </row>
    <row r="203" spans="1:4" x14ac:dyDescent="0.3">
      <c r="A203">
        <v>115</v>
      </c>
      <c r="B203">
        <v>10103</v>
      </c>
      <c r="C203">
        <v>0.78</v>
      </c>
      <c r="D203">
        <v>2017</v>
      </c>
    </row>
    <row r="204" spans="1:4" x14ac:dyDescent="0.3">
      <c r="A204">
        <v>20</v>
      </c>
      <c r="B204">
        <v>10008</v>
      </c>
      <c r="C204">
        <v>0.47</v>
      </c>
      <c r="D204">
        <v>2017</v>
      </c>
    </row>
    <row r="205" spans="1:4" x14ac:dyDescent="0.3">
      <c r="A205">
        <v>200</v>
      </c>
      <c r="B205">
        <v>9945</v>
      </c>
      <c r="C205">
        <v>0.7</v>
      </c>
      <c r="D205">
        <v>2017</v>
      </c>
    </row>
    <row r="206" spans="1:4" x14ac:dyDescent="0.3">
      <c r="A206">
        <v>50</v>
      </c>
      <c r="B206">
        <v>9881</v>
      </c>
      <c r="C206">
        <v>0.64</v>
      </c>
      <c r="D206">
        <v>2017</v>
      </c>
    </row>
    <row r="207" spans="1:4" x14ac:dyDescent="0.3">
      <c r="A207">
        <v>0</v>
      </c>
      <c r="B207">
        <v>9833</v>
      </c>
      <c r="C207">
        <v>0.76</v>
      </c>
      <c r="D207">
        <v>2017</v>
      </c>
    </row>
    <row r="208" spans="1:4" x14ac:dyDescent="0.3">
      <c r="A208">
        <v>95</v>
      </c>
      <c r="B208">
        <v>9832</v>
      </c>
      <c r="C208">
        <v>1</v>
      </c>
      <c r="D208">
        <v>2017</v>
      </c>
    </row>
    <row r="209" spans="1:4" x14ac:dyDescent="0.3">
      <c r="A209">
        <v>195</v>
      </c>
      <c r="B209">
        <v>9831</v>
      </c>
      <c r="C209">
        <v>1</v>
      </c>
      <c r="D209">
        <v>2017</v>
      </c>
    </row>
    <row r="210" spans="1:4" x14ac:dyDescent="0.3">
      <c r="A210">
        <v>0</v>
      </c>
      <c r="B210">
        <v>9786</v>
      </c>
      <c r="C210">
        <v>0.89</v>
      </c>
      <c r="D210">
        <v>2017</v>
      </c>
    </row>
    <row r="211" spans="1:4" x14ac:dyDescent="0.3">
      <c r="A211">
        <v>200</v>
      </c>
      <c r="B211">
        <v>9773</v>
      </c>
      <c r="C211">
        <v>0.89</v>
      </c>
      <c r="D211">
        <v>2017</v>
      </c>
    </row>
    <row r="212" spans="1:4" x14ac:dyDescent="0.3">
      <c r="A212">
        <v>20</v>
      </c>
      <c r="B212">
        <v>9762</v>
      </c>
      <c r="C212">
        <v>0.89</v>
      </c>
      <c r="D212">
        <v>2017</v>
      </c>
    </row>
    <row r="213" spans="1:4" x14ac:dyDescent="0.3">
      <c r="A213">
        <v>195</v>
      </c>
      <c r="B213">
        <v>9687</v>
      </c>
      <c r="C213">
        <v>0.89</v>
      </c>
      <c r="D213">
        <v>2017</v>
      </c>
    </row>
    <row r="214" spans="1:4" x14ac:dyDescent="0.3">
      <c r="A214">
        <v>100</v>
      </c>
      <c r="B214">
        <v>9668</v>
      </c>
      <c r="C214">
        <v>0.96</v>
      </c>
      <c r="D214">
        <v>2017</v>
      </c>
    </row>
    <row r="215" spans="1:4" x14ac:dyDescent="0.3">
      <c r="A215">
        <v>50</v>
      </c>
      <c r="B215">
        <v>9607</v>
      </c>
      <c r="C215">
        <v>0.47</v>
      </c>
      <c r="D215">
        <v>2017</v>
      </c>
    </row>
    <row r="216" spans="1:4" x14ac:dyDescent="0.3">
      <c r="A216">
        <v>20</v>
      </c>
      <c r="B216">
        <v>9554</v>
      </c>
      <c r="C216">
        <v>0.55000000000000004</v>
      </c>
      <c r="D216">
        <v>2017</v>
      </c>
    </row>
    <row r="217" spans="1:4" x14ac:dyDescent="0.3">
      <c r="A217">
        <v>20</v>
      </c>
      <c r="B217">
        <v>9425</v>
      </c>
      <c r="C217">
        <v>0.19</v>
      </c>
      <c r="D217">
        <v>2017</v>
      </c>
    </row>
    <row r="218" spans="1:4" x14ac:dyDescent="0.3">
      <c r="A218">
        <v>195</v>
      </c>
      <c r="B218">
        <v>9421</v>
      </c>
      <c r="C218">
        <v>0.46</v>
      </c>
      <c r="D218">
        <v>2017</v>
      </c>
    </row>
    <row r="219" spans="1:4" x14ac:dyDescent="0.3">
      <c r="A219">
        <v>150</v>
      </c>
      <c r="B219">
        <v>9384</v>
      </c>
      <c r="C219">
        <v>0.11</v>
      </c>
      <c r="D219">
        <v>2017</v>
      </c>
    </row>
    <row r="220" spans="1:4" x14ac:dyDescent="0.3">
      <c r="A220">
        <v>20</v>
      </c>
      <c r="B220">
        <v>9381</v>
      </c>
      <c r="C220">
        <v>0.88</v>
      </c>
      <c r="D220">
        <v>2017</v>
      </c>
    </row>
    <row r="221" spans="1:4" x14ac:dyDescent="0.3">
      <c r="A221">
        <v>95</v>
      </c>
      <c r="B221">
        <v>9375</v>
      </c>
      <c r="C221">
        <v>0.96</v>
      </c>
      <c r="D221">
        <v>2017</v>
      </c>
    </row>
    <row r="222" spans="1:4" x14ac:dyDescent="0.3">
      <c r="A222">
        <v>0</v>
      </c>
      <c r="B222">
        <v>9364</v>
      </c>
      <c r="C222">
        <v>0.15</v>
      </c>
      <c r="D222">
        <v>2017</v>
      </c>
    </row>
    <row r="223" spans="1:4" x14ac:dyDescent="0.3">
      <c r="A223">
        <v>200</v>
      </c>
      <c r="B223">
        <v>9359</v>
      </c>
      <c r="C223">
        <v>0.46</v>
      </c>
      <c r="D223">
        <v>2017</v>
      </c>
    </row>
    <row r="224" spans="1:4" x14ac:dyDescent="0.3">
      <c r="A224">
        <v>200</v>
      </c>
      <c r="B224">
        <v>9355</v>
      </c>
      <c r="C224">
        <v>0.67</v>
      </c>
      <c r="D224">
        <v>2017</v>
      </c>
    </row>
    <row r="225" spans="1:4" x14ac:dyDescent="0.3">
      <c r="A225">
        <v>20</v>
      </c>
      <c r="B225">
        <v>9349</v>
      </c>
      <c r="C225">
        <v>0.12</v>
      </c>
      <c r="D225">
        <v>2017</v>
      </c>
    </row>
    <row r="226" spans="1:4" x14ac:dyDescent="0.3">
      <c r="A226">
        <v>170</v>
      </c>
      <c r="B226">
        <v>9332</v>
      </c>
    </row>
    <row r="227" spans="1:4" x14ac:dyDescent="0.3">
      <c r="A227">
        <v>110</v>
      </c>
      <c r="B227">
        <v>9132</v>
      </c>
    </row>
    <row r="228" spans="1:4" x14ac:dyDescent="0.3">
      <c r="A228">
        <v>0</v>
      </c>
      <c r="B228">
        <v>9110</v>
      </c>
    </row>
    <row r="229" spans="1:4" x14ac:dyDescent="0.3">
      <c r="A229">
        <v>60</v>
      </c>
      <c r="B229">
        <v>9109</v>
      </c>
    </row>
    <row r="230" spans="1:4" x14ac:dyDescent="0.3">
      <c r="A230">
        <v>100</v>
      </c>
      <c r="B230">
        <v>9103</v>
      </c>
    </row>
    <row r="231" spans="1:4" x14ac:dyDescent="0.3">
      <c r="A231">
        <v>100</v>
      </c>
      <c r="B231">
        <v>9067</v>
      </c>
    </row>
    <row r="232" spans="1:4" x14ac:dyDescent="0.3">
      <c r="A232">
        <v>195</v>
      </c>
      <c r="B232">
        <v>9056</v>
      </c>
    </row>
    <row r="233" spans="1:4" x14ac:dyDescent="0.3">
      <c r="A233">
        <v>20</v>
      </c>
      <c r="B233">
        <v>9028</v>
      </c>
    </row>
    <row r="234" spans="1:4" x14ac:dyDescent="0.3">
      <c r="A234">
        <v>100</v>
      </c>
      <c r="B234">
        <v>8968</v>
      </c>
    </row>
    <row r="235" spans="1:4" x14ac:dyDescent="0.3">
      <c r="A235">
        <v>75</v>
      </c>
      <c r="B235">
        <v>8964</v>
      </c>
    </row>
    <row r="236" spans="1:4" x14ac:dyDescent="0.3">
      <c r="A236">
        <v>60</v>
      </c>
      <c r="B236">
        <v>8777</v>
      </c>
    </row>
    <row r="237" spans="1:4" x14ac:dyDescent="0.3">
      <c r="A237">
        <v>0</v>
      </c>
      <c r="B237">
        <v>8770</v>
      </c>
    </row>
    <row r="238" spans="1:4" x14ac:dyDescent="0.3">
      <c r="A238">
        <v>0</v>
      </c>
      <c r="B238">
        <v>8768</v>
      </c>
    </row>
    <row r="239" spans="1:4" x14ac:dyDescent="0.3">
      <c r="A239">
        <v>50</v>
      </c>
      <c r="B239">
        <v>8755</v>
      </c>
    </row>
    <row r="240" spans="1:4" x14ac:dyDescent="0.3">
      <c r="A240">
        <v>85</v>
      </c>
      <c r="B240">
        <v>8711</v>
      </c>
    </row>
    <row r="241" spans="1:2" x14ac:dyDescent="0.3">
      <c r="A241">
        <v>40</v>
      </c>
      <c r="B241">
        <v>8711</v>
      </c>
    </row>
    <row r="242" spans="1:2" x14ac:dyDescent="0.3">
      <c r="A242">
        <v>0</v>
      </c>
      <c r="B242">
        <v>8693</v>
      </c>
    </row>
    <row r="243" spans="1:2" x14ac:dyDescent="0.3">
      <c r="A243">
        <v>100</v>
      </c>
      <c r="B243">
        <v>8691</v>
      </c>
    </row>
    <row r="244" spans="1:2" x14ac:dyDescent="0.3">
      <c r="A244">
        <v>170</v>
      </c>
      <c r="B244">
        <v>8625</v>
      </c>
    </row>
    <row r="245" spans="1:2" x14ac:dyDescent="0.3">
      <c r="A245">
        <v>95</v>
      </c>
      <c r="B245">
        <v>8594</v>
      </c>
    </row>
    <row r="246" spans="1:2" x14ac:dyDescent="0.3">
      <c r="A246">
        <v>0</v>
      </c>
      <c r="B246">
        <v>8592</v>
      </c>
    </row>
    <row r="247" spans="1:2" x14ac:dyDescent="0.3">
      <c r="A247">
        <v>200</v>
      </c>
      <c r="B247">
        <v>8577</v>
      </c>
    </row>
    <row r="248" spans="1:2" x14ac:dyDescent="0.3">
      <c r="A248">
        <v>150</v>
      </c>
      <c r="B248">
        <v>8496</v>
      </c>
    </row>
    <row r="249" spans="1:2" x14ac:dyDescent="0.3">
      <c r="A249">
        <v>20</v>
      </c>
      <c r="B249">
        <v>8462</v>
      </c>
    </row>
    <row r="250" spans="1:2" x14ac:dyDescent="0.3">
      <c r="A250">
        <v>0</v>
      </c>
      <c r="B250">
        <v>8415</v>
      </c>
    </row>
    <row r="251" spans="1:2" x14ac:dyDescent="0.3">
      <c r="A251">
        <v>0</v>
      </c>
      <c r="B251">
        <v>8371</v>
      </c>
    </row>
    <row r="252" spans="1:2" x14ac:dyDescent="0.3">
      <c r="A252">
        <v>0</v>
      </c>
      <c r="B252">
        <v>8337</v>
      </c>
    </row>
    <row r="253" spans="1:2" x14ac:dyDescent="0.3">
      <c r="A253">
        <v>20</v>
      </c>
      <c r="B253">
        <v>8320</v>
      </c>
    </row>
    <row r="254" spans="1:2" x14ac:dyDescent="0.3">
      <c r="A254">
        <v>25</v>
      </c>
      <c r="B254">
        <v>8234</v>
      </c>
    </row>
    <row r="255" spans="1:2" x14ac:dyDescent="0.3">
      <c r="A255">
        <v>75</v>
      </c>
      <c r="B255">
        <v>8067</v>
      </c>
    </row>
    <row r="256" spans="1:2" x14ac:dyDescent="0.3">
      <c r="A256">
        <v>40</v>
      </c>
      <c r="B256">
        <v>8059</v>
      </c>
    </row>
    <row r="257" spans="1:2" x14ac:dyDescent="0.3">
      <c r="A257">
        <v>0</v>
      </c>
      <c r="B257">
        <v>7922</v>
      </c>
    </row>
    <row r="258" spans="1:2" x14ac:dyDescent="0.3">
      <c r="A258">
        <v>0</v>
      </c>
      <c r="B258">
        <v>7905</v>
      </c>
    </row>
    <row r="259" spans="1:2" x14ac:dyDescent="0.3">
      <c r="A259">
        <v>150</v>
      </c>
      <c r="B259">
        <v>7884</v>
      </c>
    </row>
    <row r="260" spans="1:2" x14ac:dyDescent="0.3">
      <c r="A260">
        <v>20</v>
      </c>
      <c r="B260">
        <v>7867</v>
      </c>
    </row>
    <row r="261" spans="1:2" x14ac:dyDescent="0.3">
      <c r="A261">
        <v>0</v>
      </c>
      <c r="B261">
        <v>7865</v>
      </c>
    </row>
    <row r="262" spans="1:2" x14ac:dyDescent="0.3">
      <c r="A262">
        <v>125</v>
      </c>
      <c r="B262">
        <v>7852</v>
      </c>
    </row>
    <row r="263" spans="1:2" x14ac:dyDescent="0.3">
      <c r="A263">
        <v>195</v>
      </c>
      <c r="B263">
        <v>7827</v>
      </c>
    </row>
    <row r="264" spans="1:2" x14ac:dyDescent="0.3">
      <c r="A264">
        <v>90</v>
      </c>
      <c r="B264">
        <v>7789</v>
      </c>
    </row>
    <row r="265" spans="1:2" x14ac:dyDescent="0.3">
      <c r="A265">
        <v>75</v>
      </c>
      <c r="B265">
        <v>7785</v>
      </c>
    </row>
    <row r="266" spans="1:2" x14ac:dyDescent="0.3">
      <c r="A266">
        <v>140</v>
      </c>
      <c r="B266">
        <v>7741</v>
      </c>
    </row>
    <row r="267" spans="1:2" x14ac:dyDescent="0.3">
      <c r="A267">
        <v>150</v>
      </c>
      <c r="B267">
        <v>7720</v>
      </c>
    </row>
    <row r="268" spans="1:2" x14ac:dyDescent="0.3">
      <c r="A268">
        <v>50</v>
      </c>
      <c r="B268">
        <v>7706</v>
      </c>
    </row>
    <row r="269" spans="1:2" x14ac:dyDescent="0.3">
      <c r="A269">
        <v>50</v>
      </c>
      <c r="B269">
        <v>7660</v>
      </c>
    </row>
    <row r="270" spans="1:2" x14ac:dyDescent="0.3">
      <c r="A270">
        <v>95</v>
      </c>
      <c r="B270">
        <v>7517</v>
      </c>
    </row>
    <row r="271" spans="1:2" x14ac:dyDescent="0.3">
      <c r="A271">
        <v>200</v>
      </c>
      <c r="B271">
        <v>7501</v>
      </c>
    </row>
    <row r="272" spans="1:2" x14ac:dyDescent="0.3">
      <c r="A272">
        <v>110</v>
      </c>
      <c r="B272">
        <v>7489</v>
      </c>
    </row>
    <row r="273" spans="1:2" x14ac:dyDescent="0.3">
      <c r="A273">
        <v>0</v>
      </c>
      <c r="B273">
        <v>7484</v>
      </c>
    </row>
    <row r="274" spans="1:2" x14ac:dyDescent="0.3">
      <c r="A274">
        <v>20</v>
      </c>
      <c r="B274">
        <v>7449</v>
      </c>
    </row>
    <row r="275" spans="1:2" x14ac:dyDescent="0.3">
      <c r="A275">
        <v>200</v>
      </c>
      <c r="B275">
        <v>7449</v>
      </c>
    </row>
    <row r="276" spans="1:2" x14ac:dyDescent="0.3">
      <c r="A276">
        <v>0</v>
      </c>
      <c r="B276">
        <v>7438</v>
      </c>
    </row>
    <row r="277" spans="1:2" x14ac:dyDescent="0.3">
      <c r="A277">
        <v>20</v>
      </c>
      <c r="B277">
        <v>7416</v>
      </c>
    </row>
    <row r="278" spans="1:2" x14ac:dyDescent="0.3">
      <c r="A278">
        <v>50</v>
      </c>
      <c r="B278">
        <v>7407</v>
      </c>
    </row>
    <row r="279" spans="1:2" x14ac:dyDescent="0.3">
      <c r="A279">
        <v>75</v>
      </c>
      <c r="B279">
        <v>7380</v>
      </c>
    </row>
    <row r="280" spans="1:2" x14ac:dyDescent="0.3">
      <c r="A280">
        <v>40</v>
      </c>
      <c r="B280">
        <v>7375</v>
      </c>
    </row>
    <row r="281" spans="1:2" x14ac:dyDescent="0.3">
      <c r="A281">
        <v>20</v>
      </c>
      <c r="B281">
        <v>7368</v>
      </c>
    </row>
    <row r="282" spans="1:2" x14ac:dyDescent="0.3">
      <c r="A282">
        <v>200</v>
      </c>
      <c r="B282">
        <v>7331</v>
      </c>
    </row>
    <row r="283" spans="1:2" x14ac:dyDescent="0.3">
      <c r="A283">
        <v>0</v>
      </c>
      <c r="B283">
        <v>7318</v>
      </c>
    </row>
    <row r="284" spans="1:2" x14ac:dyDescent="0.3">
      <c r="A284">
        <v>0</v>
      </c>
      <c r="B284">
        <v>7304</v>
      </c>
    </row>
    <row r="285" spans="1:2" x14ac:dyDescent="0.3">
      <c r="A285">
        <v>100</v>
      </c>
      <c r="B285">
        <v>7213</v>
      </c>
    </row>
    <row r="286" spans="1:2" x14ac:dyDescent="0.3">
      <c r="A286">
        <v>200</v>
      </c>
      <c r="B286">
        <v>7211</v>
      </c>
    </row>
    <row r="287" spans="1:2" x14ac:dyDescent="0.3">
      <c r="A287">
        <v>30</v>
      </c>
      <c r="B287">
        <v>7196</v>
      </c>
    </row>
    <row r="288" spans="1:2" x14ac:dyDescent="0.3">
      <c r="A288">
        <v>70</v>
      </c>
      <c r="B288">
        <v>7184</v>
      </c>
    </row>
    <row r="289" spans="1:2" x14ac:dyDescent="0.3">
      <c r="A289">
        <v>80</v>
      </c>
      <c r="B289">
        <v>7169</v>
      </c>
    </row>
    <row r="290" spans="1:2" x14ac:dyDescent="0.3">
      <c r="A290">
        <v>40</v>
      </c>
      <c r="B290">
        <v>7146</v>
      </c>
    </row>
    <row r="291" spans="1:2" x14ac:dyDescent="0.3">
      <c r="A291">
        <v>0</v>
      </c>
      <c r="B291">
        <v>7142</v>
      </c>
    </row>
    <row r="292" spans="1:2" x14ac:dyDescent="0.3">
      <c r="A292">
        <v>100</v>
      </c>
      <c r="B292">
        <v>7130</v>
      </c>
    </row>
    <row r="293" spans="1:2" x14ac:dyDescent="0.3">
      <c r="A293">
        <v>95</v>
      </c>
      <c r="B293">
        <v>7130</v>
      </c>
    </row>
    <row r="294" spans="1:2" x14ac:dyDescent="0.3">
      <c r="A294">
        <v>50</v>
      </c>
      <c r="B294">
        <v>7090</v>
      </c>
    </row>
    <row r="295" spans="1:2" x14ac:dyDescent="0.3">
      <c r="A295">
        <v>200</v>
      </c>
      <c r="B295">
        <v>7062</v>
      </c>
    </row>
    <row r="296" spans="1:2" x14ac:dyDescent="0.3">
      <c r="A296">
        <v>100</v>
      </c>
      <c r="B296">
        <v>7059</v>
      </c>
    </row>
    <row r="297" spans="1:2" x14ac:dyDescent="0.3">
      <c r="A297">
        <v>165</v>
      </c>
      <c r="B297">
        <v>7057</v>
      </c>
    </row>
    <row r="298" spans="1:2" x14ac:dyDescent="0.3">
      <c r="A298">
        <v>0</v>
      </c>
      <c r="B298">
        <v>7055</v>
      </c>
    </row>
    <row r="299" spans="1:2" x14ac:dyDescent="0.3">
      <c r="A299">
        <v>20</v>
      </c>
      <c r="B299">
        <v>7018</v>
      </c>
    </row>
    <row r="300" spans="1:2" x14ac:dyDescent="0.3">
      <c r="A300">
        <v>20</v>
      </c>
      <c r="B300">
        <v>7017</v>
      </c>
    </row>
    <row r="301" spans="1:2" x14ac:dyDescent="0.3">
      <c r="A301">
        <v>50</v>
      </c>
      <c r="B301">
        <v>7014</v>
      </c>
    </row>
    <row r="302" spans="1:2" x14ac:dyDescent="0.3">
      <c r="A302">
        <v>0</v>
      </c>
      <c r="B302">
        <v>6958</v>
      </c>
    </row>
    <row r="303" spans="1:2" x14ac:dyDescent="0.3">
      <c r="A303">
        <v>25</v>
      </c>
      <c r="B303">
        <v>6937</v>
      </c>
    </row>
    <row r="304" spans="1:2" x14ac:dyDescent="0.3">
      <c r="A304">
        <v>0</v>
      </c>
      <c r="B304">
        <v>6909</v>
      </c>
    </row>
    <row r="305" spans="1:2" x14ac:dyDescent="0.3">
      <c r="A305">
        <v>100</v>
      </c>
      <c r="B305">
        <v>6890</v>
      </c>
    </row>
    <row r="306" spans="1:2" x14ac:dyDescent="0.3">
      <c r="A306">
        <v>0</v>
      </c>
      <c r="B306">
        <v>6856</v>
      </c>
    </row>
    <row r="307" spans="1:2" x14ac:dyDescent="0.3">
      <c r="A307">
        <v>200</v>
      </c>
      <c r="B307">
        <v>6851</v>
      </c>
    </row>
    <row r="308" spans="1:2" x14ac:dyDescent="0.3">
      <c r="A308">
        <v>20</v>
      </c>
      <c r="B308">
        <v>6760</v>
      </c>
    </row>
    <row r="309" spans="1:2" x14ac:dyDescent="0.3">
      <c r="A309">
        <v>200</v>
      </c>
      <c r="B309">
        <v>6751</v>
      </c>
    </row>
    <row r="310" spans="1:2" x14ac:dyDescent="0.3">
      <c r="A310">
        <v>0</v>
      </c>
      <c r="B310">
        <v>6742</v>
      </c>
    </row>
    <row r="311" spans="1:2" x14ac:dyDescent="0.3">
      <c r="A311">
        <v>40</v>
      </c>
      <c r="B311">
        <v>6648</v>
      </c>
    </row>
    <row r="312" spans="1:2" x14ac:dyDescent="0.3">
      <c r="A312">
        <v>195</v>
      </c>
      <c r="B312">
        <v>6636</v>
      </c>
    </row>
    <row r="313" spans="1:2" x14ac:dyDescent="0.3">
      <c r="A313">
        <v>20</v>
      </c>
      <c r="B313">
        <v>6628</v>
      </c>
    </row>
    <row r="314" spans="1:2" x14ac:dyDescent="0.3">
      <c r="A314">
        <v>200</v>
      </c>
      <c r="B314">
        <v>6601</v>
      </c>
    </row>
    <row r="315" spans="1:2" x14ac:dyDescent="0.3">
      <c r="A315">
        <v>20</v>
      </c>
      <c r="B315">
        <v>6588</v>
      </c>
    </row>
    <row r="316" spans="1:2" x14ac:dyDescent="0.3">
      <c r="A316">
        <v>20</v>
      </c>
      <c r="B316">
        <v>6548</v>
      </c>
    </row>
    <row r="317" spans="1:2" x14ac:dyDescent="0.3">
      <c r="A317">
        <v>140</v>
      </c>
      <c r="B317">
        <v>6527</v>
      </c>
    </row>
    <row r="318" spans="1:2" x14ac:dyDescent="0.3">
      <c r="A318">
        <v>195</v>
      </c>
      <c r="B318">
        <v>6510</v>
      </c>
    </row>
    <row r="319" spans="1:2" x14ac:dyDescent="0.3">
      <c r="A319">
        <v>200</v>
      </c>
      <c r="B319">
        <v>6508</v>
      </c>
    </row>
    <row r="320" spans="1:2" x14ac:dyDescent="0.3">
      <c r="A320">
        <v>200</v>
      </c>
      <c r="B320">
        <v>6497</v>
      </c>
    </row>
    <row r="321" spans="1:2" x14ac:dyDescent="0.3">
      <c r="A321">
        <v>0</v>
      </c>
      <c r="B321">
        <v>6474</v>
      </c>
    </row>
    <row r="322" spans="1:2" x14ac:dyDescent="0.3">
      <c r="A322">
        <v>0</v>
      </c>
      <c r="B322">
        <v>6437</v>
      </c>
    </row>
    <row r="323" spans="1:2" x14ac:dyDescent="0.3">
      <c r="A323">
        <v>200</v>
      </c>
      <c r="B323">
        <v>6420</v>
      </c>
    </row>
    <row r="324" spans="1:2" x14ac:dyDescent="0.3">
      <c r="A324">
        <v>30</v>
      </c>
      <c r="B324">
        <v>6413</v>
      </c>
    </row>
    <row r="325" spans="1:2" x14ac:dyDescent="0.3">
      <c r="A325">
        <v>150</v>
      </c>
      <c r="B325">
        <v>6412</v>
      </c>
    </row>
    <row r="326" spans="1:2" x14ac:dyDescent="0.3">
      <c r="A326">
        <v>0</v>
      </c>
      <c r="B326">
        <v>6402</v>
      </c>
    </row>
    <row r="327" spans="1:2" x14ac:dyDescent="0.3">
      <c r="A327">
        <v>0</v>
      </c>
      <c r="B327">
        <v>6315</v>
      </c>
    </row>
    <row r="328" spans="1:2" x14ac:dyDescent="0.3">
      <c r="A328">
        <v>65</v>
      </c>
      <c r="B328">
        <v>6293</v>
      </c>
    </row>
    <row r="329" spans="1:2" x14ac:dyDescent="0.3">
      <c r="A329">
        <v>120</v>
      </c>
      <c r="B329">
        <v>6162</v>
      </c>
    </row>
    <row r="330" spans="1:2" x14ac:dyDescent="0.3">
      <c r="A330">
        <v>150</v>
      </c>
      <c r="B330">
        <v>6153</v>
      </c>
    </row>
    <row r="331" spans="1:2" x14ac:dyDescent="0.3">
      <c r="A331">
        <v>50</v>
      </c>
      <c r="B331">
        <v>6134</v>
      </c>
    </row>
    <row r="332" spans="1:2" x14ac:dyDescent="0.3">
      <c r="A332">
        <v>195</v>
      </c>
      <c r="B332">
        <v>6134</v>
      </c>
    </row>
    <row r="333" spans="1:2" x14ac:dyDescent="0.3">
      <c r="A333">
        <v>45</v>
      </c>
      <c r="B333">
        <v>6117</v>
      </c>
    </row>
    <row r="334" spans="1:2" x14ac:dyDescent="0.3">
      <c r="A334">
        <v>190</v>
      </c>
      <c r="B334">
        <v>6082</v>
      </c>
    </row>
    <row r="335" spans="1:2" x14ac:dyDescent="0.3">
      <c r="A335">
        <v>195</v>
      </c>
      <c r="B335">
        <v>6073</v>
      </c>
    </row>
    <row r="336" spans="1:2" x14ac:dyDescent="0.3">
      <c r="A336">
        <v>20</v>
      </c>
      <c r="B336">
        <v>6008</v>
      </c>
    </row>
    <row r="337" spans="1:2" x14ac:dyDescent="0.3">
      <c r="A337">
        <v>95</v>
      </c>
      <c r="B337">
        <v>6000</v>
      </c>
    </row>
    <row r="338" spans="1:2" x14ac:dyDescent="0.3">
      <c r="A338">
        <v>100</v>
      </c>
      <c r="B338">
        <v>5962</v>
      </c>
    </row>
    <row r="339" spans="1:2" x14ac:dyDescent="0.3">
      <c r="A339">
        <v>50</v>
      </c>
      <c r="B339">
        <v>5921</v>
      </c>
    </row>
    <row r="340" spans="1:2" x14ac:dyDescent="0.3">
      <c r="A340">
        <v>110</v>
      </c>
      <c r="B340">
        <v>5811</v>
      </c>
    </row>
    <row r="341" spans="1:2" x14ac:dyDescent="0.3">
      <c r="A341">
        <v>200</v>
      </c>
      <c r="B341">
        <v>5809</v>
      </c>
    </row>
    <row r="342" spans="1:2" x14ac:dyDescent="0.3">
      <c r="A342">
        <v>100</v>
      </c>
      <c r="B342">
        <v>5800</v>
      </c>
    </row>
    <row r="343" spans="1:2" x14ac:dyDescent="0.3">
      <c r="A343">
        <v>20</v>
      </c>
      <c r="B343">
        <v>5795</v>
      </c>
    </row>
    <row r="344" spans="1:2" x14ac:dyDescent="0.3">
      <c r="A344">
        <v>200</v>
      </c>
      <c r="B344">
        <v>5739</v>
      </c>
    </row>
    <row r="345" spans="1:2" x14ac:dyDescent="0.3">
      <c r="A345">
        <v>95</v>
      </c>
      <c r="B345">
        <v>5738</v>
      </c>
    </row>
    <row r="346" spans="1:2" x14ac:dyDescent="0.3">
      <c r="A346">
        <v>100</v>
      </c>
      <c r="B346">
        <v>5715</v>
      </c>
    </row>
    <row r="347" spans="1:2" x14ac:dyDescent="0.3">
      <c r="A347">
        <v>200</v>
      </c>
      <c r="B347">
        <v>5603</v>
      </c>
    </row>
    <row r="348" spans="1:2" x14ac:dyDescent="0.3">
      <c r="A348">
        <v>200</v>
      </c>
      <c r="B348">
        <v>5559</v>
      </c>
    </row>
    <row r="349" spans="1:2" x14ac:dyDescent="0.3">
      <c r="A349">
        <v>50</v>
      </c>
      <c r="B349">
        <v>5549</v>
      </c>
    </row>
    <row r="350" spans="1:2" x14ac:dyDescent="0.3">
      <c r="A350">
        <v>40</v>
      </c>
      <c r="B350">
        <v>5547</v>
      </c>
    </row>
    <row r="351" spans="1:2" x14ac:dyDescent="0.3">
      <c r="A351">
        <v>0</v>
      </c>
      <c r="B351">
        <v>5542</v>
      </c>
    </row>
    <row r="352" spans="1:2" x14ac:dyDescent="0.3">
      <c r="A352">
        <v>0</v>
      </c>
      <c r="B352">
        <v>5533</v>
      </c>
    </row>
    <row r="353" spans="1:2" x14ac:dyDescent="0.3">
      <c r="A353">
        <v>150</v>
      </c>
      <c r="B353">
        <v>5495</v>
      </c>
    </row>
    <row r="354" spans="1:2" x14ac:dyDescent="0.3">
      <c r="A354">
        <v>125</v>
      </c>
      <c r="B354">
        <v>5484</v>
      </c>
    </row>
    <row r="355" spans="1:2" x14ac:dyDescent="0.3">
      <c r="A355">
        <v>100</v>
      </c>
      <c r="B355">
        <v>5456</v>
      </c>
    </row>
    <row r="356" spans="1:2" x14ac:dyDescent="0.3">
      <c r="A356">
        <v>200</v>
      </c>
      <c r="B356">
        <v>5439</v>
      </c>
    </row>
    <row r="357" spans="1:2" x14ac:dyDescent="0.3">
      <c r="A357">
        <v>0</v>
      </c>
      <c r="B357">
        <v>5421</v>
      </c>
    </row>
    <row r="358" spans="1:2" x14ac:dyDescent="0.3">
      <c r="A358">
        <v>50</v>
      </c>
      <c r="B358">
        <v>5398</v>
      </c>
    </row>
    <row r="359" spans="1:2" x14ac:dyDescent="0.3">
      <c r="A359">
        <v>0</v>
      </c>
      <c r="B359">
        <v>5397</v>
      </c>
    </row>
    <row r="360" spans="1:2" x14ac:dyDescent="0.3">
      <c r="A360">
        <v>40</v>
      </c>
      <c r="B360">
        <v>5387</v>
      </c>
    </row>
    <row r="361" spans="1:2" x14ac:dyDescent="0.3">
      <c r="A361">
        <v>35</v>
      </c>
      <c r="B361">
        <v>5368</v>
      </c>
    </row>
    <row r="362" spans="1:2" x14ac:dyDescent="0.3">
      <c r="A362">
        <v>0</v>
      </c>
      <c r="B362">
        <v>5351</v>
      </c>
    </row>
    <row r="363" spans="1:2" x14ac:dyDescent="0.3">
      <c r="A363">
        <v>195</v>
      </c>
      <c r="B363">
        <v>5335</v>
      </c>
    </row>
    <row r="364" spans="1:2" x14ac:dyDescent="0.3">
      <c r="A364">
        <v>190</v>
      </c>
      <c r="B364">
        <v>5332</v>
      </c>
    </row>
    <row r="365" spans="1:2" x14ac:dyDescent="0.3">
      <c r="A365">
        <v>20</v>
      </c>
      <c r="B365">
        <v>5328</v>
      </c>
    </row>
    <row r="366" spans="1:2" x14ac:dyDescent="0.3">
      <c r="A366">
        <v>30</v>
      </c>
      <c r="B366">
        <v>5324</v>
      </c>
    </row>
    <row r="367" spans="1:2" x14ac:dyDescent="0.3">
      <c r="A367">
        <v>20</v>
      </c>
      <c r="B367">
        <v>5318</v>
      </c>
    </row>
    <row r="368" spans="1:2" x14ac:dyDescent="0.3">
      <c r="A368">
        <v>0</v>
      </c>
      <c r="B368">
        <v>5301</v>
      </c>
    </row>
    <row r="369" spans="1:2" x14ac:dyDescent="0.3">
      <c r="A369">
        <v>50</v>
      </c>
      <c r="B369">
        <v>5279</v>
      </c>
    </row>
    <row r="370" spans="1:2" x14ac:dyDescent="0.3">
      <c r="A370">
        <v>20</v>
      </c>
      <c r="B370">
        <v>5272</v>
      </c>
    </row>
    <row r="371" spans="1:2" x14ac:dyDescent="0.3">
      <c r="A371">
        <v>75</v>
      </c>
      <c r="B371">
        <v>5263</v>
      </c>
    </row>
    <row r="372" spans="1:2" x14ac:dyDescent="0.3">
      <c r="A372">
        <v>20</v>
      </c>
      <c r="B372">
        <v>5228</v>
      </c>
    </row>
    <row r="373" spans="1:2" x14ac:dyDescent="0.3">
      <c r="A373">
        <v>200</v>
      </c>
      <c r="B373">
        <v>5211</v>
      </c>
    </row>
    <row r="374" spans="1:2" x14ac:dyDescent="0.3">
      <c r="A374">
        <v>0</v>
      </c>
      <c r="B374">
        <v>5181</v>
      </c>
    </row>
    <row r="375" spans="1:2" x14ac:dyDescent="0.3">
      <c r="A375">
        <v>95</v>
      </c>
      <c r="B375">
        <v>5177</v>
      </c>
    </row>
    <row r="376" spans="1:2" x14ac:dyDescent="0.3">
      <c r="A376">
        <v>110</v>
      </c>
      <c r="B376">
        <v>5151</v>
      </c>
    </row>
    <row r="377" spans="1:2" x14ac:dyDescent="0.3">
      <c r="A377">
        <v>50</v>
      </c>
      <c r="B377">
        <v>5143</v>
      </c>
    </row>
    <row r="378" spans="1:2" x14ac:dyDescent="0.3">
      <c r="A378">
        <v>200</v>
      </c>
      <c r="B378">
        <v>5129</v>
      </c>
    </row>
    <row r="379" spans="1:2" x14ac:dyDescent="0.3">
      <c r="A379">
        <v>20</v>
      </c>
      <c r="B379">
        <v>5125</v>
      </c>
    </row>
    <row r="380" spans="1:2" x14ac:dyDescent="0.3">
      <c r="A380">
        <v>100</v>
      </c>
      <c r="B380">
        <v>5117</v>
      </c>
    </row>
    <row r="381" spans="1:2" x14ac:dyDescent="0.3">
      <c r="A381">
        <v>100</v>
      </c>
      <c r="B381">
        <v>5097</v>
      </c>
    </row>
    <row r="382" spans="1:2" x14ac:dyDescent="0.3">
      <c r="A382">
        <v>100</v>
      </c>
      <c r="B382">
        <v>5089</v>
      </c>
    </row>
    <row r="383" spans="1:2" x14ac:dyDescent="0.3">
      <c r="A383">
        <v>195</v>
      </c>
      <c r="B383">
        <v>5085</v>
      </c>
    </row>
    <row r="384" spans="1:2" x14ac:dyDescent="0.3">
      <c r="A384">
        <v>45</v>
      </c>
      <c r="B384">
        <v>5077</v>
      </c>
    </row>
    <row r="385" spans="1:2" x14ac:dyDescent="0.3">
      <c r="A385">
        <v>95</v>
      </c>
      <c r="B385">
        <v>5065</v>
      </c>
    </row>
    <row r="386" spans="1:2" x14ac:dyDescent="0.3">
      <c r="A386">
        <v>20</v>
      </c>
      <c r="B386">
        <v>5056</v>
      </c>
    </row>
    <row r="387" spans="1:2" x14ac:dyDescent="0.3">
      <c r="A387">
        <v>0</v>
      </c>
      <c r="B387">
        <v>5052</v>
      </c>
    </row>
    <row r="388" spans="1:2" x14ac:dyDescent="0.3">
      <c r="A388">
        <v>80</v>
      </c>
      <c r="B388">
        <v>5026</v>
      </c>
    </row>
    <row r="389" spans="1:2" x14ac:dyDescent="0.3">
      <c r="A389">
        <v>75</v>
      </c>
      <c r="B389">
        <v>5022</v>
      </c>
    </row>
    <row r="390" spans="1:2" x14ac:dyDescent="0.3">
      <c r="A390">
        <v>0</v>
      </c>
      <c r="B390">
        <v>5014</v>
      </c>
    </row>
    <row r="391" spans="1:2" x14ac:dyDescent="0.3">
      <c r="A391">
        <v>0</v>
      </c>
      <c r="B391">
        <v>5004</v>
      </c>
    </row>
    <row r="392" spans="1:2" x14ac:dyDescent="0.3">
      <c r="A392">
        <v>90</v>
      </c>
      <c r="B392">
        <v>4957</v>
      </c>
    </row>
    <row r="393" spans="1:2" x14ac:dyDescent="0.3">
      <c r="A393">
        <v>0</v>
      </c>
      <c r="B393">
        <v>4905</v>
      </c>
    </row>
    <row r="394" spans="1:2" x14ac:dyDescent="0.3">
      <c r="A394">
        <v>50</v>
      </c>
      <c r="B394">
        <v>4892</v>
      </c>
    </row>
    <row r="395" spans="1:2" x14ac:dyDescent="0.3">
      <c r="A395">
        <v>65</v>
      </c>
      <c r="B395">
        <v>4872</v>
      </c>
    </row>
    <row r="396" spans="1:2" x14ac:dyDescent="0.3">
      <c r="A396">
        <v>20</v>
      </c>
      <c r="B396">
        <v>4867</v>
      </c>
    </row>
    <row r="397" spans="1:2" x14ac:dyDescent="0.3">
      <c r="A397">
        <v>20</v>
      </c>
      <c r="B397">
        <v>4848</v>
      </c>
    </row>
    <row r="398" spans="1:2" x14ac:dyDescent="0.3">
      <c r="A398">
        <v>30</v>
      </c>
      <c r="B398">
        <v>4848</v>
      </c>
    </row>
    <row r="399" spans="1:2" x14ac:dyDescent="0.3">
      <c r="A399">
        <v>35</v>
      </c>
      <c r="B399">
        <v>4839</v>
      </c>
    </row>
    <row r="400" spans="1:2" x14ac:dyDescent="0.3">
      <c r="A400">
        <v>0</v>
      </c>
      <c r="B400">
        <v>4830</v>
      </c>
    </row>
    <row r="401" spans="1:2" x14ac:dyDescent="0.3">
      <c r="A401">
        <v>75</v>
      </c>
      <c r="B401">
        <v>4820</v>
      </c>
    </row>
    <row r="402" spans="1:2" x14ac:dyDescent="0.3">
      <c r="A402">
        <v>65</v>
      </c>
      <c r="B402">
        <v>4797</v>
      </c>
    </row>
    <row r="403" spans="1:2" x14ac:dyDescent="0.3">
      <c r="A403">
        <v>175</v>
      </c>
      <c r="B403">
        <v>4783</v>
      </c>
    </row>
    <row r="404" spans="1:2" x14ac:dyDescent="0.3">
      <c r="A404">
        <v>75</v>
      </c>
      <c r="B404">
        <v>4743</v>
      </c>
    </row>
    <row r="405" spans="1:2" x14ac:dyDescent="0.3">
      <c r="A405">
        <v>0</v>
      </c>
      <c r="B405">
        <v>4735</v>
      </c>
    </row>
    <row r="406" spans="1:2" x14ac:dyDescent="0.3">
      <c r="A406">
        <v>50</v>
      </c>
      <c r="B406">
        <v>4732</v>
      </c>
    </row>
    <row r="407" spans="1:2" x14ac:dyDescent="0.3">
      <c r="A407">
        <v>110</v>
      </c>
      <c r="B407">
        <v>4720</v>
      </c>
    </row>
    <row r="408" spans="1:2" x14ac:dyDescent="0.3">
      <c r="A408">
        <v>200</v>
      </c>
      <c r="B408">
        <v>4714</v>
      </c>
    </row>
    <row r="409" spans="1:2" x14ac:dyDescent="0.3">
      <c r="A409">
        <v>195</v>
      </c>
      <c r="B409">
        <v>4708</v>
      </c>
    </row>
    <row r="410" spans="1:2" x14ac:dyDescent="0.3">
      <c r="A410">
        <v>60</v>
      </c>
      <c r="B410">
        <v>4689</v>
      </c>
    </row>
    <row r="411" spans="1:2" x14ac:dyDescent="0.3">
      <c r="A411">
        <v>195</v>
      </c>
      <c r="B411">
        <v>4687</v>
      </c>
    </row>
    <row r="412" spans="1:2" x14ac:dyDescent="0.3">
      <c r="A412">
        <v>95</v>
      </c>
      <c r="B412">
        <v>4675</v>
      </c>
    </row>
    <row r="413" spans="1:2" x14ac:dyDescent="0.3">
      <c r="A413">
        <v>0</v>
      </c>
      <c r="B413">
        <v>4645</v>
      </c>
    </row>
    <row r="414" spans="1:2" x14ac:dyDescent="0.3">
      <c r="A414">
        <v>50</v>
      </c>
      <c r="B414">
        <v>4628</v>
      </c>
    </row>
    <row r="415" spans="1:2" x14ac:dyDescent="0.3">
      <c r="A415">
        <v>80</v>
      </c>
      <c r="B415">
        <v>4616</v>
      </c>
    </row>
    <row r="416" spans="1:2" x14ac:dyDescent="0.3">
      <c r="A416">
        <v>195</v>
      </c>
      <c r="B416">
        <v>4587</v>
      </c>
    </row>
    <row r="417" spans="1:2" x14ac:dyDescent="0.3">
      <c r="A417">
        <v>0</v>
      </c>
      <c r="B417">
        <v>4569</v>
      </c>
    </row>
    <row r="418" spans="1:2" x14ac:dyDescent="0.3">
      <c r="A418">
        <v>100</v>
      </c>
      <c r="B418">
        <v>4563</v>
      </c>
    </row>
    <row r="419" spans="1:2" x14ac:dyDescent="0.3">
      <c r="A419">
        <v>100</v>
      </c>
      <c r="B419">
        <v>4537</v>
      </c>
    </row>
    <row r="420" spans="1:2" x14ac:dyDescent="0.3">
      <c r="A420">
        <v>200</v>
      </c>
      <c r="B420">
        <v>4529</v>
      </c>
    </row>
    <row r="421" spans="1:2" x14ac:dyDescent="0.3">
      <c r="A421">
        <v>0</v>
      </c>
      <c r="B421">
        <v>4503</v>
      </c>
    </row>
    <row r="422" spans="1:2" x14ac:dyDescent="0.3">
      <c r="A422">
        <v>0</v>
      </c>
      <c r="B422">
        <v>4499</v>
      </c>
    </row>
    <row r="423" spans="1:2" x14ac:dyDescent="0.3">
      <c r="A423">
        <v>95</v>
      </c>
      <c r="B423">
        <v>4463</v>
      </c>
    </row>
    <row r="424" spans="1:2" x14ac:dyDescent="0.3">
      <c r="A424">
        <v>50</v>
      </c>
      <c r="B424">
        <v>4447</v>
      </c>
    </row>
    <row r="425" spans="1:2" x14ac:dyDescent="0.3">
      <c r="A425">
        <v>100</v>
      </c>
      <c r="B425">
        <v>4442</v>
      </c>
    </row>
    <row r="426" spans="1:2" x14ac:dyDescent="0.3">
      <c r="A426">
        <v>0</v>
      </c>
      <c r="B426">
        <v>4410</v>
      </c>
    </row>
    <row r="427" spans="1:2" x14ac:dyDescent="0.3">
      <c r="A427">
        <v>0</v>
      </c>
      <c r="B427">
        <v>4409</v>
      </c>
    </row>
    <row r="428" spans="1:2" x14ac:dyDescent="0.3">
      <c r="A428">
        <v>50</v>
      </c>
      <c r="B428">
        <v>4407</v>
      </c>
    </row>
    <row r="429" spans="1:2" x14ac:dyDescent="0.3">
      <c r="A429">
        <v>0</v>
      </c>
      <c r="B429">
        <v>4405</v>
      </c>
    </row>
    <row r="430" spans="1:2" x14ac:dyDescent="0.3">
      <c r="A430">
        <v>200</v>
      </c>
      <c r="B430">
        <v>4375</v>
      </c>
    </row>
    <row r="431" spans="1:2" x14ac:dyDescent="0.3">
      <c r="A431">
        <v>20</v>
      </c>
      <c r="B431">
        <v>4333</v>
      </c>
    </row>
    <row r="432" spans="1:2" x14ac:dyDescent="0.3">
      <c r="A432">
        <v>0</v>
      </c>
      <c r="B432">
        <v>4306</v>
      </c>
    </row>
    <row r="433" spans="1:2" x14ac:dyDescent="0.3">
      <c r="A433">
        <v>0</v>
      </c>
      <c r="B433">
        <v>4290</v>
      </c>
    </row>
    <row r="434" spans="1:2" x14ac:dyDescent="0.3">
      <c r="A434">
        <v>20</v>
      </c>
      <c r="B434">
        <v>4259</v>
      </c>
    </row>
    <row r="435" spans="1:2" x14ac:dyDescent="0.3">
      <c r="A435">
        <v>195</v>
      </c>
      <c r="B435">
        <v>4198</v>
      </c>
    </row>
    <row r="436" spans="1:2" x14ac:dyDescent="0.3">
      <c r="A436">
        <v>20</v>
      </c>
      <c r="B436">
        <v>4193</v>
      </c>
    </row>
    <row r="437" spans="1:2" x14ac:dyDescent="0.3">
      <c r="A437">
        <v>35</v>
      </c>
      <c r="B437">
        <v>4183</v>
      </c>
    </row>
    <row r="438" spans="1:2" x14ac:dyDescent="0.3">
      <c r="A438">
        <v>70</v>
      </c>
      <c r="B438">
        <v>4183</v>
      </c>
    </row>
    <row r="439" spans="1:2" x14ac:dyDescent="0.3">
      <c r="A439">
        <v>30</v>
      </c>
      <c r="B439">
        <v>4157</v>
      </c>
    </row>
    <row r="440" spans="1:2" x14ac:dyDescent="0.3">
      <c r="A440">
        <v>40</v>
      </c>
      <c r="B440">
        <v>4144</v>
      </c>
    </row>
    <row r="441" spans="1:2" x14ac:dyDescent="0.3">
      <c r="A441">
        <v>120</v>
      </c>
      <c r="B441">
        <v>4138</v>
      </c>
    </row>
    <row r="442" spans="1:2" x14ac:dyDescent="0.3">
      <c r="A442">
        <v>75</v>
      </c>
      <c r="B442">
        <v>4128</v>
      </c>
    </row>
    <row r="443" spans="1:2" x14ac:dyDescent="0.3">
      <c r="A443">
        <v>50</v>
      </c>
      <c r="B443">
        <v>4123</v>
      </c>
    </row>
    <row r="444" spans="1:2" x14ac:dyDescent="0.3">
      <c r="A444">
        <v>50</v>
      </c>
      <c r="B444">
        <v>4123</v>
      </c>
    </row>
    <row r="445" spans="1:2" x14ac:dyDescent="0.3">
      <c r="A445">
        <v>0</v>
      </c>
      <c r="B445">
        <v>4115</v>
      </c>
    </row>
    <row r="446" spans="1:2" x14ac:dyDescent="0.3">
      <c r="A446">
        <v>50</v>
      </c>
      <c r="B446">
        <v>4106</v>
      </c>
    </row>
    <row r="447" spans="1:2" x14ac:dyDescent="0.3">
      <c r="A447">
        <v>200</v>
      </c>
      <c r="B447">
        <v>4090</v>
      </c>
    </row>
    <row r="448" spans="1:2" x14ac:dyDescent="0.3">
      <c r="A448">
        <v>50</v>
      </c>
      <c r="B448">
        <v>4076</v>
      </c>
    </row>
    <row r="449" spans="1:2" x14ac:dyDescent="0.3">
      <c r="A449">
        <v>150</v>
      </c>
      <c r="B449">
        <v>4057</v>
      </c>
    </row>
    <row r="450" spans="1:2" x14ac:dyDescent="0.3">
      <c r="A450">
        <v>200</v>
      </c>
      <c r="B450">
        <v>4040</v>
      </c>
    </row>
    <row r="451" spans="1:2" x14ac:dyDescent="0.3">
      <c r="A451">
        <v>200</v>
      </c>
      <c r="B451">
        <v>4033</v>
      </c>
    </row>
    <row r="452" spans="1:2" x14ac:dyDescent="0.3">
      <c r="A452">
        <v>30</v>
      </c>
      <c r="B452">
        <v>4030</v>
      </c>
    </row>
    <row r="453" spans="1:2" x14ac:dyDescent="0.3">
      <c r="A453">
        <v>120</v>
      </c>
      <c r="B453">
        <v>4028</v>
      </c>
    </row>
    <row r="454" spans="1:2" x14ac:dyDescent="0.3">
      <c r="A454">
        <v>145</v>
      </c>
      <c r="B454">
        <v>4020</v>
      </c>
    </row>
    <row r="455" spans="1:2" x14ac:dyDescent="0.3">
      <c r="A455">
        <v>20</v>
      </c>
      <c r="B455">
        <v>4011</v>
      </c>
    </row>
    <row r="456" spans="1:2" x14ac:dyDescent="0.3">
      <c r="A456">
        <v>25</v>
      </c>
      <c r="B456">
        <v>4010</v>
      </c>
    </row>
    <row r="457" spans="1:2" x14ac:dyDescent="0.3">
      <c r="A457">
        <v>195</v>
      </c>
      <c r="B457">
        <v>4001</v>
      </c>
    </row>
    <row r="458" spans="1:2" x14ac:dyDescent="0.3">
      <c r="A458">
        <v>30</v>
      </c>
      <c r="B458">
        <v>3960</v>
      </c>
    </row>
    <row r="459" spans="1:2" x14ac:dyDescent="0.3">
      <c r="A459">
        <v>0</v>
      </c>
      <c r="B459">
        <v>3933</v>
      </c>
    </row>
    <row r="460" spans="1:2" x14ac:dyDescent="0.3">
      <c r="A460">
        <v>20</v>
      </c>
      <c r="B460">
        <v>3903</v>
      </c>
    </row>
    <row r="461" spans="1:2" x14ac:dyDescent="0.3">
      <c r="A461">
        <v>20</v>
      </c>
      <c r="B461">
        <v>3898</v>
      </c>
    </row>
    <row r="462" spans="1:2" x14ac:dyDescent="0.3">
      <c r="A462">
        <v>0</v>
      </c>
      <c r="B462">
        <v>3894</v>
      </c>
    </row>
    <row r="463" spans="1:2" x14ac:dyDescent="0.3">
      <c r="A463">
        <v>200</v>
      </c>
      <c r="B463">
        <v>3887</v>
      </c>
    </row>
    <row r="464" spans="1:2" x14ac:dyDescent="0.3">
      <c r="A464">
        <v>0</v>
      </c>
      <c r="B464">
        <v>3883</v>
      </c>
    </row>
    <row r="465" spans="1:2" x14ac:dyDescent="0.3">
      <c r="A465">
        <v>20</v>
      </c>
      <c r="B465">
        <v>3877</v>
      </c>
    </row>
    <row r="466" spans="1:2" x14ac:dyDescent="0.3">
      <c r="A466">
        <v>60</v>
      </c>
      <c r="B466">
        <v>3854</v>
      </c>
    </row>
    <row r="467" spans="1:2" x14ac:dyDescent="0.3">
      <c r="A467">
        <v>195</v>
      </c>
      <c r="B467">
        <v>3831</v>
      </c>
    </row>
    <row r="468" spans="1:2" x14ac:dyDescent="0.3">
      <c r="A468">
        <v>55</v>
      </c>
      <c r="B468">
        <v>3801</v>
      </c>
    </row>
    <row r="469" spans="1:2" x14ac:dyDescent="0.3">
      <c r="A469">
        <v>0</v>
      </c>
      <c r="B469">
        <v>3784</v>
      </c>
    </row>
    <row r="470" spans="1:2" x14ac:dyDescent="0.3">
      <c r="A470">
        <v>0</v>
      </c>
      <c r="B470">
        <v>3782</v>
      </c>
    </row>
    <row r="471" spans="1:2" x14ac:dyDescent="0.3">
      <c r="A471">
        <v>50</v>
      </c>
      <c r="B471">
        <v>3770</v>
      </c>
    </row>
    <row r="472" spans="1:2" x14ac:dyDescent="0.3">
      <c r="A472">
        <v>0</v>
      </c>
      <c r="B472">
        <v>3766</v>
      </c>
    </row>
    <row r="473" spans="1:2" x14ac:dyDescent="0.3">
      <c r="A473">
        <v>20</v>
      </c>
      <c r="B473">
        <v>3759</v>
      </c>
    </row>
    <row r="474" spans="1:2" x14ac:dyDescent="0.3">
      <c r="A474">
        <v>100</v>
      </c>
      <c r="B474">
        <v>3757</v>
      </c>
    </row>
    <row r="475" spans="1:2" x14ac:dyDescent="0.3">
      <c r="A475">
        <v>50</v>
      </c>
      <c r="B475">
        <v>3704</v>
      </c>
    </row>
    <row r="476" spans="1:2" x14ac:dyDescent="0.3">
      <c r="A476">
        <v>100</v>
      </c>
      <c r="B476">
        <v>3701</v>
      </c>
    </row>
    <row r="477" spans="1:2" x14ac:dyDescent="0.3">
      <c r="A477">
        <v>20</v>
      </c>
      <c r="B477">
        <v>3699</v>
      </c>
    </row>
    <row r="478" spans="1:2" x14ac:dyDescent="0.3">
      <c r="A478">
        <v>20</v>
      </c>
      <c r="B478">
        <v>3697</v>
      </c>
    </row>
    <row r="479" spans="1:2" x14ac:dyDescent="0.3">
      <c r="A479">
        <v>20</v>
      </c>
      <c r="B479">
        <v>3694</v>
      </c>
    </row>
    <row r="480" spans="1:2" x14ac:dyDescent="0.3">
      <c r="A480">
        <v>50</v>
      </c>
      <c r="B480">
        <v>3688</v>
      </c>
    </row>
    <row r="481" spans="1:2" x14ac:dyDescent="0.3">
      <c r="A481">
        <v>0</v>
      </c>
      <c r="B481">
        <v>3655</v>
      </c>
    </row>
    <row r="482" spans="1:2" x14ac:dyDescent="0.3">
      <c r="A482">
        <v>30</v>
      </c>
      <c r="B482">
        <v>3652</v>
      </c>
    </row>
    <row r="483" spans="1:2" x14ac:dyDescent="0.3">
      <c r="A483">
        <v>200</v>
      </c>
      <c r="B483">
        <v>3632</v>
      </c>
    </row>
    <row r="484" spans="1:2" x14ac:dyDescent="0.3">
      <c r="A484">
        <v>95</v>
      </c>
      <c r="B484">
        <v>3619</v>
      </c>
    </row>
    <row r="485" spans="1:2" x14ac:dyDescent="0.3">
      <c r="A485">
        <v>50</v>
      </c>
      <c r="B485">
        <v>3601</v>
      </c>
    </row>
    <row r="486" spans="1:2" x14ac:dyDescent="0.3">
      <c r="A486">
        <v>110</v>
      </c>
      <c r="B486">
        <v>3590</v>
      </c>
    </row>
    <row r="487" spans="1:2" x14ac:dyDescent="0.3">
      <c r="A487">
        <v>0</v>
      </c>
      <c r="B487">
        <v>3571</v>
      </c>
    </row>
    <row r="488" spans="1:2" x14ac:dyDescent="0.3">
      <c r="A488">
        <v>100</v>
      </c>
      <c r="B488">
        <v>3559</v>
      </c>
    </row>
    <row r="489" spans="1:2" x14ac:dyDescent="0.3">
      <c r="A489">
        <v>40</v>
      </c>
      <c r="B489">
        <v>3541</v>
      </c>
    </row>
    <row r="490" spans="1:2" x14ac:dyDescent="0.3">
      <c r="A490">
        <v>35</v>
      </c>
      <c r="B490">
        <v>3539</v>
      </c>
    </row>
    <row r="491" spans="1:2" x14ac:dyDescent="0.3">
      <c r="A491">
        <v>30</v>
      </c>
      <c r="B491">
        <v>3503</v>
      </c>
    </row>
    <row r="492" spans="1:2" x14ac:dyDescent="0.3">
      <c r="A492">
        <v>0</v>
      </c>
      <c r="B492">
        <v>3493</v>
      </c>
    </row>
    <row r="493" spans="1:2" x14ac:dyDescent="0.3">
      <c r="A493">
        <v>25</v>
      </c>
      <c r="B493">
        <v>3492</v>
      </c>
    </row>
    <row r="494" spans="1:2" x14ac:dyDescent="0.3">
      <c r="A494">
        <v>35</v>
      </c>
      <c r="B494">
        <v>3485</v>
      </c>
    </row>
    <row r="495" spans="1:2" x14ac:dyDescent="0.3">
      <c r="A495">
        <v>20</v>
      </c>
      <c r="B495">
        <v>3461</v>
      </c>
    </row>
    <row r="496" spans="1:2" x14ac:dyDescent="0.3">
      <c r="A496">
        <v>20</v>
      </c>
      <c r="B496">
        <v>3444</v>
      </c>
    </row>
    <row r="497" spans="1:2" x14ac:dyDescent="0.3">
      <c r="A497">
        <v>120</v>
      </c>
      <c r="B497">
        <v>3420</v>
      </c>
    </row>
    <row r="498" spans="1:2" x14ac:dyDescent="0.3">
      <c r="A498">
        <v>150</v>
      </c>
      <c r="B498">
        <v>3415</v>
      </c>
    </row>
    <row r="499" spans="1:2" x14ac:dyDescent="0.3">
      <c r="A499">
        <v>50</v>
      </c>
      <c r="B499">
        <v>3411</v>
      </c>
    </row>
    <row r="500" spans="1:2" x14ac:dyDescent="0.3">
      <c r="A500">
        <v>200</v>
      </c>
      <c r="B500">
        <v>3399</v>
      </c>
    </row>
    <row r="501" spans="1:2" x14ac:dyDescent="0.3">
      <c r="A501">
        <v>200</v>
      </c>
      <c r="B501">
        <v>3397</v>
      </c>
    </row>
    <row r="502" spans="1:2" x14ac:dyDescent="0.3">
      <c r="A502">
        <v>200</v>
      </c>
      <c r="B502">
        <v>3392</v>
      </c>
    </row>
    <row r="503" spans="1:2" x14ac:dyDescent="0.3">
      <c r="A503">
        <v>150</v>
      </c>
      <c r="B503">
        <v>3388</v>
      </c>
    </row>
    <row r="504" spans="1:2" x14ac:dyDescent="0.3">
      <c r="A504">
        <v>65</v>
      </c>
      <c r="B504">
        <v>3380</v>
      </c>
    </row>
    <row r="505" spans="1:2" x14ac:dyDescent="0.3">
      <c r="A505">
        <v>20</v>
      </c>
      <c r="B505">
        <v>3357</v>
      </c>
    </row>
    <row r="506" spans="1:2" x14ac:dyDescent="0.3">
      <c r="A506">
        <v>0</v>
      </c>
      <c r="B506">
        <v>3357</v>
      </c>
    </row>
    <row r="507" spans="1:2" x14ac:dyDescent="0.3">
      <c r="A507">
        <v>0</v>
      </c>
      <c r="B507">
        <v>3324</v>
      </c>
    </row>
    <row r="508" spans="1:2" x14ac:dyDescent="0.3">
      <c r="A508">
        <v>45</v>
      </c>
      <c r="B508">
        <v>3323</v>
      </c>
    </row>
    <row r="509" spans="1:2" x14ac:dyDescent="0.3">
      <c r="A509">
        <v>20</v>
      </c>
      <c r="B509">
        <v>3299</v>
      </c>
    </row>
    <row r="510" spans="1:2" x14ac:dyDescent="0.3">
      <c r="A510">
        <v>85</v>
      </c>
      <c r="B510">
        <v>3295</v>
      </c>
    </row>
    <row r="511" spans="1:2" x14ac:dyDescent="0.3">
      <c r="A511">
        <v>20</v>
      </c>
      <c r="B511">
        <v>3271</v>
      </c>
    </row>
    <row r="512" spans="1:2" x14ac:dyDescent="0.3">
      <c r="A512">
        <v>20</v>
      </c>
      <c r="B512">
        <v>3258</v>
      </c>
    </row>
    <row r="513" spans="1:2" x14ac:dyDescent="0.3">
      <c r="A513">
        <v>40</v>
      </c>
      <c r="B513">
        <v>3254</v>
      </c>
    </row>
    <row r="514" spans="1:2" x14ac:dyDescent="0.3">
      <c r="A514">
        <v>150</v>
      </c>
      <c r="B514">
        <v>3252</v>
      </c>
    </row>
    <row r="515" spans="1:2" x14ac:dyDescent="0.3">
      <c r="A515">
        <v>25</v>
      </c>
      <c r="B515">
        <v>3249</v>
      </c>
    </row>
    <row r="516" spans="1:2" x14ac:dyDescent="0.3">
      <c r="A516">
        <v>0</v>
      </c>
      <c r="B516">
        <v>3227</v>
      </c>
    </row>
    <row r="517" spans="1:2" x14ac:dyDescent="0.3">
      <c r="A517">
        <v>195</v>
      </c>
      <c r="B517">
        <v>3209</v>
      </c>
    </row>
    <row r="518" spans="1:2" x14ac:dyDescent="0.3">
      <c r="A518">
        <v>200</v>
      </c>
      <c r="B518">
        <v>3193</v>
      </c>
    </row>
    <row r="519" spans="1:2" x14ac:dyDescent="0.3">
      <c r="A519">
        <v>20</v>
      </c>
      <c r="B519">
        <v>3185</v>
      </c>
    </row>
    <row r="520" spans="1:2" x14ac:dyDescent="0.3">
      <c r="A520">
        <v>200</v>
      </c>
      <c r="B520">
        <v>3179</v>
      </c>
    </row>
    <row r="521" spans="1:2" x14ac:dyDescent="0.3">
      <c r="A521">
        <v>195</v>
      </c>
      <c r="B521">
        <v>3169</v>
      </c>
    </row>
    <row r="522" spans="1:2" x14ac:dyDescent="0.3">
      <c r="A522">
        <v>20</v>
      </c>
      <c r="B522">
        <v>3150</v>
      </c>
    </row>
    <row r="523" spans="1:2" x14ac:dyDescent="0.3">
      <c r="A523">
        <v>0</v>
      </c>
      <c r="B523">
        <v>3142</v>
      </c>
    </row>
    <row r="524" spans="1:2" x14ac:dyDescent="0.3">
      <c r="A524">
        <v>25</v>
      </c>
      <c r="B524">
        <v>3133</v>
      </c>
    </row>
    <row r="525" spans="1:2" x14ac:dyDescent="0.3">
      <c r="A525">
        <v>60</v>
      </c>
      <c r="B525">
        <v>3119</v>
      </c>
    </row>
    <row r="526" spans="1:2" x14ac:dyDescent="0.3">
      <c r="A526">
        <v>0</v>
      </c>
      <c r="B526">
        <v>3118</v>
      </c>
    </row>
    <row r="527" spans="1:2" x14ac:dyDescent="0.3">
      <c r="A527">
        <v>20</v>
      </c>
      <c r="B527">
        <v>3106</v>
      </c>
    </row>
    <row r="528" spans="1:2" x14ac:dyDescent="0.3">
      <c r="A528">
        <v>20</v>
      </c>
      <c r="B528">
        <v>3086</v>
      </c>
    </row>
    <row r="529" spans="1:2" x14ac:dyDescent="0.3">
      <c r="A529">
        <v>90</v>
      </c>
      <c r="B529">
        <v>3073</v>
      </c>
    </row>
    <row r="530" spans="1:2" x14ac:dyDescent="0.3">
      <c r="A530">
        <v>0</v>
      </c>
      <c r="B530">
        <v>3033</v>
      </c>
    </row>
    <row r="531" spans="1:2" x14ac:dyDescent="0.3">
      <c r="A531">
        <v>50</v>
      </c>
      <c r="B531">
        <v>3026</v>
      </c>
    </row>
    <row r="532" spans="1:2" x14ac:dyDescent="0.3">
      <c r="A532">
        <v>195</v>
      </c>
      <c r="B532">
        <v>3015</v>
      </c>
    </row>
    <row r="533" spans="1:2" x14ac:dyDescent="0.3">
      <c r="A533">
        <v>65</v>
      </c>
      <c r="B533">
        <v>3012</v>
      </c>
    </row>
    <row r="534" spans="1:2" x14ac:dyDescent="0.3">
      <c r="A534">
        <v>50</v>
      </c>
      <c r="B534">
        <v>3011</v>
      </c>
    </row>
    <row r="535" spans="1:2" x14ac:dyDescent="0.3">
      <c r="A535">
        <v>20</v>
      </c>
      <c r="B535">
        <v>2985</v>
      </c>
    </row>
    <row r="536" spans="1:2" x14ac:dyDescent="0.3">
      <c r="A536">
        <v>100</v>
      </c>
      <c r="B536">
        <v>2971</v>
      </c>
    </row>
    <row r="537" spans="1:2" x14ac:dyDescent="0.3">
      <c r="A537">
        <v>40</v>
      </c>
      <c r="B537">
        <v>2965</v>
      </c>
    </row>
    <row r="538" spans="1:2" x14ac:dyDescent="0.3">
      <c r="A538">
        <v>20</v>
      </c>
      <c r="B538">
        <v>2964</v>
      </c>
    </row>
    <row r="539" spans="1:2" x14ac:dyDescent="0.3">
      <c r="A539">
        <v>30</v>
      </c>
      <c r="B539">
        <v>2919</v>
      </c>
    </row>
    <row r="540" spans="1:2" x14ac:dyDescent="0.3">
      <c r="A540">
        <v>200</v>
      </c>
      <c r="B540">
        <v>2918</v>
      </c>
    </row>
    <row r="541" spans="1:2" x14ac:dyDescent="0.3">
      <c r="A541">
        <v>100</v>
      </c>
      <c r="B541">
        <v>2912</v>
      </c>
    </row>
    <row r="542" spans="1:2" x14ac:dyDescent="0.3">
      <c r="A542">
        <v>95</v>
      </c>
      <c r="B542">
        <v>2888</v>
      </c>
    </row>
    <row r="543" spans="1:2" x14ac:dyDescent="0.3">
      <c r="A543">
        <v>195</v>
      </c>
      <c r="B543">
        <v>2875</v>
      </c>
    </row>
    <row r="544" spans="1:2" x14ac:dyDescent="0.3">
      <c r="A544">
        <v>40</v>
      </c>
      <c r="B544">
        <v>2865</v>
      </c>
    </row>
    <row r="545" spans="1:2" x14ac:dyDescent="0.3">
      <c r="A545">
        <v>0</v>
      </c>
      <c r="B545">
        <v>2859</v>
      </c>
    </row>
    <row r="546" spans="1:2" x14ac:dyDescent="0.3">
      <c r="A546">
        <v>20</v>
      </c>
      <c r="B546">
        <v>2853</v>
      </c>
    </row>
    <row r="547" spans="1:2" x14ac:dyDescent="0.3">
      <c r="A547">
        <v>120</v>
      </c>
      <c r="B547">
        <v>2837</v>
      </c>
    </row>
    <row r="548" spans="1:2" x14ac:dyDescent="0.3">
      <c r="A548">
        <v>95</v>
      </c>
      <c r="B548">
        <v>2814</v>
      </c>
    </row>
    <row r="549" spans="1:2" x14ac:dyDescent="0.3">
      <c r="A549">
        <v>140</v>
      </c>
      <c r="B549">
        <v>2814</v>
      </c>
    </row>
    <row r="550" spans="1:2" x14ac:dyDescent="0.3">
      <c r="A550">
        <v>195</v>
      </c>
      <c r="B550">
        <v>2804</v>
      </c>
    </row>
    <row r="551" spans="1:2" x14ac:dyDescent="0.3">
      <c r="A551">
        <v>35</v>
      </c>
      <c r="B551">
        <v>2797</v>
      </c>
    </row>
    <row r="552" spans="1:2" x14ac:dyDescent="0.3">
      <c r="A552">
        <v>95</v>
      </c>
      <c r="B552">
        <v>2789</v>
      </c>
    </row>
    <row r="553" spans="1:2" x14ac:dyDescent="0.3">
      <c r="A553">
        <v>200</v>
      </c>
      <c r="B553">
        <v>2786</v>
      </c>
    </row>
    <row r="554" spans="1:2" x14ac:dyDescent="0.3">
      <c r="A554">
        <v>50</v>
      </c>
      <c r="B554">
        <v>2784</v>
      </c>
    </row>
    <row r="555" spans="1:2" x14ac:dyDescent="0.3">
      <c r="A555">
        <v>20</v>
      </c>
      <c r="B555">
        <v>2784</v>
      </c>
    </row>
    <row r="556" spans="1:2" x14ac:dyDescent="0.3">
      <c r="A556">
        <v>200</v>
      </c>
      <c r="B556">
        <v>2783</v>
      </c>
    </row>
    <row r="557" spans="1:2" x14ac:dyDescent="0.3">
      <c r="A557">
        <v>40</v>
      </c>
      <c r="B557">
        <v>2780</v>
      </c>
    </row>
    <row r="558" spans="1:2" x14ac:dyDescent="0.3">
      <c r="A558">
        <v>100</v>
      </c>
      <c r="B558">
        <v>2760</v>
      </c>
    </row>
    <row r="559" spans="1:2" x14ac:dyDescent="0.3">
      <c r="A559">
        <v>20</v>
      </c>
      <c r="B559">
        <v>2760</v>
      </c>
    </row>
    <row r="560" spans="1:2" x14ac:dyDescent="0.3">
      <c r="A560">
        <v>35</v>
      </c>
      <c r="B560">
        <v>2755</v>
      </c>
    </row>
    <row r="561" spans="1:2" x14ac:dyDescent="0.3">
      <c r="A561">
        <v>25</v>
      </c>
      <c r="B561">
        <v>2753</v>
      </c>
    </row>
    <row r="562" spans="1:2" x14ac:dyDescent="0.3">
      <c r="A562">
        <v>20</v>
      </c>
      <c r="B562">
        <v>2749</v>
      </c>
    </row>
    <row r="563" spans="1:2" x14ac:dyDescent="0.3">
      <c r="A563">
        <v>95</v>
      </c>
      <c r="B563">
        <v>2743</v>
      </c>
    </row>
    <row r="564" spans="1:2" x14ac:dyDescent="0.3">
      <c r="A564">
        <v>75</v>
      </c>
      <c r="B564">
        <v>2721</v>
      </c>
    </row>
    <row r="565" spans="1:2" x14ac:dyDescent="0.3">
      <c r="A565">
        <v>175</v>
      </c>
      <c r="B565">
        <v>2706</v>
      </c>
    </row>
    <row r="566" spans="1:2" x14ac:dyDescent="0.3">
      <c r="A566">
        <v>200</v>
      </c>
      <c r="B566">
        <v>2698</v>
      </c>
    </row>
    <row r="567" spans="1:2" x14ac:dyDescent="0.3">
      <c r="A567">
        <v>75</v>
      </c>
      <c r="B567">
        <v>2697</v>
      </c>
    </row>
    <row r="568" spans="1:2" x14ac:dyDescent="0.3">
      <c r="A568">
        <v>200</v>
      </c>
      <c r="B568">
        <v>2687</v>
      </c>
    </row>
    <row r="569" spans="1:2" x14ac:dyDescent="0.3">
      <c r="A569">
        <v>50</v>
      </c>
      <c r="B569">
        <v>2669</v>
      </c>
    </row>
    <row r="570" spans="1:2" x14ac:dyDescent="0.3">
      <c r="A570">
        <v>20</v>
      </c>
      <c r="B570">
        <v>2660</v>
      </c>
    </row>
    <row r="571" spans="1:2" x14ac:dyDescent="0.3">
      <c r="A571">
        <v>120</v>
      </c>
      <c r="B571">
        <v>2652</v>
      </c>
    </row>
    <row r="572" spans="1:2" x14ac:dyDescent="0.3">
      <c r="A572">
        <v>40</v>
      </c>
      <c r="B572">
        <v>2650</v>
      </c>
    </row>
    <row r="573" spans="1:2" x14ac:dyDescent="0.3">
      <c r="A573">
        <v>20</v>
      </c>
      <c r="B573">
        <v>2650</v>
      </c>
    </row>
    <row r="574" spans="1:2" x14ac:dyDescent="0.3">
      <c r="A574">
        <v>0</v>
      </c>
      <c r="B574">
        <v>2649</v>
      </c>
    </row>
    <row r="575" spans="1:2" x14ac:dyDescent="0.3">
      <c r="A575">
        <v>20</v>
      </c>
      <c r="B575">
        <v>2643</v>
      </c>
    </row>
    <row r="576" spans="1:2" x14ac:dyDescent="0.3">
      <c r="A576">
        <v>50</v>
      </c>
      <c r="B576">
        <v>2643</v>
      </c>
    </row>
    <row r="577" spans="1:2" x14ac:dyDescent="0.3">
      <c r="A577">
        <v>150</v>
      </c>
      <c r="B577">
        <v>2641</v>
      </c>
    </row>
    <row r="578" spans="1:2" x14ac:dyDescent="0.3">
      <c r="A578">
        <v>95</v>
      </c>
      <c r="B578">
        <v>2635</v>
      </c>
    </row>
    <row r="579" spans="1:2" x14ac:dyDescent="0.3">
      <c r="A579">
        <v>40</v>
      </c>
      <c r="B579">
        <v>2626</v>
      </c>
    </row>
    <row r="580" spans="1:2" x14ac:dyDescent="0.3">
      <c r="A580">
        <v>100</v>
      </c>
      <c r="B580">
        <v>2607</v>
      </c>
    </row>
    <row r="581" spans="1:2" x14ac:dyDescent="0.3">
      <c r="A581">
        <v>50</v>
      </c>
      <c r="B581">
        <v>2606</v>
      </c>
    </row>
    <row r="582" spans="1:2" x14ac:dyDescent="0.3">
      <c r="A582">
        <v>30</v>
      </c>
      <c r="B582">
        <v>2596</v>
      </c>
    </row>
    <row r="583" spans="1:2" x14ac:dyDescent="0.3">
      <c r="A583">
        <v>40</v>
      </c>
      <c r="B583">
        <v>2578</v>
      </c>
    </row>
    <row r="584" spans="1:2" x14ac:dyDescent="0.3">
      <c r="A584">
        <v>50</v>
      </c>
      <c r="B584">
        <v>2577</v>
      </c>
    </row>
    <row r="585" spans="1:2" x14ac:dyDescent="0.3">
      <c r="A585">
        <v>45</v>
      </c>
      <c r="B585">
        <v>2573</v>
      </c>
    </row>
    <row r="586" spans="1:2" x14ac:dyDescent="0.3">
      <c r="A586">
        <v>65</v>
      </c>
      <c r="B586">
        <v>2570</v>
      </c>
    </row>
    <row r="587" spans="1:2" x14ac:dyDescent="0.3">
      <c r="A587">
        <v>55</v>
      </c>
      <c r="B587">
        <v>2565</v>
      </c>
    </row>
    <row r="588" spans="1:2" x14ac:dyDescent="0.3">
      <c r="A588">
        <v>100</v>
      </c>
      <c r="B588">
        <v>2558</v>
      </c>
    </row>
    <row r="589" spans="1:2" x14ac:dyDescent="0.3">
      <c r="A589">
        <v>195</v>
      </c>
      <c r="B589">
        <v>2547</v>
      </c>
    </row>
    <row r="590" spans="1:2" x14ac:dyDescent="0.3">
      <c r="A590">
        <v>20</v>
      </c>
      <c r="B590">
        <v>2532</v>
      </c>
    </row>
    <row r="591" spans="1:2" x14ac:dyDescent="0.3">
      <c r="A591">
        <v>20</v>
      </c>
      <c r="B591">
        <v>2528</v>
      </c>
    </row>
    <row r="592" spans="1:2" x14ac:dyDescent="0.3">
      <c r="A592">
        <v>195</v>
      </c>
      <c r="B592">
        <v>2526</v>
      </c>
    </row>
    <row r="593" spans="1:2" x14ac:dyDescent="0.3">
      <c r="A593">
        <v>20</v>
      </c>
      <c r="B593">
        <v>2520</v>
      </c>
    </row>
    <row r="594" spans="1:2" x14ac:dyDescent="0.3">
      <c r="A594">
        <v>20</v>
      </c>
      <c r="B594">
        <v>2510</v>
      </c>
    </row>
    <row r="595" spans="1:2" x14ac:dyDescent="0.3">
      <c r="A595">
        <v>195</v>
      </c>
      <c r="B595">
        <v>2497</v>
      </c>
    </row>
    <row r="596" spans="1:2" x14ac:dyDescent="0.3">
      <c r="A596">
        <v>50</v>
      </c>
      <c r="B596">
        <v>2494</v>
      </c>
    </row>
    <row r="597" spans="1:2" x14ac:dyDescent="0.3">
      <c r="A597">
        <v>40</v>
      </c>
      <c r="B597">
        <v>2472</v>
      </c>
    </row>
    <row r="598" spans="1:2" x14ac:dyDescent="0.3">
      <c r="A598">
        <v>45</v>
      </c>
      <c r="B598">
        <v>2472</v>
      </c>
    </row>
    <row r="599" spans="1:2" x14ac:dyDescent="0.3">
      <c r="A599">
        <v>35</v>
      </c>
      <c r="B599">
        <v>2470</v>
      </c>
    </row>
    <row r="600" spans="1:2" x14ac:dyDescent="0.3">
      <c r="A600">
        <v>0</v>
      </c>
      <c r="B600">
        <v>2464</v>
      </c>
    </row>
    <row r="601" spans="1:2" x14ac:dyDescent="0.3">
      <c r="A601">
        <v>50</v>
      </c>
      <c r="B601">
        <v>2459</v>
      </c>
    </row>
    <row r="602" spans="1:2" x14ac:dyDescent="0.3">
      <c r="A602">
        <v>0</v>
      </c>
      <c r="B602">
        <v>2437</v>
      </c>
    </row>
    <row r="603" spans="1:2" x14ac:dyDescent="0.3">
      <c r="A603">
        <v>95</v>
      </c>
      <c r="B603">
        <v>2430</v>
      </c>
    </row>
    <row r="604" spans="1:2" x14ac:dyDescent="0.3">
      <c r="A604">
        <v>200</v>
      </c>
      <c r="B604">
        <v>2421</v>
      </c>
    </row>
    <row r="605" spans="1:2" x14ac:dyDescent="0.3">
      <c r="A605">
        <v>100</v>
      </c>
      <c r="B605">
        <v>2412</v>
      </c>
    </row>
    <row r="606" spans="1:2" x14ac:dyDescent="0.3">
      <c r="A606">
        <v>45</v>
      </c>
      <c r="B606">
        <v>2409</v>
      </c>
    </row>
    <row r="607" spans="1:2" x14ac:dyDescent="0.3">
      <c r="A607">
        <v>20</v>
      </c>
      <c r="B607">
        <v>2402</v>
      </c>
    </row>
    <row r="608" spans="1:2" x14ac:dyDescent="0.3">
      <c r="A608">
        <v>20</v>
      </c>
      <c r="B608">
        <v>2401</v>
      </c>
    </row>
    <row r="609" spans="1:2" x14ac:dyDescent="0.3">
      <c r="A609">
        <v>200</v>
      </c>
      <c r="B609">
        <v>2390</v>
      </c>
    </row>
    <row r="610" spans="1:2" x14ac:dyDescent="0.3">
      <c r="A610">
        <v>20</v>
      </c>
      <c r="B610">
        <v>2389</v>
      </c>
    </row>
    <row r="611" spans="1:2" x14ac:dyDescent="0.3">
      <c r="A611">
        <v>20</v>
      </c>
      <c r="B611">
        <v>2388</v>
      </c>
    </row>
    <row r="612" spans="1:2" x14ac:dyDescent="0.3">
      <c r="A612">
        <v>20</v>
      </c>
      <c r="B612">
        <v>2382</v>
      </c>
    </row>
    <row r="613" spans="1:2" x14ac:dyDescent="0.3">
      <c r="A613">
        <v>25</v>
      </c>
      <c r="B613">
        <v>2371</v>
      </c>
    </row>
    <row r="614" spans="1:2" x14ac:dyDescent="0.3">
      <c r="A614">
        <v>95</v>
      </c>
      <c r="B614">
        <v>2362</v>
      </c>
    </row>
    <row r="615" spans="1:2" x14ac:dyDescent="0.3">
      <c r="A615">
        <v>100</v>
      </c>
      <c r="B615">
        <v>2360</v>
      </c>
    </row>
    <row r="616" spans="1:2" x14ac:dyDescent="0.3">
      <c r="A616">
        <v>200</v>
      </c>
      <c r="B616">
        <v>2355</v>
      </c>
    </row>
    <row r="617" spans="1:2" x14ac:dyDescent="0.3">
      <c r="A617">
        <v>195</v>
      </c>
      <c r="B617">
        <v>2354</v>
      </c>
    </row>
    <row r="618" spans="1:2" x14ac:dyDescent="0.3">
      <c r="A618">
        <v>200</v>
      </c>
      <c r="B618">
        <v>2353</v>
      </c>
    </row>
    <row r="619" spans="1:2" x14ac:dyDescent="0.3">
      <c r="A619">
        <v>50</v>
      </c>
      <c r="B619">
        <v>2351</v>
      </c>
    </row>
    <row r="620" spans="1:2" x14ac:dyDescent="0.3">
      <c r="A620">
        <v>150</v>
      </c>
      <c r="B620">
        <v>2346</v>
      </c>
    </row>
    <row r="621" spans="1:2" x14ac:dyDescent="0.3">
      <c r="A621">
        <v>30</v>
      </c>
      <c r="B621">
        <v>2342</v>
      </c>
    </row>
    <row r="622" spans="1:2" x14ac:dyDescent="0.3">
      <c r="A622">
        <v>20</v>
      </c>
      <c r="B622">
        <v>2335</v>
      </c>
    </row>
    <row r="623" spans="1:2" x14ac:dyDescent="0.3">
      <c r="A623">
        <v>20</v>
      </c>
      <c r="B623">
        <v>2320</v>
      </c>
    </row>
    <row r="624" spans="1:2" x14ac:dyDescent="0.3">
      <c r="A624">
        <v>20</v>
      </c>
      <c r="B624">
        <v>2314</v>
      </c>
    </row>
    <row r="625" spans="1:2" x14ac:dyDescent="0.3">
      <c r="A625">
        <v>200</v>
      </c>
      <c r="B625">
        <v>2311</v>
      </c>
    </row>
    <row r="626" spans="1:2" x14ac:dyDescent="0.3">
      <c r="A626">
        <v>20</v>
      </c>
      <c r="B626">
        <v>2306</v>
      </c>
    </row>
    <row r="627" spans="1:2" x14ac:dyDescent="0.3">
      <c r="A627">
        <v>20</v>
      </c>
      <c r="B627">
        <v>2299</v>
      </c>
    </row>
    <row r="628" spans="1:2" x14ac:dyDescent="0.3">
      <c r="A628">
        <v>40</v>
      </c>
      <c r="B628">
        <v>2296</v>
      </c>
    </row>
    <row r="629" spans="1:2" x14ac:dyDescent="0.3">
      <c r="A629">
        <v>20</v>
      </c>
      <c r="B629">
        <v>2281</v>
      </c>
    </row>
    <row r="630" spans="1:2" x14ac:dyDescent="0.3">
      <c r="A630">
        <v>160</v>
      </c>
      <c r="B630">
        <v>2273</v>
      </c>
    </row>
    <row r="631" spans="1:2" x14ac:dyDescent="0.3">
      <c r="A631">
        <v>60</v>
      </c>
      <c r="B631">
        <v>2273</v>
      </c>
    </row>
    <row r="632" spans="1:2" x14ac:dyDescent="0.3">
      <c r="A632">
        <v>60</v>
      </c>
      <c r="B632">
        <v>2267</v>
      </c>
    </row>
    <row r="633" spans="1:2" x14ac:dyDescent="0.3">
      <c r="A633">
        <v>40</v>
      </c>
      <c r="B633">
        <v>2244</v>
      </c>
    </row>
    <row r="634" spans="1:2" x14ac:dyDescent="0.3">
      <c r="A634">
        <v>20</v>
      </c>
      <c r="B634">
        <v>2243</v>
      </c>
    </row>
    <row r="635" spans="1:2" x14ac:dyDescent="0.3">
      <c r="A635">
        <v>20</v>
      </c>
      <c r="B635">
        <v>2238</v>
      </c>
    </row>
    <row r="636" spans="1:2" x14ac:dyDescent="0.3">
      <c r="A636">
        <v>100</v>
      </c>
      <c r="B636">
        <v>2234</v>
      </c>
    </row>
    <row r="637" spans="1:2" x14ac:dyDescent="0.3">
      <c r="A637">
        <v>20</v>
      </c>
      <c r="B637">
        <v>2227</v>
      </c>
    </row>
    <row r="638" spans="1:2" x14ac:dyDescent="0.3">
      <c r="A638">
        <v>195</v>
      </c>
      <c r="B638">
        <v>2225</v>
      </c>
    </row>
    <row r="639" spans="1:2" x14ac:dyDescent="0.3">
      <c r="A639">
        <v>55</v>
      </c>
      <c r="B639">
        <v>2215</v>
      </c>
    </row>
    <row r="640" spans="1:2" x14ac:dyDescent="0.3">
      <c r="A640">
        <v>0</v>
      </c>
      <c r="B640">
        <v>2214</v>
      </c>
    </row>
    <row r="641" spans="1:2" x14ac:dyDescent="0.3">
      <c r="A641">
        <v>20</v>
      </c>
      <c r="B641">
        <v>2204</v>
      </c>
    </row>
    <row r="642" spans="1:2" x14ac:dyDescent="0.3">
      <c r="A642">
        <v>30</v>
      </c>
      <c r="B642">
        <v>2200</v>
      </c>
    </row>
    <row r="643" spans="1:2" x14ac:dyDescent="0.3">
      <c r="A643">
        <v>25</v>
      </c>
      <c r="B643">
        <v>2197</v>
      </c>
    </row>
    <row r="644" spans="1:2" x14ac:dyDescent="0.3">
      <c r="A644">
        <v>100</v>
      </c>
      <c r="B644">
        <v>2195</v>
      </c>
    </row>
    <row r="645" spans="1:2" x14ac:dyDescent="0.3">
      <c r="A645">
        <v>95</v>
      </c>
      <c r="B645">
        <v>2185</v>
      </c>
    </row>
    <row r="646" spans="1:2" x14ac:dyDescent="0.3">
      <c r="A646">
        <v>80</v>
      </c>
      <c r="B646">
        <v>2184</v>
      </c>
    </row>
    <row r="647" spans="1:2" x14ac:dyDescent="0.3">
      <c r="A647">
        <v>25</v>
      </c>
      <c r="B647">
        <v>2178</v>
      </c>
    </row>
    <row r="648" spans="1:2" x14ac:dyDescent="0.3">
      <c r="A648">
        <v>20</v>
      </c>
      <c r="B648">
        <v>2177</v>
      </c>
    </row>
    <row r="649" spans="1:2" x14ac:dyDescent="0.3">
      <c r="A649">
        <v>20</v>
      </c>
      <c r="B649">
        <v>2164</v>
      </c>
    </row>
    <row r="650" spans="1:2" x14ac:dyDescent="0.3">
      <c r="A650">
        <v>20</v>
      </c>
      <c r="B650">
        <v>2160</v>
      </c>
    </row>
    <row r="651" spans="1:2" x14ac:dyDescent="0.3">
      <c r="A651">
        <v>50</v>
      </c>
      <c r="B651">
        <v>2152</v>
      </c>
    </row>
    <row r="652" spans="1:2" x14ac:dyDescent="0.3">
      <c r="A652">
        <v>145</v>
      </c>
      <c r="B652">
        <v>2145</v>
      </c>
    </row>
    <row r="653" spans="1:2" x14ac:dyDescent="0.3">
      <c r="A653">
        <v>120</v>
      </c>
      <c r="B653">
        <v>2142</v>
      </c>
    </row>
    <row r="654" spans="1:2" x14ac:dyDescent="0.3">
      <c r="A654">
        <v>175</v>
      </c>
      <c r="B654">
        <v>2134</v>
      </c>
    </row>
    <row r="655" spans="1:2" x14ac:dyDescent="0.3">
      <c r="A655">
        <v>20</v>
      </c>
      <c r="B655">
        <v>2104</v>
      </c>
    </row>
    <row r="656" spans="1:2" x14ac:dyDescent="0.3">
      <c r="A656">
        <v>60</v>
      </c>
      <c r="B656">
        <v>2097</v>
      </c>
    </row>
    <row r="657" spans="1:2" x14ac:dyDescent="0.3">
      <c r="A657">
        <v>0</v>
      </c>
      <c r="B657">
        <v>2097</v>
      </c>
    </row>
    <row r="658" spans="1:2" x14ac:dyDescent="0.3">
      <c r="A658">
        <v>45</v>
      </c>
      <c r="B658">
        <v>2091</v>
      </c>
    </row>
    <row r="659" spans="1:2" x14ac:dyDescent="0.3">
      <c r="A659">
        <v>95</v>
      </c>
      <c r="B659">
        <v>2086</v>
      </c>
    </row>
    <row r="660" spans="1:2" x14ac:dyDescent="0.3">
      <c r="A660">
        <v>25</v>
      </c>
      <c r="B660">
        <v>2083</v>
      </c>
    </row>
    <row r="661" spans="1:2" x14ac:dyDescent="0.3">
      <c r="A661">
        <v>200</v>
      </c>
      <c r="B661">
        <v>2076</v>
      </c>
    </row>
    <row r="662" spans="1:2" x14ac:dyDescent="0.3">
      <c r="A662">
        <v>20</v>
      </c>
      <c r="B662">
        <v>2076</v>
      </c>
    </row>
    <row r="663" spans="1:2" x14ac:dyDescent="0.3">
      <c r="A663">
        <v>20</v>
      </c>
      <c r="B663">
        <v>2074</v>
      </c>
    </row>
    <row r="664" spans="1:2" x14ac:dyDescent="0.3">
      <c r="A664">
        <v>95</v>
      </c>
      <c r="B664">
        <v>2073</v>
      </c>
    </row>
    <row r="665" spans="1:2" x14ac:dyDescent="0.3">
      <c r="A665">
        <v>75</v>
      </c>
      <c r="B665">
        <v>2071</v>
      </c>
    </row>
    <row r="666" spans="1:2" x14ac:dyDescent="0.3">
      <c r="A666">
        <v>150</v>
      </c>
      <c r="B666">
        <v>2063</v>
      </c>
    </row>
    <row r="667" spans="1:2" x14ac:dyDescent="0.3">
      <c r="A667">
        <v>45</v>
      </c>
      <c r="B667">
        <v>2052</v>
      </c>
    </row>
    <row r="668" spans="1:2" x14ac:dyDescent="0.3">
      <c r="A668">
        <v>150</v>
      </c>
      <c r="B668">
        <v>2051</v>
      </c>
    </row>
    <row r="669" spans="1:2" x14ac:dyDescent="0.3">
      <c r="A669">
        <v>115</v>
      </c>
      <c r="B669">
        <v>2039</v>
      </c>
    </row>
    <row r="670" spans="1:2" x14ac:dyDescent="0.3">
      <c r="A670">
        <v>20</v>
      </c>
      <c r="B670">
        <v>2025</v>
      </c>
    </row>
    <row r="671" spans="1:2" x14ac:dyDescent="0.3">
      <c r="A671">
        <v>75</v>
      </c>
      <c r="B671">
        <v>2023</v>
      </c>
    </row>
    <row r="672" spans="1:2" x14ac:dyDescent="0.3">
      <c r="A672">
        <v>55</v>
      </c>
      <c r="B672">
        <v>2012</v>
      </c>
    </row>
    <row r="673" spans="1:2" x14ac:dyDescent="0.3">
      <c r="A673">
        <v>80</v>
      </c>
      <c r="B673">
        <v>2007</v>
      </c>
    </row>
    <row r="674" spans="1:2" x14ac:dyDescent="0.3">
      <c r="A674">
        <v>20</v>
      </c>
      <c r="B674">
        <v>2002</v>
      </c>
    </row>
    <row r="675" spans="1:2" x14ac:dyDescent="0.3">
      <c r="A675">
        <v>195</v>
      </c>
      <c r="B675">
        <v>1995</v>
      </c>
    </row>
    <row r="676" spans="1:2" x14ac:dyDescent="0.3">
      <c r="A676">
        <v>55</v>
      </c>
      <c r="B676">
        <v>1993</v>
      </c>
    </row>
    <row r="677" spans="1:2" x14ac:dyDescent="0.3">
      <c r="A677">
        <v>100</v>
      </c>
      <c r="B677">
        <v>1975</v>
      </c>
    </row>
    <row r="678" spans="1:2" x14ac:dyDescent="0.3">
      <c r="A678">
        <v>150</v>
      </c>
      <c r="B678">
        <v>1967</v>
      </c>
    </row>
    <row r="679" spans="1:2" x14ac:dyDescent="0.3">
      <c r="A679">
        <v>150</v>
      </c>
      <c r="B679">
        <v>1966</v>
      </c>
    </row>
    <row r="680" spans="1:2" x14ac:dyDescent="0.3">
      <c r="A680">
        <v>40</v>
      </c>
      <c r="B680">
        <v>1950</v>
      </c>
    </row>
    <row r="681" spans="1:2" x14ac:dyDescent="0.3">
      <c r="A681">
        <v>50</v>
      </c>
      <c r="B681">
        <v>1949</v>
      </c>
    </row>
    <row r="682" spans="1:2" x14ac:dyDescent="0.3">
      <c r="A682">
        <v>20</v>
      </c>
      <c r="B682">
        <v>1948</v>
      </c>
    </row>
    <row r="683" spans="1:2" x14ac:dyDescent="0.3">
      <c r="A683">
        <v>75</v>
      </c>
      <c r="B683">
        <v>1945</v>
      </c>
    </row>
    <row r="684" spans="1:2" x14ac:dyDescent="0.3">
      <c r="A684">
        <v>0</v>
      </c>
      <c r="B684">
        <v>1942</v>
      </c>
    </row>
    <row r="685" spans="1:2" x14ac:dyDescent="0.3">
      <c r="A685">
        <v>50</v>
      </c>
      <c r="B685">
        <v>1936</v>
      </c>
    </row>
    <row r="686" spans="1:2" x14ac:dyDescent="0.3">
      <c r="A686">
        <v>200</v>
      </c>
      <c r="B686">
        <v>1935</v>
      </c>
    </row>
    <row r="687" spans="1:2" x14ac:dyDescent="0.3">
      <c r="A687">
        <v>40</v>
      </c>
      <c r="B687">
        <v>1926</v>
      </c>
    </row>
    <row r="688" spans="1:2" x14ac:dyDescent="0.3">
      <c r="A688">
        <v>70</v>
      </c>
      <c r="B688">
        <v>1925</v>
      </c>
    </row>
    <row r="689" spans="1:2" x14ac:dyDescent="0.3">
      <c r="A689">
        <v>25</v>
      </c>
      <c r="B689">
        <v>1908</v>
      </c>
    </row>
    <row r="690" spans="1:2" x14ac:dyDescent="0.3">
      <c r="A690">
        <v>45</v>
      </c>
      <c r="B690">
        <v>1905</v>
      </c>
    </row>
    <row r="691" spans="1:2" x14ac:dyDescent="0.3">
      <c r="A691">
        <v>20</v>
      </c>
      <c r="B691">
        <v>1904</v>
      </c>
    </row>
    <row r="692" spans="1:2" x14ac:dyDescent="0.3">
      <c r="A692">
        <v>165</v>
      </c>
      <c r="B692">
        <v>1902</v>
      </c>
    </row>
    <row r="693" spans="1:2" x14ac:dyDescent="0.3">
      <c r="A693">
        <v>20</v>
      </c>
      <c r="B693">
        <v>1898</v>
      </c>
    </row>
    <row r="694" spans="1:2" x14ac:dyDescent="0.3">
      <c r="A694">
        <v>20</v>
      </c>
      <c r="B694">
        <v>1894</v>
      </c>
    </row>
    <row r="695" spans="1:2" x14ac:dyDescent="0.3">
      <c r="A695">
        <v>50</v>
      </c>
      <c r="B695">
        <v>1892</v>
      </c>
    </row>
    <row r="696" spans="1:2" x14ac:dyDescent="0.3">
      <c r="A696">
        <v>200</v>
      </c>
      <c r="B696">
        <v>1874</v>
      </c>
    </row>
    <row r="697" spans="1:2" x14ac:dyDescent="0.3">
      <c r="A697">
        <v>150</v>
      </c>
      <c r="B697">
        <v>1873</v>
      </c>
    </row>
    <row r="698" spans="1:2" x14ac:dyDescent="0.3">
      <c r="A698">
        <v>50</v>
      </c>
      <c r="B698">
        <v>1871</v>
      </c>
    </row>
    <row r="699" spans="1:2" x14ac:dyDescent="0.3">
      <c r="A699">
        <v>200</v>
      </c>
      <c r="B699">
        <v>1870</v>
      </c>
    </row>
    <row r="700" spans="1:2" x14ac:dyDescent="0.3">
      <c r="A700">
        <v>20</v>
      </c>
      <c r="B700">
        <v>1867</v>
      </c>
    </row>
    <row r="701" spans="1:2" x14ac:dyDescent="0.3">
      <c r="A701">
        <v>140</v>
      </c>
      <c r="B701">
        <v>1858</v>
      </c>
    </row>
    <row r="702" spans="1:2" x14ac:dyDescent="0.3">
      <c r="A702">
        <v>100</v>
      </c>
      <c r="B702">
        <v>1853</v>
      </c>
    </row>
    <row r="703" spans="1:2" x14ac:dyDescent="0.3">
      <c r="A703">
        <v>200</v>
      </c>
      <c r="B703">
        <v>1849</v>
      </c>
    </row>
    <row r="704" spans="1:2" x14ac:dyDescent="0.3">
      <c r="A704">
        <v>55</v>
      </c>
      <c r="B704">
        <v>1849</v>
      </c>
    </row>
    <row r="705" spans="1:2" x14ac:dyDescent="0.3">
      <c r="A705">
        <v>195</v>
      </c>
      <c r="B705">
        <v>1839</v>
      </c>
    </row>
    <row r="706" spans="1:2" x14ac:dyDescent="0.3">
      <c r="A706">
        <v>100</v>
      </c>
      <c r="B706">
        <v>1838</v>
      </c>
    </row>
    <row r="707" spans="1:2" x14ac:dyDescent="0.3">
      <c r="A707">
        <v>20</v>
      </c>
      <c r="B707">
        <v>1832</v>
      </c>
    </row>
    <row r="708" spans="1:2" x14ac:dyDescent="0.3">
      <c r="A708">
        <v>200</v>
      </c>
      <c r="B708">
        <v>1827</v>
      </c>
    </row>
    <row r="709" spans="1:2" x14ac:dyDescent="0.3">
      <c r="A709">
        <v>100</v>
      </c>
      <c r="B709">
        <v>1825</v>
      </c>
    </row>
    <row r="710" spans="1:2" x14ac:dyDescent="0.3">
      <c r="A710">
        <v>90</v>
      </c>
      <c r="B710">
        <v>1822</v>
      </c>
    </row>
    <row r="711" spans="1:2" x14ac:dyDescent="0.3">
      <c r="A711">
        <v>95</v>
      </c>
      <c r="B711">
        <v>1815</v>
      </c>
    </row>
    <row r="712" spans="1:2" x14ac:dyDescent="0.3">
      <c r="A712">
        <v>35</v>
      </c>
      <c r="B712">
        <v>1812</v>
      </c>
    </row>
    <row r="713" spans="1:2" x14ac:dyDescent="0.3">
      <c r="A713">
        <v>95</v>
      </c>
      <c r="B713">
        <v>1811</v>
      </c>
    </row>
    <row r="714" spans="1:2" x14ac:dyDescent="0.3">
      <c r="A714">
        <v>20</v>
      </c>
      <c r="B714">
        <v>1802</v>
      </c>
    </row>
    <row r="715" spans="1:2" x14ac:dyDescent="0.3">
      <c r="A715">
        <v>120</v>
      </c>
      <c r="B715">
        <v>1798</v>
      </c>
    </row>
    <row r="716" spans="1:2" x14ac:dyDescent="0.3">
      <c r="A716">
        <v>45</v>
      </c>
      <c r="B716">
        <v>1783</v>
      </c>
    </row>
    <row r="717" spans="1:2" x14ac:dyDescent="0.3">
      <c r="A717">
        <v>25</v>
      </c>
      <c r="B717">
        <v>1780</v>
      </c>
    </row>
    <row r="718" spans="1:2" x14ac:dyDescent="0.3">
      <c r="A718">
        <v>20</v>
      </c>
      <c r="B718">
        <v>1780</v>
      </c>
    </row>
    <row r="719" spans="1:2" x14ac:dyDescent="0.3">
      <c r="A719">
        <v>55</v>
      </c>
      <c r="B719">
        <v>1779</v>
      </c>
    </row>
    <row r="720" spans="1:2" x14ac:dyDescent="0.3">
      <c r="A720">
        <v>30</v>
      </c>
      <c r="B720">
        <v>1777</v>
      </c>
    </row>
    <row r="721" spans="1:2" x14ac:dyDescent="0.3">
      <c r="A721">
        <v>30</v>
      </c>
      <c r="B721">
        <v>1772</v>
      </c>
    </row>
    <row r="722" spans="1:2" x14ac:dyDescent="0.3">
      <c r="A722">
        <v>20</v>
      </c>
      <c r="B722">
        <v>1769</v>
      </c>
    </row>
    <row r="723" spans="1:2" x14ac:dyDescent="0.3">
      <c r="A723">
        <v>195</v>
      </c>
      <c r="B723">
        <v>1766</v>
      </c>
    </row>
    <row r="724" spans="1:2" x14ac:dyDescent="0.3">
      <c r="A724">
        <v>45</v>
      </c>
      <c r="B724">
        <v>1764</v>
      </c>
    </row>
    <row r="725" spans="1:2" x14ac:dyDescent="0.3">
      <c r="A725">
        <v>60</v>
      </c>
      <c r="B725">
        <v>1764</v>
      </c>
    </row>
    <row r="726" spans="1:2" x14ac:dyDescent="0.3">
      <c r="A726">
        <v>20</v>
      </c>
      <c r="B726">
        <v>1763</v>
      </c>
    </row>
    <row r="727" spans="1:2" x14ac:dyDescent="0.3">
      <c r="A727">
        <v>25</v>
      </c>
      <c r="B727">
        <v>1758</v>
      </c>
    </row>
    <row r="728" spans="1:2" x14ac:dyDescent="0.3">
      <c r="A728">
        <v>20</v>
      </c>
      <c r="B728">
        <v>1747</v>
      </c>
    </row>
    <row r="729" spans="1:2" x14ac:dyDescent="0.3">
      <c r="A729">
        <v>30</v>
      </c>
      <c r="B729">
        <v>1741</v>
      </c>
    </row>
    <row r="730" spans="1:2" x14ac:dyDescent="0.3">
      <c r="A730">
        <v>30</v>
      </c>
      <c r="B730">
        <v>1737</v>
      </c>
    </row>
    <row r="731" spans="1:2" x14ac:dyDescent="0.3">
      <c r="A731">
        <v>60</v>
      </c>
      <c r="B731">
        <v>1736</v>
      </c>
    </row>
    <row r="732" spans="1:2" x14ac:dyDescent="0.3">
      <c r="A732">
        <v>100</v>
      </c>
      <c r="B732">
        <v>1735</v>
      </c>
    </row>
    <row r="733" spans="1:2" x14ac:dyDescent="0.3">
      <c r="A733">
        <v>20</v>
      </c>
      <c r="B733">
        <v>1734</v>
      </c>
    </row>
    <row r="734" spans="1:2" x14ac:dyDescent="0.3">
      <c r="A734">
        <v>20</v>
      </c>
      <c r="B734">
        <v>1732</v>
      </c>
    </row>
    <row r="735" spans="1:2" x14ac:dyDescent="0.3">
      <c r="A735">
        <v>20</v>
      </c>
      <c r="B735">
        <v>1731</v>
      </c>
    </row>
    <row r="736" spans="1:2" x14ac:dyDescent="0.3">
      <c r="A736">
        <v>50</v>
      </c>
      <c r="B736">
        <v>1724</v>
      </c>
    </row>
    <row r="737" spans="1:2" x14ac:dyDescent="0.3">
      <c r="A737">
        <v>20</v>
      </c>
      <c r="B737">
        <v>1723</v>
      </c>
    </row>
    <row r="738" spans="1:2" x14ac:dyDescent="0.3">
      <c r="A738">
        <v>60</v>
      </c>
      <c r="B738">
        <v>1723</v>
      </c>
    </row>
    <row r="739" spans="1:2" x14ac:dyDescent="0.3">
      <c r="A739">
        <v>100</v>
      </c>
      <c r="B739">
        <v>1712</v>
      </c>
    </row>
    <row r="740" spans="1:2" x14ac:dyDescent="0.3">
      <c r="A740">
        <v>50</v>
      </c>
      <c r="B740">
        <v>1705</v>
      </c>
    </row>
    <row r="741" spans="1:2" x14ac:dyDescent="0.3">
      <c r="A741">
        <v>195</v>
      </c>
      <c r="B741">
        <v>1703</v>
      </c>
    </row>
    <row r="742" spans="1:2" x14ac:dyDescent="0.3">
      <c r="A742">
        <v>65</v>
      </c>
      <c r="B742">
        <v>1703</v>
      </c>
    </row>
    <row r="743" spans="1:2" x14ac:dyDescent="0.3">
      <c r="A743">
        <v>70</v>
      </c>
      <c r="B743">
        <v>1703</v>
      </c>
    </row>
    <row r="744" spans="1:2" x14ac:dyDescent="0.3">
      <c r="A744">
        <v>50</v>
      </c>
      <c r="B744">
        <v>1702</v>
      </c>
    </row>
    <row r="745" spans="1:2" x14ac:dyDescent="0.3">
      <c r="A745">
        <v>100</v>
      </c>
      <c r="B745">
        <v>1701</v>
      </c>
    </row>
    <row r="746" spans="1:2" x14ac:dyDescent="0.3">
      <c r="A746">
        <v>60</v>
      </c>
      <c r="B746">
        <v>1699</v>
      </c>
    </row>
    <row r="747" spans="1:2" x14ac:dyDescent="0.3">
      <c r="A747">
        <v>195</v>
      </c>
      <c r="B747">
        <v>1697</v>
      </c>
    </row>
    <row r="748" spans="1:2" x14ac:dyDescent="0.3">
      <c r="A748">
        <v>75</v>
      </c>
      <c r="B748">
        <v>1696</v>
      </c>
    </row>
    <row r="749" spans="1:2" x14ac:dyDescent="0.3">
      <c r="A749">
        <v>30</v>
      </c>
      <c r="B749">
        <v>1688</v>
      </c>
    </row>
    <row r="750" spans="1:2" x14ac:dyDescent="0.3">
      <c r="A750">
        <v>145</v>
      </c>
      <c r="B750">
        <v>1683</v>
      </c>
    </row>
    <row r="751" spans="1:2" x14ac:dyDescent="0.3">
      <c r="A751">
        <v>120</v>
      </c>
      <c r="B751">
        <v>1678</v>
      </c>
    </row>
    <row r="752" spans="1:2" x14ac:dyDescent="0.3">
      <c r="A752">
        <v>200</v>
      </c>
      <c r="B752">
        <v>1673</v>
      </c>
    </row>
    <row r="753" spans="1:2" x14ac:dyDescent="0.3">
      <c r="A753">
        <v>95</v>
      </c>
      <c r="B753">
        <v>1659</v>
      </c>
    </row>
    <row r="754" spans="1:2" x14ac:dyDescent="0.3">
      <c r="A754">
        <v>50</v>
      </c>
      <c r="B754">
        <v>1658</v>
      </c>
    </row>
    <row r="755" spans="1:2" x14ac:dyDescent="0.3">
      <c r="A755">
        <v>50</v>
      </c>
      <c r="B755">
        <v>1658</v>
      </c>
    </row>
    <row r="756" spans="1:2" x14ac:dyDescent="0.3">
      <c r="A756">
        <v>25</v>
      </c>
      <c r="B756">
        <v>1655</v>
      </c>
    </row>
    <row r="757" spans="1:2" x14ac:dyDescent="0.3">
      <c r="A757">
        <v>25</v>
      </c>
      <c r="B757">
        <v>1655</v>
      </c>
    </row>
    <row r="758" spans="1:2" x14ac:dyDescent="0.3">
      <c r="A758">
        <v>40</v>
      </c>
      <c r="B758">
        <v>1653</v>
      </c>
    </row>
    <row r="759" spans="1:2" x14ac:dyDescent="0.3">
      <c r="A759">
        <v>195</v>
      </c>
      <c r="B759">
        <v>1649</v>
      </c>
    </row>
    <row r="760" spans="1:2" x14ac:dyDescent="0.3">
      <c r="A760">
        <v>195</v>
      </c>
      <c r="B760">
        <v>1645</v>
      </c>
    </row>
    <row r="761" spans="1:2" x14ac:dyDescent="0.3">
      <c r="A761">
        <v>65</v>
      </c>
      <c r="B761">
        <v>1640</v>
      </c>
    </row>
    <row r="762" spans="1:2" x14ac:dyDescent="0.3">
      <c r="A762">
        <v>75</v>
      </c>
      <c r="B762">
        <v>1634</v>
      </c>
    </row>
    <row r="763" spans="1:2" x14ac:dyDescent="0.3">
      <c r="A763">
        <v>145</v>
      </c>
      <c r="B763">
        <v>1628</v>
      </c>
    </row>
    <row r="764" spans="1:2" x14ac:dyDescent="0.3">
      <c r="A764">
        <v>35</v>
      </c>
      <c r="B764">
        <v>1627</v>
      </c>
    </row>
    <row r="765" spans="1:2" x14ac:dyDescent="0.3">
      <c r="A765">
        <v>50</v>
      </c>
      <c r="B765">
        <v>1626</v>
      </c>
    </row>
    <row r="766" spans="1:2" x14ac:dyDescent="0.3">
      <c r="A766">
        <v>100</v>
      </c>
      <c r="B766">
        <v>1626</v>
      </c>
    </row>
    <row r="767" spans="1:2" x14ac:dyDescent="0.3">
      <c r="A767">
        <v>50</v>
      </c>
      <c r="B767">
        <v>1624</v>
      </c>
    </row>
    <row r="768" spans="1:2" x14ac:dyDescent="0.3">
      <c r="A768">
        <v>20</v>
      </c>
      <c r="B768">
        <v>1618</v>
      </c>
    </row>
    <row r="769" spans="1:2" x14ac:dyDescent="0.3">
      <c r="A769">
        <v>20</v>
      </c>
      <c r="B769">
        <v>1613</v>
      </c>
    </row>
    <row r="770" spans="1:2" x14ac:dyDescent="0.3">
      <c r="A770">
        <v>100</v>
      </c>
      <c r="B770">
        <v>1611</v>
      </c>
    </row>
    <row r="771" spans="1:2" x14ac:dyDescent="0.3">
      <c r="A771">
        <v>50</v>
      </c>
      <c r="B771">
        <v>1611</v>
      </c>
    </row>
    <row r="772" spans="1:2" x14ac:dyDescent="0.3">
      <c r="A772">
        <v>100</v>
      </c>
      <c r="B772">
        <v>1606</v>
      </c>
    </row>
    <row r="773" spans="1:2" x14ac:dyDescent="0.3">
      <c r="A773">
        <v>25</v>
      </c>
      <c r="B773">
        <v>1605</v>
      </c>
    </row>
    <row r="774" spans="1:2" x14ac:dyDescent="0.3">
      <c r="A774">
        <v>60</v>
      </c>
      <c r="B774">
        <v>1599</v>
      </c>
    </row>
    <row r="775" spans="1:2" x14ac:dyDescent="0.3">
      <c r="A775">
        <v>50</v>
      </c>
      <c r="B775">
        <v>1591</v>
      </c>
    </row>
    <row r="776" spans="1:2" x14ac:dyDescent="0.3">
      <c r="A776">
        <v>40</v>
      </c>
      <c r="B776">
        <v>1588</v>
      </c>
    </row>
    <row r="777" spans="1:2" x14ac:dyDescent="0.3">
      <c r="A777">
        <v>200</v>
      </c>
      <c r="B777">
        <v>1586</v>
      </c>
    </row>
    <row r="778" spans="1:2" x14ac:dyDescent="0.3">
      <c r="A778">
        <v>120</v>
      </c>
      <c r="B778">
        <v>1566</v>
      </c>
    </row>
    <row r="779" spans="1:2" x14ac:dyDescent="0.3">
      <c r="A779">
        <v>45</v>
      </c>
      <c r="B779">
        <v>1562</v>
      </c>
    </row>
    <row r="780" spans="1:2" x14ac:dyDescent="0.3">
      <c r="A780">
        <v>115</v>
      </c>
      <c r="B780">
        <v>1562</v>
      </c>
    </row>
    <row r="781" spans="1:2" x14ac:dyDescent="0.3">
      <c r="A781">
        <v>25</v>
      </c>
      <c r="B781">
        <v>1557</v>
      </c>
    </row>
    <row r="782" spans="1:2" x14ac:dyDescent="0.3">
      <c r="A782">
        <v>20</v>
      </c>
      <c r="B782">
        <v>1554</v>
      </c>
    </row>
    <row r="783" spans="1:2" x14ac:dyDescent="0.3">
      <c r="A783">
        <v>50</v>
      </c>
      <c r="B783">
        <v>1553</v>
      </c>
    </row>
    <row r="784" spans="1:2" x14ac:dyDescent="0.3">
      <c r="A784">
        <v>55</v>
      </c>
      <c r="B784">
        <v>1552</v>
      </c>
    </row>
    <row r="785" spans="1:2" x14ac:dyDescent="0.3">
      <c r="A785">
        <v>30</v>
      </c>
      <c r="B785">
        <v>1551</v>
      </c>
    </row>
    <row r="786" spans="1:2" x14ac:dyDescent="0.3">
      <c r="A786">
        <v>30</v>
      </c>
      <c r="B786">
        <v>1550</v>
      </c>
    </row>
    <row r="787" spans="1:2" x14ac:dyDescent="0.3">
      <c r="A787">
        <v>50</v>
      </c>
      <c r="B787">
        <v>1550</v>
      </c>
    </row>
    <row r="788" spans="1:2" x14ac:dyDescent="0.3">
      <c r="A788">
        <v>40</v>
      </c>
      <c r="B788">
        <v>1548</v>
      </c>
    </row>
    <row r="789" spans="1:2" x14ac:dyDescent="0.3">
      <c r="A789">
        <v>50</v>
      </c>
      <c r="B789">
        <v>1547</v>
      </c>
    </row>
    <row r="790" spans="1:2" x14ac:dyDescent="0.3">
      <c r="A790">
        <v>0</v>
      </c>
      <c r="B790">
        <v>1544</v>
      </c>
    </row>
    <row r="791" spans="1:2" x14ac:dyDescent="0.3">
      <c r="A791">
        <v>45</v>
      </c>
      <c r="B791">
        <v>1540</v>
      </c>
    </row>
    <row r="792" spans="1:2" x14ac:dyDescent="0.3">
      <c r="A792">
        <v>195</v>
      </c>
      <c r="B792">
        <v>1537</v>
      </c>
    </row>
    <row r="793" spans="1:2" x14ac:dyDescent="0.3">
      <c r="A793">
        <v>55</v>
      </c>
      <c r="B793">
        <v>1534</v>
      </c>
    </row>
    <row r="794" spans="1:2" x14ac:dyDescent="0.3">
      <c r="A794">
        <v>75</v>
      </c>
      <c r="B794">
        <v>1532</v>
      </c>
    </row>
    <row r="795" spans="1:2" x14ac:dyDescent="0.3">
      <c r="A795">
        <v>90</v>
      </c>
      <c r="B795">
        <v>1526</v>
      </c>
    </row>
    <row r="796" spans="1:2" x14ac:dyDescent="0.3">
      <c r="A796">
        <v>20</v>
      </c>
      <c r="B796">
        <v>1525</v>
      </c>
    </row>
    <row r="797" spans="1:2" x14ac:dyDescent="0.3">
      <c r="A797">
        <v>20</v>
      </c>
      <c r="B797">
        <v>1520</v>
      </c>
    </row>
    <row r="798" spans="1:2" x14ac:dyDescent="0.3">
      <c r="A798">
        <v>25</v>
      </c>
      <c r="B798">
        <v>1520</v>
      </c>
    </row>
    <row r="799" spans="1:2" x14ac:dyDescent="0.3">
      <c r="A799">
        <v>0</v>
      </c>
      <c r="B799">
        <v>1519</v>
      </c>
    </row>
    <row r="800" spans="1:2" x14ac:dyDescent="0.3">
      <c r="A800">
        <v>100</v>
      </c>
      <c r="B800">
        <v>1518</v>
      </c>
    </row>
    <row r="801" spans="1:2" x14ac:dyDescent="0.3">
      <c r="A801">
        <v>20</v>
      </c>
      <c r="B801">
        <v>1517</v>
      </c>
    </row>
    <row r="802" spans="1:2" x14ac:dyDescent="0.3">
      <c r="A802">
        <v>50</v>
      </c>
      <c r="B802">
        <v>1515</v>
      </c>
    </row>
    <row r="803" spans="1:2" x14ac:dyDescent="0.3">
      <c r="A803">
        <v>40</v>
      </c>
      <c r="B803">
        <v>1502</v>
      </c>
    </row>
    <row r="804" spans="1:2" x14ac:dyDescent="0.3">
      <c r="A804">
        <v>50</v>
      </c>
      <c r="B804">
        <v>1496</v>
      </c>
    </row>
    <row r="805" spans="1:2" x14ac:dyDescent="0.3">
      <c r="A805">
        <v>195</v>
      </c>
      <c r="B805">
        <v>1494</v>
      </c>
    </row>
    <row r="806" spans="1:2" x14ac:dyDescent="0.3">
      <c r="A806">
        <v>30</v>
      </c>
      <c r="B806">
        <v>1478</v>
      </c>
    </row>
    <row r="807" spans="1:2" x14ac:dyDescent="0.3">
      <c r="A807">
        <v>40</v>
      </c>
      <c r="B807">
        <v>1477</v>
      </c>
    </row>
    <row r="808" spans="1:2" x14ac:dyDescent="0.3">
      <c r="A808">
        <v>20</v>
      </c>
      <c r="B808">
        <v>1476</v>
      </c>
    </row>
    <row r="809" spans="1:2" x14ac:dyDescent="0.3">
      <c r="A809">
        <v>195</v>
      </c>
      <c r="B809">
        <v>1472</v>
      </c>
    </row>
    <row r="810" spans="1:2" x14ac:dyDescent="0.3">
      <c r="A810">
        <v>40</v>
      </c>
      <c r="B810">
        <v>1469</v>
      </c>
    </row>
    <row r="811" spans="1:2" x14ac:dyDescent="0.3">
      <c r="A811">
        <v>40</v>
      </c>
      <c r="B811">
        <v>1468</v>
      </c>
    </row>
    <row r="812" spans="1:2" x14ac:dyDescent="0.3">
      <c r="A812">
        <v>20</v>
      </c>
      <c r="B812">
        <v>1463</v>
      </c>
    </row>
    <row r="813" spans="1:2" x14ac:dyDescent="0.3">
      <c r="A813">
        <v>30</v>
      </c>
      <c r="B813">
        <v>1454</v>
      </c>
    </row>
    <row r="814" spans="1:2" x14ac:dyDescent="0.3">
      <c r="A814">
        <v>200</v>
      </c>
      <c r="B814">
        <v>1448</v>
      </c>
    </row>
    <row r="815" spans="1:2" x14ac:dyDescent="0.3">
      <c r="A815">
        <v>20</v>
      </c>
      <c r="B815">
        <v>1447</v>
      </c>
    </row>
    <row r="816" spans="1:2" x14ac:dyDescent="0.3">
      <c r="A816">
        <v>20</v>
      </c>
      <c r="B816">
        <v>1442</v>
      </c>
    </row>
    <row r="817" spans="1:2" x14ac:dyDescent="0.3">
      <c r="A817">
        <v>50</v>
      </c>
      <c r="B817">
        <v>1439</v>
      </c>
    </row>
    <row r="818" spans="1:2" x14ac:dyDescent="0.3">
      <c r="A818">
        <v>95</v>
      </c>
      <c r="B818">
        <v>1437</v>
      </c>
    </row>
    <row r="819" spans="1:2" x14ac:dyDescent="0.3">
      <c r="A819">
        <v>40</v>
      </c>
      <c r="B819">
        <v>1433</v>
      </c>
    </row>
    <row r="820" spans="1:2" x14ac:dyDescent="0.3">
      <c r="A820">
        <v>20</v>
      </c>
      <c r="B820">
        <v>1428</v>
      </c>
    </row>
    <row r="821" spans="1:2" x14ac:dyDescent="0.3">
      <c r="A821">
        <v>110</v>
      </c>
      <c r="B821">
        <v>1425</v>
      </c>
    </row>
    <row r="822" spans="1:2" x14ac:dyDescent="0.3">
      <c r="A822">
        <v>20</v>
      </c>
      <c r="B822">
        <v>1421</v>
      </c>
    </row>
    <row r="823" spans="1:2" x14ac:dyDescent="0.3">
      <c r="A823">
        <v>200</v>
      </c>
      <c r="B823">
        <v>1420</v>
      </c>
    </row>
    <row r="824" spans="1:2" x14ac:dyDescent="0.3">
      <c r="A824">
        <v>60</v>
      </c>
      <c r="B824">
        <v>1419</v>
      </c>
    </row>
    <row r="825" spans="1:2" x14ac:dyDescent="0.3">
      <c r="A825">
        <v>200</v>
      </c>
      <c r="B825">
        <v>1415</v>
      </c>
    </row>
    <row r="826" spans="1:2" x14ac:dyDescent="0.3">
      <c r="A826">
        <v>150</v>
      </c>
      <c r="B826">
        <v>1414</v>
      </c>
    </row>
    <row r="827" spans="1:2" x14ac:dyDescent="0.3">
      <c r="A827">
        <v>100</v>
      </c>
      <c r="B827">
        <v>1410</v>
      </c>
    </row>
    <row r="828" spans="1:2" x14ac:dyDescent="0.3">
      <c r="A828">
        <v>115</v>
      </c>
      <c r="B828">
        <v>1407</v>
      </c>
    </row>
    <row r="829" spans="1:2" x14ac:dyDescent="0.3">
      <c r="A829">
        <v>25</v>
      </c>
      <c r="B829">
        <v>1406</v>
      </c>
    </row>
    <row r="830" spans="1:2" x14ac:dyDescent="0.3">
      <c r="A830">
        <v>20</v>
      </c>
      <c r="B830">
        <v>1404</v>
      </c>
    </row>
    <row r="831" spans="1:2" x14ac:dyDescent="0.3">
      <c r="A831">
        <v>150</v>
      </c>
      <c r="B831">
        <v>1399</v>
      </c>
    </row>
    <row r="832" spans="1:2" x14ac:dyDescent="0.3">
      <c r="A832">
        <v>20</v>
      </c>
      <c r="B832">
        <v>1393</v>
      </c>
    </row>
    <row r="833" spans="1:2" x14ac:dyDescent="0.3">
      <c r="A833">
        <v>95</v>
      </c>
      <c r="B833">
        <v>1388</v>
      </c>
    </row>
    <row r="834" spans="1:2" x14ac:dyDescent="0.3">
      <c r="A834">
        <v>50</v>
      </c>
      <c r="B834">
        <v>1386</v>
      </c>
    </row>
    <row r="835" spans="1:2" x14ac:dyDescent="0.3">
      <c r="A835">
        <v>100</v>
      </c>
      <c r="B835">
        <v>1385</v>
      </c>
    </row>
    <row r="836" spans="1:2" x14ac:dyDescent="0.3">
      <c r="A836">
        <v>100</v>
      </c>
      <c r="B836">
        <v>1385</v>
      </c>
    </row>
    <row r="837" spans="1:2" x14ac:dyDescent="0.3">
      <c r="A837">
        <v>195</v>
      </c>
      <c r="B837">
        <v>1371</v>
      </c>
    </row>
    <row r="838" spans="1:2" x14ac:dyDescent="0.3">
      <c r="A838">
        <v>125</v>
      </c>
      <c r="B838">
        <v>1367</v>
      </c>
    </row>
    <row r="839" spans="1:2" x14ac:dyDescent="0.3">
      <c r="A839">
        <v>40</v>
      </c>
      <c r="B839">
        <v>1355</v>
      </c>
    </row>
    <row r="840" spans="1:2" x14ac:dyDescent="0.3">
      <c r="A840">
        <v>30</v>
      </c>
      <c r="B840">
        <v>1355</v>
      </c>
    </row>
    <row r="841" spans="1:2" x14ac:dyDescent="0.3">
      <c r="A841">
        <v>200</v>
      </c>
      <c r="B841">
        <v>1353</v>
      </c>
    </row>
    <row r="842" spans="1:2" x14ac:dyDescent="0.3">
      <c r="A842">
        <v>115</v>
      </c>
      <c r="B842">
        <v>1346</v>
      </c>
    </row>
    <row r="843" spans="1:2" x14ac:dyDescent="0.3">
      <c r="A843">
        <v>60</v>
      </c>
      <c r="B843">
        <v>1343</v>
      </c>
    </row>
    <row r="844" spans="1:2" x14ac:dyDescent="0.3">
      <c r="A844">
        <v>50</v>
      </c>
      <c r="B844">
        <v>1339</v>
      </c>
    </row>
    <row r="845" spans="1:2" x14ac:dyDescent="0.3">
      <c r="A845">
        <v>50</v>
      </c>
      <c r="B845">
        <v>1337</v>
      </c>
    </row>
    <row r="846" spans="1:2" x14ac:dyDescent="0.3">
      <c r="A846">
        <v>50</v>
      </c>
      <c r="B846">
        <v>1322</v>
      </c>
    </row>
    <row r="847" spans="1:2" x14ac:dyDescent="0.3">
      <c r="A847">
        <v>75</v>
      </c>
      <c r="B847">
        <v>1322</v>
      </c>
    </row>
    <row r="848" spans="1:2" x14ac:dyDescent="0.3">
      <c r="A848">
        <v>20</v>
      </c>
      <c r="B848">
        <v>1318</v>
      </c>
    </row>
    <row r="849" spans="1:2" x14ac:dyDescent="0.3">
      <c r="A849">
        <v>125</v>
      </c>
      <c r="B849">
        <v>1318</v>
      </c>
    </row>
    <row r="850" spans="1:2" x14ac:dyDescent="0.3">
      <c r="A850">
        <v>25</v>
      </c>
      <c r="B850">
        <v>1316</v>
      </c>
    </row>
    <row r="851" spans="1:2" x14ac:dyDescent="0.3">
      <c r="A851">
        <v>60</v>
      </c>
      <c r="B851">
        <v>1313</v>
      </c>
    </row>
    <row r="852" spans="1:2" x14ac:dyDescent="0.3">
      <c r="A852">
        <v>20</v>
      </c>
      <c r="B852">
        <v>1312</v>
      </c>
    </row>
    <row r="853" spans="1:2" x14ac:dyDescent="0.3">
      <c r="A853">
        <v>25</v>
      </c>
      <c r="B853">
        <v>1309</v>
      </c>
    </row>
    <row r="854" spans="1:2" x14ac:dyDescent="0.3">
      <c r="A854">
        <v>35</v>
      </c>
      <c r="B854">
        <v>1309</v>
      </c>
    </row>
    <row r="855" spans="1:2" x14ac:dyDescent="0.3">
      <c r="A855">
        <v>25</v>
      </c>
      <c r="B855">
        <v>1305</v>
      </c>
    </row>
    <row r="856" spans="1:2" x14ac:dyDescent="0.3">
      <c r="A856">
        <v>30</v>
      </c>
      <c r="B856">
        <v>1305</v>
      </c>
    </row>
    <row r="857" spans="1:2" x14ac:dyDescent="0.3">
      <c r="A857">
        <v>120</v>
      </c>
      <c r="B857">
        <v>1302</v>
      </c>
    </row>
    <row r="858" spans="1:2" x14ac:dyDescent="0.3">
      <c r="A858">
        <v>150</v>
      </c>
      <c r="B858">
        <v>1301</v>
      </c>
    </row>
    <row r="859" spans="1:2" x14ac:dyDescent="0.3">
      <c r="A859">
        <v>120</v>
      </c>
      <c r="B859">
        <v>1299</v>
      </c>
    </row>
    <row r="860" spans="1:2" x14ac:dyDescent="0.3">
      <c r="A860">
        <v>20</v>
      </c>
      <c r="B860">
        <v>1299</v>
      </c>
    </row>
    <row r="861" spans="1:2" x14ac:dyDescent="0.3">
      <c r="A861">
        <v>200</v>
      </c>
      <c r="B861">
        <v>1296</v>
      </c>
    </row>
    <row r="862" spans="1:2" x14ac:dyDescent="0.3">
      <c r="A862">
        <v>20</v>
      </c>
      <c r="B862">
        <v>1294</v>
      </c>
    </row>
    <row r="863" spans="1:2" x14ac:dyDescent="0.3">
      <c r="A863">
        <v>20</v>
      </c>
      <c r="B863">
        <v>1292</v>
      </c>
    </row>
    <row r="864" spans="1:2" x14ac:dyDescent="0.3">
      <c r="A864">
        <v>200</v>
      </c>
      <c r="B864">
        <v>1284</v>
      </c>
    </row>
    <row r="865" spans="1:2" x14ac:dyDescent="0.3">
      <c r="A865">
        <v>200</v>
      </c>
      <c r="B865">
        <v>1284</v>
      </c>
    </row>
    <row r="866" spans="1:2" x14ac:dyDescent="0.3">
      <c r="A866">
        <v>50</v>
      </c>
      <c r="B866">
        <v>1282</v>
      </c>
    </row>
    <row r="867" spans="1:2" x14ac:dyDescent="0.3">
      <c r="A867">
        <v>200</v>
      </c>
      <c r="B867">
        <v>1276</v>
      </c>
    </row>
    <row r="868" spans="1:2" x14ac:dyDescent="0.3">
      <c r="A868">
        <v>40</v>
      </c>
      <c r="B868">
        <v>1275</v>
      </c>
    </row>
    <row r="869" spans="1:2" x14ac:dyDescent="0.3">
      <c r="A869">
        <v>50</v>
      </c>
      <c r="B869">
        <v>1274</v>
      </c>
    </row>
    <row r="870" spans="1:2" x14ac:dyDescent="0.3">
      <c r="A870">
        <v>30</v>
      </c>
      <c r="B870">
        <v>1272</v>
      </c>
    </row>
    <row r="871" spans="1:2" x14ac:dyDescent="0.3">
      <c r="A871">
        <v>50</v>
      </c>
      <c r="B871">
        <v>1271</v>
      </c>
    </row>
    <row r="872" spans="1:2" x14ac:dyDescent="0.3">
      <c r="A872">
        <v>200</v>
      </c>
      <c r="B872">
        <v>1270</v>
      </c>
    </row>
    <row r="873" spans="1:2" x14ac:dyDescent="0.3">
      <c r="A873">
        <v>50</v>
      </c>
      <c r="B873">
        <v>1266</v>
      </c>
    </row>
    <row r="874" spans="1:2" x14ac:dyDescent="0.3">
      <c r="A874">
        <v>200</v>
      </c>
      <c r="B874">
        <v>1266</v>
      </c>
    </row>
    <row r="875" spans="1:2" x14ac:dyDescent="0.3">
      <c r="A875">
        <v>105</v>
      </c>
      <c r="B875">
        <v>1262</v>
      </c>
    </row>
    <row r="876" spans="1:2" x14ac:dyDescent="0.3">
      <c r="A876">
        <v>50</v>
      </c>
      <c r="B876">
        <v>1248</v>
      </c>
    </row>
    <row r="877" spans="1:2" x14ac:dyDescent="0.3">
      <c r="A877">
        <v>35</v>
      </c>
      <c r="B877">
        <v>1241</v>
      </c>
    </row>
    <row r="878" spans="1:2" x14ac:dyDescent="0.3">
      <c r="A878">
        <v>45</v>
      </c>
      <c r="B878">
        <v>1237</v>
      </c>
    </row>
    <row r="879" spans="1:2" x14ac:dyDescent="0.3">
      <c r="A879">
        <v>80</v>
      </c>
      <c r="B879">
        <v>1236</v>
      </c>
    </row>
    <row r="880" spans="1:2" x14ac:dyDescent="0.3">
      <c r="A880">
        <v>20</v>
      </c>
      <c r="B880">
        <v>1235</v>
      </c>
    </row>
    <row r="881" spans="1:2" x14ac:dyDescent="0.3">
      <c r="A881">
        <v>150</v>
      </c>
      <c r="B881">
        <v>1229</v>
      </c>
    </row>
    <row r="882" spans="1:2" x14ac:dyDescent="0.3">
      <c r="A882">
        <v>200</v>
      </c>
      <c r="B882">
        <v>1220</v>
      </c>
    </row>
    <row r="883" spans="1:2" x14ac:dyDescent="0.3">
      <c r="A883">
        <v>50</v>
      </c>
      <c r="B883">
        <v>1216</v>
      </c>
    </row>
    <row r="884" spans="1:2" x14ac:dyDescent="0.3">
      <c r="A884">
        <v>200</v>
      </c>
      <c r="B884">
        <v>1215</v>
      </c>
    </row>
    <row r="885" spans="1:2" x14ac:dyDescent="0.3">
      <c r="A885">
        <v>95</v>
      </c>
      <c r="B885">
        <v>1212</v>
      </c>
    </row>
    <row r="886" spans="1:2" x14ac:dyDescent="0.3">
      <c r="A886">
        <v>25</v>
      </c>
      <c r="B886">
        <v>1209</v>
      </c>
    </row>
    <row r="887" spans="1:2" x14ac:dyDescent="0.3">
      <c r="A887">
        <v>20</v>
      </c>
      <c r="B887">
        <v>1209</v>
      </c>
    </row>
    <row r="888" spans="1:2" x14ac:dyDescent="0.3">
      <c r="A888">
        <v>100</v>
      </c>
      <c r="B888">
        <v>1193</v>
      </c>
    </row>
    <row r="889" spans="1:2" x14ac:dyDescent="0.3">
      <c r="A889">
        <v>20</v>
      </c>
      <c r="B889">
        <v>1186</v>
      </c>
    </row>
    <row r="890" spans="1:2" x14ac:dyDescent="0.3">
      <c r="A890">
        <v>55</v>
      </c>
      <c r="B890">
        <v>1186</v>
      </c>
    </row>
    <row r="891" spans="1:2" x14ac:dyDescent="0.3">
      <c r="A891">
        <v>20</v>
      </c>
      <c r="B891">
        <v>1169</v>
      </c>
    </row>
    <row r="892" spans="1:2" x14ac:dyDescent="0.3">
      <c r="A892">
        <v>60</v>
      </c>
      <c r="B892">
        <v>1157</v>
      </c>
    </row>
    <row r="893" spans="1:2" x14ac:dyDescent="0.3">
      <c r="A893">
        <v>85</v>
      </c>
      <c r="B893">
        <v>1156</v>
      </c>
    </row>
    <row r="894" spans="1:2" x14ac:dyDescent="0.3">
      <c r="A894">
        <v>35</v>
      </c>
      <c r="B894">
        <v>1156</v>
      </c>
    </row>
    <row r="895" spans="1:2" x14ac:dyDescent="0.3">
      <c r="A895">
        <v>20</v>
      </c>
      <c r="B895">
        <v>1154</v>
      </c>
    </row>
    <row r="896" spans="1:2" x14ac:dyDescent="0.3">
      <c r="A896">
        <v>30</v>
      </c>
      <c r="B896">
        <v>1154</v>
      </c>
    </row>
    <row r="897" spans="1:2" x14ac:dyDescent="0.3">
      <c r="A897">
        <v>40</v>
      </c>
      <c r="B897">
        <v>1152</v>
      </c>
    </row>
    <row r="898" spans="1:2" x14ac:dyDescent="0.3">
      <c r="A898">
        <v>50</v>
      </c>
      <c r="B898">
        <v>1147</v>
      </c>
    </row>
    <row r="899" spans="1:2" x14ac:dyDescent="0.3">
      <c r="A899">
        <v>25</v>
      </c>
      <c r="B899">
        <v>1143</v>
      </c>
    </row>
    <row r="900" spans="1:2" x14ac:dyDescent="0.3">
      <c r="A900">
        <v>85</v>
      </c>
      <c r="B900">
        <v>1142</v>
      </c>
    </row>
    <row r="901" spans="1:2" x14ac:dyDescent="0.3">
      <c r="A901">
        <v>95</v>
      </c>
      <c r="B901">
        <v>1134</v>
      </c>
    </row>
    <row r="902" spans="1:2" x14ac:dyDescent="0.3">
      <c r="A902">
        <v>200</v>
      </c>
      <c r="B902">
        <v>1130</v>
      </c>
    </row>
    <row r="903" spans="1:2" x14ac:dyDescent="0.3">
      <c r="A903">
        <v>50</v>
      </c>
      <c r="B903">
        <v>1129</v>
      </c>
    </row>
    <row r="904" spans="1:2" x14ac:dyDescent="0.3">
      <c r="A904">
        <v>20</v>
      </c>
      <c r="B904">
        <v>1128</v>
      </c>
    </row>
    <row r="905" spans="1:2" x14ac:dyDescent="0.3">
      <c r="A905">
        <v>20</v>
      </c>
      <c r="B905">
        <v>1126</v>
      </c>
    </row>
    <row r="906" spans="1:2" x14ac:dyDescent="0.3">
      <c r="A906">
        <v>50</v>
      </c>
      <c r="B906">
        <v>1125</v>
      </c>
    </row>
    <row r="907" spans="1:2" x14ac:dyDescent="0.3">
      <c r="A907">
        <v>40</v>
      </c>
      <c r="B907">
        <v>1122</v>
      </c>
    </row>
    <row r="908" spans="1:2" x14ac:dyDescent="0.3">
      <c r="A908">
        <v>195</v>
      </c>
      <c r="B908">
        <v>1121</v>
      </c>
    </row>
    <row r="909" spans="1:2" x14ac:dyDescent="0.3">
      <c r="A909">
        <v>200</v>
      </c>
      <c r="B909">
        <v>1119</v>
      </c>
    </row>
    <row r="910" spans="1:2" x14ac:dyDescent="0.3">
      <c r="A910">
        <v>200</v>
      </c>
      <c r="B910">
        <v>1117</v>
      </c>
    </row>
    <row r="911" spans="1:2" x14ac:dyDescent="0.3">
      <c r="A911">
        <v>50</v>
      </c>
      <c r="B911">
        <v>1116</v>
      </c>
    </row>
    <row r="912" spans="1:2" x14ac:dyDescent="0.3">
      <c r="A912">
        <v>50</v>
      </c>
      <c r="B912">
        <v>1114</v>
      </c>
    </row>
    <row r="913" spans="1:2" x14ac:dyDescent="0.3">
      <c r="A913">
        <v>200</v>
      </c>
      <c r="B913">
        <v>1109</v>
      </c>
    </row>
    <row r="914" spans="1:2" x14ac:dyDescent="0.3">
      <c r="A914">
        <v>195</v>
      </c>
      <c r="B914">
        <v>1102</v>
      </c>
    </row>
    <row r="915" spans="1:2" x14ac:dyDescent="0.3">
      <c r="A915">
        <v>20</v>
      </c>
      <c r="B915">
        <v>1098</v>
      </c>
    </row>
    <row r="916" spans="1:2" x14ac:dyDescent="0.3">
      <c r="A916">
        <v>50</v>
      </c>
      <c r="B916">
        <v>1096</v>
      </c>
    </row>
    <row r="917" spans="1:2" x14ac:dyDescent="0.3">
      <c r="A917">
        <v>85</v>
      </c>
      <c r="B917">
        <v>1096</v>
      </c>
    </row>
    <row r="918" spans="1:2" x14ac:dyDescent="0.3">
      <c r="A918">
        <v>95</v>
      </c>
      <c r="B918">
        <v>1087</v>
      </c>
    </row>
    <row r="919" spans="1:2" x14ac:dyDescent="0.3">
      <c r="A919">
        <v>25</v>
      </c>
      <c r="B919">
        <v>1087</v>
      </c>
    </row>
    <row r="920" spans="1:2" x14ac:dyDescent="0.3">
      <c r="A920">
        <v>30</v>
      </c>
      <c r="B920">
        <v>1085</v>
      </c>
    </row>
    <row r="921" spans="1:2" x14ac:dyDescent="0.3">
      <c r="A921">
        <v>200</v>
      </c>
      <c r="B921">
        <v>1080</v>
      </c>
    </row>
    <row r="922" spans="1:2" x14ac:dyDescent="0.3">
      <c r="A922">
        <v>200</v>
      </c>
      <c r="B922">
        <v>1069</v>
      </c>
    </row>
    <row r="923" spans="1:2" x14ac:dyDescent="0.3">
      <c r="A923">
        <v>20</v>
      </c>
      <c r="B923">
        <v>1063</v>
      </c>
    </row>
    <row r="924" spans="1:2" x14ac:dyDescent="0.3">
      <c r="A924">
        <v>85</v>
      </c>
      <c r="B924">
        <v>1063</v>
      </c>
    </row>
    <row r="925" spans="1:2" x14ac:dyDescent="0.3">
      <c r="A925">
        <v>20</v>
      </c>
      <c r="B925">
        <v>1062</v>
      </c>
    </row>
    <row r="926" spans="1:2" x14ac:dyDescent="0.3">
      <c r="A926">
        <v>40</v>
      </c>
      <c r="B926">
        <v>1062</v>
      </c>
    </row>
    <row r="927" spans="1:2" x14ac:dyDescent="0.3">
      <c r="A927">
        <v>35</v>
      </c>
      <c r="B927">
        <v>1061</v>
      </c>
    </row>
    <row r="928" spans="1:2" x14ac:dyDescent="0.3">
      <c r="A928">
        <v>30</v>
      </c>
      <c r="B928">
        <v>1057</v>
      </c>
    </row>
    <row r="929" spans="1:2" x14ac:dyDescent="0.3">
      <c r="A929">
        <v>35</v>
      </c>
      <c r="B929">
        <v>1054</v>
      </c>
    </row>
    <row r="930" spans="1:2" x14ac:dyDescent="0.3">
      <c r="A930">
        <v>20</v>
      </c>
      <c r="B930">
        <v>1052</v>
      </c>
    </row>
    <row r="931" spans="1:2" x14ac:dyDescent="0.3">
      <c r="A931">
        <v>150</v>
      </c>
      <c r="B931">
        <v>1050</v>
      </c>
    </row>
    <row r="932" spans="1:2" x14ac:dyDescent="0.3">
      <c r="A932">
        <v>35</v>
      </c>
      <c r="B932">
        <v>1049</v>
      </c>
    </row>
    <row r="933" spans="1:2" x14ac:dyDescent="0.3">
      <c r="A933">
        <v>195</v>
      </c>
      <c r="B933">
        <v>1040</v>
      </c>
    </row>
    <row r="934" spans="1:2" x14ac:dyDescent="0.3">
      <c r="A934">
        <v>100</v>
      </c>
      <c r="B934">
        <v>1040</v>
      </c>
    </row>
    <row r="935" spans="1:2" x14ac:dyDescent="0.3">
      <c r="A935">
        <v>20</v>
      </c>
      <c r="B935">
        <v>1036</v>
      </c>
    </row>
    <row r="936" spans="1:2" x14ac:dyDescent="0.3">
      <c r="A936">
        <v>30</v>
      </c>
      <c r="B936">
        <v>1033</v>
      </c>
    </row>
    <row r="937" spans="1:2" x14ac:dyDescent="0.3">
      <c r="A937">
        <v>100</v>
      </c>
      <c r="B937">
        <v>1032</v>
      </c>
    </row>
    <row r="938" spans="1:2" x14ac:dyDescent="0.3">
      <c r="A938">
        <v>20</v>
      </c>
      <c r="B938">
        <v>1030</v>
      </c>
    </row>
    <row r="939" spans="1:2" x14ac:dyDescent="0.3">
      <c r="A939">
        <v>20</v>
      </c>
      <c r="B939">
        <v>1024</v>
      </c>
    </row>
    <row r="940" spans="1:2" x14ac:dyDescent="0.3">
      <c r="A940">
        <v>100</v>
      </c>
      <c r="B940">
        <v>1023</v>
      </c>
    </row>
    <row r="941" spans="1:2" x14ac:dyDescent="0.3">
      <c r="A941">
        <v>100</v>
      </c>
      <c r="B941">
        <v>1023</v>
      </c>
    </row>
    <row r="942" spans="1:2" x14ac:dyDescent="0.3">
      <c r="A942">
        <v>100</v>
      </c>
      <c r="B942">
        <v>1020</v>
      </c>
    </row>
    <row r="943" spans="1:2" x14ac:dyDescent="0.3">
      <c r="A943">
        <v>145</v>
      </c>
      <c r="B943">
        <v>1018</v>
      </c>
    </row>
    <row r="944" spans="1:2" x14ac:dyDescent="0.3">
      <c r="A944">
        <v>50</v>
      </c>
      <c r="B944">
        <v>1018</v>
      </c>
    </row>
    <row r="945" spans="1:2" x14ac:dyDescent="0.3">
      <c r="A945">
        <v>25</v>
      </c>
      <c r="B945">
        <v>1011</v>
      </c>
    </row>
    <row r="946" spans="1:2" x14ac:dyDescent="0.3">
      <c r="A946">
        <v>50</v>
      </c>
      <c r="B946">
        <v>1010</v>
      </c>
    </row>
    <row r="947" spans="1:2" x14ac:dyDescent="0.3">
      <c r="A947">
        <v>60</v>
      </c>
      <c r="B947">
        <v>1007</v>
      </c>
    </row>
    <row r="948" spans="1:2" x14ac:dyDescent="0.3">
      <c r="A948">
        <v>25</v>
      </c>
      <c r="B948">
        <v>1006</v>
      </c>
    </row>
    <row r="949" spans="1:2" x14ac:dyDescent="0.3">
      <c r="A949">
        <v>20</v>
      </c>
      <c r="B949">
        <v>1004</v>
      </c>
    </row>
    <row r="950" spans="1:2" x14ac:dyDescent="0.3">
      <c r="A950">
        <v>50</v>
      </c>
      <c r="B950">
        <v>1002</v>
      </c>
    </row>
    <row r="951" spans="1:2" x14ac:dyDescent="0.3">
      <c r="A951">
        <v>45</v>
      </c>
      <c r="B951">
        <v>1002</v>
      </c>
    </row>
    <row r="952" spans="1:2" x14ac:dyDescent="0.3">
      <c r="A952">
        <v>125</v>
      </c>
      <c r="B952">
        <v>1000</v>
      </c>
    </row>
    <row r="953" spans="1:2" x14ac:dyDescent="0.3">
      <c r="A953">
        <v>20</v>
      </c>
      <c r="B953">
        <v>997</v>
      </c>
    </row>
    <row r="954" spans="1:2" x14ac:dyDescent="0.3">
      <c r="A954">
        <v>25</v>
      </c>
      <c r="B954">
        <v>988</v>
      </c>
    </row>
    <row r="955" spans="1:2" x14ac:dyDescent="0.3">
      <c r="A955">
        <v>20</v>
      </c>
      <c r="B955">
        <v>976</v>
      </c>
    </row>
    <row r="956" spans="1:2" x14ac:dyDescent="0.3">
      <c r="A956">
        <v>20</v>
      </c>
      <c r="B956">
        <v>976</v>
      </c>
    </row>
    <row r="957" spans="1:2" x14ac:dyDescent="0.3">
      <c r="A957">
        <v>95</v>
      </c>
      <c r="B957">
        <v>975</v>
      </c>
    </row>
    <row r="958" spans="1:2" x14ac:dyDescent="0.3">
      <c r="A958">
        <v>75</v>
      </c>
      <c r="B958">
        <v>973</v>
      </c>
    </row>
    <row r="959" spans="1:2" x14ac:dyDescent="0.3">
      <c r="A959">
        <v>50</v>
      </c>
      <c r="B959">
        <v>964</v>
      </c>
    </row>
    <row r="960" spans="1:2" x14ac:dyDescent="0.3">
      <c r="A960">
        <v>195</v>
      </c>
      <c r="B960">
        <v>960</v>
      </c>
    </row>
    <row r="961" spans="1:2" x14ac:dyDescent="0.3">
      <c r="A961">
        <v>20</v>
      </c>
      <c r="B961">
        <v>959</v>
      </c>
    </row>
    <row r="962" spans="1:2" x14ac:dyDescent="0.3">
      <c r="A962">
        <v>20</v>
      </c>
      <c r="B962">
        <v>958</v>
      </c>
    </row>
    <row r="963" spans="1:2" x14ac:dyDescent="0.3">
      <c r="A963">
        <v>20</v>
      </c>
      <c r="B963">
        <v>954</v>
      </c>
    </row>
    <row r="964" spans="1:2" x14ac:dyDescent="0.3">
      <c r="A964">
        <v>200</v>
      </c>
      <c r="B964">
        <v>952</v>
      </c>
    </row>
    <row r="965" spans="1:2" x14ac:dyDescent="0.3">
      <c r="A965">
        <v>195</v>
      </c>
      <c r="B965">
        <v>949</v>
      </c>
    </row>
    <row r="966" spans="1:2" x14ac:dyDescent="0.3">
      <c r="A966">
        <v>30</v>
      </c>
      <c r="B966">
        <v>948</v>
      </c>
    </row>
    <row r="967" spans="1:2" x14ac:dyDescent="0.3">
      <c r="A967">
        <v>20</v>
      </c>
      <c r="B967">
        <v>948</v>
      </c>
    </row>
    <row r="968" spans="1:2" x14ac:dyDescent="0.3">
      <c r="A968">
        <v>50</v>
      </c>
      <c r="B968">
        <v>947</v>
      </c>
    </row>
    <row r="969" spans="1:2" x14ac:dyDescent="0.3">
      <c r="A969">
        <v>20</v>
      </c>
      <c r="B969">
        <v>945</v>
      </c>
    </row>
    <row r="970" spans="1:2" x14ac:dyDescent="0.3">
      <c r="A970">
        <v>45</v>
      </c>
      <c r="B970">
        <v>944</v>
      </c>
    </row>
    <row r="971" spans="1:2" x14ac:dyDescent="0.3">
      <c r="A971">
        <v>75</v>
      </c>
      <c r="B971">
        <v>942</v>
      </c>
    </row>
    <row r="972" spans="1:2" x14ac:dyDescent="0.3">
      <c r="A972">
        <v>20</v>
      </c>
      <c r="B972">
        <v>937</v>
      </c>
    </row>
    <row r="973" spans="1:2" x14ac:dyDescent="0.3">
      <c r="A973">
        <v>40</v>
      </c>
      <c r="B973">
        <v>937</v>
      </c>
    </row>
    <row r="974" spans="1:2" x14ac:dyDescent="0.3">
      <c r="A974">
        <v>35</v>
      </c>
      <c r="B974">
        <v>926</v>
      </c>
    </row>
    <row r="975" spans="1:2" x14ac:dyDescent="0.3">
      <c r="A975">
        <v>35</v>
      </c>
      <c r="B975">
        <v>920</v>
      </c>
    </row>
    <row r="976" spans="1:2" x14ac:dyDescent="0.3">
      <c r="A976">
        <v>195</v>
      </c>
      <c r="B976">
        <v>918</v>
      </c>
    </row>
    <row r="977" spans="1:2" x14ac:dyDescent="0.3">
      <c r="A977">
        <v>20</v>
      </c>
      <c r="B977">
        <v>912</v>
      </c>
    </row>
    <row r="978" spans="1:2" x14ac:dyDescent="0.3">
      <c r="A978">
        <v>30</v>
      </c>
      <c r="B978">
        <v>912</v>
      </c>
    </row>
    <row r="979" spans="1:2" x14ac:dyDescent="0.3">
      <c r="A979">
        <v>70</v>
      </c>
      <c r="B979">
        <v>909</v>
      </c>
    </row>
    <row r="980" spans="1:2" x14ac:dyDescent="0.3">
      <c r="A980">
        <v>35</v>
      </c>
      <c r="B980">
        <v>903</v>
      </c>
    </row>
    <row r="981" spans="1:2" x14ac:dyDescent="0.3">
      <c r="A981">
        <v>45</v>
      </c>
      <c r="B981">
        <v>901</v>
      </c>
    </row>
    <row r="982" spans="1:2" x14ac:dyDescent="0.3">
      <c r="A982">
        <v>200</v>
      </c>
      <c r="B982">
        <v>900</v>
      </c>
    </row>
    <row r="983" spans="1:2" x14ac:dyDescent="0.3">
      <c r="A983">
        <v>50</v>
      </c>
      <c r="B983">
        <v>898</v>
      </c>
    </row>
    <row r="984" spans="1:2" x14ac:dyDescent="0.3">
      <c r="A984">
        <v>200</v>
      </c>
      <c r="B984">
        <v>897</v>
      </c>
    </row>
    <row r="985" spans="1:2" x14ac:dyDescent="0.3">
      <c r="A985">
        <v>50</v>
      </c>
      <c r="B985">
        <v>891</v>
      </c>
    </row>
    <row r="986" spans="1:2" x14ac:dyDescent="0.3">
      <c r="A986">
        <v>120</v>
      </c>
      <c r="B986">
        <v>885</v>
      </c>
    </row>
    <row r="987" spans="1:2" x14ac:dyDescent="0.3">
      <c r="A987">
        <v>20</v>
      </c>
      <c r="B987">
        <v>880</v>
      </c>
    </row>
    <row r="988" spans="1:2" x14ac:dyDescent="0.3">
      <c r="A988">
        <v>40</v>
      </c>
      <c r="B988">
        <v>878</v>
      </c>
    </row>
    <row r="989" spans="1:2" x14ac:dyDescent="0.3">
      <c r="A989">
        <v>35</v>
      </c>
      <c r="B989">
        <v>877</v>
      </c>
    </row>
    <row r="990" spans="1:2" x14ac:dyDescent="0.3">
      <c r="A990">
        <v>85</v>
      </c>
      <c r="B990">
        <v>876</v>
      </c>
    </row>
    <row r="991" spans="1:2" x14ac:dyDescent="0.3">
      <c r="A991">
        <v>75</v>
      </c>
      <c r="B991">
        <v>876</v>
      </c>
    </row>
    <row r="992" spans="1:2" x14ac:dyDescent="0.3">
      <c r="A992">
        <v>195</v>
      </c>
      <c r="B992">
        <v>869</v>
      </c>
    </row>
    <row r="993" spans="1:2" x14ac:dyDescent="0.3">
      <c r="A993">
        <v>50</v>
      </c>
      <c r="B993">
        <v>869</v>
      </c>
    </row>
    <row r="994" spans="1:2" x14ac:dyDescent="0.3">
      <c r="A994">
        <v>125</v>
      </c>
      <c r="B994">
        <v>867</v>
      </c>
    </row>
    <row r="995" spans="1:2" x14ac:dyDescent="0.3">
      <c r="A995">
        <v>195</v>
      </c>
      <c r="B995">
        <v>860</v>
      </c>
    </row>
    <row r="996" spans="1:2" x14ac:dyDescent="0.3">
      <c r="A996">
        <v>50</v>
      </c>
      <c r="B996">
        <v>851</v>
      </c>
    </row>
    <row r="997" spans="1:2" x14ac:dyDescent="0.3">
      <c r="A997">
        <v>35</v>
      </c>
      <c r="B997">
        <v>850</v>
      </c>
    </row>
    <row r="998" spans="1:2" x14ac:dyDescent="0.3">
      <c r="A998">
        <v>200</v>
      </c>
      <c r="B998">
        <v>842</v>
      </c>
    </row>
    <row r="999" spans="1:2" x14ac:dyDescent="0.3">
      <c r="A999">
        <v>40</v>
      </c>
      <c r="B999">
        <v>841</v>
      </c>
    </row>
    <row r="1000" spans="1:2" x14ac:dyDescent="0.3">
      <c r="A1000">
        <v>25</v>
      </c>
      <c r="B1000">
        <v>838</v>
      </c>
    </row>
    <row r="1001" spans="1:2" x14ac:dyDescent="0.3">
      <c r="A1001">
        <v>95</v>
      </c>
      <c r="B1001">
        <v>817</v>
      </c>
    </row>
    <row r="1002" spans="1:2" x14ac:dyDescent="0.3">
      <c r="A1002">
        <v>150</v>
      </c>
      <c r="B1002">
        <v>817</v>
      </c>
    </row>
    <row r="1003" spans="1:2" x14ac:dyDescent="0.3">
      <c r="A1003">
        <v>40</v>
      </c>
      <c r="B1003">
        <v>803</v>
      </c>
    </row>
    <row r="1004" spans="1:2" x14ac:dyDescent="0.3">
      <c r="A1004">
        <v>40</v>
      </c>
      <c r="B1004">
        <v>802</v>
      </c>
    </row>
    <row r="1005" spans="1:2" x14ac:dyDescent="0.3">
      <c r="A1005">
        <v>95</v>
      </c>
      <c r="B1005">
        <v>799</v>
      </c>
    </row>
    <row r="1006" spans="1:2" x14ac:dyDescent="0.3">
      <c r="A1006">
        <v>20</v>
      </c>
      <c r="B1006">
        <v>796</v>
      </c>
    </row>
    <row r="1007" spans="1:2" x14ac:dyDescent="0.3">
      <c r="A1007">
        <v>40</v>
      </c>
      <c r="B1007">
        <v>796</v>
      </c>
    </row>
    <row r="1008" spans="1:2" x14ac:dyDescent="0.3">
      <c r="A1008">
        <v>20</v>
      </c>
      <c r="B1008">
        <v>791</v>
      </c>
    </row>
    <row r="1009" spans="1:2" x14ac:dyDescent="0.3">
      <c r="A1009">
        <v>20</v>
      </c>
      <c r="B1009">
        <v>791</v>
      </c>
    </row>
    <row r="1010" spans="1:2" x14ac:dyDescent="0.3">
      <c r="A1010">
        <v>50</v>
      </c>
      <c r="B1010">
        <v>788</v>
      </c>
    </row>
    <row r="1011" spans="1:2" x14ac:dyDescent="0.3">
      <c r="A1011">
        <v>25</v>
      </c>
      <c r="B1011">
        <v>785</v>
      </c>
    </row>
    <row r="1012" spans="1:2" x14ac:dyDescent="0.3">
      <c r="A1012">
        <v>20</v>
      </c>
      <c r="B1012">
        <v>783</v>
      </c>
    </row>
    <row r="1013" spans="1:2" x14ac:dyDescent="0.3">
      <c r="A1013">
        <v>115</v>
      </c>
      <c r="B1013">
        <v>783</v>
      </c>
    </row>
    <row r="1014" spans="1:2" x14ac:dyDescent="0.3">
      <c r="A1014">
        <v>30</v>
      </c>
      <c r="B1014">
        <v>775</v>
      </c>
    </row>
    <row r="1015" spans="1:2" x14ac:dyDescent="0.3">
      <c r="A1015">
        <v>35</v>
      </c>
      <c r="B1015">
        <v>770</v>
      </c>
    </row>
    <row r="1016" spans="1:2" x14ac:dyDescent="0.3">
      <c r="A1016">
        <v>30</v>
      </c>
      <c r="B1016">
        <v>770</v>
      </c>
    </row>
    <row r="1017" spans="1:2" x14ac:dyDescent="0.3">
      <c r="A1017">
        <v>95</v>
      </c>
      <c r="B1017">
        <v>767</v>
      </c>
    </row>
    <row r="1018" spans="1:2" x14ac:dyDescent="0.3">
      <c r="A1018">
        <v>35</v>
      </c>
      <c r="B1018">
        <v>764</v>
      </c>
    </row>
    <row r="1019" spans="1:2" x14ac:dyDescent="0.3">
      <c r="A1019">
        <v>65</v>
      </c>
      <c r="B1019">
        <v>755</v>
      </c>
    </row>
    <row r="1020" spans="1:2" x14ac:dyDescent="0.3">
      <c r="A1020">
        <v>35</v>
      </c>
      <c r="B1020">
        <v>755</v>
      </c>
    </row>
    <row r="1021" spans="1:2" x14ac:dyDescent="0.3">
      <c r="A1021">
        <v>30</v>
      </c>
      <c r="B1021">
        <v>746</v>
      </c>
    </row>
    <row r="1022" spans="1:2" x14ac:dyDescent="0.3">
      <c r="A1022">
        <v>120</v>
      </c>
      <c r="B1022">
        <v>735</v>
      </c>
    </row>
    <row r="1023" spans="1:2" x14ac:dyDescent="0.3">
      <c r="A1023">
        <v>85</v>
      </c>
      <c r="B1023">
        <v>733</v>
      </c>
    </row>
    <row r="1024" spans="1:2" x14ac:dyDescent="0.3">
      <c r="A1024">
        <v>40</v>
      </c>
      <c r="B1024">
        <v>723</v>
      </c>
    </row>
    <row r="1025" spans="1:2" x14ac:dyDescent="0.3">
      <c r="A1025">
        <v>20</v>
      </c>
      <c r="B1025">
        <v>722</v>
      </c>
    </row>
    <row r="1026" spans="1:2" x14ac:dyDescent="0.3">
      <c r="A1026">
        <v>50</v>
      </c>
      <c r="B1026">
        <v>716</v>
      </c>
    </row>
    <row r="1027" spans="1:2" x14ac:dyDescent="0.3">
      <c r="A1027">
        <v>85</v>
      </c>
      <c r="B1027">
        <v>716</v>
      </c>
    </row>
    <row r="1028" spans="1:2" x14ac:dyDescent="0.3">
      <c r="A1028">
        <v>20</v>
      </c>
      <c r="B1028">
        <v>715</v>
      </c>
    </row>
    <row r="1029" spans="1:2" x14ac:dyDescent="0.3">
      <c r="A1029">
        <v>85</v>
      </c>
      <c r="B1029">
        <v>714</v>
      </c>
    </row>
    <row r="1030" spans="1:2" x14ac:dyDescent="0.3">
      <c r="A1030">
        <v>65</v>
      </c>
      <c r="B1030">
        <v>713</v>
      </c>
    </row>
    <row r="1031" spans="1:2" x14ac:dyDescent="0.3">
      <c r="A1031">
        <v>105</v>
      </c>
      <c r="B1031">
        <v>710</v>
      </c>
    </row>
    <row r="1032" spans="1:2" x14ac:dyDescent="0.3">
      <c r="A1032">
        <v>120</v>
      </c>
      <c r="B1032">
        <v>707</v>
      </c>
    </row>
    <row r="1033" spans="1:2" x14ac:dyDescent="0.3">
      <c r="A1033">
        <v>20</v>
      </c>
      <c r="B1033">
        <v>702</v>
      </c>
    </row>
    <row r="1034" spans="1:2" x14ac:dyDescent="0.3">
      <c r="A1034">
        <v>95</v>
      </c>
      <c r="B1034">
        <v>694</v>
      </c>
    </row>
    <row r="1035" spans="1:2" x14ac:dyDescent="0.3">
      <c r="A1035">
        <v>20</v>
      </c>
      <c r="B1035">
        <v>686</v>
      </c>
    </row>
    <row r="1036" spans="1:2" x14ac:dyDescent="0.3">
      <c r="A1036">
        <v>50</v>
      </c>
      <c r="B1036">
        <v>685</v>
      </c>
    </row>
    <row r="1037" spans="1:2" x14ac:dyDescent="0.3">
      <c r="A1037">
        <v>200</v>
      </c>
      <c r="B1037">
        <v>676</v>
      </c>
    </row>
    <row r="1038" spans="1:2" x14ac:dyDescent="0.3">
      <c r="A1038">
        <v>40</v>
      </c>
      <c r="B1038">
        <v>670</v>
      </c>
    </row>
    <row r="1039" spans="1:2" x14ac:dyDescent="0.3">
      <c r="A1039">
        <v>85</v>
      </c>
      <c r="B1039">
        <v>666</v>
      </c>
    </row>
    <row r="1040" spans="1:2" x14ac:dyDescent="0.3">
      <c r="A1040">
        <v>20</v>
      </c>
      <c r="B1040">
        <v>659</v>
      </c>
    </row>
    <row r="1041" spans="1:2" x14ac:dyDescent="0.3">
      <c r="A1041">
        <v>145</v>
      </c>
      <c r="B1041">
        <v>655</v>
      </c>
    </row>
    <row r="1042" spans="1:2" x14ac:dyDescent="0.3">
      <c r="A1042">
        <v>95</v>
      </c>
      <c r="B1042">
        <v>654</v>
      </c>
    </row>
    <row r="1043" spans="1:2" x14ac:dyDescent="0.3">
      <c r="A1043">
        <v>200</v>
      </c>
      <c r="B1043">
        <v>653</v>
      </c>
    </row>
    <row r="1044" spans="1:2" x14ac:dyDescent="0.3">
      <c r="A1044">
        <v>60</v>
      </c>
      <c r="B1044">
        <v>652</v>
      </c>
    </row>
    <row r="1045" spans="1:2" x14ac:dyDescent="0.3">
      <c r="A1045">
        <v>75</v>
      </c>
      <c r="B1045">
        <v>651</v>
      </c>
    </row>
    <row r="1046" spans="1:2" x14ac:dyDescent="0.3">
      <c r="A1046">
        <v>20</v>
      </c>
      <c r="B1046">
        <v>644</v>
      </c>
    </row>
    <row r="1047" spans="1:2" x14ac:dyDescent="0.3">
      <c r="A1047">
        <v>50</v>
      </c>
      <c r="B1047">
        <v>636</v>
      </c>
    </row>
    <row r="1048" spans="1:2" x14ac:dyDescent="0.3">
      <c r="A1048">
        <v>200</v>
      </c>
      <c r="B1048">
        <v>633</v>
      </c>
    </row>
    <row r="1049" spans="1:2" x14ac:dyDescent="0.3">
      <c r="A1049">
        <v>40</v>
      </c>
      <c r="B1049">
        <v>633</v>
      </c>
    </row>
    <row r="1050" spans="1:2" x14ac:dyDescent="0.3">
      <c r="A1050">
        <v>75</v>
      </c>
      <c r="B1050">
        <v>631</v>
      </c>
    </row>
    <row r="1051" spans="1:2" x14ac:dyDescent="0.3">
      <c r="A1051">
        <v>115</v>
      </c>
      <c r="B1051">
        <v>627</v>
      </c>
    </row>
    <row r="1052" spans="1:2" x14ac:dyDescent="0.3">
      <c r="A1052">
        <v>40</v>
      </c>
      <c r="B1052">
        <v>627</v>
      </c>
    </row>
    <row r="1053" spans="1:2" x14ac:dyDescent="0.3">
      <c r="A1053">
        <v>50</v>
      </c>
      <c r="B1053">
        <v>613</v>
      </c>
    </row>
    <row r="1054" spans="1:2" x14ac:dyDescent="0.3">
      <c r="A1054">
        <v>180</v>
      </c>
      <c r="B1054">
        <v>613</v>
      </c>
    </row>
    <row r="1055" spans="1:2" x14ac:dyDescent="0.3">
      <c r="A1055">
        <v>85</v>
      </c>
      <c r="B1055">
        <v>608</v>
      </c>
    </row>
    <row r="1056" spans="1:2" x14ac:dyDescent="0.3">
      <c r="A1056">
        <v>45</v>
      </c>
      <c r="B1056">
        <v>604</v>
      </c>
    </row>
    <row r="1057" spans="1:2" x14ac:dyDescent="0.3">
      <c r="A1057">
        <v>20</v>
      </c>
      <c r="B1057">
        <v>604</v>
      </c>
    </row>
    <row r="1058" spans="1:2" x14ac:dyDescent="0.3">
      <c r="A1058">
        <v>145</v>
      </c>
      <c r="B1058">
        <v>602</v>
      </c>
    </row>
    <row r="1059" spans="1:2" x14ac:dyDescent="0.3">
      <c r="A1059">
        <v>35</v>
      </c>
      <c r="B1059">
        <v>601</v>
      </c>
    </row>
    <row r="1060" spans="1:2" x14ac:dyDescent="0.3">
      <c r="A1060">
        <v>40</v>
      </c>
      <c r="B1060">
        <v>601</v>
      </c>
    </row>
    <row r="1061" spans="1:2" x14ac:dyDescent="0.3">
      <c r="A1061">
        <v>195</v>
      </c>
      <c r="B1061">
        <v>596</v>
      </c>
    </row>
    <row r="1062" spans="1:2" x14ac:dyDescent="0.3">
      <c r="A1062">
        <v>50</v>
      </c>
      <c r="B1062">
        <v>586</v>
      </c>
    </row>
    <row r="1063" spans="1:2" x14ac:dyDescent="0.3">
      <c r="A1063">
        <v>60</v>
      </c>
      <c r="B1063">
        <v>586</v>
      </c>
    </row>
    <row r="1064" spans="1:2" x14ac:dyDescent="0.3">
      <c r="A1064">
        <v>30</v>
      </c>
      <c r="B1064">
        <v>586</v>
      </c>
    </row>
    <row r="1065" spans="1:2" x14ac:dyDescent="0.3">
      <c r="A1065">
        <v>95</v>
      </c>
      <c r="B1065">
        <v>583</v>
      </c>
    </row>
    <row r="1066" spans="1:2" x14ac:dyDescent="0.3">
      <c r="A1066">
        <v>75</v>
      </c>
      <c r="B1066">
        <v>578</v>
      </c>
    </row>
    <row r="1067" spans="1:2" x14ac:dyDescent="0.3">
      <c r="A1067">
        <v>120</v>
      </c>
      <c r="B1067">
        <v>578</v>
      </c>
    </row>
    <row r="1068" spans="1:2" x14ac:dyDescent="0.3">
      <c r="A1068">
        <v>65</v>
      </c>
      <c r="B1068">
        <v>578</v>
      </c>
    </row>
    <row r="1069" spans="1:2" x14ac:dyDescent="0.3">
      <c r="A1069">
        <v>50</v>
      </c>
      <c r="B1069">
        <v>577</v>
      </c>
    </row>
    <row r="1070" spans="1:2" x14ac:dyDescent="0.3">
      <c r="A1070">
        <v>185</v>
      </c>
      <c r="B1070">
        <v>567</v>
      </c>
    </row>
    <row r="1071" spans="1:2" x14ac:dyDescent="0.3">
      <c r="A1071">
        <v>200</v>
      </c>
      <c r="B1071">
        <v>563</v>
      </c>
    </row>
    <row r="1072" spans="1:2" x14ac:dyDescent="0.3">
      <c r="A1072">
        <v>100</v>
      </c>
      <c r="B1072">
        <v>557</v>
      </c>
    </row>
    <row r="1073" spans="1:2" x14ac:dyDescent="0.3">
      <c r="A1073">
        <v>95</v>
      </c>
      <c r="B1073">
        <v>557</v>
      </c>
    </row>
    <row r="1074" spans="1:2" x14ac:dyDescent="0.3">
      <c r="A1074">
        <v>50</v>
      </c>
      <c r="B1074">
        <v>555</v>
      </c>
    </row>
    <row r="1075" spans="1:2" x14ac:dyDescent="0.3">
      <c r="A1075">
        <v>40</v>
      </c>
      <c r="B1075">
        <v>553</v>
      </c>
    </row>
    <row r="1076" spans="1:2" x14ac:dyDescent="0.3">
      <c r="A1076">
        <v>145</v>
      </c>
      <c r="B1076">
        <v>550</v>
      </c>
    </row>
    <row r="1077" spans="1:2" x14ac:dyDescent="0.3">
      <c r="A1077">
        <v>30</v>
      </c>
      <c r="B1077">
        <v>550</v>
      </c>
    </row>
    <row r="1078" spans="1:2" x14ac:dyDescent="0.3">
      <c r="A1078">
        <v>200</v>
      </c>
      <c r="B1078">
        <v>549</v>
      </c>
    </row>
    <row r="1079" spans="1:2" x14ac:dyDescent="0.3">
      <c r="A1079">
        <v>145</v>
      </c>
      <c r="B1079">
        <v>546</v>
      </c>
    </row>
    <row r="1080" spans="1:2" x14ac:dyDescent="0.3">
      <c r="A1080">
        <v>45</v>
      </c>
      <c r="B1080">
        <v>540</v>
      </c>
    </row>
    <row r="1081" spans="1:2" x14ac:dyDescent="0.3">
      <c r="A1081">
        <v>50</v>
      </c>
      <c r="B1081">
        <v>540</v>
      </c>
    </row>
    <row r="1082" spans="1:2" x14ac:dyDescent="0.3">
      <c r="A1082">
        <v>85</v>
      </c>
      <c r="B1082">
        <v>538</v>
      </c>
    </row>
    <row r="1083" spans="1:2" x14ac:dyDescent="0.3">
      <c r="A1083">
        <v>175</v>
      </c>
      <c r="B1083">
        <v>534</v>
      </c>
    </row>
    <row r="1084" spans="1:2" x14ac:dyDescent="0.3">
      <c r="A1084">
        <v>75</v>
      </c>
      <c r="B1084">
        <v>533</v>
      </c>
    </row>
    <row r="1085" spans="1:2" x14ac:dyDescent="0.3">
      <c r="A1085">
        <v>40</v>
      </c>
      <c r="B1085">
        <v>527</v>
      </c>
    </row>
    <row r="1086" spans="1:2" x14ac:dyDescent="0.3">
      <c r="A1086">
        <v>145</v>
      </c>
      <c r="B1086">
        <v>522</v>
      </c>
    </row>
    <row r="1087" spans="1:2" x14ac:dyDescent="0.3">
      <c r="A1087">
        <v>40</v>
      </c>
      <c r="B1087">
        <v>513</v>
      </c>
    </row>
    <row r="1088" spans="1:2" x14ac:dyDescent="0.3">
      <c r="A1088">
        <v>45</v>
      </c>
      <c r="B1088">
        <v>511</v>
      </c>
    </row>
    <row r="1089" spans="1:2" x14ac:dyDescent="0.3">
      <c r="A1089">
        <v>95</v>
      </c>
      <c r="B1089">
        <v>502</v>
      </c>
    </row>
    <row r="1090" spans="1:2" x14ac:dyDescent="0.3">
      <c r="A1090">
        <v>20</v>
      </c>
      <c r="B1090">
        <v>496</v>
      </c>
    </row>
    <row r="1091" spans="1:2" x14ac:dyDescent="0.3">
      <c r="A1091">
        <v>95</v>
      </c>
      <c r="B1091">
        <v>494</v>
      </c>
    </row>
    <row r="1092" spans="1:2" x14ac:dyDescent="0.3">
      <c r="A1092">
        <v>100</v>
      </c>
      <c r="B1092">
        <v>487</v>
      </c>
    </row>
    <row r="1093" spans="1:2" x14ac:dyDescent="0.3">
      <c r="A1093">
        <v>60</v>
      </c>
      <c r="B1093">
        <v>486</v>
      </c>
    </row>
    <row r="1094" spans="1:2" x14ac:dyDescent="0.3">
      <c r="A1094">
        <v>95</v>
      </c>
      <c r="B1094">
        <v>481</v>
      </c>
    </row>
    <row r="1095" spans="1:2" x14ac:dyDescent="0.3">
      <c r="A1095">
        <v>95</v>
      </c>
      <c r="B1095">
        <v>478</v>
      </c>
    </row>
    <row r="1096" spans="1:2" x14ac:dyDescent="0.3">
      <c r="A1096">
        <v>195</v>
      </c>
      <c r="B1096">
        <v>467</v>
      </c>
    </row>
    <row r="1097" spans="1:2" x14ac:dyDescent="0.3">
      <c r="A1097">
        <v>20</v>
      </c>
      <c r="B1097">
        <v>466</v>
      </c>
    </row>
    <row r="1098" spans="1:2" x14ac:dyDescent="0.3">
      <c r="A1098">
        <v>95</v>
      </c>
      <c r="B1098">
        <v>464</v>
      </c>
    </row>
    <row r="1099" spans="1:2" x14ac:dyDescent="0.3">
      <c r="A1099">
        <v>50</v>
      </c>
      <c r="B1099">
        <v>461</v>
      </c>
    </row>
    <row r="1100" spans="1:2" x14ac:dyDescent="0.3">
      <c r="A1100">
        <v>95</v>
      </c>
      <c r="B1100">
        <v>458</v>
      </c>
    </row>
    <row r="1101" spans="1:2" x14ac:dyDescent="0.3">
      <c r="A1101">
        <v>20</v>
      </c>
      <c r="B1101">
        <v>458</v>
      </c>
    </row>
    <row r="1102" spans="1:2" x14ac:dyDescent="0.3">
      <c r="A1102">
        <v>40</v>
      </c>
      <c r="B1102">
        <v>450</v>
      </c>
    </row>
    <row r="1103" spans="1:2" x14ac:dyDescent="0.3">
      <c r="A1103">
        <v>200</v>
      </c>
      <c r="B1103">
        <v>442</v>
      </c>
    </row>
    <row r="1104" spans="1:2" x14ac:dyDescent="0.3">
      <c r="A1104">
        <v>20</v>
      </c>
      <c r="B1104">
        <v>436</v>
      </c>
    </row>
    <row r="1105" spans="1:2" x14ac:dyDescent="0.3">
      <c r="A1105">
        <v>40</v>
      </c>
      <c r="B1105">
        <v>434</v>
      </c>
    </row>
    <row r="1106" spans="1:2" x14ac:dyDescent="0.3">
      <c r="A1106">
        <v>125</v>
      </c>
      <c r="B1106">
        <v>430</v>
      </c>
    </row>
    <row r="1107" spans="1:2" x14ac:dyDescent="0.3">
      <c r="A1107">
        <v>45</v>
      </c>
      <c r="B1107">
        <v>426</v>
      </c>
    </row>
    <row r="1108" spans="1:2" x14ac:dyDescent="0.3">
      <c r="A1108">
        <v>45</v>
      </c>
      <c r="B1108">
        <v>426</v>
      </c>
    </row>
    <row r="1109" spans="1:2" x14ac:dyDescent="0.3">
      <c r="A1109">
        <v>30</v>
      </c>
      <c r="B1109">
        <v>424</v>
      </c>
    </row>
    <row r="1110" spans="1:2" x14ac:dyDescent="0.3">
      <c r="A1110">
        <v>95</v>
      </c>
      <c r="B1110">
        <v>424</v>
      </c>
    </row>
    <row r="1111" spans="1:2" x14ac:dyDescent="0.3">
      <c r="A1111">
        <v>145</v>
      </c>
      <c r="B1111">
        <v>422</v>
      </c>
    </row>
    <row r="1112" spans="1:2" x14ac:dyDescent="0.3">
      <c r="A1112">
        <v>50</v>
      </c>
      <c r="B1112">
        <v>421</v>
      </c>
    </row>
    <row r="1113" spans="1:2" x14ac:dyDescent="0.3">
      <c r="A1113">
        <v>50</v>
      </c>
      <c r="B1113">
        <v>417</v>
      </c>
    </row>
    <row r="1114" spans="1:2" x14ac:dyDescent="0.3">
      <c r="A1114">
        <v>50</v>
      </c>
      <c r="B1114">
        <v>415</v>
      </c>
    </row>
    <row r="1115" spans="1:2" x14ac:dyDescent="0.3">
      <c r="A1115">
        <v>200</v>
      </c>
      <c r="B1115">
        <v>408</v>
      </c>
    </row>
    <row r="1116" spans="1:2" x14ac:dyDescent="0.3">
      <c r="A1116">
        <v>60</v>
      </c>
      <c r="B1116">
        <v>402</v>
      </c>
    </row>
    <row r="1117" spans="1:2" x14ac:dyDescent="0.3">
      <c r="A1117">
        <v>35</v>
      </c>
      <c r="B1117">
        <v>396</v>
      </c>
    </row>
    <row r="1118" spans="1:2" x14ac:dyDescent="0.3">
      <c r="A1118">
        <v>45</v>
      </c>
      <c r="B1118">
        <v>396</v>
      </c>
    </row>
    <row r="1119" spans="1:2" x14ac:dyDescent="0.3">
      <c r="A1119">
        <v>40</v>
      </c>
      <c r="B1119">
        <v>395</v>
      </c>
    </row>
    <row r="1120" spans="1:2" x14ac:dyDescent="0.3">
      <c r="A1120">
        <v>195</v>
      </c>
      <c r="B1120">
        <v>395</v>
      </c>
    </row>
    <row r="1121" spans="1:2" x14ac:dyDescent="0.3">
      <c r="A1121">
        <v>50</v>
      </c>
      <c r="B1121">
        <v>394</v>
      </c>
    </row>
    <row r="1122" spans="1:2" x14ac:dyDescent="0.3">
      <c r="A1122">
        <v>150</v>
      </c>
      <c r="B1122">
        <v>392</v>
      </c>
    </row>
    <row r="1123" spans="1:2" x14ac:dyDescent="0.3">
      <c r="A1123">
        <v>20</v>
      </c>
      <c r="B1123">
        <v>387</v>
      </c>
    </row>
    <row r="1124" spans="1:2" x14ac:dyDescent="0.3">
      <c r="A1124">
        <v>20</v>
      </c>
      <c r="B1124">
        <v>385</v>
      </c>
    </row>
    <row r="1125" spans="1:2" x14ac:dyDescent="0.3">
      <c r="A1125">
        <v>150</v>
      </c>
      <c r="B1125">
        <v>382</v>
      </c>
    </row>
    <row r="1126" spans="1:2" x14ac:dyDescent="0.3">
      <c r="A1126">
        <v>35</v>
      </c>
      <c r="B1126">
        <v>380</v>
      </c>
    </row>
    <row r="1127" spans="1:2" x14ac:dyDescent="0.3">
      <c r="A1127">
        <v>40</v>
      </c>
      <c r="B1127">
        <v>379</v>
      </c>
    </row>
    <row r="1128" spans="1:2" x14ac:dyDescent="0.3">
      <c r="A1128">
        <v>50</v>
      </c>
      <c r="B1128">
        <v>376</v>
      </c>
    </row>
    <row r="1129" spans="1:2" x14ac:dyDescent="0.3">
      <c r="A1129">
        <v>20</v>
      </c>
      <c r="B1129">
        <v>362</v>
      </c>
    </row>
    <row r="1130" spans="1:2" x14ac:dyDescent="0.3">
      <c r="A1130">
        <v>55</v>
      </c>
      <c r="B1130">
        <v>361</v>
      </c>
    </row>
    <row r="1131" spans="1:2" x14ac:dyDescent="0.3">
      <c r="A1131">
        <v>20</v>
      </c>
      <c r="B1131">
        <v>359</v>
      </c>
    </row>
    <row r="1132" spans="1:2" x14ac:dyDescent="0.3">
      <c r="A1132">
        <v>20</v>
      </c>
      <c r="B1132">
        <v>358</v>
      </c>
    </row>
    <row r="1133" spans="1:2" x14ac:dyDescent="0.3">
      <c r="A1133">
        <v>95</v>
      </c>
      <c r="B1133">
        <v>353</v>
      </c>
    </row>
    <row r="1134" spans="1:2" x14ac:dyDescent="0.3">
      <c r="A1134">
        <v>200</v>
      </c>
      <c r="B1134">
        <v>346</v>
      </c>
    </row>
    <row r="1135" spans="1:2" x14ac:dyDescent="0.3">
      <c r="A1135">
        <v>50</v>
      </c>
      <c r="B1135">
        <v>342</v>
      </c>
    </row>
    <row r="1136" spans="1:2" x14ac:dyDescent="0.3">
      <c r="A1136">
        <v>40</v>
      </c>
      <c r="B1136">
        <v>334</v>
      </c>
    </row>
    <row r="1137" spans="1:2" x14ac:dyDescent="0.3">
      <c r="A1137">
        <v>200</v>
      </c>
      <c r="B1137">
        <v>333</v>
      </c>
    </row>
    <row r="1138" spans="1:2" x14ac:dyDescent="0.3">
      <c r="A1138">
        <v>35</v>
      </c>
      <c r="B1138">
        <v>333</v>
      </c>
    </row>
    <row r="1139" spans="1:2" x14ac:dyDescent="0.3">
      <c r="A1139">
        <v>185</v>
      </c>
      <c r="B1139">
        <v>327</v>
      </c>
    </row>
    <row r="1140" spans="1:2" x14ac:dyDescent="0.3">
      <c r="A1140">
        <v>40</v>
      </c>
      <c r="B1140">
        <v>325</v>
      </c>
    </row>
    <row r="1141" spans="1:2" x14ac:dyDescent="0.3">
      <c r="A1141">
        <v>80</v>
      </c>
      <c r="B1141">
        <v>325</v>
      </c>
    </row>
    <row r="1142" spans="1:2" x14ac:dyDescent="0.3">
      <c r="A1142">
        <v>50</v>
      </c>
      <c r="B1142">
        <v>322</v>
      </c>
    </row>
    <row r="1143" spans="1:2" x14ac:dyDescent="0.3">
      <c r="A1143">
        <v>95</v>
      </c>
      <c r="B1143">
        <v>314</v>
      </c>
    </row>
    <row r="1144" spans="1:2" x14ac:dyDescent="0.3">
      <c r="A1144">
        <v>25</v>
      </c>
      <c r="B1144">
        <v>306</v>
      </c>
    </row>
    <row r="1145" spans="1:2" x14ac:dyDescent="0.3">
      <c r="A1145">
        <v>40</v>
      </c>
      <c r="B1145">
        <v>305</v>
      </c>
    </row>
    <row r="1146" spans="1:2" x14ac:dyDescent="0.3">
      <c r="A1146">
        <v>50</v>
      </c>
      <c r="B1146">
        <v>305</v>
      </c>
    </row>
    <row r="1147" spans="1:2" x14ac:dyDescent="0.3">
      <c r="A1147">
        <v>95</v>
      </c>
      <c r="B1147">
        <v>301</v>
      </c>
    </row>
    <row r="1148" spans="1:2" x14ac:dyDescent="0.3">
      <c r="A1148">
        <v>200</v>
      </c>
      <c r="B1148">
        <v>300</v>
      </c>
    </row>
    <row r="1149" spans="1:2" x14ac:dyDescent="0.3">
      <c r="A1149">
        <v>50</v>
      </c>
      <c r="B1149">
        <v>300</v>
      </c>
    </row>
    <row r="1150" spans="1:2" x14ac:dyDescent="0.3">
      <c r="A1150">
        <v>125</v>
      </c>
      <c r="B1150">
        <v>299</v>
      </c>
    </row>
    <row r="1151" spans="1:2" x14ac:dyDescent="0.3">
      <c r="A1151">
        <v>35</v>
      </c>
      <c r="B1151">
        <v>298</v>
      </c>
    </row>
    <row r="1152" spans="1:2" x14ac:dyDescent="0.3">
      <c r="A1152">
        <v>125</v>
      </c>
      <c r="B1152">
        <v>293</v>
      </c>
    </row>
    <row r="1153" spans="1:2" x14ac:dyDescent="0.3">
      <c r="A1153">
        <v>25</v>
      </c>
      <c r="B1153">
        <v>289</v>
      </c>
    </row>
    <row r="1154" spans="1:2" x14ac:dyDescent="0.3">
      <c r="A1154">
        <v>200</v>
      </c>
      <c r="B1154">
        <v>279</v>
      </c>
    </row>
    <row r="1155" spans="1:2" x14ac:dyDescent="0.3">
      <c r="A1155">
        <v>20</v>
      </c>
      <c r="B1155">
        <v>263</v>
      </c>
    </row>
    <row r="1156" spans="1:2" x14ac:dyDescent="0.3">
      <c r="A1156">
        <v>200</v>
      </c>
      <c r="B1156">
        <v>260</v>
      </c>
    </row>
    <row r="1157" spans="1:2" x14ac:dyDescent="0.3">
      <c r="A1157">
        <v>30</v>
      </c>
      <c r="B1157">
        <v>255</v>
      </c>
    </row>
    <row r="1158" spans="1:2" x14ac:dyDescent="0.3">
      <c r="A1158">
        <v>100</v>
      </c>
      <c r="B1158">
        <v>253</v>
      </c>
    </row>
    <row r="1159" spans="1:2" x14ac:dyDescent="0.3">
      <c r="A1159">
        <v>40</v>
      </c>
      <c r="B1159">
        <v>252</v>
      </c>
    </row>
    <row r="1160" spans="1:2" x14ac:dyDescent="0.3">
      <c r="A1160">
        <v>145</v>
      </c>
      <c r="B1160">
        <v>251</v>
      </c>
    </row>
    <row r="1161" spans="1:2" x14ac:dyDescent="0.3">
      <c r="A1161">
        <v>40</v>
      </c>
      <c r="B1161">
        <v>245</v>
      </c>
    </row>
    <row r="1162" spans="1:2" x14ac:dyDescent="0.3">
      <c r="A1162">
        <v>35</v>
      </c>
      <c r="B1162">
        <v>244</v>
      </c>
    </row>
    <row r="1163" spans="1:2" x14ac:dyDescent="0.3">
      <c r="A1163">
        <v>50</v>
      </c>
      <c r="B1163">
        <v>240</v>
      </c>
    </row>
    <row r="1164" spans="1:2" x14ac:dyDescent="0.3">
      <c r="A1164">
        <v>65</v>
      </c>
      <c r="B1164">
        <v>237</v>
      </c>
    </row>
    <row r="1165" spans="1:2" x14ac:dyDescent="0.3">
      <c r="A1165">
        <v>40</v>
      </c>
      <c r="B1165">
        <v>236</v>
      </c>
    </row>
    <row r="1166" spans="1:2" x14ac:dyDescent="0.3">
      <c r="A1166">
        <v>150</v>
      </c>
      <c r="B1166">
        <v>228</v>
      </c>
    </row>
    <row r="1167" spans="1:2" x14ac:dyDescent="0.3">
      <c r="A1167">
        <v>95</v>
      </c>
      <c r="B1167">
        <v>227</v>
      </c>
    </row>
    <row r="1168" spans="1:2" x14ac:dyDescent="0.3">
      <c r="A1168">
        <v>125</v>
      </c>
      <c r="B1168">
        <v>223</v>
      </c>
    </row>
    <row r="1169" spans="1:2" x14ac:dyDescent="0.3">
      <c r="A1169">
        <v>50</v>
      </c>
      <c r="B1169">
        <v>222</v>
      </c>
    </row>
    <row r="1170" spans="1:2" x14ac:dyDescent="0.3">
      <c r="A1170">
        <v>95</v>
      </c>
      <c r="B1170">
        <v>216</v>
      </c>
    </row>
    <row r="1171" spans="1:2" x14ac:dyDescent="0.3">
      <c r="A1171">
        <v>25</v>
      </c>
      <c r="B1171">
        <v>214</v>
      </c>
    </row>
    <row r="1172" spans="1:2" x14ac:dyDescent="0.3">
      <c r="A1172">
        <v>30</v>
      </c>
      <c r="B1172">
        <v>210</v>
      </c>
    </row>
    <row r="1173" spans="1:2" x14ac:dyDescent="0.3">
      <c r="A1173">
        <v>50</v>
      </c>
      <c r="B1173">
        <v>208</v>
      </c>
    </row>
    <row r="1174" spans="1:2" x14ac:dyDescent="0.3">
      <c r="A1174">
        <v>40</v>
      </c>
      <c r="B1174">
        <v>207</v>
      </c>
    </row>
    <row r="1175" spans="1:2" x14ac:dyDescent="0.3">
      <c r="A1175">
        <v>100</v>
      </c>
      <c r="B1175">
        <v>205</v>
      </c>
    </row>
    <row r="1176" spans="1:2" x14ac:dyDescent="0.3">
      <c r="A1176">
        <v>50</v>
      </c>
      <c r="B1176">
        <v>203</v>
      </c>
    </row>
    <row r="1177" spans="1:2" x14ac:dyDescent="0.3">
      <c r="A1177">
        <v>85</v>
      </c>
      <c r="B1177">
        <v>197</v>
      </c>
    </row>
    <row r="1178" spans="1:2" x14ac:dyDescent="0.3">
      <c r="A1178">
        <v>100</v>
      </c>
      <c r="B1178">
        <v>197</v>
      </c>
    </row>
    <row r="1179" spans="1:2" x14ac:dyDescent="0.3">
      <c r="A1179">
        <v>40</v>
      </c>
      <c r="B1179">
        <v>194</v>
      </c>
    </row>
    <row r="1180" spans="1:2" x14ac:dyDescent="0.3">
      <c r="A1180">
        <v>35</v>
      </c>
      <c r="B1180">
        <v>189</v>
      </c>
    </row>
    <row r="1181" spans="1:2" x14ac:dyDescent="0.3">
      <c r="A1181">
        <v>165</v>
      </c>
      <c r="B1181">
        <v>183</v>
      </c>
    </row>
    <row r="1182" spans="1:2" x14ac:dyDescent="0.3">
      <c r="A1182">
        <v>95</v>
      </c>
      <c r="B1182">
        <v>177</v>
      </c>
    </row>
    <row r="1183" spans="1:2" x14ac:dyDescent="0.3">
      <c r="A1183">
        <v>125</v>
      </c>
      <c r="B1183">
        <v>170</v>
      </c>
    </row>
    <row r="1184" spans="1:2" x14ac:dyDescent="0.3">
      <c r="A1184">
        <v>50</v>
      </c>
      <c r="B1184">
        <v>166</v>
      </c>
    </row>
    <row r="1185" spans="1:2" x14ac:dyDescent="0.3">
      <c r="A1185">
        <v>50</v>
      </c>
      <c r="B1185">
        <v>165</v>
      </c>
    </row>
    <row r="1186" spans="1:2" x14ac:dyDescent="0.3">
      <c r="A1186">
        <v>200</v>
      </c>
      <c r="B1186">
        <v>155</v>
      </c>
    </row>
    <row r="1187" spans="1:2" x14ac:dyDescent="0.3">
      <c r="A1187">
        <v>20</v>
      </c>
      <c r="B1187">
        <v>151</v>
      </c>
    </row>
    <row r="1188" spans="1:2" x14ac:dyDescent="0.3">
      <c r="A1188">
        <v>20</v>
      </c>
      <c r="B1188">
        <v>130</v>
      </c>
    </row>
    <row r="1189" spans="1:2" x14ac:dyDescent="0.3">
      <c r="A1189">
        <v>50</v>
      </c>
      <c r="B1189">
        <v>122</v>
      </c>
    </row>
    <row r="1190" spans="1:2" x14ac:dyDescent="0.3">
      <c r="A1190">
        <v>50</v>
      </c>
      <c r="B1190">
        <v>119</v>
      </c>
    </row>
    <row r="1191" spans="1:2" x14ac:dyDescent="0.3">
      <c r="A1191">
        <v>30</v>
      </c>
      <c r="B1191">
        <v>116</v>
      </c>
    </row>
    <row r="1192" spans="1:2" x14ac:dyDescent="0.3">
      <c r="A1192">
        <v>175</v>
      </c>
      <c r="B1192">
        <v>109</v>
      </c>
    </row>
    <row r="1193" spans="1:2" x14ac:dyDescent="0.3">
      <c r="A1193">
        <v>200</v>
      </c>
      <c r="B1193">
        <v>103</v>
      </c>
    </row>
    <row r="1194" spans="1:2" x14ac:dyDescent="0.3">
      <c r="A1194">
        <v>25</v>
      </c>
      <c r="B1194">
        <v>102</v>
      </c>
    </row>
    <row r="1195" spans="1:2" x14ac:dyDescent="0.3">
      <c r="A1195">
        <v>200</v>
      </c>
      <c r="B1195">
        <v>91</v>
      </c>
    </row>
    <row r="1196" spans="1:2" x14ac:dyDescent="0.3">
      <c r="A1196">
        <v>200</v>
      </c>
      <c r="B1196">
        <v>88</v>
      </c>
    </row>
    <row r="1197" spans="1:2" x14ac:dyDescent="0.3">
      <c r="A1197">
        <v>35</v>
      </c>
      <c r="B1197">
        <v>81</v>
      </c>
    </row>
    <row r="1198" spans="1:2" x14ac:dyDescent="0.3">
      <c r="A1198">
        <v>100</v>
      </c>
      <c r="B1198">
        <v>61</v>
      </c>
    </row>
    <row r="1199" spans="1:2" x14ac:dyDescent="0.3">
      <c r="A1199">
        <v>30</v>
      </c>
      <c r="B1199">
        <v>55</v>
      </c>
    </row>
    <row r="1200" spans="1:2" x14ac:dyDescent="0.3">
      <c r="A1200">
        <v>200</v>
      </c>
      <c r="B1200">
        <v>50</v>
      </c>
    </row>
    <row r="1201" spans="1:2" x14ac:dyDescent="0.3">
      <c r="A1201">
        <v>40</v>
      </c>
      <c r="B1201">
        <v>44</v>
      </c>
    </row>
    <row r="1202" spans="1:2" x14ac:dyDescent="0.3">
      <c r="A1202">
        <v>125</v>
      </c>
      <c r="B1202">
        <v>34</v>
      </c>
    </row>
    <row r="1203" spans="1:2" x14ac:dyDescent="0.3">
      <c r="A1203">
        <v>100</v>
      </c>
      <c r="B1203">
        <v>25</v>
      </c>
    </row>
    <row r="1204" spans="1:2" x14ac:dyDescent="0.3">
      <c r="A1204">
        <v>200</v>
      </c>
      <c r="B1204">
        <v>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F95BB-7C5D-4E61-91A3-6205C80ADD84}">
  <dimension ref="A1:Y1204"/>
  <sheetViews>
    <sheetView topLeftCell="L1" workbookViewId="0">
      <selection activeCell="P124" sqref="P124:P127"/>
    </sheetView>
  </sheetViews>
  <sheetFormatPr defaultRowHeight="14.4" x14ac:dyDescent="0.3"/>
  <cols>
    <col min="1" max="1" width="15.6640625" bestFit="1" customWidth="1"/>
    <col min="2" max="2" width="6.77734375" bestFit="1" customWidth="1"/>
    <col min="3" max="3" width="16.88671875" bestFit="1" customWidth="1"/>
    <col min="4" max="4" width="7.21875" bestFit="1" customWidth="1"/>
    <col min="5" max="5" width="14.21875" bestFit="1" customWidth="1"/>
    <col min="6" max="6" width="17.5546875" bestFit="1" customWidth="1"/>
    <col min="7" max="12" width="6.77734375" customWidth="1"/>
    <col min="17" max="17" width="17.44140625" bestFit="1" customWidth="1"/>
    <col min="18" max="18" width="23.6640625" bestFit="1" customWidth="1"/>
    <col min="19" max="19" width="13.6640625" bestFit="1" customWidth="1"/>
    <col min="20" max="21" width="12.21875" bestFit="1" customWidth="1"/>
    <col min="22" max="25" width="13.6640625" bestFit="1" customWidth="1"/>
  </cols>
  <sheetData>
    <row r="1" spans="1:25" x14ac:dyDescent="0.3">
      <c r="A1" s="3" t="s">
        <v>2416</v>
      </c>
      <c r="B1" s="3" t="s">
        <v>10</v>
      </c>
      <c r="C1" s="3" t="s">
        <v>4</v>
      </c>
      <c r="D1" s="3" t="s">
        <v>3</v>
      </c>
      <c r="E1" s="3" t="s">
        <v>6</v>
      </c>
      <c r="F1" s="3" t="s">
        <v>8</v>
      </c>
      <c r="G1" s="3">
        <v>2012</v>
      </c>
      <c r="H1" s="3">
        <v>2013</v>
      </c>
      <c r="I1" s="3">
        <v>2014</v>
      </c>
      <c r="J1" s="3">
        <v>2015</v>
      </c>
      <c r="K1" s="3">
        <v>2016</v>
      </c>
      <c r="L1" s="3">
        <v>2017</v>
      </c>
      <c r="M1" s="3">
        <v>1</v>
      </c>
      <c r="N1" s="3">
        <v>2</v>
      </c>
      <c r="O1" s="3">
        <v>4</v>
      </c>
      <c r="Q1" t="s">
        <v>2451</v>
      </c>
    </row>
    <row r="2" spans="1:25" ht="15" thickBot="1" x14ac:dyDescent="0.35">
      <c r="A2">
        <v>1</v>
      </c>
      <c r="B2">
        <v>2013</v>
      </c>
      <c r="C2">
        <v>268923</v>
      </c>
      <c r="D2">
        <v>0</v>
      </c>
      <c r="E2">
        <v>45</v>
      </c>
      <c r="F2">
        <v>10.5</v>
      </c>
      <c r="G2">
        <f t="shared" ref="G2:L11" si="0">IF($B2=G$1,1,0)</f>
        <v>0</v>
      </c>
      <c r="H2">
        <f t="shared" si="0"/>
        <v>1</v>
      </c>
      <c r="I2">
        <f t="shared" si="0"/>
        <v>0</v>
      </c>
      <c r="J2">
        <f t="shared" si="0"/>
        <v>0</v>
      </c>
      <c r="K2">
        <f t="shared" si="0"/>
        <v>0</v>
      </c>
      <c r="L2">
        <f t="shared" si="0"/>
        <v>0</v>
      </c>
      <c r="M2">
        <f t="shared" ref="M2:O21" si="1">IF($A2=M$1,1,0)</f>
        <v>1</v>
      </c>
      <c r="N2">
        <f t="shared" si="1"/>
        <v>0</v>
      </c>
      <c r="O2">
        <f t="shared" si="1"/>
        <v>0</v>
      </c>
    </row>
    <row r="3" spans="1:25" x14ac:dyDescent="0.3">
      <c r="A3">
        <v>3</v>
      </c>
      <c r="B3">
        <v>2013</v>
      </c>
      <c r="C3">
        <v>161029</v>
      </c>
      <c r="D3">
        <v>0</v>
      </c>
      <c r="E3">
        <v>27</v>
      </c>
      <c r="F3">
        <v>3.5</v>
      </c>
      <c r="G3">
        <f t="shared" si="0"/>
        <v>0</v>
      </c>
      <c r="H3">
        <f t="shared" si="0"/>
        <v>1</v>
      </c>
      <c r="I3">
        <f t="shared" si="0"/>
        <v>0</v>
      </c>
      <c r="J3">
        <f t="shared" si="0"/>
        <v>0</v>
      </c>
      <c r="K3">
        <f t="shared" si="0"/>
        <v>0</v>
      </c>
      <c r="L3">
        <f t="shared" si="0"/>
        <v>0</v>
      </c>
      <c r="M3">
        <f t="shared" si="1"/>
        <v>0</v>
      </c>
      <c r="N3">
        <f t="shared" si="1"/>
        <v>0</v>
      </c>
      <c r="O3">
        <f t="shared" si="1"/>
        <v>0</v>
      </c>
      <c r="Q3" s="8" t="s">
        <v>2452</v>
      </c>
      <c r="R3" s="8"/>
    </row>
    <row r="4" spans="1:25" x14ac:dyDescent="0.3">
      <c r="A4">
        <v>1</v>
      </c>
      <c r="B4">
        <v>2015</v>
      </c>
      <c r="C4">
        <v>121584</v>
      </c>
      <c r="D4">
        <v>200</v>
      </c>
      <c r="E4">
        <v>342</v>
      </c>
      <c r="F4">
        <v>43</v>
      </c>
      <c r="G4">
        <f t="shared" si="0"/>
        <v>0</v>
      </c>
      <c r="H4">
        <f t="shared" si="0"/>
        <v>0</v>
      </c>
      <c r="I4">
        <f t="shared" si="0"/>
        <v>0</v>
      </c>
      <c r="J4">
        <f t="shared" si="0"/>
        <v>1</v>
      </c>
      <c r="K4">
        <f t="shared" si="0"/>
        <v>0</v>
      </c>
      <c r="L4">
        <f t="shared" si="0"/>
        <v>0</v>
      </c>
      <c r="M4">
        <f t="shared" si="1"/>
        <v>1</v>
      </c>
      <c r="N4">
        <f t="shared" si="1"/>
        <v>0</v>
      </c>
      <c r="O4">
        <f t="shared" si="1"/>
        <v>0</v>
      </c>
      <c r="Q4" t="s">
        <v>2453</v>
      </c>
      <c r="R4">
        <v>1.397884406013398E-2</v>
      </c>
    </row>
    <row r="5" spans="1:25" x14ac:dyDescent="0.3">
      <c r="A5">
        <v>4</v>
      </c>
      <c r="B5">
        <v>2014</v>
      </c>
      <c r="C5">
        <v>120291</v>
      </c>
      <c r="D5">
        <v>0</v>
      </c>
      <c r="E5">
        <v>30</v>
      </c>
      <c r="F5">
        <v>3</v>
      </c>
      <c r="G5">
        <f t="shared" si="0"/>
        <v>0</v>
      </c>
      <c r="H5">
        <f t="shared" si="0"/>
        <v>0</v>
      </c>
      <c r="I5">
        <f t="shared" si="0"/>
        <v>1</v>
      </c>
      <c r="J5">
        <f t="shared" si="0"/>
        <v>0</v>
      </c>
      <c r="K5">
        <f t="shared" si="0"/>
        <v>0</v>
      </c>
      <c r="L5">
        <f t="shared" si="0"/>
        <v>0</v>
      </c>
      <c r="M5">
        <f t="shared" si="1"/>
        <v>0</v>
      </c>
      <c r="N5">
        <f t="shared" si="1"/>
        <v>0</v>
      </c>
      <c r="O5">
        <f t="shared" si="1"/>
        <v>1</v>
      </c>
      <c r="Q5" t="s">
        <v>2454</v>
      </c>
      <c r="R5">
        <v>1.9540808125754304E-4</v>
      </c>
    </row>
    <row r="6" spans="1:25" x14ac:dyDescent="0.3">
      <c r="A6">
        <v>1</v>
      </c>
      <c r="B6">
        <v>2016</v>
      </c>
      <c r="C6">
        <v>114512</v>
      </c>
      <c r="D6">
        <v>200</v>
      </c>
      <c r="E6">
        <v>304</v>
      </c>
      <c r="F6">
        <v>30.5</v>
      </c>
      <c r="G6">
        <f t="shared" si="0"/>
        <v>0</v>
      </c>
      <c r="H6">
        <f t="shared" si="0"/>
        <v>0</v>
      </c>
      <c r="I6">
        <f t="shared" si="0"/>
        <v>0</v>
      </c>
      <c r="J6">
        <f t="shared" si="0"/>
        <v>0</v>
      </c>
      <c r="K6">
        <f t="shared" si="0"/>
        <v>1</v>
      </c>
      <c r="L6">
        <f t="shared" si="0"/>
        <v>0</v>
      </c>
      <c r="M6">
        <f t="shared" si="1"/>
        <v>1</v>
      </c>
      <c r="N6">
        <f t="shared" si="1"/>
        <v>0</v>
      </c>
      <c r="O6">
        <f t="shared" si="1"/>
        <v>0</v>
      </c>
      <c r="Q6" t="s">
        <v>2455</v>
      </c>
      <c r="R6">
        <v>-6.3706868137255058E-4</v>
      </c>
    </row>
    <row r="7" spans="1:25" x14ac:dyDescent="0.3">
      <c r="A7">
        <v>4</v>
      </c>
      <c r="B7">
        <v>2015</v>
      </c>
      <c r="C7">
        <v>98867</v>
      </c>
      <c r="D7">
        <v>0</v>
      </c>
      <c r="E7">
        <v>20</v>
      </c>
      <c r="F7">
        <v>3</v>
      </c>
      <c r="G7">
        <f t="shared" si="0"/>
        <v>0</v>
      </c>
      <c r="H7">
        <f t="shared" si="0"/>
        <v>0</v>
      </c>
      <c r="I7">
        <f t="shared" si="0"/>
        <v>0</v>
      </c>
      <c r="J7">
        <f t="shared" si="0"/>
        <v>1</v>
      </c>
      <c r="K7">
        <f t="shared" si="0"/>
        <v>0</v>
      </c>
      <c r="L7">
        <f t="shared" si="0"/>
        <v>0</v>
      </c>
      <c r="M7">
        <f t="shared" si="1"/>
        <v>0</v>
      </c>
      <c r="N7">
        <f t="shared" si="1"/>
        <v>0</v>
      </c>
      <c r="O7">
        <f t="shared" si="1"/>
        <v>1</v>
      </c>
      <c r="Q7" t="s">
        <v>2419</v>
      </c>
      <c r="R7">
        <v>14564.055943766842</v>
      </c>
    </row>
    <row r="8" spans="1:25" ht="15" thickBot="1" x14ac:dyDescent="0.35">
      <c r="A8">
        <v>4</v>
      </c>
      <c r="B8">
        <v>2013</v>
      </c>
      <c r="C8">
        <v>84897</v>
      </c>
      <c r="D8">
        <v>30</v>
      </c>
      <c r="E8">
        <v>10</v>
      </c>
      <c r="F8">
        <v>2</v>
      </c>
      <c r="G8">
        <f t="shared" si="0"/>
        <v>0</v>
      </c>
      <c r="H8">
        <f t="shared" si="0"/>
        <v>1</v>
      </c>
      <c r="I8">
        <f t="shared" si="0"/>
        <v>0</v>
      </c>
      <c r="J8">
        <f t="shared" si="0"/>
        <v>0</v>
      </c>
      <c r="K8">
        <f t="shared" si="0"/>
        <v>0</v>
      </c>
      <c r="L8">
        <f t="shared" si="0"/>
        <v>0</v>
      </c>
      <c r="M8">
        <f t="shared" si="1"/>
        <v>0</v>
      </c>
      <c r="N8">
        <f t="shared" si="1"/>
        <v>0</v>
      </c>
      <c r="O8">
        <f t="shared" si="1"/>
        <v>1</v>
      </c>
      <c r="Q8" s="1" t="s">
        <v>2436</v>
      </c>
      <c r="R8" s="1">
        <v>1203</v>
      </c>
    </row>
    <row r="9" spans="1:25" x14ac:dyDescent="0.3">
      <c r="A9">
        <v>2</v>
      </c>
      <c r="B9">
        <v>2014</v>
      </c>
      <c r="C9">
        <v>83737</v>
      </c>
      <c r="D9">
        <v>0</v>
      </c>
      <c r="E9">
        <v>45</v>
      </c>
      <c r="F9">
        <v>6.5</v>
      </c>
      <c r="G9">
        <f t="shared" si="0"/>
        <v>0</v>
      </c>
      <c r="H9">
        <f t="shared" si="0"/>
        <v>0</v>
      </c>
      <c r="I9">
        <f t="shared" si="0"/>
        <v>1</v>
      </c>
      <c r="J9">
        <f t="shared" si="0"/>
        <v>0</v>
      </c>
      <c r="K9">
        <f t="shared" si="0"/>
        <v>0</v>
      </c>
      <c r="L9">
        <f t="shared" si="0"/>
        <v>0</v>
      </c>
      <c r="M9">
        <f t="shared" si="1"/>
        <v>0</v>
      </c>
      <c r="N9">
        <f t="shared" si="1"/>
        <v>1</v>
      </c>
      <c r="O9">
        <f t="shared" si="1"/>
        <v>0</v>
      </c>
    </row>
    <row r="10" spans="1:25" ht="15" thickBot="1" x14ac:dyDescent="0.35">
      <c r="A10">
        <v>4</v>
      </c>
      <c r="B10">
        <v>2015</v>
      </c>
      <c r="C10">
        <v>79612</v>
      </c>
      <c r="D10">
        <v>175</v>
      </c>
      <c r="E10">
        <v>85</v>
      </c>
      <c r="F10">
        <v>11.5</v>
      </c>
      <c r="G10">
        <f t="shared" si="0"/>
        <v>0</v>
      </c>
      <c r="H10">
        <f t="shared" si="0"/>
        <v>0</v>
      </c>
      <c r="I10">
        <f t="shared" si="0"/>
        <v>0</v>
      </c>
      <c r="J10">
        <f t="shared" si="0"/>
        <v>1</v>
      </c>
      <c r="K10">
        <f t="shared" si="0"/>
        <v>0</v>
      </c>
      <c r="L10">
        <f t="shared" si="0"/>
        <v>0</v>
      </c>
      <c r="M10">
        <f t="shared" si="1"/>
        <v>0</v>
      </c>
      <c r="N10">
        <f t="shared" si="1"/>
        <v>0</v>
      </c>
      <c r="O10">
        <f t="shared" si="1"/>
        <v>1</v>
      </c>
      <c r="Q10" t="s">
        <v>2456</v>
      </c>
    </row>
    <row r="11" spans="1:25" x14ac:dyDescent="0.3">
      <c r="A11">
        <v>1</v>
      </c>
      <c r="B11">
        <v>2016</v>
      </c>
      <c r="C11">
        <v>73783</v>
      </c>
      <c r="D11">
        <v>190</v>
      </c>
      <c r="E11">
        <v>329</v>
      </c>
      <c r="F11">
        <v>22</v>
      </c>
      <c r="G11">
        <f t="shared" si="0"/>
        <v>0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1</v>
      </c>
      <c r="L11">
        <f t="shared" si="0"/>
        <v>0</v>
      </c>
      <c r="M11">
        <f t="shared" si="1"/>
        <v>1</v>
      </c>
      <c r="N11">
        <f t="shared" si="1"/>
        <v>0</v>
      </c>
      <c r="O11">
        <f t="shared" si="1"/>
        <v>0</v>
      </c>
      <c r="Q11" s="2"/>
      <c r="R11" s="2" t="s">
        <v>2438</v>
      </c>
      <c r="S11" s="2" t="s">
        <v>2461</v>
      </c>
      <c r="T11" s="2" t="s">
        <v>2462</v>
      </c>
      <c r="U11" s="2" t="s">
        <v>2446</v>
      </c>
      <c r="V11" s="2" t="s">
        <v>2463</v>
      </c>
    </row>
    <row r="12" spans="1:25" x14ac:dyDescent="0.3">
      <c r="A12">
        <v>4</v>
      </c>
      <c r="B12">
        <v>2012</v>
      </c>
      <c r="C12">
        <v>73110</v>
      </c>
      <c r="D12">
        <v>0</v>
      </c>
      <c r="E12">
        <v>22</v>
      </c>
      <c r="F12">
        <v>2</v>
      </c>
      <c r="G12">
        <f t="shared" ref="G12:L21" si="2">IF($B12=G$1,1,0)</f>
        <v>1</v>
      </c>
      <c r="H12">
        <f t="shared" si="2"/>
        <v>0</v>
      </c>
      <c r="I12">
        <f t="shared" si="2"/>
        <v>0</v>
      </c>
      <c r="J12">
        <f t="shared" si="2"/>
        <v>0</v>
      </c>
      <c r="K12">
        <f t="shared" si="2"/>
        <v>0</v>
      </c>
      <c r="L12">
        <f t="shared" si="2"/>
        <v>0</v>
      </c>
      <c r="M12">
        <f t="shared" si="1"/>
        <v>0</v>
      </c>
      <c r="N12">
        <f t="shared" si="1"/>
        <v>0</v>
      </c>
      <c r="O12">
        <f t="shared" si="1"/>
        <v>1</v>
      </c>
      <c r="Q12" t="s">
        <v>2457</v>
      </c>
      <c r="R12">
        <v>1</v>
      </c>
      <c r="S12">
        <v>49789191.914154053</v>
      </c>
      <c r="T12">
        <v>49789191.914154053</v>
      </c>
      <c r="U12" s="12">
        <v>0.23473097391953449</v>
      </c>
      <c r="V12" s="12">
        <v>0.62812619878639686</v>
      </c>
    </row>
    <row r="13" spans="1:25" x14ac:dyDescent="0.3">
      <c r="A13">
        <v>4</v>
      </c>
      <c r="B13">
        <v>2013</v>
      </c>
      <c r="C13">
        <v>72932</v>
      </c>
      <c r="D13">
        <v>0</v>
      </c>
      <c r="E13">
        <v>21</v>
      </c>
      <c r="F13">
        <v>1</v>
      </c>
      <c r="G13">
        <f t="shared" si="2"/>
        <v>0</v>
      </c>
      <c r="H13">
        <f t="shared" si="2"/>
        <v>1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1"/>
        <v>0</v>
      </c>
      <c r="N13">
        <f t="shared" si="1"/>
        <v>0</v>
      </c>
      <c r="O13">
        <f t="shared" si="1"/>
        <v>1</v>
      </c>
      <c r="Q13" t="s">
        <v>2458</v>
      </c>
      <c r="R13">
        <v>1201</v>
      </c>
      <c r="S13">
        <v>254746182365.33749</v>
      </c>
      <c r="T13">
        <v>212111725.53317028</v>
      </c>
    </row>
    <row r="14" spans="1:25" ht="15" thickBot="1" x14ac:dyDescent="0.35">
      <c r="A14">
        <v>4</v>
      </c>
      <c r="B14">
        <v>2015</v>
      </c>
      <c r="C14">
        <v>70773</v>
      </c>
      <c r="D14">
        <v>0</v>
      </c>
      <c r="E14">
        <v>50</v>
      </c>
      <c r="F14">
        <v>6</v>
      </c>
      <c r="G14">
        <f t="shared" si="2"/>
        <v>0</v>
      </c>
      <c r="H14">
        <f t="shared" si="2"/>
        <v>0</v>
      </c>
      <c r="I14">
        <f t="shared" si="2"/>
        <v>0</v>
      </c>
      <c r="J14">
        <f t="shared" si="2"/>
        <v>1</v>
      </c>
      <c r="K14">
        <f t="shared" si="2"/>
        <v>0</v>
      </c>
      <c r="L14">
        <f t="shared" si="2"/>
        <v>0</v>
      </c>
      <c r="M14">
        <f t="shared" si="1"/>
        <v>0</v>
      </c>
      <c r="N14">
        <f t="shared" si="1"/>
        <v>0</v>
      </c>
      <c r="O14">
        <f t="shared" si="1"/>
        <v>1</v>
      </c>
      <c r="Q14" s="1" t="s">
        <v>2459</v>
      </c>
      <c r="R14" s="1">
        <v>1202</v>
      </c>
      <c r="S14" s="1">
        <v>254795971557.25165</v>
      </c>
      <c r="T14" s="1"/>
      <c r="U14" s="1"/>
      <c r="V14" s="1"/>
    </row>
    <row r="15" spans="1:25" ht="15" thickBot="1" x14ac:dyDescent="0.35">
      <c r="A15">
        <v>4</v>
      </c>
      <c r="B15">
        <v>2011</v>
      </c>
      <c r="C15">
        <v>69186</v>
      </c>
      <c r="D15">
        <v>120</v>
      </c>
      <c r="E15">
        <v>197</v>
      </c>
      <c r="F15">
        <v>27.5</v>
      </c>
      <c r="G15">
        <f t="shared" si="2"/>
        <v>0</v>
      </c>
      <c r="H15">
        <f t="shared" si="2"/>
        <v>0</v>
      </c>
      <c r="I15">
        <f t="shared" si="2"/>
        <v>0</v>
      </c>
      <c r="J15">
        <f t="shared" si="2"/>
        <v>0</v>
      </c>
      <c r="K15">
        <f t="shared" si="2"/>
        <v>0</v>
      </c>
      <c r="L15">
        <f t="shared" si="2"/>
        <v>0</v>
      </c>
      <c r="M15">
        <f t="shared" si="1"/>
        <v>0</v>
      </c>
      <c r="N15">
        <f t="shared" si="1"/>
        <v>0</v>
      </c>
      <c r="O15">
        <f t="shared" si="1"/>
        <v>1</v>
      </c>
    </row>
    <row r="16" spans="1:25" x14ac:dyDescent="0.3">
      <c r="A16">
        <v>1</v>
      </c>
      <c r="B16">
        <v>2014</v>
      </c>
      <c r="C16">
        <v>64128</v>
      </c>
      <c r="D16">
        <v>0</v>
      </c>
      <c r="E16">
        <v>17</v>
      </c>
      <c r="F16">
        <v>1.5</v>
      </c>
      <c r="G16">
        <f t="shared" si="2"/>
        <v>0</v>
      </c>
      <c r="H16">
        <f t="shared" si="2"/>
        <v>0</v>
      </c>
      <c r="I16">
        <f t="shared" si="2"/>
        <v>1</v>
      </c>
      <c r="J16">
        <f t="shared" si="2"/>
        <v>0</v>
      </c>
      <c r="K16">
        <f t="shared" si="2"/>
        <v>0</v>
      </c>
      <c r="L16">
        <f t="shared" si="2"/>
        <v>0</v>
      </c>
      <c r="M16">
        <f t="shared" si="1"/>
        <v>1</v>
      </c>
      <c r="N16">
        <f t="shared" si="1"/>
        <v>0</v>
      </c>
      <c r="O16">
        <f t="shared" si="1"/>
        <v>0</v>
      </c>
      <c r="Q16" s="2"/>
      <c r="R16" s="2" t="s">
        <v>2464</v>
      </c>
      <c r="S16" s="2" t="s">
        <v>2419</v>
      </c>
      <c r="T16" s="2" t="s">
        <v>2439</v>
      </c>
      <c r="U16" s="2" t="s">
        <v>2465</v>
      </c>
      <c r="V16" s="2" t="s">
        <v>2466</v>
      </c>
      <c r="W16" s="2" t="s">
        <v>2467</v>
      </c>
      <c r="X16" s="2" t="s">
        <v>2468</v>
      </c>
      <c r="Y16" s="2" t="s">
        <v>2469</v>
      </c>
    </row>
    <row r="17" spans="1:25" x14ac:dyDescent="0.3">
      <c r="A17">
        <v>4</v>
      </c>
      <c r="B17">
        <v>2013</v>
      </c>
      <c r="C17">
        <v>59639</v>
      </c>
      <c r="D17">
        <v>0</v>
      </c>
      <c r="E17">
        <v>24</v>
      </c>
      <c r="F17">
        <v>4.5</v>
      </c>
      <c r="G17">
        <f t="shared" si="2"/>
        <v>0</v>
      </c>
      <c r="H17">
        <f t="shared" si="2"/>
        <v>1</v>
      </c>
      <c r="I17">
        <f t="shared" si="2"/>
        <v>0</v>
      </c>
      <c r="J17">
        <f t="shared" si="2"/>
        <v>0</v>
      </c>
      <c r="K17">
        <f t="shared" si="2"/>
        <v>0</v>
      </c>
      <c r="L17">
        <f t="shared" si="2"/>
        <v>0</v>
      </c>
      <c r="M17">
        <f t="shared" si="1"/>
        <v>0</v>
      </c>
      <c r="N17">
        <f t="shared" si="1"/>
        <v>0</v>
      </c>
      <c r="O17">
        <f t="shared" si="1"/>
        <v>1</v>
      </c>
      <c r="Q17" t="s">
        <v>2460</v>
      </c>
      <c r="R17" s="9">
        <v>6397.989929921966</v>
      </c>
      <c r="S17" s="9">
        <v>644.73299197406743</v>
      </c>
      <c r="T17" s="9">
        <v>9.9234722118568222</v>
      </c>
      <c r="U17" s="9">
        <v>2.3220749381978331E-22</v>
      </c>
      <c r="V17" s="9">
        <v>5133.0617167545679</v>
      </c>
      <c r="W17" s="9">
        <v>7662.9181430893641</v>
      </c>
      <c r="X17" s="9">
        <v>5133.0617167545679</v>
      </c>
      <c r="Y17" s="9">
        <v>7662.9181430893641</v>
      </c>
    </row>
    <row r="18" spans="1:25" ht="15" thickBot="1" x14ac:dyDescent="0.35">
      <c r="A18">
        <v>1</v>
      </c>
      <c r="B18">
        <v>2014</v>
      </c>
      <c r="C18">
        <v>59361</v>
      </c>
      <c r="D18">
        <v>175</v>
      </c>
      <c r="E18">
        <v>55</v>
      </c>
      <c r="F18">
        <v>7</v>
      </c>
      <c r="G18">
        <f t="shared" si="2"/>
        <v>0</v>
      </c>
      <c r="H18">
        <f t="shared" si="2"/>
        <v>0</v>
      </c>
      <c r="I18">
        <f t="shared" si="2"/>
        <v>1</v>
      </c>
      <c r="J18">
        <f t="shared" si="2"/>
        <v>0</v>
      </c>
      <c r="K18">
        <f t="shared" si="2"/>
        <v>0</v>
      </c>
      <c r="L18">
        <f t="shared" si="2"/>
        <v>0</v>
      </c>
      <c r="M18">
        <f t="shared" si="1"/>
        <v>1</v>
      </c>
      <c r="N18">
        <f t="shared" si="1"/>
        <v>0</v>
      </c>
      <c r="O18">
        <f t="shared" si="1"/>
        <v>0</v>
      </c>
      <c r="Q18" s="1" t="s">
        <v>3</v>
      </c>
      <c r="R18" s="10">
        <v>3.076915179971671</v>
      </c>
      <c r="S18" s="10">
        <v>6.3508276077647867</v>
      </c>
      <c r="T18" s="10">
        <v>0.48449042707594614</v>
      </c>
      <c r="U18" s="10">
        <v>0.62812619878002973</v>
      </c>
      <c r="V18" s="10">
        <v>-9.3830350909572431</v>
      </c>
      <c r="W18" s="10">
        <v>15.536865450900585</v>
      </c>
      <c r="X18" s="10">
        <v>-9.3830350909572431</v>
      </c>
      <c r="Y18" s="10">
        <v>15.536865450900585</v>
      </c>
    </row>
    <row r="19" spans="1:25" x14ac:dyDescent="0.3">
      <c r="A19">
        <v>1</v>
      </c>
      <c r="B19">
        <v>2015</v>
      </c>
      <c r="C19">
        <v>58208</v>
      </c>
      <c r="D19">
        <v>195</v>
      </c>
      <c r="E19">
        <v>98</v>
      </c>
      <c r="F19">
        <v>13</v>
      </c>
      <c r="G19">
        <f t="shared" si="2"/>
        <v>0</v>
      </c>
      <c r="H19">
        <f t="shared" si="2"/>
        <v>0</v>
      </c>
      <c r="I19">
        <f t="shared" si="2"/>
        <v>0</v>
      </c>
      <c r="J19">
        <f t="shared" si="2"/>
        <v>1</v>
      </c>
      <c r="K19">
        <f t="shared" si="2"/>
        <v>0</v>
      </c>
      <c r="L19">
        <f t="shared" si="2"/>
        <v>0</v>
      </c>
      <c r="M19">
        <f t="shared" si="1"/>
        <v>1</v>
      </c>
      <c r="N19">
        <f t="shared" si="1"/>
        <v>0</v>
      </c>
      <c r="O19">
        <f t="shared" si="1"/>
        <v>0</v>
      </c>
    </row>
    <row r="20" spans="1:25" x14ac:dyDescent="0.3">
      <c r="A20">
        <v>4</v>
      </c>
      <c r="B20">
        <v>2015</v>
      </c>
      <c r="C20">
        <v>57422</v>
      </c>
      <c r="D20">
        <v>195</v>
      </c>
      <c r="E20">
        <v>84</v>
      </c>
      <c r="F20">
        <v>7.5</v>
      </c>
      <c r="G20">
        <f t="shared" si="2"/>
        <v>0</v>
      </c>
      <c r="H20">
        <f t="shared" si="2"/>
        <v>0</v>
      </c>
      <c r="I20">
        <f t="shared" si="2"/>
        <v>0</v>
      </c>
      <c r="J20">
        <f t="shared" si="2"/>
        <v>1</v>
      </c>
      <c r="K20">
        <f t="shared" si="2"/>
        <v>0</v>
      </c>
      <c r="L20">
        <f t="shared" si="2"/>
        <v>0</v>
      </c>
      <c r="M20">
        <f t="shared" si="1"/>
        <v>0</v>
      </c>
      <c r="N20">
        <f t="shared" si="1"/>
        <v>0</v>
      </c>
      <c r="O20">
        <f t="shared" si="1"/>
        <v>1</v>
      </c>
    </row>
    <row r="21" spans="1:25" x14ac:dyDescent="0.3">
      <c r="A21">
        <v>2</v>
      </c>
      <c r="B21">
        <v>2015</v>
      </c>
      <c r="C21">
        <v>55332</v>
      </c>
      <c r="D21">
        <v>195</v>
      </c>
      <c r="E21">
        <v>144</v>
      </c>
      <c r="F21">
        <v>20</v>
      </c>
      <c r="G21">
        <f t="shared" si="2"/>
        <v>0</v>
      </c>
      <c r="H21">
        <f t="shared" si="2"/>
        <v>0</v>
      </c>
      <c r="I21">
        <f t="shared" si="2"/>
        <v>0</v>
      </c>
      <c r="J21">
        <f t="shared" si="2"/>
        <v>1</v>
      </c>
      <c r="K21">
        <f t="shared" si="2"/>
        <v>0</v>
      </c>
      <c r="L21">
        <f t="shared" si="2"/>
        <v>0</v>
      </c>
      <c r="M21">
        <f t="shared" si="1"/>
        <v>0</v>
      </c>
      <c r="N21">
        <f t="shared" si="1"/>
        <v>1</v>
      </c>
      <c r="O21">
        <f t="shared" si="1"/>
        <v>0</v>
      </c>
      <c r="Q21" t="s">
        <v>2451</v>
      </c>
    </row>
    <row r="22" spans="1:25" ht="15" thickBot="1" x14ac:dyDescent="0.35">
      <c r="A22">
        <v>4</v>
      </c>
      <c r="B22">
        <v>2013</v>
      </c>
      <c r="C22">
        <v>51257</v>
      </c>
      <c r="D22">
        <v>145</v>
      </c>
      <c r="E22">
        <v>77</v>
      </c>
      <c r="F22">
        <v>8</v>
      </c>
      <c r="G22">
        <f t="shared" ref="G22:L31" si="3">IF($B22=G$1,1,0)</f>
        <v>0</v>
      </c>
      <c r="H22">
        <f t="shared" si="3"/>
        <v>1</v>
      </c>
      <c r="I22">
        <f t="shared" si="3"/>
        <v>0</v>
      </c>
      <c r="J22">
        <f t="shared" si="3"/>
        <v>0</v>
      </c>
      <c r="K22">
        <f t="shared" si="3"/>
        <v>0</v>
      </c>
      <c r="L22">
        <f t="shared" si="3"/>
        <v>0</v>
      </c>
      <c r="M22">
        <f t="shared" ref="M22:O41" si="4">IF($A22=M$1,1,0)</f>
        <v>0</v>
      </c>
      <c r="N22">
        <f t="shared" si="4"/>
        <v>0</v>
      </c>
      <c r="O22">
        <f t="shared" si="4"/>
        <v>1</v>
      </c>
    </row>
    <row r="23" spans="1:25" x14ac:dyDescent="0.3">
      <c r="A23">
        <v>4</v>
      </c>
      <c r="B23">
        <v>2015</v>
      </c>
      <c r="C23">
        <v>50815</v>
      </c>
      <c r="D23">
        <v>180</v>
      </c>
      <c r="E23">
        <v>150</v>
      </c>
      <c r="F23">
        <v>26.5</v>
      </c>
      <c r="G23">
        <f t="shared" si="3"/>
        <v>0</v>
      </c>
      <c r="H23">
        <f t="shared" si="3"/>
        <v>0</v>
      </c>
      <c r="I23">
        <f t="shared" si="3"/>
        <v>0</v>
      </c>
      <c r="J23">
        <f t="shared" si="3"/>
        <v>1</v>
      </c>
      <c r="K23">
        <f t="shared" si="3"/>
        <v>0</v>
      </c>
      <c r="L23">
        <f t="shared" si="3"/>
        <v>0</v>
      </c>
      <c r="M23">
        <f t="shared" si="4"/>
        <v>0</v>
      </c>
      <c r="N23">
        <f t="shared" si="4"/>
        <v>0</v>
      </c>
      <c r="O23">
        <f t="shared" si="4"/>
        <v>1</v>
      </c>
      <c r="Q23" s="8" t="s">
        <v>2452</v>
      </c>
      <c r="R23" s="8"/>
    </row>
    <row r="24" spans="1:25" x14ac:dyDescent="0.3">
      <c r="A24">
        <v>4</v>
      </c>
      <c r="B24">
        <v>2013</v>
      </c>
      <c r="C24">
        <v>48650</v>
      </c>
      <c r="D24">
        <v>0</v>
      </c>
      <c r="E24">
        <v>9</v>
      </c>
      <c r="F24">
        <v>2</v>
      </c>
      <c r="G24">
        <f t="shared" si="3"/>
        <v>0</v>
      </c>
      <c r="H24">
        <f t="shared" si="3"/>
        <v>1</v>
      </c>
      <c r="I24">
        <f t="shared" si="3"/>
        <v>0</v>
      </c>
      <c r="J24">
        <f t="shared" si="3"/>
        <v>0</v>
      </c>
      <c r="K24">
        <f t="shared" si="3"/>
        <v>0</v>
      </c>
      <c r="L24">
        <f t="shared" si="3"/>
        <v>0</v>
      </c>
      <c r="M24">
        <f t="shared" si="4"/>
        <v>0</v>
      </c>
      <c r="N24">
        <f t="shared" si="4"/>
        <v>0</v>
      </c>
      <c r="O24">
        <f t="shared" si="4"/>
        <v>1</v>
      </c>
      <c r="Q24" t="s">
        <v>2453</v>
      </c>
      <c r="R24">
        <v>0.32832432971184761</v>
      </c>
    </row>
    <row r="25" spans="1:25" x14ac:dyDescent="0.3">
      <c r="A25">
        <v>4</v>
      </c>
      <c r="B25">
        <v>2012</v>
      </c>
      <c r="C25">
        <v>47886</v>
      </c>
      <c r="D25">
        <v>50</v>
      </c>
      <c r="E25">
        <v>125</v>
      </c>
      <c r="F25">
        <v>12.5</v>
      </c>
      <c r="G25">
        <f t="shared" si="3"/>
        <v>1</v>
      </c>
      <c r="H25">
        <f t="shared" si="3"/>
        <v>0</v>
      </c>
      <c r="I25">
        <f t="shared" si="3"/>
        <v>0</v>
      </c>
      <c r="J25">
        <f t="shared" si="3"/>
        <v>0</v>
      </c>
      <c r="K25">
        <f t="shared" si="3"/>
        <v>0</v>
      </c>
      <c r="L25">
        <f t="shared" si="3"/>
        <v>0</v>
      </c>
      <c r="M25">
        <f t="shared" si="4"/>
        <v>0</v>
      </c>
      <c r="N25">
        <f t="shared" si="4"/>
        <v>0</v>
      </c>
      <c r="O25">
        <f t="shared" si="4"/>
        <v>1</v>
      </c>
      <c r="Q25" t="s">
        <v>2454</v>
      </c>
      <c r="R25">
        <v>0.10779686548073403</v>
      </c>
    </row>
    <row r="26" spans="1:25" x14ac:dyDescent="0.3">
      <c r="A26">
        <v>4</v>
      </c>
      <c r="B26">
        <v>2016</v>
      </c>
      <c r="C26">
        <v>47062</v>
      </c>
      <c r="D26">
        <v>0</v>
      </c>
      <c r="E26">
        <v>41</v>
      </c>
      <c r="F26">
        <v>8.5</v>
      </c>
      <c r="G26">
        <f t="shared" si="3"/>
        <v>0</v>
      </c>
      <c r="H26">
        <f t="shared" si="3"/>
        <v>0</v>
      </c>
      <c r="I26">
        <f t="shared" si="3"/>
        <v>0</v>
      </c>
      <c r="J26">
        <f t="shared" si="3"/>
        <v>0</v>
      </c>
      <c r="K26">
        <f t="shared" si="3"/>
        <v>1</v>
      </c>
      <c r="L26">
        <f t="shared" si="3"/>
        <v>0</v>
      </c>
      <c r="M26">
        <f t="shared" si="4"/>
        <v>0</v>
      </c>
      <c r="N26">
        <f t="shared" si="4"/>
        <v>0</v>
      </c>
      <c r="O26">
        <f t="shared" si="4"/>
        <v>1</v>
      </c>
      <c r="Q26" t="s">
        <v>2455</v>
      </c>
      <c r="R26">
        <v>9.8799859082220415E-2</v>
      </c>
    </row>
    <row r="27" spans="1:25" x14ac:dyDescent="0.3">
      <c r="A27">
        <v>4</v>
      </c>
      <c r="B27">
        <v>2015</v>
      </c>
      <c r="C27">
        <v>43977</v>
      </c>
      <c r="D27">
        <v>195</v>
      </c>
      <c r="E27">
        <v>77</v>
      </c>
      <c r="F27">
        <v>12</v>
      </c>
      <c r="G27">
        <f t="shared" si="3"/>
        <v>0</v>
      </c>
      <c r="H27">
        <f t="shared" si="3"/>
        <v>0</v>
      </c>
      <c r="I27">
        <f t="shared" si="3"/>
        <v>0</v>
      </c>
      <c r="J27">
        <f t="shared" si="3"/>
        <v>1</v>
      </c>
      <c r="K27">
        <f t="shared" si="3"/>
        <v>0</v>
      </c>
      <c r="L27">
        <f t="shared" si="3"/>
        <v>0</v>
      </c>
      <c r="M27">
        <f t="shared" si="4"/>
        <v>0</v>
      </c>
      <c r="N27">
        <f t="shared" si="4"/>
        <v>0</v>
      </c>
      <c r="O27">
        <f t="shared" si="4"/>
        <v>1</v>
      </c>
      <c r="Q27" t="s">
        <v>2419</v>
      </c>
      <c r="R27">
        <v>13821.483839829703</v>
      </c>
    </row>
    <row r="28" spans="1:25" ht="15" thickBot="1" x14ac:dyDescent="0.35">
      <c r="A28">
        <v>1</v>
      </c>
      <c r="B28">
        <v>2013</v>
      </c>
      <c r="C28">
        <v>43285</v>
      </c>
      <c r="D28">
        <v>75</v>
      </c>
      <c r="E28">
        <v>24</v>
      </c>
      <c r="F28">
        <v>4</v>
      </c>
      <c r="G28">
        <f t="shared" si="3"/>
        <v>0</v>
      </c>
      <c r="H28">
        <f t="shared" si="3"/>
        <v>1</v>
      </c>
      <c r="I28">
        <f t="shared" si="3"/>
        <v>0</v>
      </c>
      <c r="J28">
        <f t="shared" si="3"/>
        <v>0</v>
      </c>
      <c r="K28">
        <f t="shared" si="3"/>
        <v>0</v>
      </c>
      <c r="L28">
        <f t="shared" si="3"/>
        <v>0</v>
      </c>
      <c r="M28">
        <f t="shared" si="4"/>
        <v>1</v>
      </c>
      <c r="N28">
        <f t="shared" si="4"/>
        <v>0</v>
      </c>
      <c r="O28">
        <f t="shared" si="4"/>
        <v>0</v>
      </c>
      <c r="Q28" s="1" t="s">
        <v>2436</v>
      </c>
      <c r="R28" s="1">
        <v>1203</v>
      </c>
    </row>
    <row r="29" spans="1:25" x14ac:dyDescent="0.3">
      <c r="A29">
        <v>4</v>
      </c>
      <c r="B29">
        <v>2015</v>
      </c>
      <c r="C29">
        <v>41478</v>
      </c>
      <c r="D29">
        <v>0</v>
      </c>
      <c r="E29">
        <v>13</v>
      </c>
      <c r="F29">
        <v>3</v>
      </c>
      <c r="G29">
        <f t="shared" si="3"/>
        <v>0</v>
      </c>
      <c r="H29">
        <f t="shared" si="3"/>
        <v>0</v>
      </c>
      <c r="I29">
        <f t="shared" si="3"/>
        <v>0</v>
      </c>
      <c r="J29">
        <f t="shared" si="3"/>
        <v>1</v>
      </c>
      <c r="K29">
        <f t="shared" si="3"/>
        <v>0</v>
      </c>
      <c r="L29">
        <f t="shared" si="3"/>
        <v>0</v>
      </c>
      <c r="M29">
        <f t="shared" si="4"/>
        <v>0</v>
      </c>
      <c r="N29">
        <f t="shared" si="4"/>
        <v>0</v>
      </c>
      <c r="O29">
        <f t="shared" si="4"/>
        <v>1</v>
      </c>
    </row>
    <row r="30" spans="1:25" ht="15" thickBot="1" x14ac:dyDescent="0.35">
      <c r="A30">
        <v>4</v>
      </c>
      <c r="B30">
        <v>2016</v>
      </c>
      <c r="C30">
        <v>40070</v>
      </c>
      <c r="D30">
        <v>150</v>
      </c>
      <c r="E30">
        <v>194</v>
      </c>
      <c r="F30">
        <v>9.5</v>
      </c>
      <c r="G30">
        <f t="shared" si="3"/>
        <v>0</v>
      </c>
      <c r="H30">
        <f t="shared" si="3"/>
        <v>0</v>
      </c>
      <c r="I30">
        <f t="shared" si="3"/>
        <v>0</v>
      </c>
      <c r="J30">
        <f t="shared" si="3"/>
        <v>0</v>
      </c>
      <c r="K30">
        <f t="shared" si="3"/>
        <v>1</v>
      </c>
      <c r="L30">
        <f t="shared" si="3"/>
        <v>0</v>
      </c>
      <c r="M30">
        <f t="shared" si="4"/>
        <v>0</v>
      </c>
      <c r="N30">
        <f t="shared" si="4"/>
        <v>0</v>
      </c>
      <c r="O30">
        <f t="shared" si="4"/>
        <v>1</v>
      </c>
      <c r="Q30" t="s">
        <v>2456</v>
      </c>
    </row>
    <row r="31" spans="1:25" x14ac:dyDescent="0.3">
      <c r="A31">
        <v>1</v>
      </c>
      <c r="B31">
        <v>2016</v>
      </c>
      <c r="C31">
        <v>37141</v>
      </c>
      <c r="D31">
        <v>195</v>
      </c>
      <c r="E31">
        <v>316</v>
      </c>
      <c r="F31">
        <v>51</v>
      </c>
      <c r="G31">
        <f t="shared" si="3"/>
        <v>0</v>
      </c>
      <c r="H31">
        <f t="shared" si="3"/>
        <v>0</v>
      </c>
      <c r="I31">
        <f t="shared" si="3"/>
        <v>0</v>
      </c>
      <c r="J31">
        <f t="shared" si="3"/>
        <v>0</v>
      </c>
      <c r="K31">
        <f t="shared" si="3"/>
        <v>1</v>
      </c>
      <c r="L31">
        <f t="shared" si="3"/>
        <v>0</v>
      </c>
      <c r="M31">
        <f t="shared" si="4"/>
        <v>1</v>
      </c>
      <c r="N31">
        <f t="shared" si="4"/>
        <v>0</v>
      </c>
      <c r="O31">
        <f t="shared" si="4"/>
        <v>0</v>
      </c>
      <c r="Q31" s="2"/>
      <c r="R31" s="2" t="s">
        <v>2438</v>
      </c>
      <c r="S31" s="2" t="s">
        <v>2461</v>
      </c>
      <c r="T31" s="2" t="s">
        <v>2462</v>
      </c>
      <c r="U31" s="2" t="s">
        <v>2446</v>
      </c>
      <c r="V31" s="2" t="s">
        <v>2463</v>
      </c>
    </row>
    <row r="32" spans="1:25" x14ac:dyDescent="0.3">
      <c r="A32">
        <v>4</v>
      </c>
      <c r="B32">
        <v>2016</v>
      </c>
      <c r="C32">
        <v>36322</v>
      </c>
      <c r="D32">
        <v>0</v>
      </c>
      <c r="E32">
        <v>32</v>
      </c>
      <c r="F32">
        <v>4.5</v>
      </c>
      <c r="G32">
        <f t="shared" ref="G32:L41" si="5">IF($B32=G$1,1,0)</f>
        <v>0</v>
      </c>
      <c r="H32">
        <f t="shared" si="5"/>
        <v>0</v>
      </c>
      <c r="I32">
        <f t="shared" si="5"/>
        <v>0</v>
      </c>
      <c r="J32">
        <f t="shared" si="5"/>
        <v>0</v>
      </c>
      <c r="K32">
        <f t="shared" si="5"/>
        <v>1</v>
      </c>
      <c r="L32">
        <f t="shared" si="5"/>
        <v>0</v>
      </c>
      <c r="M32">
        <f t="shared" si="4"/>
        <v>0</v>
      </c>
      <c r="N32">
        <f t="shared" si="4"/>
        <v>0</v>
      </c>
      <c r="O32">
        <f t="shared" si="4"/>
        <v>1</v>
      </c>
      <c r="Q32" t="s">
        <v>2457</v>
      </c>
      <c r="R32">
        <v>12</v>
      </c>
      <c r="S32">
        <v>27466207070.98999</v>
      </c>
      <c r="T32">
        <v>2288850589.249166</v>
      </c>
      <c r="U32">
        <v>11.981414784649163</v>
      </c>
      <c r="V32">
        <v>3.3424070103993618E-23</v>
      </c>
    </row>
    <row r="33" spans="1:25" x14ac:dyDescent="0.3">
      <c r="A33">
        <v>1</v>
      </c>
      <c r="B33">
        <v>2012</v>
      </c>
      <c r="C33">
        <v>35267</v>
      </c>
      <c r="D33">
        <v>50</v>
      </c>
      <c r="E33">
        <v>53</v>
      </c>
      <c r="F33">
        <v>4</v>
      </c>
      <c r="G33">
        <f t="shared" si="5"/>
        <v>1</v>
      </c>
      <c r="H33">
        <f t="shared" si="5"/>
        <v>0</v>
      </c>
      <c r="I33">
        <f t="shared" si="5"/>
        <v>0</v>
      </c>
      <c r="J33">
        <f t="shared" si="5"/>
        <v>0</v>
      </c>
      <c r="K33">
        <f t="shared" si="5"/>
        <v>0</v>
      </c>
      <c r="L33">
        <f t="shared" si="5"/>
        <v>0</v>
      </c>
      <c r="M33">
        <f t="shared" si="4"/>
        <v>1</v>
      </c>
      <c r="N33">
        <f t="shared" si="4"/>
        <v>0</v>
      </c>
      <c r="O33">
        <f t="shared" si="4"/>
        <v>0</v>
      </c>
      <c r="Q33" t="s">
        <v>2458</v>
      </c>
      <c r="R33">
        <v>1190</v>
      </c>
      <c r="S33">
        <v>227329764486.26166</v>
      </c>
      <c r="T33">
        <v>191033415.53467366</v>
      </c>
    </row>
    <row r="34" spans="1:25" ht="15" thickBot="1" x14ac:dyDescent="0.35">
      <c r="A34">
        <v>1</v>
      </c>
      <c r="B34">
        <v>2015</v>
      </c>
      <c r="C34">
        <v>33788</v>
      </c>
      <c r="D34">
        <v>200</v>
      </c>
      <c r="E34">
        <v>246</v>
      </c>
      <c r="F34">
        <v>32.5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1</v>
      </c>
      <c r="K34">
        <f t="shared" si="5"/>
        <v>0</v>
      </c>
      <c r="L34">
        <f t="shared" si="5"/>
        <v>0</v>
      </c>
      <c r="M34">
        <f t="shared" si="4"/>
        <v>1</v>
      </c>
      <c r="N34">
        <f t="shared" si="4"/>
        <v>0</v>
      </c>
      <c r="O34">
        <f t="shared" si="4"/>
        <v>0</v>
      </c>
      <c r="Q34" s="1" t="s">
        <v>2459</v>
      </c>
      <c r="R34" s="1">
        <v>1202</v>
      </c>
      <c r="S34" s="1">
        <v>254795971557.25165</v>
      </c>
      <c r="T34" s="1"/>
      <c r="U34" s="1"/>
      <c r="V34" s="1"/>
    </row>
    <row r="35" spans="1:25" ht="15" thickBot="1" x14ac:dyDescent="0.35">
      <c r="A35">
        <v>4</v>
      </c>
      <c r="B35">
        <v>2015</v>
      </c>
      <c r="C35">
        <v>33677</v>
      </c>
      <c r="D35">
        <v>195</v>
      </c>
      <c r="E35">
        <v>283</v>
      </c>
      <c r="F35">
        <v>31.5</v>
      </c>
      <c r="G35">
        <f t="shared" si="5"/>
        <v>0</v>
      </c>
      <c r="H35">
        <f t="shared" si="5"/>
        <v>0</v>
      </c>
      <c r="I35">
        <f t="shared" si="5"/>
        <v>0</v>
      </c>
      <c r="J35">
        <f t="shared" si="5"/>
        <v>1</v>
      </c>
      <c r="K35">
        <f t="shared" si="5"/>
        <v>0</v>
      </c>
      <c r="L35">
        <f t="shared" si="5"/>
        <v>0</v>
      </c>
      <c r="M35">
        <f t="shared" si="4"/>
        <v>0</v>
      </c>
      <c r="N35">
        <f t="shared" si="4"/>
        <v>0</v>
      </c>
      <c r="O35">
        <f t="shared" si="4"/>
        <v>1</v>
      </c>
    </row>
    <row r="36" spans="1:25" x14ac:dyDescent="0.3">
      <c r="A36">
        <v>1</v>
      </c>
      <c r="B36">
        <v>2016</v>
      </c>
      <c r="C36">
        <v>32696</v>
      </c>
      <c r="D36">
        <v>195</v>
      </c>
      <c r="E36">
        <v>67</v>
      </c>
      <c r="F36">
        <v>10</v>
      </c>
      <c r="G36">
        <f t="shared" si="5"/>
        <v>0</v>
      </c>
      <c r="H36">
        <f t="shared" si="5"/>
        <v>0</v>
      </c>
      <c r="I36">
        <f t="shared" si="5"/>
        <v>0</v>
      </c>
      <c r="J36">
        <f t="shared" si="5"/>
        <v>0</v>
      </c>
      <c r="K36">
        <f t="shared" si="5"/>
        <v>1</v>
      </c>
      <c r="L36">
        <f t="shared" si="5"/>
        <v>0</v>
      </c>
      <c r="M36">
        <f t="shared" si="4"/>
        <v>1</v>
      </c>
      <c r="N36">
        <f t="shared" si="4"/>
        <v>0</v>
      </c>
      <c r="O36">
        <f t="shared" si="4"/>
        <v>0</v>
      </c>
      <c r="Q36" s="2"/>
      <c r="R36" s="2" t="s">
        <v>2464</v>
      </c>
      <c r="S36" s="2" t="s">
        <v>2419</v>
      </c>
      <c r="T36" s="2" t="s">
        <v>2439</v>
      </c>
      <c r="U36" s="2" t="s">
        <v>2465</v>
      </c>
      <c r="V36" s="2" t="s">
        <v>2466</v>
      </c>
      <c r="W36" s="2" t="s">
        <v>2467</v>
      </c>
      <c r="X36" s="2" t="s">
        <v>2468</v>
      </c>
      <c r="Y36" s="2" t="s">
        <v>2469</v>
      </c>
    </row>
    <row r="37" spans="1:25" x14ac:dyDescent="0.3">
      <c r="A37">
        <v>4</v>
      </c>
      <c r="B37">
        <v>2014</v>
      </c>
      <c r="C37">
        <v>32260</v>
      </c>
      <c r="D37">
        <v>0</v>
      </c>
      <c r="E37">
        <v>12</v>
      </c>
      <c r="F37">
        <v>1.5</v>
      </c>
      <c r="G37">
        <f t="shared" si="5"/>
        <v>0</v>
      </c>
      <c r="H37">
        <f t="shared" si="5"/>
        <v>0</v>
      </c>
      <c r="I37">
        <f t="shared" si="5"/>
        <v>1</v>
      </c>
      <c r="J37">
        <f t="shared" si="5"/>
        <v>0</v>
      </c>
      <c r="K37">
        <f t="shared" si="5"/>
        <v>0</v>
      </c>
      <c r="L37">
        <f t="shared" si="5"/>
        <v>0</v>
      </c>
      <c r="M37">
        <f t="shared" si="4"/>
        <v>0</v>
      </c>
      <c r="N37">
        <f t="shared" si="4"/>
        <v>0</v>
      </c>
      <c r="O37">
        <f t="shared" si="4"/>
        <v>1</v>
      </c>
      <c r="Q37" t="s">
        <v>2460</v>
      </c>
      <c r="R37" s="9">
        <v>29450.38665466079</v>
      </c>
      <c r="S37" s="9">
        <v>7250.6608277520372</v>
      </c>
      <c r="T37" s="9">
        <v>4.0617520739542661</v>
      </c>
      <c r="U37" s="9">
        <v>5.1893805710600186E-5</v>
      </c>
      <c r="V37" s="9">
        <v>15224.883875178713</v>
      </c>
      <c r="W37" s="9">
        <v>43675.889434142868</v>
      </c>
      <c r="X37" s="9">
        <v>15224.883875178713</v>
      </c>
      <c r="Y37" s="9">
        <v>43675.889434142868</v>
      </c>
    </row>
    <row r="38" spans="1:25" x14ac:dyDescent="0.3">
      <c r="A38">
        <v>1</v>
      </c>
      <c r="B38">
        <v>2015</v>
      </c>
      <c r="C38">
        <v>31499</v>
      </c>
      <c r="D38">
        <v>195</v>
      </c>
      <c r="E38">
        <v>46</v>
      </c>
      <c r="F38">
        <v>4</v>
      </c>
      <c r="G38">
        <f t="shared" si="5"/>
        <v>0</v>
      </c>
      <c r="H38">
        <f t="shared" si="5"/>
        <v>0</v>
      </c>
      <c r="I38">
        <f t="shared" si="5"/>
        <v>0</v>
      </c>
      <c r="J38">
        <f t="shared" si="5"/>
        <v>1</v>
      </c>
      <c r="K38">
        <f t="shared" si="5"/>
        <v>0</v>
      </c>
      <c r="L38">
        <f t="shared" si="5"/>
        <v>0</v>
      </c>
      <c r="M38">
        <f t="shared" si="4"/>
        <v>1</v>
      </c>
      <c r="N38">
        <f t="shared" si="4"/>
        <v>0</v>
      </c>
      <c r="O38">
        <f t="shared" si="4"/>
        <v>0</v>
      </c>
      <c r="Q38" t="s">
        <v>3</v>
      </c>
      <c r="R38" s="9">
        <v>-4.4253245251108035</v>
      </c>
      <c r="S38" s="9">
        <v>6.6833871585827511</v>
      </c>
      <c r="T38" s="9">
        <v>-0.66213798783567968</v>
      </c>
      <c r="U38" s="9">
        <v>0.50801099556607987</v>
      </c>
      <c r="V38" s="9">
        <v>-17.537859349091839</v>
      </c>
      <c r="W38" s="9">
        <v>8.6872102988702302</v>
      </c>
      <c r="X38" s="9">
        <v>-17.537859349091839</v>
      </c>
      <c r="Y38" s="9">
        <v>8.6872102988702302</v>
      </c>
    </row>
    <row r="39" spans="1:25" x14ac:dyDescent="0.3">
      <c r="A39">
        <v>1</v>
      </c>
      <c r="B39">
        <v>2012</v>
      </c>
      <c r="C39">
        <v>31070</v>
      </c>
      <c r="D39">
        <v>20</v>
      </c>
      <c r="E39">
        <v>195</v>
      </c>
      <c r="F39">
        <v>18</v>
      </c>
      <c r="G39">
        <f t="shared" si="5"/>
        <v>1</v>
      </c>
      <c r="H39">
        <f t="shared" si="5"/>
        <v>0</v>
      </c>
      <c r="I39">
        <f t="shared" si="5"/>
        <v>0</v>
      </c>
      <c r="J39">
        <f t="shared" si="5"/>
        <v>0</v>
      </c>
      <c r="K39">
        <f t="shared" si="5"/>
        <v>0</v>
      </c>
      <c r="L39">
        <f t="shared" si="5"/>
        <v>0</v>
      </c>
      <c r="M39">
        <f t="shared" si="4"/>
        <v>1</v>
      </c>
      <c r="N39">
        <f t="shared" si="4"/>
        <v>0</v>
      </c>
      <c r="O39">
        <f t="shared" si="4"/>
        <v>0</v>
      </c>
      <c r="Q39" t="s">
        <v>6</v>
      </c>
      <c r="R39" s="9">
        <v>0.22626879188263779</v>
      </c>
      <c r="S39" s="9">
        <v>12.609638618873481</v>
      </c>
      <c r="T39" s="9">
        <v>1.7944113921232439E-2</v>
      </c>
      <c r="U39" s="9">
        <v>0.98568644486084145</v>
      </c>
      <c r="V39" s="9">
        <v>-24.513331291805585</v>
      </c>
      <c r="W39" s="9">
        <v>24.965868875570862</v>
      </c>
      <c r="X39" s="9">
        <v>-24.513331291805585</v>
      </c>
      <c r="Y39" s="9">
        <v>24.965868875570862</v>
      </c>
    </row>
    <row r="40" spans="1:25" x14ac:dyDescent="0.3">
      <c r="A40">
        <v>4</v>
      </c>
      <c r="B40">
        <v>2015</v>
      </c>
      <c r="C40">
        <v>30531</v>
      </c>
      <c r="D40">
        <v>0</v>
      </c>
      <c r="E40">
        <v>53</v>
      </c>
      <c r="F40">
        <v>3</v>
      </c>
      <c r="G40">
        <f t="shared" si="5"/>
        <v>0</v>
      </c>
      <c r="H40">
        <f t="shared" si="5"/>
        <v>0</v>
      </c>
      <c r="I40">
        <f t="shared" si="5"/>
        <v>0</v>
      </c>
      <c r="J40">
        <f t="shared" si="5"/>
        <v>1</v>
      </c>
      <c r="K40">
        <f t="shared" si="5"/>
        <v>0</v>
      </c>
      <c r="L40">
        <f t="shared" si="5"/>
        <v>0</v>
      </c>
      <c r="M40">
        <f t="shared" si="4"/>
        <v>0</v>
      </c>
      <c r="N40">
        <f t="shared" si="4"/>
        <v>0</v>
      </c>
      <c r="O40">
        <f t="shared" si="4"/>
        <v>1</v>
      </c>
      <c r="Q40" t="s">
        <v>8</v>
      </c>
      <c r="R40" s="9">
        <v>300.73030699004124</v>
      </c>
      <c r="S40" s="9">
        <v>108.60605576405517</v>
      </c>
      <c r="T40" s="9">
        <v>2.769001275982002</v>
      </c>
      <c r="U40" s="9">
        <v>5.71017261032315E-3</v>
      </c>
      <c r="V40" s="9">
        <v>87.649625815888243</v>
      </c>
      <c r="W40" s="9">
        <v>513.81098816419421</v>
      </c>
      <c r="X40" s="9">
        <v>87.649625815888243</v>
      </c>
      <c r="Y40" s="9">
        <v>513.81098816419421</v>
      </c>
    </row>
    <row r="41" spans="1:25" x14ac:dyDescent="0.3">
      <c r="A41">
        <v>1</v>
      </c>
      <c r="B41">
        <v>2014</v>
      </c>
      <c r="C41">
        <v>29990</v>
      </c>
      <c r="D41">
        <v>0</v>
      </c>
      <c r="E41">
        <v>87</v>
      </c>
      <c r="F41">
        <v>17.5</v>
      </c>
      <c r="G41">
        <f t="shared" si="5"/>
        <v>0</v>
      </c>
      <c r="H41">
        <f t="shared" si="5"/>
        <v>0</v>
      </c>
      <c r="I41">
        <f t="shared" si="5"/>
        <v>1</v>
      </c>
      <c r="J41">
        <f t="shared" si="5"/>
        <v>0</v>
      </c>
      <c r="K41">
        <f t="shared" si="5"/>
        <v>0</v>
      </c>
      <c r="L41">
        <f t="shared" si="5"/>
        <v>0</v>
      </c>
      <c r="M41">
        <f t="shared" si="4"/>
        <v>1</v>
      </c>
      <c r="N41">
        <f t="shared" si="4"/>
        <v>0</v>
      </c>
      <c r="O41">
        <f t="shared" si="4"/>
        <v>0</v>
      </c>
      <c r="Q41">
        <v>2012</v>
      </c>
      <c r="R41" s="9">
        <v>-6174.2817253322446</v>
      </c>
      <c r="S41" s="9">
        <v>6954.1326060913079</v>
      </c>
      <c r="T41" s="9">
        <v>-0.88785792205400693</v>
      </c>
      <c r="U41" s="9">
        <v>0.37479659520853148</v>
      </c>
      <c r="V41" s="9">
        <v>-19818.008147922257</v>
      </c>
      <c r="W41" s="9">
        <v>7469.4446972577662</v>
      </c>
      <c r="X41" s="9">
        <v>-19818.008147922257</v>
      </c>
      <c r="Y41" s="9">
        <v>7469.4446972577662</v>
      </c>
    </row>
    <row r="42" spans="1:25" x14ac:dyDescent="0.3">
      <c r="A42">
        <v>1</v>
      </c>
      <c r="B42">
        <v>2016</v>
      </c>
      <c r="C42">
        <v>29348</v>
      </c>
      <c r="D42">
        <v>195</v>
      </c>
      <c r="E42">
        <v>66</v>
      </c>
      <c r="F42">
        <v>3</v>
      </c>
      <c r="G42">
        <f t="shared" ref="G42:L51" si="6">IF($B42=G$1,1,0)</f>
        <v>0</v>
      </c>
      <c r="H42">
        <f t="shared" si="6"/>
        <v>0</v>
      </c>
      <c r="I42">
        <f t="shared" si="6"/>
        <v>0</v>
      </c>
      <c r="J42">
        <f t="shared" si="6"/>
        <v>0</v>
      </c>
      <c r="K42">
        <f t="shared" si="6"/>
        <v>1</v>
      </c>
      <c r="L42">
        <f t="shared" si="6"/>
        <v>0</v>
      </c>
      <c r="M42">
        <f t="shared" ref="M42:O61" si="7">IF($A42=M$1,1,0)</f>
        <v>1</v>
      </c>
      <c r="N42">
        <f t="shared" si="7"/>
        <v>0</v>
      </c>
      <c r="O42">
        <f t="shared" si="7"/>
        <v>0</v>
      </c>
      <c r="Q42">
        <v>2013</v>
      </c>
      <c r="R42" s="9">
        <v>-1641.5041738709449</v>
      </c>
      <c r="S42" s="9">
        <v>6480.093554105124</v>
      </c>
      <c r="T42" s="9">
        <v>-0.25331488815173908</v>
      </c>
      <c r="U42" s="9">
        <v>0.80006864659546617</v>
      </c>
      <c r="V42" s="9">
        <v>-14355.185182420644</v>
      </c>
      <c r="W42" s="9">
        <v>11072.176834678756</v>
      </c>
      <c r="X42" s="9">
        <v>-14355.185182420644</v>
      </c>
      <c r="Y42" s="9">
        <v>11072.176834678756</v>
      </c>
    </row>
    <row r="43" spans="1:25" x14ac:dyDescent="0.3">
      <c r="A43">
        <v>1</v>
      </c>
      <c r="B43">
        <v>2015</v>
      </c>
      <c r="C43">
        <v>28880</v>
      </c>
      <c r="D43">
        <v>200</v>
      </c>
      <c r="E43">
        <v>286</v>
      </c>
      <c r="F43">
        <v>30.5</v>
      </c>
      <c r="G43">
        <f t="shared" si="6"/>
        <v>0</v>
      </c>
      <c r="H43">
        <f t="shared" si="6"/>
        <v>0</v>
      </c>
      <c r="I43">
        <f t="shared" si="6"/>
        <v>0</v>
      </c>
      <c r="J43">
        <f t="shared" si="6"/>
        <v>1</v>
      </c>
      <c r="K43">
        <f t="shared" si="6"/>
        <v>0</v>
      </c>
      <c r="L43">
        <f t="shared" si="6"/>
        <v>0</v>
      </c>
      <c r="M43">
        <f t="shared" si="7"/>
        <v>1</v>
      </c>
      <c r="N43">
        <f t="shared" si="7"/>
        <v>0</v>
      </c>
      <c r="O43">
        <f t="shared" si="7"/>
        <v>0</v>
      </c>
      <c r="Q43">
        <v>2014</v>
      </c>
      <c r="R43" s="9">
        <v>-12845.698256673615</v>
      </c>
      <c r="S43" s="9">
        <v>6339.8247684149637</v>
      </c>
      <c r="T43" s="9">
        <v>-2.0261913737223374</v>
      </c>
      <c r="U43" s="9">
        <v>4.2967895869070592E-2</v>
      </c>
      <c r="V43" s="9">
        <v>-25284.177590767307</v>
      </c>
      <c r="W43" s="9">
        <v>-407.21892257992295</v>
      </c>
      <c r="X43" s="9">
        <v>-25284.177590767307</v>
      </c>
      <c r="Y43" s="9">
        <v>-407.21892257992295</v>
      </c>
    </row>
    <row r="44" spans="1:25" x14ac:dyDescent="0.3">
      <c r="A44">
        <v>4</v>
      </c>
      <c r="B44">
        <v>2016</v>
      </c>
      <c r="C44">
        <v>28694</v>
      </c>
      <c r="D44">
        <v>195</v>
      </c>
      <c r="E44">
        <v>77</v>
      </c>
      <c r="F44">
        <v>11.5</v>
      </c>
      <c r="G44">
        <f t="shared" si="6"/>
        <v>0</v>
      </c>
      <c r="H44">
        <f t="shared" si="6"/>
        <v>0</v>
      </c>
      <c r="I44">
        <f t="shared" si="6"/>
        <v>0</v>
      </c>
      <c r="J44">
        <f t="shared" si="6"/>
        <v>0</v>
      </c>
      <c r="K44">
        <f t="shared" si="6"/>
        <v>1</v>
      </c>
      <c r="L44">
        <f t="shared" si="6"/>
        <v>0</v>
      </c>
      <c r="M44">
        <f t="shared" si="7"/>
        <v>0</v>
      </c>
      <c r="N44">
        <f t="shared" si="7"/>
        <v>0</v>
      </c>
      <c r="O44">
        <f t="shared" si="7"/>
        <v>1</v>
      </c>
      <c r="Q44">
        <v>2015</v>
      </c>
      <c r="R44" s="9">
        <v>-15160.559038681744</v>
      </c>
      <c r="S44" s="9">
        <v>6250.4141705114898</v>
      </c>
      <c r="T44" s="9">
        <v>-2.425528712994248</v>
      </c>
      <c r="U44" s="9">
        <v>1.5434068950483685E-2</v>
      </c>
      <c r="V44" s="9">
        <v>-27423.61840220906</v>
      </c>
      <c r="W44" s="9">
        <v>-2897.4996751544259</v>
      </c>
      <c r="X44" s="9">
        <v>-27423.61840220906</v>
      </c>
      <c r="Y44" s="9">
        <v>-2897.4996751544259</v>
      </c>
    </row>
    <row r="45" spans="1:25" x14ac:dyDescent="0.3">
      <c r="A45">
        <v>1</v>
      </c>
      <c r="B45">
        <v>2015</v>
      </c>
      <c r="C45">
        <v>28125</v>
      </c>
      <c r="D45">
        <v>80</v>
      </c>
      <c r="E45">
        <v>21</v>
      </c>
      <c r="F45">
        <v>2</v>
      </c>
      <c r="G45">
        <f t="shared" si="6"/>
        <v>0</v>
      </c>
      <c r="H45">
        <f t="shared" si="6"/>
        <v>0</v>
      </c>
      <c r="I45">
        <f t="shared" si="6"/>
        <v>0</v>
      </c>
      <c r="J45">
        <f t="shared" si="6"/>
        <v>1</v>
      </c>
      <c r="K45">
        <f t="shared" si="6"/>
        <v>0</v>
      </c>
      <c r="L45">
        <f t="shared" si="6"/>
        <v>0</v>
      </c>
      <c r="M45">
        <f t="shared" si="7"/>
        <v>1</v>
      </c>
      <c r="N45">
        <f t="shared" si="7"/>
        <v>0</v>
      </c>
      <c r="O45">
        <f t="shared" si="7"/>
        <v>0</v>
      </c>
      <c r="Q45">
        <v>2016</v>
      </c>
      <c r="R45" s="9">
        <v>-17797.349543548793</v>
      </c>
      <c r="S45" s="9">
        <v>6238.6890413640904</v>
      </c>
      <c r="T45" s="9">
        <v>-2.852738680441973</v>
      </c>
      <c r="U45" s="9">
        <v>4.4094355219316079E-3</v>
      </c>
      <c r="V45" s="9">
        <v>-30037.404678739062</v>
      </c>
      <c r="W45" s="9">
        <v>-5557.2944083585262</v>
      </c>
      <c r="X45" s="9">
        <v>-30037.404678739062</v>
      </c>
      <c r="Y45" s="9">
        <v>-5557.2944083585262</v>
      </c>
    </row>
    <row r="46" spans="1:25" x14ac:dyDescent="0.3">
      <c r="A46">
        <v>1</v>
      </c>
      <c r="B46">
        <v>2016</v>
      </c>
      <c r="C46">
        <v>27801</v>
      </c>
      <c r="D46">
        <v>195</v>
      </c>
      <c r="E46">
        <v>113</v>
      </c>
      <c r="F46">
        <v>17.5</v>
      </c>
      <c r="G46">
        <f t="shared" si="6"/>
        <v>0</v>
      </c>
      <c r="H46">
        <f t="shared" si="6"/>
        <v>0</v>
      </c>
      <c r="I46">
        <f t="shared" si="6"/>
        <v>0</v>
      </c>
      <c r="J46">
        <f t="shared" si="6"/>
        <v>0</v>
      </c>
      <c r="K46">
        <f t="shared" si="6"/>
        <v>1</v>
      </c>
      <c r="L46">
        <f t="shared" si="6"/>
        <v>0</v>
      </c>
      <c r="M46">
        <f t="shared" si="7"/>
        <v>1</v>
      </c>
      <c r="N46">
        <f t="shared" si="7"/>
        <v>0</v>
      </c>
      <c r="O46">
        <f t="shared" si="7"/>
        <v>0</v>
      </c>
      <c r="Q46">
        <v>2017</v>
      </c>
      <c r="R46" s="9">
        <v>-19433.135936005303</v>
      </c>
      <c r="S46" s="9">
        <v>6278.636839093032</v>
      </c>
      <c r="T46" s="9">
        <v>-3.095120236132733</v>
      </c>
      <c r="U46" s="9">
        <v>2.0132565791124092E-3</v>
      </c>
      <c r="V46" s="9">
        <v>-31751.567031832448</v>
      </c>
      <c r="W46" s="9">
        <v>-7114.7048401781576</v>
      </c>
      <c r="X46" s="9">
        <v>-31751.567031832448</v>
      </c>
      <c r="Y46" s="9">
        <v>-7114.7048401781576</v>
      </c>
    </row>
    <row r="47" spans="1:25" x14ac:dyDescent="0.3">
      <c r="A47">
        <v>4</v>
      </c>
      <c r="B47">
        <v>2014</v>
      </c>
      <c r="C47">
        <v>26800</v>
      </c>
      <c r="D47">
        <v>20</v>
      </c>
      <c r="E47">
        <v>55</v>
      </c>
      <c r="F47">
        <v>3</v>
      </c>
      <c r="G47">
        <f t="shared" si="6"/>
        <v>0</v>
      </c>
      <c r="H47">
        <f t="shared" si="6"/>
        <v>0</v>
      </c>
      <c r="I47">
        <f t="shared" si="6"/>
        <v>1</v>
      </c>
      <c r="J47">
        <f t="shared" si="6"/>
        <v>0</v>
      </c>
      <c r="K47">
        <f t="shared" si="6"/>
        <v>0</v>
      </c>
      <c r="L47">
        <f t="shared" si="6"/>
        <v>0</v>
      </c>
      <c r="M47">
        <f t="shared" si="7"/>
        <v>0</v>
      </c>
      <c r="N47">
        <f t="shared" si="7"/>
        <v>0</v>
      </c>
      <c r="O47">
        <f t="shared" si="7"/>
        <v>1</v>
      </c>
      <c r="Q47">
        <v>1</v>
      </c>
      <c r="R47" s="9">
        <v>-7633.0286038223403</v>
      </c>
      <c r="S47" s="9">
        <v>3765.2935491437661</v>
      </c>
      <c r="T47" s="9">
        <v>-2.0272067779570873</v>
      </c>
      <c r="U47" s="9">
        <v>4.2863822132847652E-2</v>
      </c>
      <c r="V47" s="9">
        <v>-15020.38199427421</v>
      </c>
      <c r="W47" s="9">
        <v>-245.67521337047037</v>
      </c>
      <c r="X47" s="9">
        <v>-15020.38199427421</v>
      </c>
      <c r="Y47" s="9">
        <v>-245.67521337047037</v>
      </c>
    </row>
    <row r="48" spans="1:25" x14ac:dyDescent="0.3">
      <c r="A48">
        <v>1</v>
      </c>
      <c r="B48">
        <v>2015</v>
      </c>
      <c r="C48">
        <v>26697</v>
      </c>
      <c r="D48">
        <v>0</v>
      </c>
      <c r="E48">
        <v>20</v>
      </c>
      <c r="F48">
        <v>1</v>
      </c>
      <c r="G48">
        <f t="shared" si="6"/>
        <v>0</v>
      </c>
      <c r="H48">
        <f t="shared" si="6"/>
        <v>0</v>
      </c>
      <c r="I48">
        <f t="shared" si="6"/>
        <v>0</v>
      </c>
      <c r="J48">
        <f t="shared" si="6"/>
        <v>1</v>
      </c>
      <c r="K48">
        <f t="shared" si="6"/>
        <v>0</v>
      </c>
      <c r="L48">
        <f t="shared" si="6"/>
        <v>0</v>
      </c>
      <c r="M48">
        <f t="shared" si="7"/>
        <v>1</v>
      </c>
      <c r="N48">
        <f t="shared" si="7"/>
        <v>0</v>
      </c>
      <c r="O48">
        <f t="shared" si="7"/>
        <v>0</v>
      </c>
      <c r="Q48">
        <v>2</v>
      </c>
      <c r="R48" s="9">
        <v>-9247.7937918699226</v>
      </c>
      <c r="S48" s="9">
        <v>3890.546617823723</v>
      </c>
      <c r="T48" s="9">
        <v>-2.3769908705124099</v>
      </c>
      <c r="U48" s="9">
        <v>1.7611896822031702E-2</v>
      </c>
      <c r="V48" s="9">
        <v>-16880.888628373934</v>
      </c>
      <c r="W48" s="9">
        <v>-1614.6989553659132</v>
      </c>
      <c r="X48" s="9">
        <v>-16880.888628373934</v>
      </c>
      <c r="Y48" s="9">
        <v>-1614.6989553659132</v>
      </c>
    </row>
    <row r="49" spans="1:25" ht="15" thickBot="1" x14ac:dyDescent="0.35">
      <c r="A49">
        <v>4</v>
      </c>
      <c r="B49">
        <v>2011</v>
      </c>
      <c r="C49">
        <v>26673</v>
      </c>
      <c r="D49">
        <v>100</v>
      </c>
      <c r="E49">
        <v>185</v>
      </c>
      <c r="F49">
        <v>12</v>
      </c>
      <c r="G49">
        <f t="shared" si="6"/>
        <v>0</v>
      </c>
      <c r="H49">
        <f t="shared" si="6"/>
        <v>0</v>
      </c>
      <c r="I49">
        <f t="shared" si="6"/>
        <v>0</v>
      </c>
      <c r="J49">
        <f t="shared" si="6"/>
        <v>0</v>
      </c>
      <c r="K49">
        <f t="shared" si="6"/>
        <v>0</v>
      </c>
      <c r="L49">
        <f t="shared" si="6"/>
        <v>0</v>
      </c>
      <c r="M49">
        <f t="shared" si="7"/>
        <v>0</v>
      </c>
      <c r="N49">
        <f t="shared" si="7"/>
        <v>0</v>
      </c>
      <c r="O49">
        <f t="shared" si="7"/>
        <v>1</v>
      </c>
      <c r="Q49" s="1">
        <v>4</v>
      </c>
      <c r="R49" s="10">
        <v>-8671.5445024290602</v>
      </c>
      <c r="S49" s="10">
        <v>3744.4052352331296</v>
      </c>
      <c r="T49" s="10">
        <v>-2.315866995600214</v>
      </c>
      <c r="U49" s="10">
        <v>2.0734834725044574E-2</v>
      </c>
      <c r="V49" s="10">
        <v>-16017.91586728995</v>
      </c>
      <c r="W49" s="10">
        <v>-1325.1731375681702</v>
      </c>
      <c r="X49" s="10">
        <v>-16017.91586728995</v>
      </c>
      <c r="Y49" s="10">
        <v>-1325.1731375681702</v>
      </c>
    </row>
    <row r="50" spans="1:25" x14ac:dyDescent="0.3">
      <c r="A50">
        <v>4</v>
      </c>
      <c r="B50">
        <v>2015</v>
      </c>
      <c r="C50">
        <v>26541</v>
      </c>
      <c r="D50">
        <v>0</v>
      </c>
      <c r="E50">
        <v>38</v>
      </c>
      <c r="F50">
        <v>3</v>
      </c>
      <c r="G50">
        <f t="shared" si="6"/>
        <v>0</v>
      </c>
      <c r="H50">
        <f t="shared" si="6"/>
        <v>0</v>
      </c>
      <c r="I50">
        <f t="shared" si="6"/>
        <v>0</v>
      </c>
      <c r="J50">
        <f t="shared" si="6"/>
        <v>1</v>
      </c>
      <c r="K50">
        <f t="shared" si="6"/>
        <v>0</v>
      </c>
      <c r="L50">
        <f t="shared" si="6"/>
        <v>0</v>
      </c>
      <c r="M50">
        <f t="shared" si="7"/>
        <v>0</v>
      </c>
      <c r="N50">
        <f t="shared" si="7"/>
        <v>0</v>
      </c>
      <c r="O50">
        <f t="shared" si="7"/>
        <v>1</v>
      </c>
    </row>
    <row r="51" spans="1:25" x14ac:dyDescent="0.3">
      <c r="A51">
        <v>4</v>
      </c>
      <c r="B51">
        <v>2012</v>
      </c>
      <c r="C51">
        <v>25864</v>
      </c>
      <c r="D51">
        <v>20</v>
      </c>
      <c r="E51">
        <v>32</v>
      </c>
      <c r="F51">
        <v>5</v>
      </c>
      <c r="G51">
        <f t="shared" si="6"/>
        <v>1</v>
      </c>
      <c r="H51">
        <f t="shared" si="6"/>
        <v>0</v>
      </c>
      <c r="I51">
        <f t="shared" si="6"/>
        <v>0</v>
      </c>
      <c r="J51">
        <f t="shared" si="6"/>
        <v>0</v>
      </c>
      <c r="K51">
        <f t="shared" si="6"/>
        <v>0</v>
      </c>
      <c r="L51">
        <f t="shared" si="6"/>
        <v>0</v>
      </c>
      <c r="M51">
        <f t="shared" si="7"/>
        <v>0</v>
      </c>
      <c r="N51">
        <f t="shared" si="7"/>
        <v>0</v>
      </c>
      <c r="O51">
        <f t="shared" si="7"/>
        <v>1</v>
      </c>
    </row>
    <row r="52" spans="1:25" x14ac:dyDescent="0.3">
      <c r="A52">
        <v>4</v>
      </c>
      <c r="B52">
        <v>2012</v>
      </c>
      <c r="C52">
        <v>25854</v>
      </c>
      <c r="D52">
        <v>20</v>
      </c>
      <c r="E52">
        <v>17</v>
      </c>
      <c r="F52">
        <v>2</v>
      </c>
      <c r="G52">
        <f t="shared" ref="G52:L61" si="8">IF($B52=G$1,1,0)</f>
        <v>1</v>
      </c>
      <c r="H52">
        <f t="shared" si="8"/>
        <v>0</v>
      </c>
      <c r="I52">
        <f t="shared" si="8"/>
        <v>0</v>
      </c>
      <c r="J52">
        <f t="shared" si="8"/>
        <v>0</v>
      </c>
      <c r="K52">
        <f t="shared" si="8"/>
        <v>0</v>
      </c>
      <c r="L52">
        <f t="shared" si="8"/>
        <v>0</v>
      </c>
      <c r="M52">
        <f t="shared" si="7"/>
        <v>0</v>
      </c>
      <c r="N52">
        <f t="shared" si="7"/>
        <v>0</v>
      </c>
      <c r="O52">
        <f t="shared" si="7"/>
        <v>1</v>
      </c>
    </row>
    <row r="53" spans="1:25" x14ac:dyDescent="0.3">
      <c r="A53">
        <v>2</v>
      </c>
      <c r="B53">
        <v>2016</v>
      </c>
      <c r="C53">
        <v>25799</v>
      </c>
      <c r="D53">
        <v>195</v>
      </c>
      <c r="E53">
        <v>42</v>
      </c>
      <c r="F53">
        <v>4.5</v>
      </c>
      <c r="G53">
        <f t="shared" si="8"/>
        <v>0</v>
      </c>
      <c r="H53">
        <f t="shared" si="8"/>
        <v>0</v>
      </c>
      <c r="I53">
        <f t="shared" si="8"/>
        <v>0</v>
      </c>
      <c r="J53">
        <f t="shared" si="8"/>
        <v>0</v>
      </c>
      <c r="K53">
        <f t="shared" si="8"/>
        <v>1</v>
      </c>
      <c r="L53">
        <f t="shared" si="8"/>
        <v>0</v>
      </c>
      <c r="M53">
        <f t="shared" si="7"/>
        <v>0</v>
      </c>
      <c r="N53">
        <f t="shared" si="7"/>
        <v>1</v>
      </c>
      <c r="O53">
        <f t="shared" si="7"/>
        <v>0</v>
      </c>
    </row>
    <row r="54" spans="1:25" x14ac:dyDescent="0.3">
      <c r="A54">
        <v>4</v>
      </c>
      <c r="B54">
        <v>2015</v>
      </c>
      <c r="C54">
        <v>24978</v>
      </c>
      <c r="D54">
        <v>195</v>
      </c>
      <c r="E54">
        <v>67</v>
      </c>
      <c r="F54">
        <v>7</v>
      </c>
      <c r="G54">
        <f t="shared" si="8"/>
        <v>0</v>
      </c>
      <c r="H54">
        <f t="shared" si="8"/>
        <v>0</v>
      </c>
      <c r="I54">
        <f t="shared" si="8"/>
        <v>0</v>
      </c>
      <c r="J54">
        <f t="shared" si="8"/>
        <v>1</v>
      </c>
      <c r="K54">
        <f t="shared" si="8"/>
        <v>0</v>
      </c>
      <c r="L54">
        <f t="shared" si="8"/>
        <v>0</v>
      </c>
      <c r="M54">
        <f t="shared" si="7"/>
        <v>0</v>
      </c>
      <c r="N54">
        <f t="shared" si="7"/>
        <v>0</v>
      </c>
      <c r="O54">
        <f t="shared" si="7"/>
        <v>1</v>
      </c>
    </row>
    <row r="55" spans="1:25" x14ac:dyDescent="0.3">
      <c r="A55">
        <v>1</v>
      </c>
      <c r="B55">
        <v>2015</v>
      </c>
      <c r="C55">
        <v>24861</v>
      </c>
      <c r="D55">
        <v>200</v>
      </c>
      <c r="E55">
        <v>281</v>
      </c>
      <c r="F55">
        <v>22.5</v>
      </c>
      <c r="G55">
        <f t="shared" si="8"/>
        <v>0</v>
      </c>
      <c r="H55">
        <f t="shared" si="8"/>
        <v>0</v>
      </c>
      <c r="I55">
        <f t="shared" si="8"/>
        <v>0</v>
      </c>
      <c r="J55">
        <f t="shared" si="8"/>
        <v>1</v>
      </c>
      <c r="K55">
        <f t="shared" si="8"/>
        <v>0</v>
      </c>
      <c r="L55">
        <f t="shared" si="8"/>
        <v>0</v>
      </c>
      <c r="M55">
        <f t="shared" si="7"/>
        <v>1</v>
      </c>
      <c r="N55">
        <f t="shared" si="7"/>
        <v>0</v>
      </c>
      <c r="O55">
        <f t="shared" si="7"/>
        <v>0</v>
      </c>
    </row>
    <row r="56" spans="1:25" x14ac:dyDescent="0.3">
      <c r="A56">
        <v>4</v>
      </c>
      <c r="B56">
        <v>2015</v>
      </c>
      <c r="C56">
        <v>24575</v>
      </c>
      <c r="D56">
        <v>150</v>
      </c>
      <c r="E56">
        <v>98</v>
      </c>
      <c r="F56">
        <v>19.5</v>
      </c>
      <c r="G56">
        <f t="shared" si="8"/>
        <v>0</v>
      </c>
      <c r="H56">
        <f t="shared" si="8"/>
        <v>0</v>
      </c>
      <c r="I56">
        <f t="shared" si="8"/>
        <v>0</v>
      </c>
      <c r="J56">
        <f t="shared" si="8"/>
        <v>1</v>
      </c>
      <c r="K56">
        <f t="shared" si="8"/>
        <v>0</v>
      </c>
      <c r="L56">
        <f t="shared" si="8"/>
        <v>0</v>
      </c>
      <c r="M56">
        <f t="shared" si="7"/>
        <v>0</v>
      </c>
      <c r="N56">
        <f t="shared" si="7"/>
        <v>0</v>
      </c>
      <c r="O56">
        <f t="shared" si="7"/>
        <v>1</v>
      </c>
    </row>
    <row r="57" spans="1:25" x14ac:dyDescent="0.3">
      <c r="A57">
        <v>1</v>
      </c>
      <c r="B57">
        <v>2015</v>
      </c>
      <c r="C57">
        <v>23764</v>
      </c>
      <c r="D57">
        <v>20</v>
      </c>
      <c r="E57">
        <v>58</v>
      </c>
      <c r="F57">
        <v>5.5</v>
      </c>
      <c r="G57">
        <f t="shared" si="8"/>
        <v>0</v>
      </c>
      <c r="H57">
        <f t="shared" si="8"/>
        <v>0</v>
      </c>
      <c r="I57">
        <f t="shared" si="8"/>
        <v>0</v>
      </c>
      <c r="J57">
        <f t="shared" si="8"/>
        <v>1</v>
      </c>
      <c r="K57">
        <f t="shared" si="8"/>
        <v>0</v>
      </c>
      <c r="L57">
        <f t="shared" si="8"/>
        <v>0</v>
      </c>
      <c r="M57">
        <f t="shared" si="7"/>
        <v>1</v>
      </c>
      <c r="N57">
        <f t="shared" si="7"/>
        <v>0</v>
      </c>
      <c r="O57">
        <f t="shared" si="7"/>
        <v>0</v>
      </c>
    </row>
    <row r="58" spans="1:25" x14ac:dyDescent="0.3">
      <c r="A58">
        <v>1</v>
      </c>
      <c r="B58">
        <v>2013</v>
      </c>
      <c r="C58">
        <v>23669</v>
      </c>
      <c r="D58">
        <v>0</v>
      </c>
      <c r="E58">
        <v>9</v>
      </c>
      <c r="F58">
        <v>1</v>
      </c>
      <c r="G58">
        <f t="shared" si="8"/>
        <v>0</v>
      </c>
      <c r="H58">
        <f t="shared" si="8"/>
        <v>1</v>
      </c>
      <c r="I58">
        <f t="shared" si="8"/>
        <v>0</v>
      </c>
      <c r="J58">
        <f t="shared" si="8"/>
        <v>0</v>
      </c>
      <c r="K58">
        <f t="shared" si="8"/>
        <v>0</v>
      </c>
      <c r="L58">
        <f t="shared" si="8"/>
        <v>0</v>
      </c>
      <c r="M58">
        <f t="shared" si="7"/>
        <v>1</v>
      </c>
      <c r="N58">
        <f t="shared" si="7"/>
        <v>0</v>
      </c>
      <c r="O58">
        <f t="shared" si="7"/>
        <v>0</v>
      </c>
    </row>
    <row r="59" spans="1:25" x14ac:dyDescent="0.3">
      <c r="A59">
        <v>4</v>
      </c>
      <c r="B59">
        <v>2016</v>
      </c>
      <c r="C59">
        <v>23572</v>
      </c>
      <c r="D59">
        <v>95</v>
      </c>
      <c r="E59">
        <v>20</v>
      </c>
      <c r="F59">
        <v>2</v>
      </c>
      <c r="G59">
        <f t="shared" si="8"/>
        <v>0</v>
      </c>
      <c r="H59">
        <f t="shared" si="8"/>
        <v>0</v>
      </c>
      <c r="I59">
        <f t="shared" si="8"/>
        <v>0</v>
      </c>
      <c r="J59">
        <f t="shared" si="8"/>
        <v>0</v>
      </c>
      <c r="K59">
        <f t="shared" si="8"/>
        <v>1</v>
      </c>
      <c r="L59">
        <f t="shared" si="8"/>
        <v>0</v>
      </c>
      <c r="M59">
        <f t="shared" si="7"/>
        <v>0</v>
      </c>
      <c r="N59">
        <f t="shared" si="7"/>
        <v>0</v>
      </c>
      <c r="O59">
        <f t="shared" si="7"/>
        <v>1</v>
      </c>
    </row>
    <row r="60" spans="1:25" x14ac:dyDescent="0.3">
      <c r="A60">
        <v>4</v>
      </c>
      <c r="B60">
        <v>2013</v>
      </c>
      <c r="C60">
        <v>23412</v>
      </c>
      <c r="D60">
        <v>195</v>
      </c>
      <c r="E60">
        <v>251</v>
      </c>
      <c r="F60">
        <v>45</v>
      </c>
      <c r="G60">
        <f t="shared" si="8"/>
        <v>0</v>
      </c>
      <c r="H60">
        <f t="shared" si="8"/>
        <v>1</v>
      </c>
      <c r="I60">
        <f t="shared" si="8"/>
        <v>0</v>
      </c>
      <c r="J60">
        <f t="shared" si="8"/>
        <v>0</v>
      </c>
      <c r="K60">
        <f t="shared" si="8"/>
        <v>0</v>
      </c>
      <c r="L60">
        <f t="shared" si="8"/>
        <v>0</v>
      </c>
      <c r="M60">
        <f t="shared" si="7"/>
        <v>0</v>
      </c>
      <c r="N60">
        <f t="shared" si="7"/>
        <v>0</v>
      </c>
      <c r="O60">
        <f t="shared" si="7"/>
        <v>1</v>
      </c>
    </row>
    <row r="61" spans="1:25" x14ac:dyDescent="0.3">
      <c r="A61">
        <v>4</v>
      </c>
      <c r="B61">
        <v>2013</v>
      </c>
      <c r="C61">
        <v>22999</v>
      </c>
      <c r="D61">
        <v>200</v>
      </c>
      <c r="E61">
        <v>18</v>
      </c>
      <c r="F61">
        <v>1</v>
      </c>
      <c r="G61">
        <f t="shared" si="8"/>
        <v>0</v>
      </c>
      <c r="H61">
        <f t="shared" si="8"/>
        <v>1</v>
      </c>
      <c r="I61">
        <f t="shared" si="8"/>
        <v>0</v>
      </c>
      <c r="J61">
        <f t="shared" si="8"/>
        <v>0</v>
      </c>
      <c r="K61">
        <f t="shared" si="8"/>
        <v>0</v>
      </c>
      <c r="L61">
        <f t="shared" si="8"/>
        <v>0</v>
      </c>
      <c r="M61">
        <f t="shared" si="7"/>
        <v>0</v>
      </c>
      <c r="N61">
        <f t="shared" si="7"/>
        <v>0</v>
      </c>
      <c r="O61">
        <f t="shared" si="7"/>
        <v>1</v>
      </c>
    </row>
    <row r="62" spans="1:25" x14ac:dyDescent="0.3">
      <c r="A62">
        <v>4</v>
      </c>
      <c r="B62">
        <v>2016</v>
      </c>
      <c r="C62">
        <v>22623</v>
      </c>
      <c r="D62">
        <v>95</v>
      </c>
      <c r="E62">
        <v>73</v>
      </c>
      <c r="F62">
        <v>8</v>
      </c>
      <c r="G62">
        <f t="shared" ref="G62:L71" si="9">IF($B62=G$1,1,0)</f>
        <v>0</v>
      </c>
      <c r="H62">
        <f t="shared" si="9"/>
        <v>0</v>
      </c>
      <c r="I62">
        <f t="shared" si="9"/>
        <v>0</v>
      </c>
      <c r="J62">
        <f t="shared" si="9"/>
        <v>0</v>
      </c>
      <c r="K62">
        <f t="shared" si="9"/>
        <v>1</v>
      </c>
      <c r="L62">
        <f t="shared" si="9"/>
        <v>0</v>
      </c>
      <c r="M62">
        <f t="shared" ref="M62:O81" si="10">IF($A62=M$1,1,0)</f>
        <v>0</v>
      </c>
      <c r="N62">
        <f t="shared" si="10"/>
        <v>0</v>
      </c>
      <c r="O62">
        <f t="shared" si="10"/>
        <v>1</v>
      </c>
    </row>
    <row r="63" spans="1:25" x14ac:dyDescent="0.3">
      <c r="A63">
        <v>1</v>
      </c>
      <c r="B63">
        <v>2015</v>
      </c>
      <c r="C63">
        <v>22355</v>
      </c>
      <c r="D63">
        <v>75</v>
      </c>
      <c r="E63">
        <v>26</v>
      </c>
      <c r="F63">
        <v>1.5</v>
      </c>
      <c r="G63">
        <f t="shared" si="9"/>
        <v>0</v>
      </c>
      <c r="H63">
        <f t="shared" si="9"/>
        <v>0</v>
      </c>
      <c r="I63">
        <f t="shared" si="9"/>
        <v>0</v>
      </c>
      <c r="J63">
        <f t="shared" si="9"/>
        <v>1</v>
      </c>
      <c r="K63">
        <f t="shared" si="9"/>
        <v>0</v>
      </c>
      <c r="L63">
        <f t="shared" si="9"/>
        <v>0</v>
      </c>
      <c r="M63">
        <f t="shared" si="10"/>
        <v>1</v>
      </c>
      <c r="N63">
        <f t="shared" si="10"/>
        <v>0</v>
      </c>
      <c r="O63">
        <f t="shared" si="10"/>
        <v>0</v>
      </c>
    </row>
    <row r="64" spans="1:25" x14ac:dyDescent="0.3">
      <c r="A64">
        <v>4</v>
      </c>
      <c r="B64">
        <v>2015</v>
      </c>
      <c r="C64">
        <v>22213</v>
      </c>
      <c r="D64">
        <v>100</v>
      </c>
      <c r="E64">
        <v>16</v>
      </c>
      <c r="F64">
        <v>1</v>
      </c>
      <c r="G64">
        <f t="shared" si="9"/>
        <v>0</v>
      </c>
      <c r="H64">
        <f t="shared" si="9"/>
        <v>0</v>
      </c>
      <c r="I64">
        <f t="shared" si="9"/>
        <v>0</v>
      </c>
      <c r="J64">
        <f t="shared" si="9"/>
        <v>1</v>
      </c>
      <c r="K64">
        <f t="shared" si="9"/>
        <v>0</v>
      </c>
      <c r="L64">
        <f t="shared" si="9"/>
        <v>0</v>
      </c>
      <c r="M64">
        <f t="shared" si="10"/>
        <v>0</v>
      </c>
      <c r="N64">
        <f t="shared" si="10"/>
        <v>0</v>
      </c>
      <c r="O64">
        <f t="shared" si="10"/>
        <v>1</v>
      </c>
    </row>
    <row r="65" spans="1:15" x14ac:dyDescent="0.3">
      <c r="A65">
        <v>4</v>
      </c>
      <c r="B65">
        <v>2016</v>
      </c>
      <c r="C65">
        <v>21998</v>
      </c>
      <c r="D65">
        <v>140</v>
      </c>
      <c r="E65">
        <v>119</v>
      </c>
      <c r="F65">
        <v>12</v>
      </c>
      <c r="G65">
        <f t="shared" si="9"/>
        <v>0</v>
      </c>
      <c r="H65">
        <f t="shared" si="9"/>
        <v>0</v>
      </c>
      <c r="I65">
        <f t="shared" si="9"/>
        <v>0</v>
      </c>
      <c r="J65">
        <f t="shared" si="9"/>
        <v>0</v>
      </c>
      <c r="K65">
        <f t="shared" si="9"/>
        <v>1</v>
      </c>
      <c r="L65">
        <f t="shared" si="9"/>
        <v>0</v>
      </c>
      <c r="M65">
        <f t="shared" si="10"/>
        <v>0</v>
      </c>
      <c r="N65">
        <f t="shared" si="10"/>
        <v>0</v>
      </c>
      <c r="O65">
        <f t="shared" si="10"/>
        <v>1</v>
      </c>
    </row>
    <row r="66" spans="1:15" x14ac:dyDescent="0.3">
      <c r="A66">
        <v>4</v>
      </c>
      <c r="B66">
        <v>2013</v>
      </c>
      <c r="C66">
        <v>21730</v>
      </c>
      <c r="D66">
        <v>200</v>
      </c>
      <c r="E66">
        <v>35</v>
      </c>
      <c r="F66">
        <v>2.5</v>
      </c>
      <c r="G66">
        <f t="shared" si="9"/>
        <v>0</v>
      </c>
      <c r="H66">
        <f t="shared" si="9"/>
        <v>1</v>
      </c>
      <c r="I66">
        <f t="shared" si="9"/>
        <v>0</v>
      </c>
      <c r="J66">
        <f t="shared" si="9"/>
        <v>0</v>
      </c>
      <c r="K66">
        <f t="shared" si="9"/>
        <v>0</v>
      </c>
      <c r="L66">
        <f t="shared" si="9"/>
        <v>0</v>
      </c>
      <c r="M66">
        <f t="shared" si="10"/>
        <v>0</v>
      </c>
      <c r="N66">
        <f t="shared" si="10"/>
        <v>0</v>
      </c>
      <c r="O66">
        <f t="shared" si="10"/>
        <v>1</v>
      </c>
    </row>
    <row r="67" spans="1:15" x14ac:dyDescent="0.3">
      <c r="A67">
        <v>1</v>
      </c>
      <c r="B67">
        <v>2016</v>
      </c>
      <c r="C67">
        <v>21689</v>
      </c>
      <c r="D67">
        <v>0</v>
      </c>
      <c r="E67">
        <v>13</v>
      </c>
      <c r="F67">
        <v>1</v>
      </c>
      <c r="G67">
        <f t="shared" si="9"/>
        <v>0</v>
      </c>
      <c r="H67">
        <f t="shared" si="9"/>
        <v>0</v>
      </c>
      <c r="I67">
        <f t="shared" si="9"/>
        <v>0</v>
      </c>
      <c r="J67">
        <f t="shared" si="9"/>
        <v>0</v>
      </c>
      <c r="K67">
        <f t="shared" si="9"/>
        <v>1</v>
      </c>
      <c r="L67">
        <f t="shared" si="9"/>
        <v>0</v>
      </c>
      <c r="M67">
        <f t="shared" si="10"/>
        <v>1</v>
      </c>
      <c r="N67">
        <f t="shared" si="10"/>
        <v>0</v>
      </c>
      <c r="O67">
        <f t="shared" si="10"/>
        <v>0</v>
      </c>
    </row>
    <row r="68" spans="1:15" x14ac:dyDescent="0.3">
      <c r="A68">
        <v>1</v>
      </c>
      <c r="B68">
        <v>2016</v>
      </c>
      <c r="C68">
        <v>21682</v>
      </c>
      <c r="D68">
        <v>0</v>
      </c>
      <c r="E68">
        <v>8</v>
      </c>
      <c r="F68">
        <v>0.73333333000000001</v>
      </c>
      <c r="G68">
        <f t="shared" si="9"/>
        <v>0</v>
      </c>
      <c r="H68">
        <f t="shared" si="9"/>
        <v>0</v>
      </c>
      <c r="I68">
        <f t="shared" si="9"/>
        <v>0</v>
      </c>
      <c r="J68">
        <f t="shared" si="9"/>
        <v>0</v>
      </c>
      <c r="K68">
        <f t="shared" si="9"/>
        <v>1</v>
      </c>
      <c r="L68">
        <f t="shared" si="9"/>
        <v>0</v>
      </c>
      <c r="M68">
        <f t="shared" si="10"/>
        <v>1</v>
      </c>
      <c r="N68">
        <f t="shared" si="10"/>
        <v>0</v>
      </c>
      <c r="O68">
        <f t="shared" si="10"/>
        <v>0</v>
      </c>
    </row>
    <row r="69" spans="1:15" x14ac:dyDescent="0.3">
      <c r="A69">
        <v>4</v>
      </c>
      <c r="B69">
        <v>2013</v>
      </c>
      <c r="C69">
        <v>21653</v>
      </c>
      <c r="D69">
        <v>75</v>
      </c>
      <c r="E69">
        <v>35</v>
      </c>
      <c r="F69">
        <v>7</v>
      </c>
      <c r="G69">
        <f t="shared" si="9"/>
        <v>0</v>
      </c>
      <c r="H69">
        <f t="shared" si="9"/>
        <v>1</v>
      </c>
      <c r="I69">
        <f t="shared" si="9"/>
        <v>0</v>
      </c>
      <c r="J69">
        <f t="shared" si="9"/>
        <v>0</v>
      </c>
      <c r="K69">
        <f t="shared" si="9"/>
        <v>0</v>
      </c>
      <c r="L69">
        <f t="shared" si="9"/>
        <v>0</v>
      </c>
      <c r="M69">
        <f t="shared" si="10"/>
        <v>0</v>
      </c>
      <c r="N69">
        <f t="shared" si="10"/>
        <v>0</v>
      </c>
      <c r="O69">
        <f t="shared" si="10"/>
        <v>1</v>
      </c>
    </row>
    <row r="70" spans="1:15" x14ac:dyDescent="0.3">
      <c r="A70">
        <v>4</v>
      </c>
      <c r="B70">
        <v>2016</v>
      </c>
      <c r="C70">
        <v>21245</v>
      </c>
      <c r="D70">
        <v>0</v>
      </c>
      <c r="E70">
        <v>9</v>
      </c>
      <c r="F70">
        <v>1</v>
      </c>
      <c r="G70">
        <f t="shared" si="9"/>
        <v>0</v>
      </c>
      <c r="H70">
        <f t="shared" si="9"/>
        <v>0</v>
      </c>
      <c r="I70">
        <f t="shared" si="9"/>
        <v>0</v>
      </c>
      <c r="J70">
        <f t="shared" si="9"/>
        <v>0</v>
      </c>
      <c r="K70">
        <f t="shared" si="9"/>
        <v>1</v>
      </c>
      <c r="L70">
        <f t="shared" si="9"/>
        <v>0</v>
      </c>
      <c r="M70">
        <f t="shared" si="10"/>
        <v>0</v>
      </c>
      <c r="N70">
        <f t="shared" si="10"/>
        <v>0</v>
      </c>
      <c r="O70">
        <f t="shared" si="10"/>
        <v>1</v>
      </c>
    </row>
    <row r="71" spans="1:15" x14ac:dyDescent="0.3">
      <c r="A71">
        <v>1</v>
      </c>
      <c r="B71">
        <v>2015</v>
      </c>
      <c r="C71">
        <v>21147</v>
      </c>
      <c r="D71">
        <v>0</v>
      </c>
      <c r="E71">
        <v>16</v>
      </c>
      <c r="F71">
        <v>1.5</v>
      </c>
      <c r="G71">
        <f t="shared" si="9"/>
        <v>0</v>
      </c>
      <c r="H71">
        <f t="shared" si="9"/>
        <v>0</v>
      </c>
      <c r="I71">
        <f t="shared" si="9"/>
        <v>0</v>
      </c>
      <c r="J71">
        <f t="shared" si="9"/>
        <v>1</v>
      </c>
      <c r="K71">
        <f t="shared" si="9"/>
        <v>0</v>
      </c>
      <c r="L71">
        <f t="shared" si="9"/>
        <v>0</v>
      </c>
      <c r="M71">
        <f t="shared" si="10"/>
        <v>1</v>
      </c>
      <c r="N71">
        <f t="shared" si="10"/>
        <v>0</v>
      </c>
      <c r="O71">
        <f t="shared" si="10"/>
        <v>0</v>
      </c>
    </row>
    <row r="72" spans="1:15" x14ac:dyDescent="0.3">
      <c r="A72">
        <v>2</v>
      </c>
      <c r="B72">
        <v>2014</v>
      </c>
      <c r="C72">
        <v>21087</v>
      </c>
      <c r="D72">
        <v>0</v>
      </c>
      <c r="E72">
        <v>24</v>
      </c>
      <c r="F72">
        <v>3.5</v>
      </c>
      <c r="G72">
        <f t="shared" ref="G72:L81" si="11">IF($B72=G$1,1,0)</f>
        <v>0</v>
      </c>
      <c r="H72">
        <f t="shared" si="11"/>
        <v>0</v>
      </c>
      <c r="I72">
        <f t="shared" si="11"/>
        <v>1</v>
      </c>
      <c r="J72">
        <f t="shared" si="11"/>
        <v>0</v>
      </c>
      <c r="K72">
        <f t="shared" si="11"/>
        <v>0</v>
      </c>
      <c r="L72">
        <f t="shared" si="11"/>
        <v>0</v>
      </c>
      <c r="M72">
        <f t="shared" si="10"/>
        <v>0</v>
      </c>
      <c r="N72">
        <f t="shared" si="10"/>
        <v>1</v>
      </c>
      <c r="O72">
        <f t="shared" si="10"/>
        <v>0</v>
      </c>
    </row>
    <row r="73" spans="1:15" x14ac:dyDescent="0.3">
      <c r="A73">
        <v>1</v>
      </c>
      <c r="B73">
        <v>2015</v>
      </c>
      <c r="C73">
        <v>20890</v>
      </c>
      <c r="D73">
        <v>0</v>
      </c>
      <c r="E73">
        <v>21</v>
      </c>
      <c r="F73">
        <v>3</v>
      </c>
      <c r="G73">
        <f t="shared" si="11"/>
        <v>0</v>
      </c>
      <c r="H73">
        <f t="shared" si="11"/>
        <v>0</v>
      </c>
      <c r="I73">
        <f t="shared" si="11"/>
        <v>0</v>
      </c>
      <c r="J73">
        <f t="shared" si="11"/>
        <v>1</v>
      </c>
      <c r="K73">
        <f t="shared" si="11"/>
        <v>0</v>
      </c>
      <c r="L73">
        <f t="shared" si="11"/>
        <v>0</v>
      </c>
      <c r="M73">
        <f t="shared" si="10"/>
        <v>1</v>
      </c>
      <c r="N73">
        <f t="shared" si="10"/>
        <v>0</v>
      </c>
      <c r="O73">
        <f t="shared" si="10"/>
        <v>0</v>
      </c>
    </row>
    <row r="74" spans="1:15" x14ac:dyDescent="0.3">
      <c r="A74">
        <v>1</v>
      </c>
      <c r="B74">
        <v>2016</v>
      </c>
      <c r="C74">
        <v>20652</v>
      </c>
      <c r="D74">
        <v>190</v>
      </c>
      <c r="E74">
        <v>138</v>
      </c>
      <c r="F74">
        <v>7.5</v>
      </c>
      <c r="G74">
        <f t="shared" si="11"/>
        <v>0</v>
      </c>
      <c r="H74">
        <f t="shared" si="11"/>
        <v>0</v>
      </c>
      <c r="I74">
        <f t="shared" si="11"/>
        <v>0</v>
      </c>
      <c r="J74">
        <f t="shared" si="11"/>
        <v>0</v>
      </c>
      <c r="K74">
        <f t="shared" si="11"/>
        <v>1</v>
      </c>
      <c r="L74">
        <f t="shared" si="11"/>
        <v>0</v>
      </c>
      <c r="M74">
        <f t="shared" si="10"/>
        <v>1</v>
      </c>
      <c r="N74">
        <f t="shared" si="10"/>
        <v>0</v>
      </c>
      <c r="O74">
        <f t="shared" si="10"/>
        <v>0</v>
      </c>
    </row>
    <row r="75" spans="1:15" x14ac:dyDescent="0.3">
      <c r="A75">
        <v>2</v>
      </c>
      <c r="B75">
        <v>2016</v>
      </c>
      <c r="C75">
        <v>20073</v>
      </c>
      <c r="D75">
        <v>0</v>
      </c>
      <c r="E75">
        <v>28</v>
      </c>
      <c r="F75">
        <v>1.5</v>
      </c>
      <c r="G75">
        <f t="shared" si="11"/>
        <v>0</v>
      </c>
      <c r="H75">
        <f t="shared" si="11"/>
        <v>0</v>
      </c>
      <c r="I75">
        <f t="shared" si="11"/>
        <v>0</v>
      </c>
      <c r="J75">
        <f t="shared" si="11"/>
        <v>0</v>
      </c>
      <c r="K75">
        <f t="shared" si="11"/>
        <v>1</v>
      </c>
      <c r="L75">
        <f t="shared" si="11"/>
        <v>0</v>
      </c>
      <c r="M75">
        <f t="shared" si="10"/>
        <v>0</v>
      </c>
      <c r="N75">
        <f t="shared" si="10"/>
        <v>1</v>
      </c>
      <c r="O75">
        <f t="shared" si="10"/>
        <v>0</v>
      </c>
    </row>
    <row r="76" spans="1:15" x14ac:dyDescent="0.3">
      <c r="A76">
        <v>4</v>
      </c>
      <c r="B76">
        <v>2014</v>
      </c>
      <c r="C76">
        <v>19909</v>
      </c>
      <c r="D76">
        <v>0</v>
      </c>
      <c r="E76">
        <v>17</v>
      </c>
      <c r="F76">
        <v>3</v>
      </c>
      <c r="G76">
        <f t="shared" si="11"/>
        <v>0</v>
      </c>
      <c r="H76">
        <f t="shared" si="11"/>
        <v>0</v>
      </c>
      <c r="I76">
        <f t="shared" si="11"/>
        <v>1</v>
      </c>
      <c r="J76">
        <f t="shared" si="11"/>
        <v>0</v>
      </c>
      <c r="K76">
        <f t="shared" si="11"/>
        <v>0</v>
      </c>
      <c r="L76">
        <f t="shared" si="11"/>
        <v>0</v>
      </c>
      <c r="M76">
        <f t="shared" si="10"/>
        <v>0</v>
      </c>
      <c r="N76">
        <f t="shared" si="10"/>
        <v>0</v>
      </c>
      <c r="O76">
        <f t="shared" si="10"/>
        <v>1</v>
      </c>
    </row>
    <row r="77" spans="1:15" x14ac:dyDescent="0.3">
      <c r="A77">
        <v>4</v>
      </c>
      <c r="B77">
        <v>2016</v>
      </c>
      <c r="C77">
        <v>19210</v>
      </c>
      <c r="D77">
        <v>30</v>
      </c>
      <c r="E77">
        <v>44</v>
      </c>
      <c r="F77">
        <v>3</v>
      </c>
      <c r="G77">
        <f t="shared" si="11"/>
        <v>0</v>
      </c>
      <c r="H77">
        <f t="shared" si="11"/>
        <v>0</v>
      </c>
      <c r="I77">
        <f t="shared" si="11"/>
        <v>0</v>
      </c>
      <c r="J77">
        <f t="shared" si="11"/>
        <v>0</v>
      </c>
      <c r="K77">
        <f t="shared" si="11"/>
        <v>1</v>
      </c>
      <c r="L77">
        <f t="shared" si="11"/>
        <v>0</v>
      </c>
      <c r="M77">
        <f t="shared" si="10"/>
        <v>0</v>
      </c>
      <c r="N77">
        <f t="shared" si="10"/>
        <v>0</v>
      </c>
      <c r="O77">
        <f t="shared" si="10"/>
        <v>1</v>
      </c>
    </row>
    <row r="78" spans="1:15" x14ac:dyDescent="0.3">
      <c r="A78">
        <v>1</v>
      </c>
      <c r="B78">
        <v>2014</v>
      </c>
      <c r="C78">
        <v>18818</v>
      </c>
      <c r="D78">
        <v>50</v>
      </c>
      <c r="E78">
        <v>80</v>
      </c>
      <c r="F78">
        <v>11</v>
      </c>
      <c r="G78">
        <f t="shared" si="11"/>
        <v>0</v>
      </c>
      <c r="H78">
        <f t="shared" si="11"/>
        <v>0</v>
      </c>
      <c r="I78">
        <f t="shared" si="11"/>
        <v>1</v>
      </c>
      <c r="J78">
        <f t="shared" si="11"/>
        <v>0</v>
      </c>
      <c r="K78">
        <f t="shared" si="11"/>
        <v>0</v>
      </c>
      <c r="L78">
        <f t="shared" si="11"/>
        <v>0</v>
      </c>
      <c r="M78">
        <f t="shared" si="10"/>
        <v>1</v>
      </c>
      <c r="N78">
        <f t="shared" si="10"/>
        <v>0</v>
      </c>
      <c r="O78">
        <f t="shared" si="10"/>
        <v>0</v>
      </c>
    </row>
    <row r="79" spans="1:15" x14ac:dyDescent="0.3">
      <c r="A79">
        <v>1</v>
      </c>
      <c r="B79">
        <v>2015</v>
      </c>
      <c r="C79">
        <v>18777</v>
      </c>
      <c r="D79">
        <v>20</v>
      </c>
      <c r="E79">
        <v>21</v>
      </c>
      <c r="F79">
        <v>1.5</v>
      </c>
      <c r="G79">
        <f t="shared" si="11"/>
        <v>0</v>
      </c>
      <c r="H79">
        <f t="shared" si="11"/>
        <v>0</v>
      </c>
      <c r="I79">
        <f t="shared" si="11"/>
        <v>0</v>
      </c>
      <c r="J79">
        <f t="shared" si="11"/>
        <v>1</v>
      </c>
      <c r="K79">
        <f t="shared" si="11"/>
        <v>0</v>
      </c>
      <c r="L79">
        <f t="shared" si="11"/>
        <v>0</v>
      </c>
      <c r="M79">
        <f t="shared" si="10"/>
        <v>1</v>
      </c>
      <c r="N79">
        <f t="shared" si="10"/>
        <v>0</v>
      </c>
      <c r="O79">
        <f t="shared" si="10"/>
        <v>0</v>
      </c>
    </row>
    <row r="80" spans="1:15" x14ac:dyDescent="0.3">
      <c r="A80">
        <v>4</v>
      </c>
      <c r="B80">
        <v>2014</v>
      </c>
      <c r="C80">
        <v>18496</v>
      </c>
      <c r="D80">
        <v>0</v>
      </c>
      <c r="E80">
        <v>30</v>
      </c>
      <c r="F80">
        <v>2</v>
      </c>
      <c r="G80">
        <f t="shared" si="11"/>
        <v>0</v>
      </c>
      <c r="H80">
        <f t="shared" si="11"/>
        <v>0</v>
      </c>
      <c r="I80">
        <f t="shared" si="11"/>
        <v>1</v>
      </c>
      <c r="J80">
        <f t="shared" si="11"/>
        <v>0</v>
      </c>
      <c r="K80">
        <f t="shared" si="11"/>
        <v>0</v>
      </c>
      <c r="L80">
        <f t="shared" si="11"/>
        <v>0</v>
      </c>
      <c r="M80">
        <f t="shared" si="10"/>
        <v>0</v>
      </c>
      <c r="N80">
        <f t="shared" si="10"/>
        <v>0</v>
      </c>
      <c r="O80">
        <f t="shared" si="10"/>
        <v>1</v>
      </c>
    </row>
    <row r="81" spans="1:15" x14ac:dyDescent="0.3">
      <c r="A81">
        <v>4</v>
      </c>
      <c r="B81">
        <v>2013</v>
      </c>
      <c r="C81">
        <v>18324</v>
      </c>
      <c r="D81">
        <v>100</v>
      </c>
      <c r="E81">
        <v>16</v>
      </c>
      <c r="F81">
        <v>1</v>
      </c>
      <c r="G81">
        <f t="shared" si="11"/>
        <v>0</v>
      </c>
      <c r="H81">
        <f t="shared" si="11"/>
        <v>1</v>
      </c>
      <c r="I81">
        <f t="shared" si="11"/>
        <v>0</v>
      </c>
      <c r="J81">
        <f t="shared" si="11"/>
        <v>0</v>
      </c>
      <c r="K81">
        <f t="shared" si="11"/>
        <v>0</v>
      </c>
      <c r="L81">
        <f t="shared" si="11"/>
        <v>0</v>
      </c>
      <c r="M81">
        <f t="shared" si="10"/>
        <v>0</v>
      </c>
      <c r="N81">
        <f t="shared" si="10"/>
        <v>0</v>
      </c>
      <c r="O81">
        <f t="shared" si="10"/>
        <v>1</v>
      </c>
    </row>
    <row r="82" spans="1:15" x14ac:dyDescent="0.3">
      <c r="A82">
        <v>4</v>
      </c>
      <c r="B82">
        <v>2013</v>
      </c>
      <c r="C82">
        <v>18170</v>
      </c>
      <c r="D82">
        <v>200</v>
      </c>
      <c r="E82">
        <v>779</v>
      </c>
      <c r="F82">
        <v>44.5</v>
      </c>
      <c r="G82">
        <f t="shared" ref="G82:L91" si="12">IF($B82=G$1,1,0)</f>
        <v>0</v>
      </c>
      <c r="H82">
        <f t="shared" si="12"/>
        <v>1</v>
      </c>
      <c r="I82">
        <f t="shared" si="12"/>
        <v>0</v>
      </c>
      <c r="J82">
        <f t="shared" si="12"/>
        <v>0</v>
      </c>
      <c r="K82">
        <f t="shared" si="12"/>
        <v>0</v>
      </c>
      <c r="L82">
        <f t="shared" si="12"/>
        <v>0</v>
      </c>
      <c r="M82">
        <f t="shared" ref="M82:O101" si="13">IF($A82=M$1,1,0)</f>
        <v>0</v>
      </c>
      <c r="N82">
        <f t="shared" si="13"/>
        <v>0</v>
      </c>
      <c r="O82">
        <f t="shared" si="13"/>
        <v>1</v>
      </c>
    </row>
    <row r="83" spans="1:15" x14ac:dyDescent="0.3">
      <c r="A83">
        <v>4</v>
      </c>
      <c r="B83">
        <v>2013</v>
      </c>
      <c r="C83">
        <v>18143</v>
      </c>
      <c r="D83">
        <v>20</v>
      </c>
      <c r="E83">
        <v>15</v>
      </c>
      <c r="F83">
        <v>2</v>
      </c>
      <c r="G83">
        <f t="shared" si="12"/>
        <v>0</v>
      </c>
      <c r="H83">
        <f t="shared" si="12"/>
        <v>1</v>
      </c>
      <c r="I83">
        <f t="shared" si="12"/>
        <v>0</v>
      </c>
      <c r="J83">
        <f t="shared" si="12"/>
        <v>0</v>
      </c>
      <c r="K83">
        <f t="shared" si="12"/>
        <v>0</v>
      </c>
      <c r="L83">
        <f t="shared" si="12"/>
        <v>0</v>
      </c>
      <c r="M83">
        <f t="shared" si="13"/>
        <v>0</v>
      </c>
      <c r="N83">
        <f t="shared" si="13"/>
        <v>0</v>
      </c>
      <c r="O83">
        <f t="shared" si="13"/>
        <v>1</v>
      </c>
    </row>
    <row r="84" spans="1:15" x14ac:dyDescent="0.3">
      <c r="A84">
        <v>4</v>
      </c>
      <c r="B84">
        <v>2015</v>
      </c>
      <c r="C84">
        <v>18101</v>
      </c>
      <c r="D84">
        <v>150</v>
      </c>
      <c r="E84">
        <v>68</v>
      </c>
      <c r="F84">
        <v>5.5</v>
      </c>
      <c r="G84">
        <f t="shared" si="12"/>
        <v>0</v>
      </c>
      <c r="H84">
        <f t="shared" si="12"/>
        <v>0</v>
      </c>
      <c r="I84">
        <f t="shared" si="12"/>
        <v>0</v>
      </c>
      <c r="J84">
        <f t="shared" si="12"/>
        <v>1</v>
      </c>
      <c r="K84">
        <f t="shared" si="12"/>
        <v>0</v>
      </c>
      <c r="L84">
        <f t="shared" si="12"/>
        <v>0</v>
      </c>
      <c r="M84">
        <f t="shared" si="13"/>
        <v>0</v>
      </c>
      <c r="N84">
        <f t="shared" si="13"/>
        <v>0</v>
      </c>
      <c r="O84">
        <f t="shared" si="13"/>
        <v>1</v>
      </c>
    </row>
    <row r="85" spans="1:15" x14ac:dyDescent="0.3">
      <c r="A85">
        <v>1</v>
      </c>
      <c r="B85">
        <v>2015</v>
      </c>
      <c r="C85">
        <v>17895</v>
      </c>
      <c r="D85">
        <v>195</v>
      </c>
      <c r="E85">
        <v>30</v>
      </c>
      <c r="F85">
        <v>4</v>
      </c>
      <c r="G85">
        <f t="shared" si="12"/>
        <v>0</v>
      </c>
      <c r="H85">
        <f t="shared" si="12"/>
        <v>0</v>
      </c>
      <c r="I85">
        <f t="shared" si="12"/>
        <v>0</v>
      </c>
      <c r="J85">
        <f t="shared" si="12"/>
        <v>1</v>
      </c>
      <c r="K85">
        <f t="shared" si="12"/>
        <v>0</v>
      </c>
      <c r="L85">
        <f t="shared" si="12"/>
        <v>0</v>
      </c>
      <c r="M85">
        <f t="shared" si="13"/>
        <v>1</v>
      </c>
      <c r="N85">
        <f t="shared" si="13"/>
        <v>0</v>
      </c>
      <c r="O85">
        <f t="shared" si="13"/>
        <v>0</v>
      </c>
    </row>
    <row r="86" spans="1:15" x14ac:dyDescent="0.3">
      <c r="A86">
        <v>1</v>
      </c>
      <c r="B86">
        <v>2014</v>
      </c>
      <c r="C86">
        <v>17802</v>
      </c>
      <c r="D86">
        <v>75</v>
      </c>
      <c r="E86">
        <v>113</v>
      </c>
      <c r="F86">
        <v>10</v>
      </c>
      <c r="G86">
        <f t="shared" si="12"/>
        <v>0</v>
      </c>
      <c r="H86">
        <f t="shared" si="12"/>
        <v>0</v>
      </c>
      <c r="I86">
        <f t="shared" si="12"/>
        <v>1</v>
      </c>
      <c r="J86">
        <f t="shared" si="12"/>
        <v>0</v>
      </c>
      <c r="K86">
        <f t="shared" si="12"/>
        <v>0</v>
      </c>
      <c r="L86">
        <f t="shared" si="12"/>
        <v>0</v>
      </c>
      <c r="M86">
        <f t="shared" si="13"/>
        <v>1</v>
      </c>
      <c r="N86">
        <f t="shared" si="13"/>
        <v>0</v>
      </c>
      <c r="O86">
        <f t="shared" si="13"/>
        <v>0</v>
      </c>
    </row>
    <row r="87" spans="1:15" x14ac:dyDescent="0.3">
      <c r="A87">
        <v>1</v>
      </c>
      <c r="B87">
        <v>2017</v>
      </c>
      <c r="C87">
        <v>17784</v>
      </c>
      <c r="D87">
        <v>195</v>
      </c>
      <c r="E87">
        <v>61</v>
      </c>
      <c r="F87">
        <v>12.5</v>
      </c>
      <c r="G87">
        <f t="shared" si="12"/>
        <v>0</v>
      </c>
      <c r="H87">
        <f t="shared" si="12"/>
        <v>0</v>
      </c>
      <c r="I87">
        <f t="shared" si="12"/>
        <v>0</v>
      </c>
      <c r="J87">
        <f t="shared" si="12"/>
        <v>0</v>
      </c>
      <c r="K87">
        <f t="shared" si="12"/>
        <v>0</v>
      </c>
      <c r="L87">
        <f t="shared" si="12"/>
        <v>1</v>
      </c>
      <c r="M87">
        <f t="shared" si="13"/>
        <v>1</v>
      </c>
      <c r="N87">
        <f t="shared" si="13"/>
        <v>0</v>
      </c>
      <c r="O87">
        <f t="shared" si="13"/>
        <v>0</v>
      </c>
    </row>
    <row r="88" spans="1:15" x14ac:dyDescent="0.3">
      <c r="A88">
        <v>4</v>
      </c>
      <c r="B88">
        <v>2016</v>
      </c>
      <c r="C88">
        <v>17759</v>
      </c>
      <c r="D88">
        <v>120</v>
      </c>
      <c r="E88">
        <v>37</v>
      </c>
      <c r="F88">
        <v>3</v>
      </c>
      <c r="G88">
        <f t="shared" si="12"/>
        <v>0</v>
      </c>
      <c r="H88">
        <f t="shared" si="12"/>
        <v>0</v>
      </c>
      <c r="I88">
        <f t="shared" si="12"/>
        <v>0</v>
      </c>
      <c r="J88">
        <f t="shared" si="12"/>
        <v>0</v>
      </c>
      <c r="K88">
        <f t="shared" si="12"/>
        <v>1</v>
      </c>
      <c r="L88">
        <f t="shared" si="12"/>
        <v>0</v>
      </c>
      <c r="M88">
        <f t="shared" si="13"/>
        <v>0</v>
      </c>
      <c r="N88">
        <f t="shared" si="13"/>
        <v>0</v>
      </c>
      <c r="O88">
        <f t="shared" si="13"/>
        <v>1</v>
      </c>
    </row>
    <row r="89" spans="1:15" x14ac:dyDescent="0.3">
      <c r="A89">
        <v>4</v>
      </c>
      <c r="B89">
        <v>2015</v>
      </c>
      <c r="C89">
        <v>17714</v>
      </c>
      <c r="D89">
        <v>70</v>
      </c>
      <c r="E89">
        <v>23</v>
      </c>
      <c r="F89">
        <v>3.5</v>
      </c>
      <c r="G89">
        <f t="shared" si="12"/>
        <v>0</v>
      </c>
      <c r="H89">
        <f t="shared" si="12"/>
        <v>0</v>
      </c>
      <c r="I89">
        <f t="shared" si="12"/>
        <v>0</v>
      </c>
      <c r="J89">
        <f t="shared" si="12"/>
        <v>1</v>
      </c>
      <c r="K89">
        <f t="shared" si="12"/>
        <v>0</v>
      </c>
      <c r="L89">
        <f t="shared" si="12"/>
        <v>0</v>
      </c>
      <c r="M89">
        <f t="shared" si="13"/>
        <v>0</v>
      </c>
      <c r="N89">
        <f t="shared" si="13"/>
        <v>0</v>
      </c>
      <c r="O89">
        <f t="shared" si="13"/>
        <v>1</v>
      </c>
    </row>
    <row r="90" spans="1:15" x14ac:dyDescent="0.3">
      <c r="A90">
        <v>2</v>
      </c>
      <c r="B90">
        <v>2016</v>
      </c>
      <c r="C90">
        <v>17671</v>
      </c>
      <c r="D90">
        <v>190</v>
      </c>
      <c r="E90">
        <v>329</v>
      </c>
      <c r="F90">
        <v>18</v>
      </c>
      <c r="G90">
        <f t="shared" si="12"/>
        <v>0</v>
      </c>
      <c r="H90">
        <f t="shared" si="12"/>
        <v>0</v>
      </c>
      <c r="I90">
        <f t="shared" si="12"/>
        <v>0</v>
      </c>
      <c r="J90">
        <f t="shared" si="12"/>
        <v>0</v>
      </c>
      <c r="K90">
        <f t="shared" si="12"/>
        <v>1</v>
      </c>
      <c r="L90">
        <f t="shared" si="12"/>
        <v>0</v>
      </c>
      <c r="M90">
        <f t="shared" si="13"/>
        <v>0</v>
      </c>
      <c r="N90">
        <f t="shared" si="13"/>
        <v>1</v>
      </c>
      <c r="O90">
        <f t="shared" si="13"/>
        <v>0</v>
      </c>
    </row>
    <row r="91" spans="1:15" x14ac:dyDescent="0.3">
      <c r="A91">
        <v>4</v>
      </c>
      <c r="B91">
        <v>2015</v>
      </c>
      <c r="C91">
        <v>17554</v>
      </c>
      <c r="D91">
        <v>20</v>
      </c>
      <c r="E91">
        <v>16</v>
      </c>
      <c r="F91">
        <v>1.5</v>
      </c>
      <c r="G91">
        <f t="shared" si="12"/>
        <v>0</v>
      </c>
      <c r="H91">
        <f t="shared" si="12"/>
        <v>0</v>
      </c>
      <c r="I91">
        <f t="shared" si="12"/>
        <v>0</v>
      </c>
      <c r="J91">
        <f t="shared" si="12"/>
        <v>1</v>
      </c>
      <c r="K91">
        <f t="shared" si="12"/>
        <v>0</v>
      </c>
      <c r="L91">
        <f t="shared" si="12"/>
        <v>0</v>
      </c>
      <c r="M91">
        <f t="shared" si="13"/>
        <v>0</v>
      </c>
      <c r="N91">
        <f t="shared" si="13"/>
        <v>0</v>
      </c>
      <c r="O91">
        <f t="shared" si="13"/>
        <v>1</v>
      </c>
    </row>
    <row r="92" spans="1:15" x14ac:dyDescent="0.3">
      <c r="A92">
        <v>4</v>
      </c>
      <c r="B92">
        <v>2015</v>
      </c>
      <c r="C92">
        <v>17463</v>
      </c>
      <c r="D92">
        <v>0</v>
      </c>
      <c r="E92">
        <v>30</v>
      </c>
      <c r="F92">
        <v>1.5</v>
      </c>
      <c r="G92">
        <f t="shared" ref="G92:L101" si="14">IF($B92=G$1,1,0)</f>
        <v>0</v>
      </c>
      <c r="H92">
        <f t="shared" si="14"/>
        <v>0</v>
      </c>
      <c r="I92">
        <f t="shared" si="14"/>
        <v>0</v>
      </c>
      <c r="J92">
        <f t="shared" si="14"/>
        <v>1</v>
      </c>
      <c r="K92">
        <f t="shared" si="14"/>
        <v>0</v>
      </c>
      <c r="L92">
        <f t="shared" si="14"/>
        <v>0</v>
      </c>
      <c r="M92">
        <f t="shared" si="13"/>
        <v>0</v>
      </c>
      <c r="N92">
        <f t="shared" si="13"/>
        <v>0</v>
      </c>
      <c r="O92">
        <f t="shared" si="13"/>
        <v>1</v>
      </c>
    </row>
    <row r="93" spans="1:15" x14ac:dyDescent="0.3">
      <c r="A93">
        <v>4</v>
      </c>
      <c r="B93">
        <v>2015</v>
      </c>
      <c r="C93">
        <v>17334</v>
      </c>
      <c r="D93">
        <v>100</v>
      </c>
      <c r="E93">
        <v>96</v>
      </c>
      <c r="F93">
        <v>17</v>
      </c>
      <c r="G93">
        <f t="shared" si="14"/>
        <v>0</v>
      </c>
      <c r="H93">
        <f t="shared" si="14"/>
        <v>0</v>
      </c>
      <c r="I93">
        <f t="shared" si="14"/>
        <v>0</v>
      </c>
      <c r="J93">
        <f t="shared" si="14"/>
        <v>1</v>
      </c>
      <c r="K93">
        <f t="shared" si="14"/>
        <v>0</v>
      </c>
      <c r="L93">
        <f t="shared" si="14"/>
        <v>0</v>
      </c>
      <c r="M93">
        <f t="shared" si="13"/>
        <v>0</v>
      </c>
      <c r="N93">
        <f t="shared" si="13"/>
        <v>0</v>
      </c>
      <c r="O93">
        <f t="shared" si="13"/>
        <v>1</v>
      </c>
    </row>
    <row r="94" spans="1:15" x14ac:dyDescent="0.3">
      <c r="A94">
        <v>3</v>
      </c>
      <c r="B94">
        <v>2016</v>
      </c>
      <c r="C94">
        <v>17297</v>
      </c>
      <c r="D94">
        <v>150</v>
      </c>
      <c r="E94">
        <v>111</v>
      </c>
      <c r="F94">
        <v>8.5</v>
      </c>
      <c r="G94">
        <f t="shared" si="14"/>
        <v>0</v>
      </c>
      <c r="H94">
        <f t="shared" si="14"/>
        <v>0</v>
      </c>
      <c r="I94">
        <f t="shared" si="14"/>
        <v>0</v>
      </c>
      <c r="J94">
        <f t="shared" si="14"/>
        <v>0</v>
      </c>
      <c r="K94">
        <f t="shared" si="14"/>
        <v>1</v>
      </c>
      <c r="L94">
        <f t="shared" si="14"/>
        <v>0</v>
      </c>
      <c r="M94">
        <f t="shared" si="13"/>
        <v>0</v>
      </c>
      <c r="N94">
        <f t="shared" si="13"/>
        <v>0</v>
      </c>
      <c r="O94">
        <f t="shared" si="13"/>
        <v>0</v>
      </c>
    </row>
    <row r="95" spans="1:15" x14ac:dyDescent="0.3">
      <c r="A95">
        <v>1</v>
      </c>
      <c r="B95">
        <v>2012</v>
      </c>
      <c r="C95">
        <v>17113</v>
      </c>
      <c r="D95">
        <v>50</v>
      </c>
      <c r="E95">
        <v>93</v>
      </c>
      <c r="F95">
        <v>9.5</v>
      </c>
      <c r="G95">
        <f t="shared" si="14"/>
        <v>1</v>
      </c>
      <c r="H95">
        <f t="shared" si="14"/>
        <v>0</v>
      </c>
      <c r="I95">
        <f t="shared" si="14"/>
        <v>0</v>
      </c>
      <c r="J95">
        <f t="shared" si="14"/>
        <v>0</v>
      </c>
      <c r="K95">
        <f t="shared" si="14"/>
        <v>0</v>
      </c>
      <c r="L95">
        <f t="shared" si="14"/>
        <v>0</v>
      </c>
      <c r="M95">
        <f t="shared" si="13"/>
        <v>1</v>
      </c>
      <c r="N95">
        <f t="shared" si="13"/>
        <v>0</v>
      </c>
      <c r="O95">
        <f t="shared" si="13"/>
        <v>0</v>
      </c>
    </row>
    <row r="96" spans="1:15" x14ac:dyDescent="0.3">
      <c r="A96">
        <v>2</v>
      </c>
      <c r="B96">
        <v>2014</v>
      </c>
      <c r="C96">
        <v>17071</v>
      </c>
      <c r="D96">
        <v>200</v>
      </c>
      <c r="E96">
        <v>15</v>
      </c>
      <c r="F96">
        <v>1.5</v>
      </c>
      <c r="G96">
        <f t="shared" si="14"/>
        <v>0</v>
      </c>
      <c r="H96">
        <f t="shared" si="14"/>
        <v>0</v>
      </c>
      <c r="I96">
        <f t="shared" si="14"/>
        <v>1</v>
      </c>
      <c r="J96">
        <f t="shared" si="14"/>
        <v>0</v>
      </c>
      <c r="K96">
        <f t="shared" si="14"/>
        <v>0</v>
      </c>
      <c r="L96">
        <f t="shared" si="14"/>
        <v>0</v>
      </c>
      <c r="M96">
        <f t="shared" si="13"/>
        <v>0</v>
      </c>
      <c r="N96">
        <f t="shared" si="13"/>
        <v>1</v>
      </c>
      <c r="O96">
        <f t="shared" si="13"/>
        <v>0</v>
      </c>
    </row>
    <row r="97" spans="1:15" x14ac:dyDescent="0.3">
      <c r="A97">
        <v>1</v>
      </c>
      <c r="B97">
        <v>2016</v>
      </c>
      <c r="C97">
        <v>16926</v>
      </c>
      <c r="D97">
        <v>50</v>
      </c>
      <c r="E97">
        <v>33</v>
      </c>
      <c r="F97">
        <v>4.5</v>
      </c>
      <c r="G97">
        <f t="shared" si="14"/>
        <v>0</v>
      </c>
      <c r="H97">
        <f t="shared" si="14"/>
        <v>0</v>
      </c>
      <c r="I97">
        <f t="shared" si="14"/>
        <v>0</v>
      </c>
      <c r="J97">
        <f t="shared" si="14"/>
        <v>0</v>
      </c>
      <c r="K97">
        <f t="shared" si="14"/>
        <v>1</v>
      </c>
      <c r="L97">
        <f t="shared" si="14"/>
        <v>0</v>
      </c>
      <c r="M97">
        <f t="shared" si="13"/>
        <v>1</v>
      </c>
      <c r="N97">
        <f t="shared" si="13"/>
        <v>0</v>
      </c>
      <c r="O97">
        <f t="shared" si="13"/>
        <v>0</v>
      </c>
    </row>
    <row r="98" spans="1:15" x14ac:dyDescent="0.3">
      <c r="A98">
        <v>4</v>
      </c>
      <c r="B98">
        <v>2017</v>
      </c>
      <c r="C98">
        <v>16829</v>
      </c>
      <c r="D98">
        <v>60</v>
      </c>
      <c r="E98">
        <v>77</v>
      </c>
      <c r="F98">
        <v>5</v>
      </c>
      <c r="G98">
        <f t="shared" si="14"/>
        <v>0</v>
      </c>
      <c r="H98">
        <f t="shared" si="14"/>
        <v>0</v>
      </c>
      <c r="I98">
        <f t="shared" si="14"/>
        <v>0</v>
      </c>
      <c r="J98">
        <f t="shared" si="14"/>
        <v>0</v>
      </c>
      <c r="K98">
        <f t="shared" si="14"/>
        <v>0</v>
      </c>
      <c r="L98">
        <f t="shared" si="14"/>
        <v>1</v>
      </c>
      <c r="M98">
        <f t="shared" si="13"/>
        <v>0</v>
      </c>
      <c r="N98">
        <f t="shared" si="13"/>
        <v>0</v>
      </c>
      <c r="O98">
        <f t="shared" si="13"/>
        <v>1</v>
      </c>
    </row>
    <row r="99" spans="1:15" x14ac:dyDescent="0.3">
      <c r="A99">
        <v>4</v>
      </c>
      <c r="B99">
        <v>2015</v>
      </c>
      <c r="C99">
        <v>16731</v>
      </c>
      <c r="D99">
        <v>75</v>
      </c>
      <c r="E99">
        <v>10</v>
      </c>
      <c r="F99">
        <v>1</v>
      </c>
      <c r="G99">
        <f t="shared" si="14"/>
        <v>0</v>
      </c>
      <c r="H99">
        <f t="shared" si="14"/>
        <v>0</v>
      </c>
      <c r="I99">
        <f t="shared" si="14"/>
        <v>0</v>
      </c>
      <c r="J99">
        <f t="shared" si="14"/>
        <v>1</v>
      </c>
      <c r="K99">
        <f t="shared" si="14"/>
        <v>0</v>
      </c>
      <c r="L99">
        <f t="shared" si="14"/>
        <v>0</v>
      </c>
      <c r="M99">
        <f t="shared" si="13"/>
        <v>0</v>
      </c>
      <c r="N99">
        <f t="shared" si="13"/>
        <v>0</v>
      </c>
      <c r="O99">
        <f t="shared" si="13"/>
        <v>1</v>
      </c>
    </row>
    <row r="100" spans="1:15" x14ac:dyDescent="0.3">
      <c r="A100">
        <v>4</v>
      </c>
      <c r="B100">
        <v>2015</v>
      </c>
      <c r="C100">
        <v>16590</v>
      </c>
      <c r="D100">
        <v>75</v>
      </c>
      <c r="E100">
        <v>27</v>
      </c>
      <c r="F100">
        <v>2.5</v>
      </c>
      <c r="G100">
        <f t="shared" si="14"/>
        <v>0</v>
      </c>
      <c r="H100">
        <f t="shared" si="14"/>
        <v>0</v>
      </c>
      <c r="I100">
        <f t="shared" si="14"/>
        <v>0</v>
      </c>
      <c r="J100">
        <f t="shared" si="14"/>
        <v>1</v>
      </c>
      <c r="K100">
        <f t="shared" si="14"/>
        <v>0</v>
      </c>
      <c r="L100">
        <f t="shared" si="14"/>
        <v>0</v>
      </c>
      <c r="M100">
        <f t="shared" si="13"/>
        <v>0</v>
      </c>
      <c r="N100">
        <f t="shared" si="13"/>
        <v>0</v>
      </c>
      <c r="O100">
        <f t="shared" si="13"/>
        <v>1</v>
      </c>
    </row>
    <row r="101" spans="1:15" x14ac:dyDescent="0.3">
      <c r="A101">
        <v>4</v>
      </c>
      <c r="B101">
        <v>2014</v>
      </c>
      <c r="C101">
        <v>16527</v>
      </c>
      <c r="D101">
        <v>0</v>
      </c>
      <c r="E101">
        <v>17</v>
      </c>
      <c r="F101">
        <v>2</v>
      </c>
      <c r="G101">
        <f t="shared" si="14"/>
        <v>0</v>
      </c>
      <c r="H101">
        <f t="shared" si="14"/>
        <v>0</v>
      </c>
      <c r="I101">
        <f t="shared" si="14"/>
        <v>1</v>
      </c>
      <c r="J101">
        <f t="shared" si="14"/>
        <v>0</v>
      </c>
      <c r="K101">
        <f t="shared" si="14"/>
        <v>0</v>
      </c>
      <c r="L101">
        <f t="shared" si="14"/>
        <v>0</v>
      </c>
      <c r="M101">
        <f t="shared" si="13"/>
        <v>0</v>
      </c>
      <c r="N101">
        <f t="shared" si="13"/>
        <v>0</v>
      </c>
      <c r="O101">
        <f t="shared" si="13"/>
        <v>1</v>
      </c>
    </row>
    <row r="102" spans="1:15" x14ac:dyDescent="0.3">
      <c r="A102">
        <v>1</v>
      </c>
      <c r="B102">
        <v>2014</v>
      </c>
      <c r="C102">
        <v>16486</v>
      </c>
      <c r="D102">
        <v>20</v>
      </c>
      <c r="E102">
        <v>34</v>
      </c>
      <c r="F102">
        <v>6.5</v>
      </c>
      <c r="G102">
        <f t="shared" ref="G102:L111" si="15">IF($B102=G$1,1,0)</f>
        <v>0</v>
      </c>
      <c r="H102">
        <f t="shared" si="15"/>
        <v>0</v>
      </c>
      <c r="I102">
        <f t="shared" si="15"/>
        <v>1</v>
      </c>
      <c r="J102">
        <f t="shared" si="15"/>
        <v>0</v>
      </c>
      <c r="K102">
        <f t="shared" si="15"/>
        <v>0</v>
      </c>
      <c r="L102">
        <f t="shared" si="15"/>
        <v>0</v>
      </c>
      <c r="M102">
        <f t="shared" ref="M102:O121" si="16">IF($A102=M$1,1,0)</f>
        <v>1</v>
      </c>
      <c r="N102">
        <f t="shared" si="16"/>
        <v>0</v>
      </c>
      <c r="O102">
        <f t="shared" si="16"/>
        <v>0</v>
      </c>
    </row>
    <row r="103" spans="1:15" x14ac:dyDescent="0.3">
      <c r="A103">
        <v>2</v>
      </c>
      <c r="B103">
        <v>2016</v>
      </c>
      <c r="C103">
        <v>16409</v>
      </c>
      <c r="D103">
        <v>100</v>
      </c>
      <c r="E103">
        <v>74</v>
      </c>
      <c r="F103">
        <v>4</v>
      </c>
      <c r="G103">
        <f t="shared" si="15"/>
        <v>0</v>
      </c>
      <c r="H103">
        <f t="shared" si="15"/>
        <v>0</v>
      </c>
      <c r="I103">
        <f t="shared" si="15"/>
        <v>0</v>
      </c>
      <c r="J103">
        <f t="shared" si="15"/>
        <v>0</v>
      </c>
      <c r="K103">
        <f t="shared" si="15"/>
        <v>1</v>
      </c>
      <c r="L103">
        <f t="shared" si="15"/>
        <v>0</v>
      </c>
      <c r="M103">
        <f t="shared" si="16"/>
        <v>0</v>
      </c>
      <c r="N103">
        <f t="shared" si="16"/>
        <v>1</v>
      </c>
      <c r="O103">
        <f t="shared" si="16"/>
        <v>0</v>
      </c>
    </row>
    <row r="104" spans="1:15" x14ac:dyDescent="0.3">
      <c r="A104">
        <v>1</v>
      </c>
      <c r="B104">
        <v>2016</v>
      </c>
      <c r="C104">
        <v>16282</v>
      </c>
      <c r="D104">
        <v>195</v>
      </c>
      <c r="E104">
        <v>159</v>
      </c>
      <c r="F104">
        <v>18.5</v>
      </c>
      <c r="G104">
        <f t="shared" si="15"/>
        <v>0</v>
      </c>
      <c r="H104">
        <f t="shared" si="15"/>
        <v>0</v>
      </c>
      <c r="I104">
        <f t="shared" si="15"/>
        <v>0</v>
      </c>
      <c r="J104">
        <f t="shared" si="15"/>
        <v>0</v>
      </c>
      <c r="K104">
        <f t="shared" si="15"/>
        <v>1</v>
      </c>
      <c r="L104">
        <f t="shared" si="15"/>
        <v>0</v>
      </c>
      <c r="M104">
        <f t="shared" si="16"/>
        <v>1</v>
      </c>
      <c r="N104">
        <f t="shared" si="16"/>
        <v>0</v>
      </c>
      <c r="O104">
        <f t="shared" si="16"/>
        <v>0</v>
      </c>
    </row>
    <row r="105" spans="1:15" x14ac:dyDescent="0.3">
      <c r="A105">
        <v>1</v>
      </c>
      <c r="B105">
        <v>2013</v>
      </c>
      <c r="C105">
        <v>16212</v>
      </c>
      <c r="D105">
        <v>200</v>
      </c>
      <c r="E105">
        <v>20</v>
      </c>
      <c r="F105">
        <v>1</v>
      </c>
      <c r="G105">
        <f t="shared" si="15"/>
        <v>0</v>
      </c>
      <c r="H105">
        <f t="shared" si="15"/>
        <v>1</v>
      </c>
      <c r="I105">
        <f t="shared" si="15"/>
        <v>0</v>
      </c>
      <c r="J105">
        <f t="shared" si="15"/>
        <v>0</v>
      </c>
      <c r="K105">
        <f t="shared" si="15"/>
        <v>0</v>
      </c>
      <c r="L105">
        <f t="shared" si="15"/>
        <v>0</v>
      </c>
      <c r="M105">
        <f t="shared" si="16"/>
        <v>1</v>
      </c>
      <c r="N105">
        <f t="shared" si="16"/>
        <v>0</v>
      </c>
      <c r="O105">
        <f t="shared" si="16"/>
        <v>0</v>
      </c>
    </row>
    <row r="106" spans="1:15" x14ac:dyDescent="0.3">
      <c r="A106">
        <v>4</v>
      </c>
      <c r="B106">
        <v>2017</v>
      </c>
      <c r="C106">
        <v>16158</v>
      </c>
      <c r="D106">
        <v>200</v>
      </c>
      <c r="E106">
        <v>125</v>
      </c>
      <c r="F106">
        <v>19.5</v>
      </c>
      <c r="G106">
        <f t="shared" si="15"/>
        <v>0</v>
      </c>
      <c r="H106">
        <f t="shared" si="15"/>
        <v>0</v>
      </c>
      <c r="I106">
        <f t="shared" si="15"/>
        <v>0</v>
      </c>
      <c r="J106">
        <f t="shared" si="15"/>
        <v>0</v>
      </c>
      <c r="K106">
        <f t="shared" si="15"/>
        <v>0</v>
      </c>
      <c r="L106">
        <f t="shared" si="15"/>
        <v>1</v>
      </c>
      <c r="M106">
        <f t="shared" si="16"/>
        <v>0</v>
      </c>
      <c r="N106">
        <f t="shared" si="16"/>
        <v>0</v>
      </c>
      <c r="O106">
        <f t="shared" si="16"/>
        <v>1</v>
      </c>
    </row>
    <row r="107" spans="1:15" x14ac:dyDescent="0.3">
      <c r="A107">
        <v>1</v>
      </c>
      <c r="B107">
        <v>2016</v>
      </c>
      <c r="C107">
        <v>15724</v>
      </c>
      <c r="D107">
        <v>40</v>
      </c>
      <c r="E107">
        <v>29</v>
      </c>
      <c r="F107">
        <v>1.5</v>
      </c>
      <c r="G107">
        <f t="shared" si="15"/>
        <v>0</v>
      </c>
      <c r="H107">
        <f t="shared" si="15"/>
        <v>0</v>
      </c>
      <c r="I107">
        <f t="shared" si="15"/>
        <v>0</v>
      </c>
      <c r="J107">
        <f t="shared" si="15"/>
        <v>0</v>
      </c>
      <c r="K107">
        <f t="shared" si="15"/>
        <v>1</v>
      </c>
      <c r="L107">
        <f t="shared" si="15"/>
        <v>0</v>
      </c>
      <c r="M107">
        <f t="shared" si="16"/>
        <v>1</v>
      </c>
      <c r="N107">
        <f t="shared" si="16"/>
        <v>0</v>
      </c>
      <c r="O107">
        <f t="shared" si="16"/>
        <v>0</v>
      </c>
    </row>
    <row r="108" spans="1:15" x14ac:dyDescent="0.3">
      <c r="A108">
        <v>4</v>
      </c>
      <c r="B108">
        <v>2014</v>
      </c>
      <c r="C108">
        <v>15715</v>
      </c>
      <c r="D108">
        <v>0</v>
      </c>
      <c r="E108">
        <v>28</v>
      </c>
      <c r="F108">
        <v>3.5</v>
      </c>
      <c r="G108">
        <f t="shared" si="15"/>
        <v>0</v>
      </c>
      <c r="H108">
        <f t="shared" si="15"/>
        <v>0</v>
      </c>
      <c r="I108">
        <f t="shared" si="15"/>
        <v>1</v>
      </c>
      <c r="J108">
        <f t="shared" si="15"/>
        <v>0</v>
      </c>
      <c r="K108">
        <f t="shared" si="15"/>
        <v>0</v>
      </c>
      <c r="L108">
        <f t="shared" si="15"/>
        <v>0</v>
      </c>
      <c r="M108">
        <f t="shared" si="16"/>
        <v>0</v>
      </c>
      <c r="N108">
        <f t="shared" si="16"/>
        <v>0</v>
      </c>
      <c r="O108">
        <f t="shared" si="16"/>
        <v>1</v>
      </c>
    </row>
    <row r="109" spans="1:15" x14ac:dyDescent="0.3">
      <c r="A109">
        <v>4</v>
      </c>
      <c r="B109">
        <v>2014</v>
      </c>
      <c r="C109">
        <v>15493</v>
      </c>
      <c r="D109">
        <v>0</v>
      </c>
      <c r="E109">
        <v>25</v>
      </c>
      <c r="F109">
        <v>2</v>
      </c>
      <c r="G109">
        <f t="shared" si="15"/>
        <v>0</v>
      </c>
      <c r="H109">
        <f t="shared" si="15"/>
        <v>0</v>
      </c>
      <c r="I109">
        <f t="shared" si="15"/>
        <v>1</v>
      </c>
      <c r="J109">
        <f t="shared" si="15"/>
        <v>0</v>
      </c>
      <c r="K109">
        <f t="shared" si="15"/>
        <v>0</v>
      </c>
      <c r="L109">
        <f t="shared" si="15"/>
        <v>0</v>
      </c>
      <c r="M109">
        <f t="shared" si="16"/>
        <v>0</v>
      </c>
      <c r="N109">
        <f t="shared" si="16"/>
        <v>0</v>
      </c>
      <c r="O109">
        <f t="shared" si="16"/>
        <v>1</v>
      </c>
    </row>
    <row r="110" spans="1:15" x14ac:dyDescent="0.3">
      <c r="A110">
        <v>1</v>
      </c>
      <c r="B110">
        <v>2015</v>
      </c>
      <c r="C110">
        <v>15462</v>
      </c>
      <c r="D110">
        <v>0</v>
      </c>
      <c r="E110">
        <v>60</v>
      </c>
      <c r="F110">
        <v>4.5</v>
      </c>
      <c r="G110">
        <f t="shared" si="15"/>
        <v>0</v>
      </c>
      <c r="H110">
        <f t="shared" si="15"/>
        <v>0</v>
      </c>
      <c r="I110">
        <f t="shared" si="15"/>
        <v>0</v>
      </c>
      <c r="J110">
        <f t="shared" si="15"/>
        <v>1</v>
      </c>
      <c r="K110">
        <f t="shared" si="15"/>
        <v>0</v>
      </c>
      <c r="L110">
        <f t="shared" si="15"/>
        <v>0</v>
      </c>
      <c r="M110">
        <f t="shared" si="16"/>
        <v>1</v>
      </c>
      <c r="N110">
        <f t="shared" si="16"/>
        <v>0</v>
      </c>
      <c r="O110">
        <f t="shared" si="16"/>
        <v>0</v>
      </c>
    </row>
    <row r="111" spans="1:15" x14ac:dyDescent="0.3">
      <c r="A111">
        <v>4</v>
      </c>
      <c r="B111">
        <v>2017</v>
      </c>
      <c r="C111">
        <v>15276</v>
      </c>
      <c r="D111">
        <v>200</v>
      </c>
      <c r="E111">
        <v>19</v>
      </c>
      <c r="F111">
        <v>1.5</v>
      </c>
      <c r="G111">
        <f t="shared" si="15"/>
        <v>0</v>
      </c>
      <c r="H111">
        <f t="shared" si="15"/>
        <v>0</v>
      </c>
      <c r="I111">
        <f t="shared" si="15"/>
        <v>0</v>
      </c>
      <c r="J111">
        <f t="shared" si="15"/>
        <v>0</v>
      </c>
      <c r="K111">
        <f t="shared" si="15"/>
        <v>0</v>
      </c>
      <c r="L111">
        <f t="shared" si="15"/>
        <v>1</v>
      </c>
      <c r="M111">
        <f t="shared" si="16"/>
        <v>0</v>
      </c>
      <c r="N111">
        <f t="shared" si="16"/>
        <v>0</v>
      </c>
      <c r="O111">
        <f t="shared" si="16"/>
        <v>1</v>
      </c>
    </row>
    <row r="112" spans="1:15" x14ac:dyDescent="0.3">
      <c r="A112">
        <v>4</v>
      </c>
      <c r="B112">
        <v>2012</v>
      </c>
      <c r="C112">
        <v>15187</v>
      </c>
      <c r="D112">
        <v>35</v>
      </c>
      <c r="E112">
        <v>64</v>
      </c>
      <c r="F112">
        <v>10</v>
      </c>
      <c r="G112">
        <f t="shared" ref="G112:L121" si="17">IF($B112=G$1,1,0)</f>
        <v>1</v>
      </c>
      <c r="H112">
        <f t="shared" si="17"/>
        <v>0</v>
      </c>
      <c r="I112">
        <f t="shared" si="17"/>
        <v>0</v>
      </c>
      <c r="J112">
        <f t="shared" si="17"/>
        <v>0</v>
      </c>
      <c r="K112">
        <f t="shared" si="17"/>
        <v>0</v>
      </c>
      <c r="L112">
        <f t="shared" si="17"/>
        <v>0</v>
      </c>
      <c r="M112">
        <f t="shared" si="16"/>
        <v>0</v>
      </c>
      <c r="N112">
        <f t="shared" si="16"/>
        <v>0</v>
      </c>
      <c r="O112">
        <f t="shared" si="16"/>
        <v>1</v>
      </c>
    </row>
    <row r="113" spans="1:15" x14ac:dyDescent="0.3">
      <c r="A113">
        <v>1</v>
      </c>
      <c r="B113">
        <v>2014</v>
      </c>
      <c r="C113">
        <v>15134</v>
      </c>
      <c r="D113">
        <v>0</v>
      </c>
      <c r="E113">
        <v>12</v>
      </c>
      <c r="F113">
        <v>2.5</v>
      </c>
      <c r="G113">
        <f t="shared" si="17"/>
        <v>0</v>
      </c>
      <c r="H113">
        <f t="shared" si="17"/>
        <v>0</v>
      </c>
      <c r="I113">
        <f t="shared" si="17"/>
        <v>1</v>
      </c>
      <c r="J113">
        <f t="shared" si="17"/>
        <v>0</v>
      </c>
      <c r="K113">
        <f t="shared" si="17"/>
        <v>0</v>
      </c>
      <c r="L113">
        <f t="shared" si="17"/>
        <v>0</v>
      </c>
      <c r="M113">
        <f t="shared" si="16"/>
        <v>1</v>
      </c>
      <c r="N113">
        <f t="shared" si="16"/>
        <v>0</v>
      </c>
      <c r="O113">
        <f t="shared" si="16"/>
        <v>0</v>
      </c>
    </row>
    <row r="114" spans="1:15" x14ac:dyDescent="0.3">
      <c r="A114">
        <v>1</v>
      </c>
      <c r="B114">
        <v>2015</v>
      </c>
      <c r="C114">
        <v>15106</v>
      </c>
      <c r="D114">
        <v>75</v>
      </c>
      <c r="E114">
        <v>16</v>
      </c>
      <c r="F114">
        <v>1.5</v>
      </c>
      <c r="G114">
        <f t="shared" si="17"/>
        <v>0</v>
      </c>
      <c r="H114">
        <f t="shared" si="17"/>
        <v>0</v>
      </c>
      <c r="I114">
        <f t="shared" si="17"/>
        <v>0</v>
      </c>
      <c r="J114">
        <f t="shared" si="17"/>
        <v>1</v>
      </c>
      <c r="K114">
        <f t="shared" si="17"/>
        <v>0</v>
      </c>
      <c r="L114">
        <f t="shared" si="17"/>
        <v>0</v>
      </c>
      <c r="M114">
        <f t="shared" si="16"/>
        <v>1</v>
      </c>
      <c r="N114">
        <f t="shared" si="16"/>
        <v>0</v>
      </c>
      <c r="O114">
        <f t="shared" si="16"/>
        <v>0</v>
      </c>
    </row>
    <row r="115" spans="1:15" x14ac:dyDescent="0.3">
      <c r="A115">
        <v>4</v>
      </c>
      <c r="B115">
        <v>2016</v>
      </c>
      <c r="C115">
        <v>15092</v>
      </c>
      <c r="D115">
        <v>0</v>
      </c>
      <c r="E115">
        <v>65</v>
      </c>
      <c r="F115">
        <v>5.5</v>
      </c>
      <c r="G115">
        <f t="shared" si="17"/>
        <v>0</v>
      </c>
      <c r="H115">
        <f t="shared" si="17"/>
        <v>0</v>
      </c>
      <c r="I115">
        <f t="shared" si="17"/>
        <v>0</v>
      </c>
      <c r="J115">
        <f t="shared" si="17"/>
        <v>0</v>
      </c>
      <c r="K115">
        <f t="shared" si="17"/>
        <v>1</v>
      </c>
      <c r="L115">
        <f t="shared" si="17"/>
        <v>0</v>
      </c>
      <c r="M115">
        <f t="shared" si="16"/>
        <v>0</v>
      </c>
      <c r="N115">
        <f t="shared" si="16"/>
        <v>0</v>
      </c>
      <c r="O115">
        <f t="shared" si="16"/>
        <v>1</v>
      </c>
    </row>
    <row r="116" spans="1:15" x14ac:dyDescent="0.3">
      <c r="A116">
        <v>4</v>
      </c>
      <c r="B116">
        <v>2014</v>
      </c>
      <c r="C116">
        <v>15064</v>
      </c>
      <c r="D116">
        <v>135</v>
      </c>
      <c r="E116">
        <v>15</v>
      </c>
      <c r="F116">
        <v>1.5</v>
      </c>
      <c r="G116">
        <f t="shared" si="17"/>
        <v>0</v>
      </c>
      <c r="H116">
        <f t="shared" si="17"/>
        <v>0</v>
      </c>
      <c r="I116">
        <f t="shared" si="17"/>
        <v>1</v>
      </c>
      <c r="J116">
        <f t="shared" si="17"/>
        <v>0</v>
      </c>
      <c r="K116">
        <f t="shared" si="17"/>
        <v>0</v>
      </c>
      <c r="L116">
        <f t="shared" si="17"/>
        <v>0</v>
      </c>
      <c r="M116">
        <f t="shared" si="16"/>
        <v>0</v>
      </c>
      <c r="N116">
        <f t="shared" si="16"/>
        <v>0</v>
      </c>
      <c r="O116">
        <f t="shared" si="16"/>
        <v>1</v>
      </c>
    </row>
    <row r="117" spans="1:15" x14ac:dyDescent="0.3">
      <c r="A117">
        <v>4</v>
      </c>
      <c r="B117">
        <v>2016</v>
      </c>
      <c r="C117">
        <v>14842</v>
      </c>
      <c r="D117">
        <v>200</v>
      </c>
      <c r="E117">
        <v>17</v>
      </c>
      <c r="F117">
        <v>1</v>
      </c>
      <c r="G117">
        <f t="shared" si="17"/>
        <v>0</v>
      </c>
      <c r="H117">
        <f t="shared" si="17"/>
        <v>0</v>
      </c>
      <c r="I117">
        <f t="shared" si="17"/>
        <v>0</v>
      </c>
      <c r="J117">
        <f t="shared" si="17"/>
        <v>0</v>
      </c>
      <c r="K117">
        <f t="shared" si="17"/>
        <v>1</v>
      </c>
      <c r="L117">
        <f t="shared" si="17"/>
        <v>0</v>
      </c>
      <c r="M117">
        <f t="shared" si="16"/>
        <v>0</v>
      </c>
      <c r="N117">
        <f t="shared" si="16"/>
        <v>0</v>
      </c>
      <c r="O117">
        <f t="shared" si="16"/>
        <v>1</v>
      </c>
    </row>
    <row r="118" spans="1:15" x14ac:dyDescent="0.3">
      <c r="A118">
        <v>1</v>
      </c>
      <c r="B118">
        <v>2015</v>
      </c>
      <c r="C118">
        <v>14813</v>
      </c>
      <c r="D118">
        <v>60</v>
      </c>
      <c r="E118">
        <v>74</v>
      </c>
      <c r="F118">
        <v>13.5</v>
      </c>
      <c r="G118">
        <f t="shared" si="17"/>
        <v>0</v>
      </c>
      <c r="H118">
        <f t="shared" si="17"/>
        <v>0</v>
      </c>
      <c r="I118">
        <f t="shared" si="17"/>
        <v>0</v>
      </c>
      <c r="J118">
        <f t="shared" si="17"/>
        <v>1</v>
      </c>
      <c r="K118">
        <f t="shared" si="17"/>
        <v>0</v>
      </c>
      <c r="L118">
        <f t="shared" si="17"/>
        <v>0</v>
      </c>
      <c r="M118">
        <f t="shared" si="16"/>
        <v>1</v>
      </c>
      <c r="N118">
        <f t="shared" si="16"/>
        <v>0</v>
      </c>
      <c r="O118">
        <f t="shared" si="16"/>
        <v>0</v>
      </c>
    </row>
    <row r="119" spans="1:15" x14ac:dyDescent="0.3">
      <c r="A119">
        <v>2</v>
      </c>
      <c r="B119">
        <v>2014</v>
      </c>
      <c r="C119">
        <v>14606</v>
      </c>
      <c r="D119">
        <v>150</v>
      </c>
      <c r="E119">
        <v>21</v>
      </c>
      <c r="F119">
        <v>3</v>
      </c>
      <c r="G119">
        <f t="shared" si="17"/>
        <v>0</v>
      </c>
      <c r="H119">
        <f t="shared" si="17"/>
        <v>0</v>
      </c>
      <c r="I119">
        <f t="shared" si="17"/>
        <v>1</v>
      </c>
      <c r="J119">
        <f t="shared" si="17"/>
        <v>0</v>
      </c>
      <c r="K119">
        <f t="shared" si="17"/>
        <v>0</v>
      </c>
      <c r="L119">
        <f t="shared" si="17"/>
        <v>0</v>
      </c>
      <c r="M119">
        <f t="shared" si="16"/>
        <v>0</v>
      </c>
      <c r="N119">
        <f t="shared" si="16"/>
        <v>1</v>
      </c>
      <c r="O119">
        <f t="shared" si="16"/>
        <v>0</v>
      </c>
    </row>
    <row r="120" spans="1:15" x14ac:dyDescent="0.3">
      <c r="A120">
        <v>1</v>
      </c>
      <c r="B120">
        <v>2013</v>
      </c>
      <c r="C120">
        <v>14551</v>
      </c>
      <c r="D120">
        <v>20</v>
      </c>
      <c r="E120">
        <v>14</v>
      </c>
      <c r="F120">
        <v>1.5</v>
      </c>
      <c r="G120">
        <f t="shared" si="17"/>
        <v>0</v>
      </c>
      <c r="H120">
        <f t="shared" si="17"/>
        <v>1</v>
      </c>
      <c r="I120">
        <f t="shared" si="17"/>
        <v>0</v>
      </c>
      <c r="J120">
        <f t="shared" si="17"/>
        <v>0</v>
      </c>
      <c r="K120">
        <f t="shared" si="17"/>
        <v>0</v>
      </c>
      <c r="L120">
        <f t="shared" si="17"/>
        <v>0</v>
      </c>
      <c r="M120">
        <f t="shared" si="16"/>
        <v>1</v>
      </c>
      <c r="N120">
        <f t="shared" si="16"/>
        <v>0</v>
      </c>
      <c r="O120">
        <f t="shared" si="16"/>
        <v>0</v>
      </c>
    </row>
    <row r="121" spans="1:15" x14ac:dyDescent="0.3">
      <c r="A121">
        <v>1</v>
      </c>
      <c r="B121">
        <v>2015</v>
      </c>
      <c r="C121">
        <v>14260</v>
      </c>
      <c r="D121">
        <v>100</v>
      </c>
      <c r="E121">
        <v>43</v>
      </c>
      <c r="F121">
        <v>3</v>
      </c>
      <c r="G121">
        <f t="shared" si="17"/>
        <v>0</v>
      </c>
      <c r="H121">
        <f t="shared" si="17"/>
        <v>0</v>
      </c>
      <c r="I121">
        <f t="shared" si="17"/>
        <v>0</v>
      </c>
      <c r="J121">
        <f t="shared" si="17"/>
        <v>1</v>
      </c>
      <c r="K121">
        <f t="shared" si="17"/>
        <v>0</v>
      </c>
      <c r="L121">
        <f t="shared" si="17"/>
        <v>0</v>
      </c>
      <c r="M121">
        <f t="shared" si="16"/>
        <v>1</v>
      </c>
      <c r="N121">
        <f t="shared" si="16"/>
        <v>0</v>
      </c>
      <c r="O121">
        <f t="shared" si="16"/>
        <v>0</v>
      </c>
    </row>
    <row r="122" spans="1:15" x14ac:dyDescent="0.3">
      <c r="A122">
        <v>4</v>
      </c>
      <c r="B122">
        <v>2015</v>
      </c>
      <c r="C122">
        <v>14254</v>
      </c>
      <c r="D122">
        <v>75</v>
      </c>
      <c r="E122">
        <v>20</v>
      </c>
      <c r="F122">
        <v>1.5</v>
      </c>
      <c r="G122">
        <f t="shared" ref="G122:L131" si="18">IF($B122=G$1,1,0)</f>
        <v>0</v>
      </c>
      <c r="H122">
        <f t="shared" si="18"/>
        <v>0</v>
      </c>
      <c r="I122">
        <f t="shared" si="18"/>
        <v>0</v>
      </c>
      <c r="J122">
        <f t="shared" si="18"/>
        <v>1</v>
      </c>
      <c r="K122">
        <f t="shared" si="18"/>
        <v>0</v>
      </c>
      <c r="L122">
        <f t="shared" si="18"/>
        <v>0</v>
      </c>
      <c r="M122">
        <f t="shared" ref="M122:O141" si="19">IF($A122=M$1,1,0)</f>
        <v>0</v>
      </c>
      <c r="N122">
        <f t="shared" si="19"/>
        <v>0</v>
      </c>
      <c r="O122">
        <f t="shared" si="19"/>
        <v>1</v>
      </c>
    </row>
    <row r="123" spans="1:15" x14ac:dyDescent="0.3">
      <c r="A123">
        <v>4</v>
      </c>
      <c r="B123">
        <v>2016</v>
      </c>
      <c r="C123">
        <v>14118</v>
      </c>
      <c r="D123">
        <v>120</v>
      </c>
      <c r="E123">
        <v>27</v>
      </c>
      <c r="F123">
        <v>2</v>
      </c>
      <c r="G123">
        <f t="shared" si="18"/>
        <v>0</v>
      </c>
      <c r="H123">
        <f t="shared" si="18"/>
        <v>0</v>
      </c>
      <c r="I123">
        <f t="shared" si="18"/>
        <v>0</v>
      </c>
      <c r="J123">
        <f t="shared" si="18"/>
        <v>0</v>
      </c>
      <c r="K123">
        <f t="shared" si="18"/>
        <v>1</v>
      </c>
      <c r="L123">
        <f t="shared" si="18"/>
        <v>0</v>
      </c>
      <c r="M123">
        <f t="shared" si="19"/>
        <v>0</v>
      </c>
      <c r="N123">
        <f t="shared" si="19"/>
        <v>0</v>
      </c>
      <c r="O123">
        <f t="shared" si="19"/>
        <v>1</v>
      </c>
    </row>
    <row r="124" spans="1:15" x14ac:dyDescent="0.3">
      <c r="A124">
        <v>4</v>
      </c>
      <c r="B124">
        <v>2015</v>
      </c>
      <c r="C124">
        <v>14103</v>
      </c>
      <c r="D124">
        <v>190</v>
      </c>
      <c r="E124">
        <v>197</v>
      </c>
      <c r="F124">
        <v>21.5</v>
      </c>
      <c r="G124">
        <f t="shared" si="18"/>
        <v>0</v>
      </c>
      <c r="H124">
        <f t="shared" si="18"/>
        <v>0</v>
      </c>
      <c r="I124">
        <f t="shared" si="18"/>
        <v>0</v>
      </c>
      <c r="J124">
        <f t="shared" si="18"/>
        <v>1</v>
      </c>
      <c r="K124">
        <f t="shared" si="18"/>
        <v>0</v>
      </c>
      <c r="L124">
        <f t="shared" si="18"/>
        <v>0</v>
      </c>
      <c r="M124">
        <f t="shared" si="19"/>
        <v>0</v>
      </c>
      <c r="N124">
        <f t="shared" si="19"/>
        <v>0</v>
      </c>
      <c r="O124">
        <f t="shared" si="19"/>
        <v>1</v>
      </c>
    </row>
    <row r="125" spans="1:15" x14ac:dyDescent="0.3">
      <c r="A125">
        <v>4</v>
      </c>
      <c r="B125">
        <v>2013</v>
      </c>
      <c r="C125">
        <v>14074</v>
      </c>
      <c r="D125">
        <v>40</v>
      </c>
      <c r="E125">
        <v>46</v>
      </c>
      <c r="F125">
        <v>12</v>
      </c>
      <c r="G125">
        <f t="shared" si="18"/>
        <v>0</v>
      </c>
      <c r="H125">
        <f t="shared" si="18"/>
        <v>1</v>
      </c>
      <c r="I125">
        <f t="shared" si="18"/>
        <v>0</v>
      </c>
      <c r="J125">
        <f t="shared" si="18"/>
        <v>0</v>
      </c>
      <c r="K125">
        <f t="shared" si="18"/>
        <v>0</v>
      </c>
      <c r="L125">
        <f t="shared" si="18"/>
        <v>0</v>
      </c>
      <c r="M125">
        <f t="shared" si="19"/>
        <v>0</v>
      </c>
      <c r="N125">
        <f t="shared" si="19"/>
        <v>0</v>
      </c>
      <c r="O125">
        <f t="shared" si="19"/>
        <v>1</v>
      </c>
    </row>
    <row r="126" spans="1:15" x14ac:dyDescent="0.3">
      <c r="A126">
        <v>4</v>
      </c>
      <c r="B126">
        <v>2015</v>
      </c>
      <c r="C126">
        <v>14026</v>
      </c>
      <c r="D126">
        <v>0</v>
      </c>
      <c r="E126">
        <v>25</v>
      </c>
      <c r="F126">
        <v>1</v>
      </c>
      <c r="G126">
        <f t="shared" si="18"/>
        <v>0</v>
      </c>
      <c r="H126">
        <f t="shared" si="18"/>
        <v>0</v>
      </c>
      <c r="I126">
        <f t="shared" si="18"/>
        <v>0</v>
      </c>
      <c r="J126">
        <f t="shared" si="18"/>
        <v>1</v>
      </c>
      <c r="K126">
        <f t="shared" si="18"/>
        <v>0</v>
      </c>
      <c r="L126">
        <f t="shared" si="18"/>
        <v>0</v>
      </c>
      <c r="M126">
        <f t="shared" si="19"/>
        <v>0</v>
      </c>
      <c r="N126">
        <f t="shared" si="19"/>
        <v>0</v>
      </c>
      <c r="O126">
        <f t="shared" si="19"/>
        <v>1</v>
      </c>
    </row>
    <row r="127" spans="1:15" x14ac:dyDescent="0.3">
      <c r="A127">
        <v>4</v>
      </c>
      <c r="B127">
        <v>2014</v>
      </c>
      <c r="C127">
        <v>13960</v>
      </c>
      <c r="D127">
        <v>20</v>
      </c>
      <c r="E127">
        <v>19</v>
      </c>
      <c r="F127">
        <v>2.5</v>
      </c>
      <c r="G127">
        <f t="shared" si="18"/>
        <v>0</v>
      </c>
      <c r="H127">
        <f t="shared" si="18"/>
        <v>0</v>
      </c>
      <c r="I127">
        <f t="shared" si="18"/>
        <v>1</v>
      </c>
      <c r="J127">
        <f t="shared" si="18"/>
        <v>0</v>
      </c>
      <c r="K127">
        <f t="shared" si="18"/>
        <v>0</v>
      </c>
      <c r="L127">
        <f t="shared" si="18"/>
        <v>0</v>
      </c>
      <c r="M127">
        <f t="shared" si="19"/>
        <v>0</v>
      </c>
      <c r="N127">
        <f t="shared" si="19"/>
        <v>0</v>
      </c>
      <c r="O127">
        <f t="shared" si="19"/>
        <v>1</v>
      </c>
    </row>
    <row r="128" spans="1:15" x14ac:dyDescent="0.3">
      <c r="A128">
        <v>4</v>
      </c>
      <c r="B128">
        <v>2016</v>
      </c>
      <c r="C128">
        <v>13920</v>
      </c>
      <c r="D128">
        <v>75</v>
      </c>
      <c r="E128">
        <v>28</v>
      </c>
      <c r="F128">
        <v>2</v>
      </c>
      <c r="G128">
        <f t="shared" si="18"/>
        <v>0</v>
      </c>
      <c r="H128">
        <f t="shared" si="18"/>
        <v>0</v>
      </c>
      <c r="I128">
        <f t="shared" si="18"/>
        <v>0</v>
      </c>
      <c r="J128">
        <f t="shared" si="18"/>
        <v>0</v>
      </c>
      <c r="K128">
        <f t="shared" si="18"/>
        <v>1</v>
      </c>
      <c r="L128">
        <f t="shared" si="18"/>
        <v>0</v>
      </c>
      <c r="M128">
        <f t="shared" si="19"/>
        <v>0</v>
      </c>
      <c r="N128">
        <f t="shared" si="19"/>
        <v>0</v>
      </c>
      <c r="O128">
        <f t="shared" si="19"/>
        <v>1</v>
      </c>
    </row>
    <row r="129" spans="1:15" x14ac:dyDescent="0.3">
      <c r="A129">
        <v>1</v>
      </c>
      <c r="B129">
        <v>2015</v>
      </c>
      <c r="C129">
        <v>13882</v>
      </c>
      <c r="D129">
        <v>150</v>
      </c>
      <c r="E129">
        <v>47</v>
      </c>
      <c r="F129">
        <v>3</v>
      </c>
      <c r="G129">
        <f t="shared" si="18"/>
        <v>0</v>
      </c>
      <c r="H129">
        <f t="shared" si="18"/>
        <v>0</v>
      </c>
      <c r="I129">
        <f t="shared" si="18"/>
        <v>0</v>
      </c>
      <c r="J129">
        <f t="shared" si="18"/>
        <v>1</v>
      </c>
      <c r="K129">
        <f t="shared" si="18"/>
        <v>0</v>
      </c>
      <c r="L129">
        <f t="shared" si="18"/>
        <v>0</v>
      </c>
      <c r="M129">
        <f t="shared" si="19"/>
        <v>1</v>
      </c>
      <c r="N129">
        <f t="shared" si="19"/>
        <v>0</v>
      </c>
      <c r="O129">
        <f t="shared" si="19"/>
        <v>0</v>
      </c>
    </row>
    <row r="130" spans="1:15" x14ac:dyDescent="0.3">
      <c r="A130">
        <v>4</v>
      </c>
      <c r="B130">
        <v>2016</v>
      </c>
      <c r="C130">
        <v>13708</v>
      </c>
      <c r="D130">
        <v>80</v>
      </c>
      <c r="E130">
        <v>62</v>
      </c>
      <c r="F130">
        <v>9</v>
      </c>
      <c r="G130">
        <f t="shared" si="18"/>
        <v>0</v>
      </c>
      <c r="H130">
        <f t="shared" si="18"/>
        <v>0</v>
      </c>
      <c r="I130">
        <f t="shared" si="18"/>
        <v>0</v>
      </c>
      <c r="J130">
        <f t="shared" si="18"/>
        <v>0</v>
      </c>
      <c r="K130">
        <f t="shared" si="18"/>
        <v>1</v>
      </c>
      <c r="L130">
        <f t="shared" si="18"/>
        <v>0</v>
      </c>
      <c r="M130">
        <f t="shared" si="19"/>
        <v>0</v>
      </c>
      <c r="N130">
        <f t="shared" si="19"/>
        <v>0</v>
      </c>
      <c r="O130">
        <f t="shared" si="19"/>
        <v>1</v>
      </c>
    </row>
    <row r="131" spans="1:15" x14ac:dyDescent="0.3">
      <c r="A131">
        <v>1</v>
      </c>
      <c r="B131">
        <v>2016</v>
      </c>
      <c r="C131">
        <v>13535</v>
      </c>
      <c r="D131">
        <v>0</v>
      </c>
      <c r="E131">
        <v>18</v>
      </c>
      <c r="F131">
        <v>1.5</v>
      </c>
      <c r="G131">
        <f t="shared" si="18"/>
        <v>0</v>
      </c>
      <c r="H131">
        <f t="shared" si="18"/>
        <v>0</v>
      </c>
      <c r="I131">
        <f t="shared" si="18"/>
        <v>0</v>
      </c>
      <c r="J131">
        <f t="shared" si="18"/>
        <v>0</v>
      </c>
      <c r="K131">
        <f t="shared" si="18"/>
        <v>1</v>
      </c>
      <c r="L131">
        <f t="shared" si="18"/>
        <v>0</v>
      </c>
      <c r="M131">
        <f t="shared" si="19"/>
        <v>1</v>
      </c>
      <c r="N131">
        <f t="shared" si="19"/>
        <v>0</v>
      </c>
      <c r="O131">
        <f t="shared" si="19"/>
        <v>0</v>
      </c>
    </row>
    <row r="132" spans="1:15" x14ac:dyDescent="0.3">
      <c r="A132">
        <v>4</v>
      </c>
      <c r="B132">
        <v>2017</v>
      </c>
      <c r="C132">
        <v>13457</v>
      </c>
      <c r="D132">
        <v>80</v>
      </c>
      <c r="E132">
        <v>69</v>
      </c>
      <c r="F132">
        <v>4.5</v>
      </c>
      <c r="G132">
        <f t="shared" ref="G132:L141" si="20">IF($B132=G$1,1,0)</f>
        <v>0</v>
      </c>
      <c r="H132">
        <f t="shared" si="20"/>
        <v>0</v>
      </c>
      <c r="I132">
        <f t="shared" si="20"/>
        <v>0</v>
      </c>
      <c r="J132">
        <f t="shared" si="20"/>
        <v>0</v>
      </c>
      <c r="K132">
        <f t="shared" si="20"/>
        <v>0</v>
      </c>
      <c r="L132">
        <f t="shared" si="20"/>
        <v>1</v>
      </c>
      <c r="M132">
        <f t="shared" si="19"/>
        <v>0</v>
      </c>
      <c r="N132">
        <f t="shared" si="19"/>
        <v>0</v>
      </c>
      <c r="O132">
        <f t="shared" si="19"/>
        <v>1</v>
      </c>
    </row>
    <row r="133" spans="1:15" x14ac:dyDescent="0.3">
      <c r="A133">
        <v>1</v>
      </c>
      <c r="B133">
        <v>2016</v>
      </c>
      <c r="C133">
        <v>13439</v>
      </c>
      <c r="D133">
        <v>150</v>
      </c>
      <c r="E133">
        <v>89</v>
      </c>
      <c r="F133">
        <v>20.5</v>
      </c>
      <c r="G133">
        <f t="shared" si="20"/>
        <v>0</v>
      </c>
      <c r="H133">
        <f t="shared" si="20"/>
        <v>0</v>
      </c>
      <c r="I133">
        <f t="shared" si="20"/>
        <v>0</v>
      </c>
      <c r="J133">
        <f t="shared" si="20"/>
        <v>0</v>
      </c>
      <c r="K133">
        <f t="shared" si="20"/>
        <v>1</v>
      </c>
      <c r="L133">
        <f t="shared" si="20"/>
        <v>0</v>
      </c>
      <c r="M133">
        <f t="shared" si="19"/>
        <v>1</v>
      </c>
      <c r="N133">
        <f t="shared" si="19"/>
        <v>0</v>
      </c>
      <c r="O133">
        <f t="shared" si="19"/>
        <v>0</v>
      </c>
    </row>
    <row r="134" spans="1:15" x14ac:dyDescent="0.3">
      <c r="A134">
        <v>4</v>
      </c>
      <c r="B134">
        <v>2015</v>
      </c>
      <c r="C134">
        <v>13406</v>
      </c>
      <c r="D134">
        <v>100</v>
      </c>
      <c r="E134">
        <v>44</v>
      </c>
      <c r="F134">
        <v>1.5</v>
      </c>
      <c r="G134">
        <f t="shared" si="20"/>
        <v>0</v>
      </c>
      <c r="H134">
        <f t="shared" si="20"/>
        <v>0</v>
      </c>
      <c r="I134">
        <f t="shared" si="20"/>
        <v>0</v>
      </c>
      <c r="J134">
        <f t="shared" si="20"/>
        <v>1</v>
      </c>
      <c r="K134">
        <f t="shared" si="20"/>
        <v>0</v>
      </c>
      <c r="L134">
        <f t="shared" si="20"/>
        <v>0</v>
      </c>
      <c r="M134">
        <f t="shared" si="19"/>
        <v>0</v>
      </c>
      <c r="N134">
        <f t="shared" si="19"/>
        <v>0</v>
      </c>
      <c r="O134">
        <f t="shared" si="19"/>
        <v>1</v>
      </c>
    </row>
    <row r="135" spans="1:15" x14ac:dyDescent="0.3">
      <c r="A135">
        <v>4</v>
      </c>
      <c r="B135">
        <v>2014</v>
      </c>
      <c r="C135">
        <v>13242</v>
      </c>
      <c r="D135">
        <v>0</v>
      </c>
      <c r="E135">
        <v>24</v>
      </c>
      <c r="F135">
        <v>1</v>
      </c>
      <c r="G135">
        <f t="shared" si="20"/>
        <v>0</v>
      </c>
      <c r="H135">
        <f t="shared" si="20"/>
        <v>0</v>
      </c>
      <c r="I135">
        <f t="shared" si="20"/>
        <v>1</v>
      </c>
      <c r="J135">
        <f t="shared" si="20"/>
        <v>0</v>
      </c>
      <c r="K135">
        <f t="shared" si="20"/>
        <v>0</v>
      </c>
      <c r="L135">
        <f t="shared" si="20"/>
        <v>0</v>
      </c>
      <c r="M135">
        <f t="shared" si="19"/>
        <v>0</v>
      </c>
      <c r="N135">
        <f t="shared" si="19"/>
        <v>0</v>
      </c>
      <c r="O135">
        <f t="shared" si="19"/>
        <v>1</v>
      </c>
    </row>
    <row r="136" spans="1:15" x14ac:dyDescent="0.3">
      <c r="A136">
        <v>1</v>
      </c>
      <c r="B136">
        <v>2016</v>
      </c>
      <c r="C136">
        <v>13210</v>
      </c>
      <c r="D136">
        <v>0</v>
      </c>
      <c r="E136">
        <v>8</v>
      </c>
      <c r="F136">
        <v>0.55000000000000004</v>
      </c>
      <c r="G136">
        <f t="shared" si="20"/>
        <v>0</v>
      </c>
      <c r="H136">
        <f t="shared" si="20"/>
        <v>0</v>
      </c>
      <c r="I136">
        <f t="shared" si="20"/>
        <v>0</v>
      </c>
      <c r="J136">
        <f t="shared" si="20"/>
        <v>0</v>
      </c>
      <c r="K136">
        <f t="shared" si="20"/>
        <v>1</v>
      </c>
      <c r="L136">
        <f t="shared" si="20"/>
        <v>0</v>
      </c>
      <c r="M136">
        <f t="shared" si="19"/>
        <v>1</v>
      </c>
      <c r="N136">
        <f t="shared" si="19"/>
        <v>0</v>
      </c>
      <c r="O136">
        <f t="shared" si="19"/>
        <v>0</v>
      </c>
    </row>
    <row r="137" spans="1:15" x14ac:dyDescent="0.3">
      <c r="A137">
        <v>1</v>
      </c>
      <c r="B137">
        <v>2016</v>
      </c>
      <c r="C137">
        <v>13130</v>
      </c>
      <c r="D137">
        <v>0</v>
      </c>
      <c r="E137">
        <v>88</v>
      </c>
      <c r="F137">
        <v>6.5</v>
      </c>
      <c r="G137">
        <f t="shared" si="20"/>
        <v>0</v>
      </c>
      <c r="H137">
        <f t="shared" si="20"/>
        <v>0</v>
      </c>
      <c r="I137">
        <f t="shared" si="20"/>
        <v>0</v>
      </c>
      <c r="J137">
        <f t="shared" si="20"/>
        <v>0</v>
      </c>
      <c r="K137">
        <f t="shared" si="20"/>
        <v>1</v>
      </c>
      <c r="L137">
        <f t="shared" si="20"/>
        <v>0</v>
      </c>
      <c r="M137">
        <f t="shared" si="19"/>
        <v>1</v>
      </c>
      <c r="N137">
        <f t="shared" si="19"/>
        <v>0</v>
      </c>
      <c r="O137">
        <f t="shared" si="19"/>
        <v>0</v>
      </c>
    </row>
    <row r="138" spans="1:15" x14ac:dyDescent="0.3">
      <c r="A138">
        <v>2</v>
      </c>
      <c r="B138">
        <v>2016</v>
      </c>
      <c r="C138">
        <v>13016</v>
      </c>
      <c r="D138">
        <v>0</v>
      </c>
      <c r="E138">
        <v>15</v>
      </c>
      <c r="F138">
        <v>1.5</v>
      </c>
      <c r="G138">
        <f t="shared" si="20"/>
        <v>0</v>
      </c>
      <c r="H138">
        <f t="shared" si="20"/>
        <v>0</v>
      </c>
      <c r="I138">
        <f t="shared" si="20"/>
        <v>0</v>
      </c>
      <c r="J138">
        <f t="shared" si="20"/>
        <v>0</v>
      </c>
      <c r="K138">
        <f t="shared" si="20"/>
        <v>1</v>
      </c>
      <c r="L138">
        <f t="shared" si="20"/>
        <v>0</v>
      </c>
      <c r="M138">
        <f t="shared" si="19"/>
        <v>0</v>
      </c>
      <c r="N138">
        <f t="shared" si="19"/>
        <v>1</v>
      </c>
      <c r="O138">
        <f t="shared" si="19"/>
        <v>0</v>
      </c>
    </row>
    <row r="139" spans="1:15" x14ac:dyDescent="0.3">
      <c r="A139">
        <v>4</v>
      </c>
      <c r="B139">
        <v>2016</v>
      </c>
      <c r="C139">
        <v>13010</v>
      </c>
      <c r="D139">
        <v>80</v>
      </c>
      <c r="E139">
        <v>68</v>
      </c>
      <c r="F139">
        <v>6.5</v>
      </c>
      <c r="G139">
        <f t="shared" si="20"/>
        <v>0</v>
      </c>
      <c r="H139">
        <f t="shared" si="20"/>
        <v>0</v>
      </c>
      <c r="I139">
        <f t="shared" si="20"/>
        <v>0</v>
      </c>
      <c r="J139">
        <f t="shared" si="20"/>
        <v>0</v>
      </c>
      <c r="K139">
        <f t="shared" si="20"/>
        <v>1</v>
      </c>
      <c r="L139">
        <f t="shared" si="20"/>
        <v>0</v>
      </c>
      <c r="M139">
        <f t="shared" si="19"/>
        <v>0</v>
      </c>
      <c r="N139">
        <f t="shared" si="19"/>
        <v>0</v>
      </c>
      <c r="O139">
        <f t="shared" si="19"/>
        <v>1</v>
      </c>
    </row>
    <row r="140" spans="1:15" x14ac:dyDescent="0.3">
      <c r="A140">
        <v>1</v>
      </c>
      <c r="B140">
        <v>2015</v>
      </c>
      <c r="C140">
        <v>12974</v>
      </c>
      <c r="D140">
        <v>0</v>
      </c>
      <c r="E140">
        <v>13</v>
      </c>
      <c r="F140">
        <v>1</v>
      </c>
      <c r="G140">
        <f t="shared" si="20"/>
        <v>0</v>
      </c>
      <c r="H140">
        <f t="shared" si="20"/>
        <v>0</v>
      </c>
      <c r="I140">
        <f t="shared" si="20"/>
        <v>0</v>
      </c>
      <c r="J140">
        <f t="shared" si="20"/>
        <v>1</v>
      </c>
      <c r="K140">
        <f t="shared" si="20"/>
        <v>0</v>
      </c>
      <c r="L140">
        <f t="shared" si="20"/>
        <v>0</v>
      </c>
      <c r="M140">
        <f t="shared" si="19"/>
        <v>1</v>
      </c>
      <c r="N140">
        <f t="shared" si="19"/>
        <v>0</v>
      </c>
      <c r="O140">
        <f t="shared" si="19"/>
        <v>0</v>
      </c>
    </row>
    <row r="141" spans="1:15" x14ac:dyDescent="0.3">
      <c r="A141">
        <v>4</v>
      </c>
      <c r="B141">
        <v>2016</v>
      </c>
      <c r="C141">
        <v>12953</v>
      </c>
      <c r="D141">
        <v>65</v>
      </c>
      <c r="E141">
        <v>22</v>
      </c>
      <c r="F141">
        <v>1.5</v>
      </c>
      <c r="G141">
        <f t="shared" si="20"/>
        <v>0</v>
      </c>
      <c r="H141">
        <f t="shared" si="20"/>
        <v>0</v>
      </c>
      <c r="I141">
        <f t="shared" si="20"/>
        <v>0</v>
      </c>
      <c r="J141">
        <f t="shared" si="20"/>
        <v>0</v>
      </c>
      <c r="K141">
        <f t="shared" si="20"/>
        <v>1</v>
      </c>
      <c r="L141">
        <f t="shared" si="20"/>
        <v>0</v>
      </c>
      <c r="M141">
        <f t="shared" si="19"/>
        <v>0</v>
      </c>
      <c r="N141">
        <f t="shared" si="19"/>
        <v>0</v>
      </c>
      <c r="O141">
        <f t="shared" si="19"/>
        <v>1</v>
      </c>
    </row>
    <row r="142" spans="1:15" x14ac:dyDescent="0.3">
      <c r="A142">
        <v>4</v>
      </c>
      <c r="B142">
        <v>2015</v>
      </c>
      <c r="C142">
        <v>12952</v>
      </c>
      <c r="D142">
        <v>0</v>
      </c>
      <c r="E142">
        <v>22</v>
      </c>
      <c r="F142">
        <v>1</v>
      </c>
      <c r="G142">
        <f t="shared" ref="G142:L151" si="21">IF($B142=G$1,1,0)</f>
        <v>0</v>
      </c>
      <c r="H142">
        <f t="shared" si="21"/>
        <v>0</v>
      </c>
      <c r="I142">
        <f t="shared" si="21"/>
        <v>0</v>
      </c>
      <c r="J142">
        <f t="shared" si="21"/>
        <v>1</v>
      </c>
      <c r="K142">
        <f t="shared" si="21"/>
        <v>0</v>
      </c>
      <c r="L142">
        <f t="shared" si="21"/>
        <v>0</v>
      </c>
      <c r="M142">
        <f t="shared" ref="M142:O161" si="22">IF($A142=M$1,1,0)</f>
        <v>0</v>
      </c>
      <c r="N142">
        <f t="shared" si="22"/>
        <v>0</v>
      </c>
      <c r="O142">
        <f t="shared" si="22"/>
        <v>1</v>
      </c>
    </row>
    <row r="143" spans="1:15" x14ac:dyDescent="0.3">
      <c r="A143">
        <v>1</v>
      </c>
      <c r="B143">
        <v>2016</v>
      </c>
      <c r="C143">
        <v>12893</v>
      </c>
      <c r="D143">
        <v>75</v>
      </c>
      <c r="E143">
        <v>95</v>
      </c>
      <c r="F143">
        <v>8.5</v>
      </c>
      <c r="G143">
        <f t="shared" si="21"/>
        <v>0</v>
      </c>
      <c r="H143">
        <f t="shared" si="21"/>
        <v>0</v>
      </c>
      <c r="I143">
        <f t="shared" si="21"/>
        <v>0</v>
      </c>
      <c r="J143">
        <f t="shared" si="21"/>
        <v>0</v>
      </c>
      <c r="K143">
        <f t="shared" si="21"/>
        <v>1</v>
      </c>
      <c r="L143">
        <f t="shared" si="21"/>
        <v>0</v>
      </c>
      <c r="M143">
        <f t="shared" si="22"/>
        <v>1</v>
      </c>
      <c r="N143">
        <f t="shared" si="22"/>
        <v>0</v>
      </c>
      <c r="O143">
        <f t="shared" si="22"/>
        <v>0</v>
      </c>
    </row>
    <row r="144" spans="1:15" x14ac:dyDescent="0.3">
      <c r="A144">
        <v>4</v>
      </c>
      <c r="B144">
        <v>2015</v>
      </c>
      <c r="C144">
        <v>12882</v>
      </c>
      <c r="D144">
        <v>75</v>
      </c>
      <c r="E144">
        <v>20</v>
      </c>
      <c r="F144">
        <v>1.5</v>
      </c>
      <c r="G144">
        <f t="shared" si="21"/>
        <v>0</v>
      </c>
      <c r="H144">
        <f t="shared" si="21"/>
        <v>0</v>
      </c>
      <c r="I144">
        <f t="shared" si="21"/>
        <v>0</v>
      </c>
      <c r="J144">
        <f t="shared" si="21"/>
        <v>1</v>
      </c>
      <c r="K144">
        <f t="shared" si="21"/>
        <v>0</v>
      </c>
      <c r="L144">
        <f t="shared" si="21"/>
        <v>0</v>
      </c>
      <c r="M144">
        <f t="shared" si="22"/>
        <v>0</v>
      </c>
      <c r="N144">
        <f t="shared" si="22"/>
        <v>0</v>
      </c>
      <c r="O144">
        <f t="shared" si="22"/>
        <v>1</v>
      </c>
    </row>
    <row r="145" spans="1:15" x14ac:dyDescent="0.3">
      <c r="A145">
        <v>1</v>
      </c>
      <c r="B145">
        <v>2013</v>
      </c>
      <c r="C145">
        <v>12873</v>
      </c>
      <c r="D145">
        <v>200</v>
      </c>
      <c r="E145">
        <v>38</v>
      </c>
      <c r="F145">
        <v>2.5</v>
      </c>
      <c r="G145">
        <f t="shared" si="21"/>
        <v>0</v>
      </c>
      <c r="H145">
        <f t="shared" si="21"/>
        <v>1</v>
      </c>
      <c r="I145">
        <f t="shared" si="21"/>
        <v>0</v>
      </c>
      <c r="J145">
        <f t="shared" si="21"/>
        <v>0</v>
      </c>
      <c r="K145">
        <f t="shared" si="21"/>
        <v>0</v>
      </c>
      <c r="L145">
        <f t="shared" si="21"/>
        <v>0</v>
      </c>
      <c r="M145">
        <f t="shared" si="22"/>
        <v>1</v>
      </c>
      <c r="N145">
        <f t="shared" si="22"/>
        <v>0</v>
      </c>
      <c r="O145">
        <f t="shared" si="22"/>
        <v>0</v>
      </c>
    </row>
    <row r="146" spans="1:15" x14ac:dyDescent="0.3">
      <c r="A146">
        <v>2</v>
      </c>
      <c r="B146">
        <v>2016</v>
      </c>
      <c r="C146">
        <v>12838</v>
      </c>
      <c r="D146">
        <v>150</v>
      </c>
      <c r="E146">
        <v>22</v>
      </c>
      <c r="F146">
        <v>1.5</v>
      </c>
      <c r="G146">
        <f t="shared" si="21"/>
        <v>0</v>
      </c>
      <c r="H146">
        <f t="shared" si="21"/>
        <v>0</v>
      </c>
      <c r="I146">
        <f t="shared" si="21"/>
        <v>0</v>
      </c>
      <c r="J146">
        <f t="shared" si="21"/>
        <v>0</v>
      </c>
      <c r="K146">
        <f t="shared" si="21"/>
        <v>1</v>
      </c>
      <c r="L146">
        <f t="shared" si="21"/>
        <v>0</v>
      </c>
      <c r="M146">
        <f t="shared" si="22"/>
        <v>0</v>
      </c>
      <c r="N146">
        <f t="shared" si="22"/>
        <v>1</v>
      </c>
      <c r="O146">
        <f t="shared" si="22"/>
        <v>0</v>
      </c>
    </row>
    <row r="147" spans="1:15" x14ac:dyDescent="0.3">
      <c r="A147">
        <v>4</v>
      </c>
      <c r="B147">
        <v>2017</v>
      </c>
      <c r="C147">
        <v>12815</v>
      </c>
      <c r="D147">
        <v>175</v>
      </c>
      <c r="E147">
        <v>53</v>
      </c>
      <c r="F147">
        <v>8.5</v>
      </c>
      <c r="G147">
        <f t="shared" si="21"/>
        <v>0</v>
      </c>
      <c r="H147">
        <f t="shared" si="21"/>
        <v>0</v>
      </c>
      <c r="I147">
        <f t="shared" si="21"/>
        <v>0</v>
      </c>
      <c r="J147">
        <f t="shared" si="21"/>
        <v>0</v>
      </c>
      <c r="K147">
        <f t="shared" si="21"/>
        <v>0</v>
      </c>
      <c r="L147">
        <f t="shared" si="21"/>
        <v>1</v>
      </c>
      <c r="M147">
        <f t="shared" si="22"/>
        <v>0</v>
      </c>
      <c r="N147">
        <f t="shared" si="22"/>
        <v>0</v>
      </c>
      <c r="O147">
        <f t="shared" si="22"/>
        <v>1</v>
      </c>
    </row>
    <row r="148" spans="1:15" x14ac:dyDescent="0.3">
      <c r="A148">
        <v>2</v>
      </c>
      <c r="B148">
        <v>2016</v>
      </c>
      <c r="C148">
        <v>12781</v>
      </c>
      <c r="D148">
        <v>20</v>
      </c>
      <c r="E148">
        <v>22</v>
      </c>
      <c r="F148">
        <v>2.5</v>
      </c>
      <c r="G148">
        <f t="shared" si="21"/>
        <v>0</v>
      </c>
      <c r="H148">
        <f t="shared" si="21"/>
        <v>0</v>
      </c>
      <c r="I148">
        <f t="shared" si="21"/>
        <v>0</v>
      </c>
      <c r="J148">
        <f t="shared" si="21"/>
        <v>0</v>
      </c>
      <c r="K148">
        <f t="shared" si="21"/>
        <v>1</v>
      </c>
      <c r="L148">
        <f t="shared" si="21"/>
        <v>0</v>
      </c>
      <c r="M148">
        <f t="shared" si="22"/>
        <v>0</v>
      </c>
      <c r="N148">
        <f t="shared" si="22"/>
        <v>1</v>
      </c>
      <c r="O148">
        <f t="shared" si="22"/>
        <v>0</v>
      </c>
    </row>
    <row r="149" spans="1:15" x14ac:dyDescent="0.3">
      <c r="A149">
        <v>1</v>
      </c>
      <c r="B149">
        <v>2015</v>
      </c>
      <c r="C149">
        <v>12629</v>
      </c>
      <c r="D149">
        <v>75</v>
      </c>
      <c r="E149">
        <v>36</v>
      </c>
      <c r="F149">
        <v>1.5</v>
      </c>
      <c r="G149">
        <f t="shared" si="21"/>
        <v>0</v>
      </c>
      <c r="H149">
        <f t="shared" si="21"/>
        <v>0</v>
      </c>
      <c r="I149">
        <f t="shared" si="21"/>
        <v>0</v>
      </c>
      <c r="J149">
        <f t="shared" si="21"/>
        <v>1</v>
      </c>
      <c r="K149">
        <f t="shared" si="21"/>
        <v>0</v>
      </c>
      <c r="L149">
        <f t="shared" si="21"/>
        <v>0</v>
      </c>
      <c r="M149">
        <f t="shared" si="22"/>
        <v>1</v>
      </c>
      <c r="N149">
        <f t="shared" si="22"/>
        <v>0</v>
      </c>
      <c r="O149">
        <f t="shared" si="22"/>
        <v>0</v>
      </c>
    </row>
    <row r="150" spans="1:15" x14ac:dyDescent="0.3">
      <c r="A150">
        <v>4</v>
      </c>
      <c r="B150">
        <v>2014</v>
      </c>
      <c r="C150">
        <v>12563</v>
      </c>
      <c r="D150">
        <v>0</v>
      </c>
      <c r="E150">
        <v>11</v>
      </c>
      <c r="F150">
        <v>0.56666667000000004</v>
      </c>
      <c r="G150">
        <f t="shared" si="21"/>
        <v>0</v>
      </c>
      <c r="H150">
        <f t="shared" si="21"/>
        <v>0</v>
      </c>
      <c r="I150">
        <f t="shared" si="21"/>
        <v>1</v>
      </c>
      <c r="J150">
        <f t="shared" si="21"/>
        <v>0</v>
      </c>
      <c r="K150">
        <f t="shared" si="21"/>
        <v>0</v>
      </c>
      <c r="L150">
        <f t="shared" si="21"/>
        <v>0</v>
      </c>
      <c r="M150">
        <f t="shared" si="22"/>
        <v>0</v>
      </c>
      <c r="N150">
        <f t="shared" si="22"/>
        <v>0</v>
      </c>
      <c r="O150">
        <f t="shared" si="22"/>
        <v>1</v>
      </c>
    </row>
    <row r="151" spans="1:15" x14ac:dyDescent="0.3">
      <c r="A151">
        <v>1</v>
      </c>
      <c r="B151">
        <v>2011</v>
      </c>
      <c r="C151">
        <v>12458</v>
      </c>
      <c r="D151">
        <v>20</v>
      </c>
      <c r="E151">
        <v>82</v>
      </c>
      <c r="F151">
        <v>4</v>
      </c>
      <c r="G151">
        <f t="shared" si="21"/>
        <v>0</v>
      </c>
      <c r="H151">
        <f t="shared" si="21"/>
        <v>0</v>
      </c>
      <c r="I151">
        <f t="shared" si="21"/>
        <v>0</v>
      </c>
      <c r="J151">
        <f t="shared" si="21"/>
        <v>0</v>
      </c>
      <c r="K151">
        <f t="shared" si="21"/>
        <v>0</v>
      </c>
      <c r="L151">
        <f t="shared" si="21"/>
        <v>0</v>
      </c>
      <c r="M151">
        <f t="shared" si="22"/>
        <v>1</v>
      </c>
      <c r="N151">
        <f t="shared" si="22"/>
        <v>0</v>
      </c>
      <c r="O151">
        <f t="shared" si="22"/>
        <v>0</v>
      </c>
    </row>
    <row r="152" spans="1:15" x14ac:dyDescent="0.3">
      <c r="A152">
        <v>2</v>
      </c>
      <c r="B152">
        <v>2015</v>
      </c>
      <c r="C152">
        <v>12368</v>
      </c>
      <c r="D152">
        <v>195</v>
      </c>
      <c r="E152">
        <v>26</v>
      </c>
      <c r="F152">
        <v>3.5</v>
      </c>
      <c r="G152">
        <f t="shared" ref="G152:L161" si="23">IF($B152=G$1,1,0)</f>
        <v>0</v>
      </c>
      <c r="H152">
        <f t="shared" si="23"/>
        <v>0</v>
      </c>
      <c r="I152">
        <f t="shared" si="23"/>
        <v>0</v>
      </c>
      <c r="J152">
        <f t="shared" si="23"/>
        <v>1</v>
      </c>
      <c r="K152">
        <f t="shared" si="23"/>
        <v>0</v>
      </c>
      <c r="L152">
        <f t="shared" si="23"/>
        <v>0</v>
      </c>
      <c r="M152">
        <f t="shared" si="22"/>
        <v>0</v>
      </c>
      <c r="N152">
        <f t="shared" si="22"/>
        <v>1</v>
      </c>
      <c r="O152">
        <f t="shared" si="22"/>
        <v>0</v>
      </c>
    </row>
    <row r="153" spans="1:15" x14ac:dyDescent="0.3">
      <c r="A153">
        <v>1</v>
      </c>
      <c r="B153">
        <v>2017</v>
      </c>
      <c r="C153">
        <v>12366</v>
      </c>
      <c r="D153">
        <v>120</v>
      </c>
      <c r="E153">
        <v>120</v>
      </c>
      <c r="F153">
        <v>9</v>
      </c>
      <c r="G153">
        <f t="shared" si="23"/>
        <v>0</v>
      </c>
      <c r="H153">
        <f t="shared" si="23"/>
        <v>0</v>
      </c>
      <c r="I153">
        <f t="shared" si="23"/>
        <v>0</v>
      </c>
      <c r="J153">
        <f t="shared" si="23"/>
        <v>0</v>
      </c>
      <c r="K153">
        <f t="shared" si="23"/>
        <v>0</v>
      </c>
      <c r="L153">
        <f t="shared" si="23"/>
        <v>1</v>
      </c>
      <c r="M153">
        <f t="shared" si="22"/>
        <v>1</v>
      </c>
      <c r="N153">
        <f t="shared" si="22"/>
        <v>0</v>
      </c>
      <c r="O153">
        <f t="shared" si="22"/>
        <v>0</v>
      </c>
    </row>
    <row r="154" spans="1:15" x14ac:dyDescent="0.3">
      <c r="A154">
        <v>1</v>
      </c>
      <c r="B154">
        <v>2016</v>
      </c>
      <c r="C154">
        <v>12336</v>
      </c>
      <c r="D154">
        <v>0</v>
      </c>
      <c r="E154">
        <v>26</v>
      </c>
      <c r="F154">
        <v>3.5</v>
      </c>
      <c r="G154">
        <f t="shared" si="23"/>
        <v>0</v>
      </c>
      <c r="H154">
        <f t="shared" si="23"/>
        <v>0</v>
      </c>
      <c r="I154">
        <f t="shared" si="23"/>
        <v>0</v>
      </c>
      <c r="J154">
        <f t="shared" si="23"/>
        <v>0</v>
      </c>
      <c r="K154">
        <f t="shared" si="23"/>
        <v>1</v>
      </c>
      <c r="L154">
        <f t="shared" si="23"/>
        <v>0</v>
      </c>
      <c r="M154">
        <f t="shared" si="22"/>
        <v>1</v>
      </c>
      <c r="N154">
        <f t="shared" si="22"/>
        <v>0</v>
      </c>
      <c r="O154">
        <f t="shared" si="22"/>
        <v>0</v>
      </c>
    </row>
    <row r="155" spans="1:15" x14ac:dyDescent="0.3">
      <c r="A155">
        <v>4</v>
      </c>
      <c r="B155">
        <v>2014</v>
      </c>
      <c r="C155">
        <v>12328</v>
      </c>
      <c r="D155">
        <v>50</v>
      </c>
      <c r="E155">
        <v>32</v>
      </c>
      <c r="F155">
        <v>2</v>
      </c>
      <c r="G155">
        <f t="shared" si="23"/>
        <v>0</v>
      </c>
      <c r="H155">
        <f t="shared" si="23"/>
        <v>0</v>
      </c>
      <c r="I155">
        <f t="shared" si="23"/>
        <v>1</v>
      </c>
      <c r="J155">
        <f t="shared" si="23"/>
        <v>0</v>
      </c>
      <c r="K155">
        <f t="shared" si="23"/>
        <v>0</v>
      </c>
      <c r="L155">
        <f t="shared" si="23"/>
        <v>0</v>
      </c>
      <c r="M155">
        <f t="shared" si="22"/>
        <v>0</v>
      </c>
      <c r="N155">
        <f t="shared" si="22"/>
        <v>0</v>
      </c>
      <c r="O155">
        <f t="shared" si="22"/>
        <v>1</v>
      </c>
    </row>
    <row r="156" spans="1:15" x14ac:dyDescent="0.3">
      <c r="A156">
        <v>1</v>
      </c>
      <c r="B156">
        <v>2015</v>
      </c>
      <c r="C156">
        <v>12293</v>
      </c>
      <c r="D156">
        <v>0</v>
      </c>
      <c r="E156">
        <v>18</v>
      </c>
      <c r="F156">
        <v>3</v>
      </c>
      <c r="G156">
        <f t="shared" si="23"/>
        <v>0</v>
      </c>
      <c r="H156">
        <f t="shared" si="23"/>
        <v>0</v>
      </c>
      <c r="I156">
        <f t="shared" si="23"/>
        <v>0</v>
      </c>
      <c r="J156">
        <f t="shared" si="23"/>
        <v>1</v>
      </c>
      <c r="K156">
        <f t="shared" si="23"/>
        <v>0</v>
      </c>
      <c r="L156">
        <f t="shared" si="23"/>
        <v>0</v>
      </c>
      <c r="M156">
        <f t="shared" si="22"/>
        <v>1</v>
      </c>
      <c r="N156">
        <f t="shared" si="22"/>
        <v>0</v>
      </c>
      <c r="O156">
        <f t="shared" si="22"/>
        <v>0</v>
      </c>
    </row>
    <row r="157" spans="1:15" x14ac:dyDescent="0.3">
      <c r="A157">
        <v>4</v>
      </c>
      <c r="B157">
        <v>2016</v>
      </c>
      <c r="C157">
        <v>12201</v>
      </c>
      <c r="D157">
        <v>0</v>
      </c>
      <c r="E157">
        <v>24</v>
      </c>
      <c r="F157">
        <v>5.5</v>
      </c>
      <c r="G157">
        <f t="shared" si="23"/>
        <v>0</v>
      </c>
      <c r="H157">
        <f t="shared" si="23"/>
        <v>0</v>
      </c>
      <c r="I157">
        <f t="shared" si="23"/>
        <v>0</v>
      </c>
      <c r="J157">
        <f t="shared" si="23"/>
        <v>0</v>
      </c>
      <c r="K157">
        <f t="shared" si="23"/>
        <v>1</v>
      </c>
      <c r="L157">
        <f t="shared" si="23"/>
        <v>0</v>
      </c>
      <c r="M157">
        <f t="shared" si="22"/>
        <v>0</v>
      </c>
      <c r="N157">
        <f t="shared" si="22"/>
        <v>0</v>
      </c>
      <c r="O157">
        <f t="shared" si="22"/>
        <v>1</v>
      </c>
    </row>
    <row r="158" spans="1:15" x14ac:dyDescent="0.3">
      <c r="A158">
        <v>1</v>
      </c>
      <c r="B158">
        <v>2013</v>
      </c>
      <c r="C158">
        <v>12105</v>
      </c>
      <c r="D158">
        <v>35</v>
      </c>
      <c r="E158">
        <v>54</v>
      </c>
      <c r="F158">
        <v>7.5</v>
      </c>
      <c r="G158">
        <f t="shared" si="23"/>
        <v>0</v>
      </c>
      <c r="H158">
        <f t="shared" si="23"/>
        <v>1</v>
      </c>
      <c r="I158">
        <f t="shared" si="23"/>
        <v>0</v>
      </c>
      <c r="J158">
        <f t="shared" si="23"/>
        <v>0</v>
      </c>
      <c r="K158">
        <f t="shared" si="23"/>
        <v>0</v>
      </c>
      <c r="L158">
        <f t="shared" si="23"/>
        <v>0</v>
      </c>
      <c r="M158">
        <f t="shared" si="22"/>
        <v>1</v>
      </c>
      <c r="N158">
        <f t="shared" si="22"/>
        <v>0</v>
      </c>
      <c r="O158">
        <f t="shared" si="22"/>
        <v>0</v>
      </c>
    </row>
    <row r="159" spans="1:15" x14ac:dyDescent="0.3">
      <c r="A159">
        <v>2</v>
      </c>
      <c r="B159">
        <v>2016</v>
      </c>
      <c r="C159">
        <v>12068</v>
      </c>
      <c r="D159">
        <v>195</v>
      </c>
      <c r="E159">
        <v>12</v>
      </c>
      <c r="F159">
        <v>1.5</v>
      </c>
      <c r="G159">
        <f t="shared" si="23"/>
        <v>0</v>
      </c>
      <c r="H159">
        <f t="shared" si="23"/>
        <v>0</v>
      </c>
      <c r="I159">
        <f t="shared" si="23"/>
        <v>0</v>
      </c>
      <c r="J159">
        <f t="shared" si="23"/>
        <v>0</v>
      </c>
      <c r="K159">
        <f t="shared" si="23"/>
        <v>1</v>
      </c>
      <c r="L159">
        <f t="shared" si="23"/>
        <v>0</v>
      </c>
      <c r="M159">
        <f t="shared" si="22"/>
        <v>0</v>
      </c>
      <c r="N159">
        <f t="shared" si="22"/>
        <v>1</v>
      </c>
      <c r="O159">
        <f t="shared" si="22"/>
        <v>0</v>
      </c>
    </row>
    <row r="160" spans="1:15" x14ac:dyDescent="0.3">
      <c r="A160">
        <v>4</v>
      </c>
      <c r="B160">
        <v>2016</v>
      </c>
      <c r="C160">
        <v>12021</v>
      </c>
      <c r="D160">
        <v>195</v>
      </c>
      <c r="E160">
        <v>41</v>
      </c>
      <c r="F160">
        <v>4</v>
      </c>
      <c r="G160">
        <f t="shared" si="23"/>
        <v>0</v>
      </c>
      <c r="H160">
        <f t="shared" si="23"/>
        <v>0</v>
      </c>
      <c r="I160">
        <f t="shared" si="23"/>
        <v>0</v>
      </c>
      <c r="J160">
        <f t="shared" si="23"/>
        <v>0</v>
      </c>
      <c r="K160">
        <f t="shared" si="23"/>
        <v>1</v>
      </c>
      <c r="L160">
        <f t="shared" si="23"/>
        <v>0</v>
      </c>
      <c r="M160">
        <f t="shared" si="22"/>
        <v>0</v>
      </c>
      <c r="N160">
        <f t="shared" si="22"/>
        <v>0</v>
      </c>
      <c r="O160">
        <f t="shared" si="22"/>
        <v>1</v>
      </c>
    </row>
    <row r="161" spans="1:15" x14ac:dyDescent="0.3">
      <c r="A161">
        <v>2</v>
      </c>
      <c r="B161">
        <v>2015</v>
      </c>
      <c r="C161">
        <v>11892</v>
      </c>
      <c r="D161">
        <v>100</v>
      </c>
      <c r="E161">
        <v>28</v>
      </c>
      <c r="F161">
        <v>2.5</v>
      </c>
      <c r="G161">
        <f t="shared" si="23"/>
        <v>0</v>
      </c>
      <c r="H161">
        <f t="shared" si="23"/>
        <v>0</v>
      </c>
      <c r="I161">
        <f t="shared" si="23"/>
        <v>0</v>
      </c>
      <c r="J161">
        <f t="shared" si="23"/>
        <v>1</v>
      </c>
      <c r="K161">
        <f t="shared" si="23"/>
        <v>0</v>
      </c>
      <c r="L161">
        <f t="shared" si="23"/>
        <v>0</v>
      </c>
      <c r="M161">
        <f t="shared" si="22"/>
        <v>0</v>
      </c>
      <c r="N161">
        <f t="shared" si="22"/>
        <v>1</v>
      </c>
      <c r="O161">
        <f t="shared" si="22"/>
        <v>0</v>
      </c>
    </row>
    <row r="162" spans="1:15" x14ac:dyDescent="0.3">
      <c r="A162">
        <v>4</v>
      </c>
      <c r="B162">
        <v>2012</v>
      </c>
      <c r="C162">
        <v>11847</v>
      </c>
      <c r="D162">
        <v>50</v>
      </c>
      <c r="E162">
        <v>57</v>
      </c>
      <c r="F162">
        <v>7.5</v>
      </c>
      <c r="G162">
        <f t="shared" ref="G162:L171" si="24">IF($B162=G$1,1,0)</f>
        <v>1</v>
      </c>
      <c r="H162">
        <f t="shared" si="24"/>
        <v>0</v>
      </c>
      <c r="I162">
        <f t="shared" si="24"/>
        <v>0</v>
      </c>
      <c r="J162">
        <f t="shared" si="24"/>
        <v>0</v>
      </c>
      <c r="K162">
        <f t="shared" si="24"/>
        <v>0</v>
      </c>
      <c r="L162">
        <f t="shared" si="24"/>
        <v>0</v>
      </c>
      <c r="M162">
        <f t="shared" ref="M162:O181" si="25">IF($A162=M$1,1,0)</f>
        <v>0</v>
      </c>
      <c r="N162">
        <f t="shared" si="25"/>
        <v>0</v>
      </c>
      <c r="O162">
        <f t="shared" si="25"/>
        <v>1</v>
      </c>
    </row>
    <row r="163" spans="1:15" x14ac:dyDescent="0.3">
      <c r="A163">
        <v>1</v>
      </c>
      <c r="B163">
        <v>2017</v>
      </c>
      <c r="C163">
        <v>11832</v>
      </c>
      <c r="D163">
        <v>200</v>
      </c>
      <c r="E163">
        <v>191</v>
      </c>
      <c r="F163">
        <v>31.5</v>
      </c>
      <c r="G163">
        <f t="shared" si="24"/>
        <v>0</v>
      </c>
      <c r="H163">
        <f t="shared" si="24"/>
        <v>0</v>
      </c>
      <c r="I163">
        <f t="shared" si="24"/>
        <v>0</v>
      </c>
      <c r="J163">
        <f t="shared" si="24"/>
        <v>0</v>
      </c>
      <c r="K163">
        <f t="shared" si="24"/>
        <v>0</v>
      </c>
      <c r="L163">
        <f t="shared" si="24"/>
        <v>1</v>
      </c>
      <c r="M163">
        <f t="shared" si="25"/>
        <v>1</v>
      </c>
      <c r="N163">
        <f t="shared" si="25"/>
        <v>0</v>
      </c>
      <c r="O163">
        <f t="shared" si="25"/>
        <v>0</v>
      </c>
    </row>
    <row r="164" spans="1:15" x14ac:dyDescent="0.3">
      <c r="A164">
        <v>4</v>
      </c>
      <c r="B164">
        <v>2015</v>
      </c>
      <c r="C164">
        <v>11812</v>
      </c>
      <c r="D164">
        <v>0</v>
      </c>
      <c r="E164">
        <v>19</v>
      </c>
      <c r="F164">
        <v>2</v>
      </c>
      <c r="G164">
        <f t="shared" si="24"/>
        <v>0</v>
      </c>
      <c r="H164">
        <f t="shared" si="24"/>
        <v>0</v>
      </c>
      <c r="I164">
        <f t="shared" si="24"/>
        <v>0</v>
      </c>
      <c r="J164">
        <f t="shared" si="24"/>
        <v>1</v>
      </c>
      <c r="K164">
        <f t="shared" si="24"/>
        <v>0</v>
      </c>
      <c r="L164">
        <f t="shared" si="24"/>
        <v>0</v>
      </c>
      <c r="M164">
        <f t="shared" si="25"/>
        <v>0</v>
      </c>
      <c r="N164">
        <f t="shared" si="25"/>
        <v>0</v>
      </c>
      <c r="O164">
        <f t="shared" si="25"/>
        <v>1</v>
      </c>
    </row>
    <row r="165" spans="1:15" x14ac:dyDescent="0.3">
      <c r="A165">
        <v>1</v>
      </c>
      <c r="B165">
        <v>2015</v>
      </c>
      <c r="C165">
        <v>11758</v>
      </c>
      <c r="D165">
        <v>0</v>
      </c>
      <c r="E165">
        <v>8</v>
      </c>
      <c r="F165">
        <v>1</v>
      </c>
      <c r="G165">
        <f t="shared" si="24"/>
        <v>0</v>
      </c>
      <c r="H165">
        <f t="shared" si="24"/>
        <v>0</v>
      </c>
      <c r="I165">
        <f t="shared" si="24"/>
        <v>0</v>
      </c>
      <c r="J165">
        <f t="shared" si="24"/>
        <v>1</v>
      </c>
      <c r="K165">
        <f t="shared" si="24"/>
        <v>0</v>
      </c>
      <c r="L165">
        <f t="shared" si="24"/>
        <v>0</v>
      </c>
      <c r="M165">
        <f t="shared" si="25"/>
        <v>1</v>
      </c>
      <c r="N165">
        <f t="shared" si="25"/>
        <v>0</v>
      </c>
      <c r="O165">
        <f t="shared" si="25"/>
        <v>0</v>
      </c>
    </row>
    <row r="166" spans="1:15" x14ac:dyDescent="0.3">
      <c r="A166">
        <v>4</v>
      </c>
      <c r="B166">
        <v>2016</v>
      </c>
      <c r="C166">
        <v>11666</v>
      </c>
      <c r="D166">
        <v>0</v>
      </c>
      <c r="E166">
        <v>20</v>
      </c>
      <c r="F166">
        <v>4</v>
      </c>
      <c r="G166">
        <f t="shared" si="24"/>
        <v>0</v>
      </c>
      <c r="H166">
        <f t="shared" si="24"/>
        <v>0</v>
      </c>
      <c r="I166">
        <f t="shared" si="24"/>
        <v>0</v>
      </c>
      <c r="J166">
        <f t="shared" si="24"/>
        <v>0</v>
      </c>
      <c r="K166">
        <f t="shared" si="24"/>
        <v>1</v>
      </c>
      <c r="L166">
        <f t="shared" si="24"/>
        <v>0</v>
      </c>
      <c r="M166">
        <f t="shared" si="25"/>
        <v>0</v>
      </c>
      <c r="N166">
        <f t="shared" si="25"/>
        <v>0</v>
      </c>
      <c r="O166">
        <f t="shared" si="25"/>
        <v>1</v>
      </c>
    </row>
    <row r="167" spans="1:15" x14ac:dyDescent="0.3">
      <c r="A167">
        <v>4</v>
      </c>
      <c r="B167">
        <v>2013</v>
      </c>
      <c r="C167">
        <v>11643</v>
      </c>
      <c r="D167">
        <v>100</v>
      </c>
      <c r="E167">
        <v>21</v>
      </c>
      <c r="F167">
        <v>1</v>
      </c>
      <c r="G167">
        <f t="shared" si="24"/>
        <v>0</v>
      </c>
      <c r="H167">
        <f t="shared" si="24"/>
        <v>1</v>
      </c>
      <c r="I167">
        <f t="shared" si="24"/>
        <v>0</v>
      </c>
      <c r="J167">
        <f t="shared" si="24"/>
        <v>0</v>
      </c>
      <c r="K167">
        <f t="shared" si="24"/>
        <v>0</v>
      </c>
      <c r="L167">
        <f t="shared" si="24"/>
        <v>0</v>
      </c>
      <c r="M167">
        <f t="shared" si="25"/>
        <v>0</v>
      </c>
      <c r="N167">
        <f t="shared" si="25"/>
        <v>0</v>
      </c>
      <c r="O167">
        <f t="shared" si="25"/>
        <v>1</v>
      </c>
    </row>
    <row r="168" spans="1:15" x14ac:dyDescent="0.3">
      <c r="A168">
        <v>4</v>
      </c>
      <c r="B168">
        <v>2015</v>
      </c>
      <c r="C168">
        <v>11574</v>
      </c>
      <c r="D168">
        <v>200</v>
      </c>
      <c r="E168">
        <v>15</v>
      </c>
      <c r="F168">
        <v>1</v>
      </c>
      <c r="G168">
        <f t="shared" si="24"/>
        <v>0</v>
      </c>
      <c r="H168">
        <f t="shared" si="24"/>
        <v>0</v>
      </c>
      <c r="I168">
        <f t="shared" si="24"/>
        <v>0</v>
      </c>
      <c r="J168">
        <f t="shared" si="24"/>
        <v>1</v>
      </c>
      <c r="K168">
        <f t="shared" si="24"/>
        <v>0</v>
      </c>
      <c r="L168">
        <f t="shared" si="24"/>
        <v>0</v>
      </c>
      <c r="M168">
        <f t="shared" si="25"/>
        <v>0</v>
      </c>
      <c r="N168">
        <f t="shared" si="25"/>
        <v>0</v>
      </c>
      <c r="O168">
        <f t="shared" si="25"/>
        <v>1</v>
      </c>
    </row>
    <row r="169" spans="1:15" x14ac:dyDescent="0.3">
      <c r="A169">
        <v>4</v>
      </c>
      <c r="B169">
        <v>2016</v>
      </c>
      <c r="C169">
        <v>11536</v>
      </c>
      <c r="D169">
        <v>20</v>
      </c>
      <c r="E169">
        <v>60</v>
      </c>
      <c r="F169">
        <v>6.5</v>
      </c>
      <c r="G169">
        <f t="shared" si="24"/>
        <v>0</v>
      </c>
      <c r="H169">
        <f t="shared" si="24"/>
        <v>0</v>
      </c>
      <c r="I169">
        <f t="shared" si="24"/>
        <v>0</v>
      </c>
      <c r="J169">
        <f t="shared" si="24"/>
        <v>0</v>
      </c>
      <c r="K169">
        <f t="shared" si="24"/>
        <v>1</v>
      </c>
      <c r="L169">
        <f t="shared" si="24"/>
        <v>0</v>
      </c>
      <c r="M169">
        <f t="shared" si="25"/>
        <v>0</v>
      </c>
      <c r="N169">
        <f t="shared" si="25"/>
        <v>0</v>
      </c>
      <c r="O169">
        <f t="shared" si="25"/>
        <v>1</v>
      </c>
    </row>
    <row r="170" spans="1:15" x14ac:dyDescent="0.3">
      <c r="A170">
        <v>1</v>
      </c>
      <c r="B170">
        <v>2016</v>
      </c>
      <c r="C170">
        <v>11533</v>
      </c>
      <c r="D170">
        <v>0</v>
      </c>
      <c r="E170">
        <v>18</v>
      </c>
      <c r="F170">
        <v>2</v>
      </c>
      <c r="G170">
        <f t="shared" si="24"/>
        <v>0</v>
      </c>
      <c r="H170">
        <f t="shared" si="24"/>
        <v>0</v>
      </c>
      <c r="I170">
        <f t="shared" si="24"/>
        <v>0</v>
      </c>
      <c r="J170">
        <f t="shared" si="24"/>
        <v>0</v>
      </c>
      <c r="K170">
        <f t="shared" si="24"/>
        <v>1</v>
      </c>
      <c r="L170">
        <f t="shared" si="24"/>
        <v>0</v>
      </c>
      <c r="M170">
        <f t="shared" si="25"/>
        <v>1</v>
      </c>
      <c r="N170">
        <f t="shared" si="25"/>
        <v>0</v>
      </c>
      <c r="O170">
        <f t="shared" si="25"/>
        <v>0</v>
      </c>
    </row>
    <row r="171" spans="1:15" x14ac:dyDescent="0.3">
      <c r="A171">
        <v>4</v>
      </c>
      <c r="B171">
        <v>2016</v>
      </c>
      <c r="C171">
        <v>11492</v>
      </c>
      <c r="D171">
        <v>200</v>
      </c>
      <c r="E171">
        <v>118</v>
      </c>
      <c r="F171">
        <v>24.5</v>
      </c>
      <c r="G171">
        <f t="shared" si="24"/>
        <v>0</v>
      </c>
      <c r="H171">
        <f t="shared" si="24"/>
        <v>0</v>
      </c>
      <c r="I171">
        <f t="shared" si="24"/>
        <v>0</v>
      </c>
      <c r="J171">
        <f t="shared" si="24"/>
        <v>0</v>
      </c>
      <c r="K171">
        <f t="shared" si="24"/>
        <v>1</v>
      </c>
      <c r="L171">
        <f t="shared" si="24"/>
        <v>0</v>
      </c>
      <c r="M171">
        <f t="shared" si="25"/>
        <v>0</v>
      </c>
      <c r="N171">
        <f t="shared" si="25"/>
        <v>0</v>
      </c>
      <c r="O171">
        <f t="shared" si="25"/>
        <v>1</v>
      </c>
    </row>
    <row r="172" spans="1:15" x14ac:dyDescent="0.3">
      <c r="A172">
        <v>1</v>
      </c>
      <c r="B172">
        <v>2016</v>
      </c>
      <c r="C172">
        <v>11384</v>
      </c>
      <c r="D172">
        <v>50</v>
      </c>
      <c r="E172">
        <v>80</v>
      </c>
      <c r="F172">
        <v>5.5</v>
      </c>
      <c r="G172">
        <f t="shared" ref="G172:L181" si="26">IF($B172=G$1,1,0)</f>
        <v>0</v>
      </c>
      <c r="H172">
        <f t="shared" si="26"/>
        <v>0</v>
      </c>
      <c r="I172">
        <f t="shared" si="26"/>
        <v>0</v>
      </c>
      <c r="J172">
        <f t="shared" si="26"/>
        <v>0</v>
      </c>
      <c r="K172">
        <f t="shared" si="26"/>
        <v>1</v>
      </c>
      <c r="L172">
        <f t="shared" si="26"/>
        <v>0</v>
      </c>
      <c r="M172">
        <f t="shared" si="25"/>
        <v>1</v>
      </c>
      <c r="N172">
        <f t="shared" si="25"/>
        <v>0</v>
      </c>
      <c r="O172">
        <f t="shared" si="25"/>
        <v>0</v>
      </c>
    </row>
    <row r="173" spans="1:15" x14ac:dyDescent="0.3">
      <c r="A173">
        <v>4</v>
      </c>
      <c r="B173">
        <v>2015</v>
      </c>
      <c r="C173">
        <v>11339</v>
      </c>
      <c r="D173">
        <v>55</v>
      </c>
      <c r="E173">
        <v>26</v>
      </c>
      <c r="F173">
        <v>3.5</v>
      </c>
      <c r="G173">
        <f t="shared" si="26"/>
        <v>0</v>
      </c>
      <c r="H173">
        <f t="shared" si="26"/>
        <v>0</v>
      </c>
      <c r="I173">
        <f t="shared" si="26"/>
        <v>0</v>
      </c>
      <c r="J173">
        <f t="shared" si="26"/>
        <v>1</v>
      </c>
      <c r="K173">
        <f t="shared" si="26"/>
        <v>0</v>
      </c>
      <c r="L173">
        <f t="shared" si="26"/>
        <v>0</v>
      </c>
      <c r="M173">
        <f t="shared" si="25"/>
        <v>0</v>
      </c>
      <c r="N173">
        <f t="shared" si="25"/>
        <v>0</v>
      </c>
      <c r="O173">
        <f t="shared" si="25"/>
        <v>1</v>
      </c>
    </row>
    <row r="174" spans="1:15" x14ac:dyDescent="0.3">
      <c r="A174">
        <v>2</v>
      </c>
      <c r="B174">
        <v>2017</v>
      </c>
      <c r="C174">
        <v>11285</v>
      </c>
      <c r="D174">
        <v>195</v>
      </c>
      <c r="E174">
        <v>77</v>
      </c>
      <c r="F174">
        <v>5.5</v>
      </c>
      <c r="G174">
        <f t="shared" si="26"/>
        <v>0</v>
      </c>
      <c r="H174">
        <f t="shared" si="26"/>
        <v>0</v>
      </c>
      <c r="I174">
        <f t="shared" si="26"/>
        <v>0</v>
      </c>
      <c r="J174">
        <f t="shared" si="26"/>
        <v>0</v>
      </c>
      <c r="K174">
        <f t="shared" si="26"/>
        <v>0</v>
      </c>
      <c r="L174">
        <f t="shared" si="26"/>
        <v>1</v>
      </c>
      <c r="M174">
        <f t="shared" si="25"/>
        <v>0</v>
      </c>
      <c r="N174">
        <f t="shared" si="25"/>
        <v>1</v>
      </c>
      <c r="O174">
        <f t="shared" si="25"/>
        <v>0</v>
      </c>
    </row>
    <row r="175" spans="1:15" x14ac:dyDescent="0.3">
      <c r="A175">
        <v>2</v>
      </c>
      <c r="B175">
        <v>2017</v>
      </c>
      <c r="C175">
        <v>11285</v>
      </c>
      <c r="D175">
        <v>195</v>
      </c>
      <c r="E175">
        <v>77</v>
      </c>
      <c r="F175">
        <v>5.5</v>
      </c>
      <c r="G175">
        <f t="shared" si="26"/>
        <v>0</v>
      </c>
      <c r="H175">
        <f t="shared" si="26"/>
        <v>0</v>
      </c>
      <c r="I175">
        <f t="shared" si="26"/>
        <v>0</v>
      </c>
      <c r="J175">
        <f t="shared" si="26"/>
        <v>0</v>
      </c>
      <c r="K175">
        <f t="shared" si="26"/>
        <v>0</v>
      </c>
      <c r="L175">
        <f t="shared" si="26"/>
        <v>1</v>
      </c>
      <c r="M175">
        <f t="shared" si="25"/>
        <v>0</v>
      </c>
      <c r="N175">
        <f t="shared" si="25"/>
        <v>1</v>
      </c>
      <c r="O175">
        <f t="shared" si="25"/>
        <v>0</v>
      </c>
    </row>
    <row r="176" spans="1:15" x14ac:dyDescent="0.3">
      <c r="A176">
        <v>1</v>
      </c>
      <c r="B176">
        <v>2015</v>
      </c>
      <c r="C176">
        <v>11262</v>
      </c>
      <c r="D176">
        <v>50</v>
      </c>
      <c r="E176">
        <v>18</v>
      </c>
      <c r="F176">
        <v>2</v>
      </c>
      <c r="G176">
        <f t="shared" si="26"/>
        <v>0</v>
      </c>
      <c r="H176">
        <f t="shared" si="26"/>
        <v>0</v>
      </c>
      <c r="I176">
        <f t="shared" si="26"/>
        <v>0</v>
      </c>
      <c r="J176">
        <f t="shared" si="26"/>
        <v>1</v>
      </c>
      <c r="K176">
        <f t="shared" si="26"/>
        <v>0</v>
      </c>
      <c r="L176">
        <f t="shared" si="26"/>
        <v>0</v>
      </c>
      <c r="M176">
        <f t="shared" si="25"/>
        <v>1</v>
      </c>
      <c r="N176">
        <f t="shared" si="25"/>
        <v>0</v>
      </c>
      <c r="O176">
        <f t="shared" si="25"/>
        <v>0</v>
      </c>
    </row>
    <row r="177" spans="1:15" x14ac:dyDescent="0.3">
      <c r="A177">
        <v>1</v>
      </c>
      <c r="B177">
        <v>2016</v>
      </c>
      <c r="C177">
        <v>11170</v>
      </c>
      <c r="D177">
        <v>95</v>
      </c>
      <c r="E177">
        <v>19</v>
      </c>
      <c r="F177">
        <v>2.5</v>
      </c>
      <c r="G177">
        <f t="shared" si="26"/>
        <v>0</v>
      </c>
      <c r="H177">
        <f t="shared" si="26"/>
        <v>0</v>
      </c>
      <c r="I177">
        <f t="shared" si="26"/>
        <v>0</v>
      </c>
      <c r="J177">
        <f t="shared" si="26"/>
        <v>0</v>
      </c>
      <c r="K177">
        <f t="shared" si="26"/>
        <v>1</v>
      </c>
      <c r="L177">
        <f t="shared" si="26"/>
        <v>0</v>
      </c>
      <c r="M177">
        <f t="shared" si="25"/>
        <v>1</v>
      </c>
      <c r="N177">
        <f t="shared" si="25"/>
        <v>0</v>
      </c>
      <c r="O177">
        <f t="shared" si="25"/>
        <v>0</v>
      </c>
    </row>
    <row r="178" spans="1:15" x14ac:dyDescent="0.3">
      <c r="A178">
        <v>1</v>
      </c>
      <c r="B178">
        <v>2016</v>
      </c>
      <c r="C178">
        <v>11170</v>
      </c>
      <c r="D178">
        <v>95</v>
      </c>
      <c r="E178">
        <v>19</v>
      </c>
      <c r="F178">
        <v>2.5</v>
      </c>
      <c r="G178">
        <f t="shared" si="26"/>
        <v>0</v>
      </c>
      <c r="H178">
        <f t="shared" si="26"/>
        <v>0</v>
      </c>
      <c r="I178">
        <f t="shared" si="26"/>
        <v>0</v>
      </c>
      <c r="J178">
        <f t="shared" si="26"/>
        <v>0</v>
      </c>
      <c r="K178">
        <f t="shared" si="26"/>
        <v>1</v>
      </c>
      <c r="L178">
        <f t="shared" si="26"/>
        <v>0</v>
      </c>
      <c r="M178">
        <f t="shared" si="25"/>
        <v>1</v>
      </c>
      <c r="N178">
        <f t="shared" si="25"/>
        <v>0</v>
      </c>
      <c r="O178">
        <f t="shared" si="25"/>
        <v>0</v>
      </c>
    </row>
    <row r="179" spans="1:15" x14ac:dyDescent="0.3">
      <c r="A179">
        <v>1</v>
      </c>
      <c r="B179">
        <v>2014</v>
      </c>
      <c r="C179">
        <v>11167</v>
      </c>
      <c r="D179">
        <v>20</v>
      </c>
      <c r="E179">
        <v>13</v>
      </c>
      <c r="F179">
        <v>2</v>
      </c>
      <c r="G179">
        <f t="shared" si="26"/>
        <v>0</v>
      </c>
      <c r="H179">
        <f t="shared" si="26"/>
        <v>0</v>
      </c>
      <c r="I179">
        <f t="shared" si="26"/>
        <v>1</v>
      </c>
      <c r="J179">
        <f t="shared" si="26"/>
        <v>0</v>
      </c>
      <c r="K179">
        <f t="shared" si="26"/>
        <v>0</v>
      </c>
      <c r="L179">
        <f t="shared" si="26"/>
        <v>0</v>
      </c>
      <c r="M179">
        <f t="shared" si="25"/>
        <v>1</v>
      </c>
      <c r="N179">
        <f t="shared" si="25"/>
        <v>0</v>
      </c>
      <c r="O179">
        <f t="shared" si="25"/>
        <v>0</v>
      </c>
    </row>
    <row r="180" spans="1:15" x14ac:dyDescent="0.3">
      <c r="A180">
        <v>1</v>
      </c>
      <c r="B180">
        <v>2014</v>
      </c>
      <c r="C180">
        <v>11167</v>
      </c>
      <c r="D180">
        <v>20</v>
      </c>
      <c r="E180">
        <v>13</v>
      </c>
      <c r="F180">
        <v>2</v>
      </c>
      <c r="G180">
        <f t="shared" si="26"/>
        <v>0</v>
      </c>
      <c r="H180">
        <f t="shared" si="26"/>
        <v>0</v>
      </c>
      <c r="I180">
        <f t="shared" si="26"/>
        <v>1</v>
      </c>
      <c r="J180">
        <f t="shared" si="26"/>
        <v>0</v>
      </c>
      <c r="K180">
        <f t="shared" si="26"/>
        <v>0</v>
      </c>
      <c r="L180">
        <f t="shared" si="26"/>
        <v>0</v>
      </c>
      <c r="M180">
        <f t="shared" si="25"/>
        <v>1</v>
      </c>
      <c r="N180">
        <f t="shared" si="25"/>
        <v>0</v>
      </c>
      <c r="O180">
        <f t="shared" si="25"/>
        <v>0</v>
      </c>
    </row>
    <row r="181" spans="1:15" x14ac:dyDescent="0.3">
      <c r="A181">
        <v>4</v>
      </c>
      <c r="B181">
        <v>2014</v>
      </c>
      <c r="C181">
        <v>11080</v>
      </c>
      <c r="D181">
        <v>0</v>
      </c>
      <c r="E181">
        <v>7</v>
      </c>
      <c r="F181">
        <v>1</v>
      </c>
      <c r="G181">
        <f t="shared" si="26"/>
        <v>0</v>
      </c>
      <c r="H181">
        <f t="shared" si="26"/>
        <v>0</v>
      </c>
      <c r="I181">
        <f t="shared" si="26"/>
        <v>1</v>
      </c>
      <c r="J181">
        <f t="shared" si="26"/>
        <v>0</v>
      </c>
      <c r="K181">
        <f t="shared" si="26"/>
        <v>0</v>
      </c>
      <c r="L181">
        <f t="shared" si="26"/>
        <v>0</v>
      </c>
      <c r="M181">
        <f t="shared" si="25"/>
        <v>0</v>
      </c>
      <c r="N181">
        <f t="shared" si="25"/>
        <v>0</v>
      </c>
      <c r="O181">
        <f t="shared" si="25"/>
        <v>1</v>
      </c>
    </row>
    <row r="182" spans="1:15" x14ac:dyDescent="0.3">
      <c r="A182">
        <v>1</v>
      </c>
      <c r="B182">
        <v>2014</v>
      </c>
      <c r="C182">
        <v>11026</v>
      </c>
      <c r="D182">
        <v>0</v>
      </c>
      <c r="E182">
        <v>13</v>
      </c>
      <c r="F182">
        <v>1</v>
      </c>
      <c r="G182">
        <f t="shared" ref="G182:L191" si="27">IF($B182=G$1,1,0)</f>
        <v>0</v>
      </c>
      <c r="H182">
        <f t="shared" si="27"/>
        <v>0</v>
      </c>
      <c r="I182">
        <f t="shared" si="27"/>
        <v>1</v>
      </c>
      <c r="J182">
        <f t="shared" si="27"/>
        <v>0</v>
      </c>
      <c r="K182">
        <f t="shared" si="27"/>
        <v>0</v>
      </c>
      <c r="L182">
        <f t="shared" si="27"/>
        <v>0</v>
      </c>
      <c r="M182">
        <f t="shared" ref="M182:O201" si="28">IF($A182=M$1,1,0)</f>
        <v>1</v>
      </c>
      <c r="N182">
        <f t="shared" si="28"/>
        <v>0</v>
      </c>
      <c r="O182">
        <f t="shared" si="28"/>
        <v>0</v>
      </c>
    </row>
    <row r="183" spans="1:15" x14ac:dyDescent="0.3">
      <c r="A183">
        <v>1</v>
      </c>
      <c r="B183">
        <v>2014</v>
      </c>
      <c r="C183">
        <v>11026</v>
      </c>
      <c r="D183">
        <v>0</v>
      </c>
      <c r="E183">
        <v>13</v>
      </c>
      <c r="F183">
        <v>1</v>
      </c>
      <c r="G183">
        <f t="shared" si="27"/>
        <v>0</v>
      </c>
      <c r="H183">
        <f t="shared" si="27"/>
        <v>0</v>
      </c>
      <c r="I183">
        <f t="shared" si="27"/>
        <v>1</v>
      </c>
      <c r="J183">
        <f t="shared" si="27"/>
        <v>0</v>
      </c>
      <c r="K183">
        <f t="shared" si="27"/>
        <v>0</v>
      </c>
      <c r="L183">
        <f t="shared" si="27"/>
        <v>0</v>
      </c>
      <c r="M183">
        <f t="shared" si="28"/>
        <v>1</v>
      </c>
      <c r="N183">
        <f t="shared" si="28"/>
        <v>0</v>
      </c>
      <c r="O183">
        <f t="shared" si="28"/>
        <v>0</v>
      </c>
    </row>
    <row r="184" spans="1:15" x14ac:dyDescent="0.3">
      <c r="A184">
        <v>4</v>
      </c>
      <c r="B184">
        <v>2015</v>
      </c>
      <c r="C184">
        <v>11011</v>
      </c>
      <c r="D184">
        <v>200</v>
      </c>
      <c r="E184">
        <v>36</v>
      </c>
      <c r="F184">
        <v>2.5</v>
      </c>
      <c r="G184">
        <f t="shared" si="27"/>
        <v>0</v>
      </c>
      <c r="H184">
        <f t="shared" si="27"/>
        <v>0</v>
      </c>
      <c r="I184">
        <f t="shared" si="27"/>
        <v>0</v>
      </c>
      <c r="J184">
        <f t="shared" si="27"/>
        <v>1</v>
      </c>
      <c r="K184">
        <f t="shared" si="27"/>
        <v>0</v>
      </c>
      <c r="L184">
        <f t="shared" si="27"/>
        <v>0</v>
      </c>
      <c r="M184">
        <f t="shared" si="28"/>
        <v>0</v>
      </c>
      <c r="N184">
        <f t="shared" si="28"/>
        <v>0</v>
      </c>
      <c r="O184">
        <f t="shared" si="28"/>
        <v>1</v>
      </c>
    </row>
    <row r="185" spans="1:15" x14ac:dyDescent="0.3">
      <c r="A185">
        <v>4</v>
      </c>
      <c r="B185">
        <v>2016</v>
      </c>
      <c r="C185">
        <v>10945</v>
      </c>
      <c r="D185">
        <v>150</v>
      </c>
      <c r="E185">
        <v>129</v>
      </c>
      <c r="F185">
        <v>13.5</v>
      </c>
      <c r="G185">
        <f t="shared" si="27"/>
        <v>0</v>
      </c>
      <c r="H185">
        <f t="shared" si="27"/>
        <v>0</v>
      </c>
      <c r="I185">
        <f t="shared" si="27"/>
        <v>0</v>
      </c>
      <c r="J185">
        <f t="shared" si="27"/>
        <v>0</v>
      </c>
      <c r="K185">
        <f t="shared" si="27"/>
        <v>1</v>
      </c>
      <c r="L185">
        <f t="shared" si="27"/>
        <v>0</v>
      </c>
      <c r="M185">
        <f t="shared" si="28"/>
        <v>0</v>
      </c>
      <c r="N185">
        <f t="shared" si="28"/>
        <v>0</v>
      </c>
      <c r="O185">
        <f t="shared" si="28"/>
        <v>1</v>
      </c>
    </row>
    <row r="186" spans="1:15" x14ac:dyDescent="0.3">
      <c r="A186">
        <v>4</v>
      </c>
      <c r="B186">
        <v>2015</v>
      </c>
      <c r="C186">
        <v>10917</v>
      </c>
      <c r="D186">
        <v>0</v>
      </c>
      <c r="E186">
        <v>25</v>
      </c>
      <c r="F186">
        <v>2</v>
      </c>
      <c r="G186">
        <f t="shared" si="27"/>
        <v>0</v>
      </c>
      <c r="H186">
        <f t="shared" si="27"/>
        <v>0</v>
      </c>
      <c r="I186">
        <f t="shared" si="27"/>
        <v>0</v>
      </c>
      <c r="J186">
        <f t="shared" si="27"/>
        <v>1</v>
      </c>
      <c r="K186">
        <f t="shared" si="27"/>
        <v>0</v>
      </c>
      <c r="L186">
        <f t="shared" si="27"/>
        <v>0</v>
      </c>
      <c r="M186">
        <f t="shared" si="28"/>
        <v>0</v>
      </c>
      <c r="N186">
        <f t="shared" si="28"/>
        <v>0</v>
      </c>
      <c r="O186">
        <f t="shared" si="28"/>
        <v>1</v>
      </c>
    </row>
    <row r="187" spans="1:15" x14ac:dyDescent="0.3">
      <c r="A187">
        <v>4</v>
      </c>
      <c r="B187">
        <v>2013</v>
      </c>
      <c r="C187">
        <v>10890</v>
      </c>
      <c r="D187">
        <v>75</v>
      </c>
      <c r="E187">
        <v>33</v>
      </c>
      <c r="F187">
        <v>5</v>
      </c>
      <c r="G187">
        <f t="shared" si="27"/>
        <v>0</v>
      </c>
      <c r="H187">
        <f t="shared" si="27"/>
        <v>1</v>
      </c>
      <c r="I187">
        <f t="shared" si="27"/>
        <v>0</v>
      </c>
      <c r="J187">
        <f t="shared" si="27"/>
        <v>0</v>
      </c>
      <c r="K187">
        <f t="shared" si="27"/>
        <v>0</v>
      </c>
      <c r="L187">
        <f t="shared" si="27"/>
        <v>0</v>
      </c>
      <c r="M187">
        <f t="shared" si="28"/>
        <v>0</v>
      </c>
      <c r="N187">
        <f t="shared" si="28"/>
        <v>0</v>
      </c>
      <c r="O187">
        <f t="shared" si="28"/>
        <v>1</v>
      </c>
    </row>
    <row r="188" spans="1:15" x14ac:dyDescent="0.3">
      <c r="A188">
        <v>4</v>
      </c>
      <c r="B188">
        <v>2016</v>
      </c>
      <c r="C188">
        <v>10874</v>
      </c>
      <c r="D188">
        <v>195</v>
      </c>
      <c r="E188">
        <v>59</v>
      </c>
      <c r="F188">
        <v>7.5</v>
      </c>
      <c r="G188">
        <f t="shared" si="27"/>
        <v>0</v>
      </c>
      <c r="H188">
        <f t="shared" si="27"/>
        <v>0</v>
      </c>
      <c r="I188">
        <f t="shared" si="27"/>
        <v>0</v>
      </c>
      <c r="J188">
        <f t="shared" si="27"/>
        <v>0</v>
      </c>
      <c r="K188">
        <f t="shared" si="27"/>
        <v>1</v>
      </c>
      <c r="L188">
        <f t="shared" si="27"/>
        <v>0</v>
      </c>
      <c r="M188">
        <f t="shared" si="28"/>
        <v>0</v>
      </c>
      <c r="N188">
        <f t="shared" si="28"/>
        <v>0</v>
      </c>
      <c r="O188">
        <f t="shared" si="28"/>
        <v>1</v>
      </c>
    </row>
    <row r="189" spans="1:15" x14ac:dyDescent="0.3">
      <c r="A189">
        <v>1</v>
      </c>
      <c r="B189">
        <v>2016</v>
      </c>
      <c r="C189">
        <v>10864</v>
      </c>
      <c r="D189">
        <v>50</v>
      </c>
      <c r="E189">
        <v>26</v>
      </c>
      <c r="F189">
        <v>2</v>
      </c>
      <c r="G189">
        <f t="shared" si="27"/>
        <v>0</v>
      </c>
      <c r="H189">
        <f t="shared" si="27"/>
        <v>0</v>
      </c>
      <c r="I189">
        <f t="shared" si="27"/>
        <v>0</v>
      </c>
      <c r="J189">
        <f t="shared" si="27"/>
        <v>0</v>
      </c>
      <c r="K189">
        <f t="shared" si="27"/>
        <v>1</v>
      </c>
      <c r="L189">
        <f t="shared" si="27"/>
        <v>0</v>
      </c>
      <c r="M189">
        <f t="shared" si="28"/>
        <v>1</v>
      </c>
      <c r="N189">
        <f t="shared" si="28"/>
        <v>0</v>
      </c>
      <c r="O189">
        <f t="shared" si="28"/>
        <v>0</v>
      </c>
    </row>
    <row r="190" spans="1:15" x14ac:dyDescent="0.3">
      <c r="A190">
        <v>4</v>
      </c>
      <c r="B190">
        <v>2016</v>
      </c>
      <c r="C190">
        <v>10780</v>
      </c>
      <c r="D190">
        <v>0</v>
      </c>
      <c r="E190">
        <v>19</v>
      </c>
      <c r="F190">
        <v>1</v>
      </c>
      <c r="G190">
        <f t="shared" si="27"/>
        <v>0</v>
      </c>
      <c r="H190">
        <f t="shared" si="27"/>
        <v>0</v>
      </c>
      <c r="I190">
        <f t="shared" si="27"/>
        <v>0</v>
      </c>
      <c r="J190">
        <f t="shared" si="27"/>
        <v>0</v>
      </c>
      <c r="K190">
        <f t="shared" si="27"/>
        <v>1</v>
      </c>
      <c r="L190">
        <f t="shared" si="27"/>
        <v>0</v>
      </c>
      <c r="M190">
        <f t="shared" si="28"/>
        <v>0</v>
      </c>
      <c r="N190">
        <f t="shared" si="28"/>
        <v>0</v>
      </c>
      <c r="O190">
        <f t="shared" si="28"/>
        <v>1</v>
      </c>
    </row>
    <row r="191" spans="1:15" x14ac:dyDescent="0.3">
      <c r="A191">
        <v>4</v>
      </c>
      <c r="B191">
        <v>2014</v>
      </c>
      <c r="C191">
        <v>10689</v>
      </c>
      <c r="D191">
        <v>20</v>
      </c>
      <c r="E191">
        <v>17</v>
      </c>
      <c r="F191">
        <v>2</v>
      </c>
      <c r="G191">
        <f t="shared" si="27"/>
        <v>0</v>
      </c>
      <c r="H191">
        <f t="shared" si="27"/>
        <v>0</v>
      </c>
      <c r="I191">
        <f t="shared" si="27"/>
        <v>1</v>
      </c>
      <c r="J191">
        <f t="shared" si="27"/>
        <v>0</v>
      </c>
      <c r="K191">
        <f t="shared" si="27"/>
        <v>0</v>
      </c>
      <c r="L191">
        <f t="shared" si="27"/>
        <v>0</v>
      </c>
      <c r="M191">
        <f t="shared" si="28"/>
        <v>0</v>
      </c>
      <c r="N191">
        <f t="shared" si="28"/>
        <v>0</v>
      </c>
      <c r="O191">
        <f t="shared" si="28"/>
        <v>1</v>
      </c>
    </row>
    <row r="192" spans="1:15" x14ac:dyDescent="0.3">
      <c r="A192">
        <v>1</v>
      </c>
      <c r="B192">
        <v>2016</v>
      </c>
      <c r="C192">
        <v>10674</v>
      </c>
      <c r="D192">
        <v>200</v>
      </c>
      <c r="E192">
        <v>26</v>
      </c>
      <c r="F192">
        <v>2</v>
      </c>
      <c r="G192">
        <f t="shared" ref="G192:L201" si="29">IF($B192=G$1,1,0)</f>
        <v>0</v>
      </c>
      <c r="H192">
        <f t="shared" si="29"/>
        <v>0</v>
      </c>
      <c r="I192">
        <f t="shared" si="29"/>
        <v>0</v>
      </c>
      <c r="J192">
        <f t="shared" si="29"/>
        <v>0</v>
      </c>
      <c r="K192">
        <f t="shared" si="29"/>
        <v>1</v>
      </c>
      <c r="L192">
        <f t="shared" si="29"/>
        <v>0</v>
      </c>
      <c r="M192">
        <f t="shared" si="28"/>
        <v>1</v>
      </c>
      <c r="N192">
        <f t="shared" si="28"/>
        <v>0</v>
      </c>
      <c r="O192">
        <f t="shared" si="28"/>
        <v>0</v>
      </c>
    </row>
    <row r="193" spans="1:15" x14ac:dyDescent="0.3">
      <c r="A193">
        <v>4</v>
      </c>
      <c r="B193">
        <v>2014</v>
      </c>
      <c r="C193">
        <v>10610</v>
      </c>
      <c r="D193">
        <v>20</v>
      </c>
      <c r="E193">
        <v>10</v>
      </c>
      <c r="F193">
        <v>1</v>
      </c>
      <c r="G193">
        <f t="shared" si="29"/>
        <v>0</v>
      </c>
      <c r="H193">
        <f t="shared" si="29"/>
        <v>0</v>
      </c>
      <c r="I193">
        <f t="shared" si="29"/>
        <v>1</v>
      </c>
      <c r="J193">
        <f t="shared" si="29"/>
        <v>0</v>
      </c>
      <c r="K193">
        <f t="shared" si="29"/>
        <v>0</v>
      </c>
      <c r="L193">
        <f t="shared" si="29"/>
        <v>0</v>
      </c>
      <c r="M193">
        <f t="shared" si="28"/>
        <v>0</v>
      </c>
      <c r="N193">
        <f t="shared" si="28"/>
        <v>0</v>
      </c>
      <c r="O193">
        <f t="shared" si="28"/>
        <v>1</v>
      </c>
    </row>
    <row r="194" spans="1:15" x14ac:dyDescent="0.3">
      <c r="A194">
        <v>1</v>
      </c>
      <c r="B194">
        <v>2014</v>
      </c>
      <c r="C194">
        <v>10606</v>
      </c>
      <c r="D194">
        <v>60</v>
      </c>
      <c r="E194">
        <v>88</v>
      </c>
      <c r="F194">
        <v>23</v>
      </c>
      <c r="G194">
        <f t="shared" si="29"/>
        <v>0</v>
      </c>
      <c r="H194">
        <f t="shared" si="29"/>
        <v>0</v>
      </c>
      <c r="I194">
        <f t="shared" si="29"/>
        <v>1</v>
      </c>
      <c r="J194">
        <f t="shared" si="29"/>
        <v>0</v>
      </c>
      <c r="K194">
        <f t="shared" si="29"/>
        <v>0</v>
      </c>
      <c r="L194">
        <f t="shared" si="29"/>
        <v>0</v>
      </c>
      <c r="M194">
        <f t="shared" si="28"/>
        <v>1</v>
      </c>
      <c r="N194">
        <f t="shared" si="28"/>
        <v>0</v>
      </c>
      <c r="O194">
        <f t="shared" si="28"/>
        <v>0</v>
      </c>
    </row>
    <row r="195" spans="1:15" x14ac:dyDescent="0.3">
      <c r="A195">
        <v>1</v>
      </c>
      <c r="B195">
        <v>2015</v>
      </c>
      <c r="C195">
        <v>10576</v>
      </c>
      <c r="D195">
        <v>145</v>
      </c>
      <c r="E195">
        <v>23</v>
      </c>
      <c r="F195">
        <v>2.5</v>
      </c>
      <c r="G195">
        <f t="shared" si="29"/>
        <v>0</v>
      </c>
      <c r="H195">
        <f t="shared" si="29"/>
        <v>0</v>
      </c>
      <c r="I195">
        <f t="shared" si="29"/>
        <v>0</v>
      </c>
      <c r="J195">
        <f t="shared" si="29"/>
        <v>1</v>
      </c>
      <c r="K195">
        <f t="shared" si="29"/>
        <v>0</v>
      </c>
      <c r="L195">
        <f t="shared" si="29"/>
        <v>0</v>
      </c>
      <c r="M195">
        <f t="shared" si="28"/>
        <v>1</v>
      </c>
      <c r="N195">
        <f t="shared" si="28"/>
        <v>0</v>
      </c>
      <c r="O195">
        <f t="shared" si="28"/>
        <v>0</v>
      </c>
    </row>
    <row r="196" spans="1:15" x14ac:dyDescent="0.3">
      <c r="A196">
        <v>4</v>
      </c>
      <c r="B196">
        <v>2015</v>
      </c>
      <c r="C196">
        <v>10518</v>
      </c>
      <c r="D196">
        <v>195</v>
      </c>
      <c r="E196">
        <v>57</v>
      </c>
      <c r="F196">
        <v>4.5</v>
      </c>
      <c r="G196">
        <f t="shared" si="29"/>
        <v>0</v>
      </c>
      <c r="H196">
        <f t="shared" si="29"/>
        <v>0</v>
      </c>
      <c r="I196">
        <f t="shared" si="29"/>
        <v>0</v>
      </c>
      <c r="J196">
        <f t="shared" si="29"/>
        <v>1</v>
      </c>
      <c r="K196">
        <f t="shared" si="29"/>
        <v>0</v>
      </c>
      <c r="L196">
        <f t="shared" si="29"/>
        <v>0</v>
      </c>
      <c r="M196">
        <f t="shared" si="28"/>
        <v>0</v>
      </c>
      <c r="N196">
        <f t="shared" si="28"/>
        <v>0</v>
      </c>
      <c r="O196">
        <f t="shared" si="28"/>
        <v>1</v>
      </c>
    </row>
    <row r="197" spans="1:15" x14ac:dyDescent="0.3">
      <c r="A197">
        <v>1</v>
      </c>
      <c r="B197">
        <v>2015</v>
      </c>
      <c r="C197">
        <v>10394</v>
      </c>
      <c r="D197">
        <v>90</v>
      </c>
      <c r="E197">
        <v>34</v>
      </c>
      <c r="F197">
        <v>3.5</v>
      </c>
      <c r="G197">
        <f t="shared" si="29"/>
        <v>0</v>
      </c>
      <c r="H197">
        <f t="shared" si="29"/>
        <v>0</v>
      </c>
      <c r="I197">
        <f t="shared" si="29"/>
        <v>0</v>
      </c>
      <c r="J197">
        <f t="shared" si="29"/>
        <v>1</v>
      </c>
      <c r="K197">
        <f t="shared" si="29"/>
        <v>0</v>
      </c>
      <c r="L197">
        <f t="shared" si="29"/>
        <v>0</v>
      </c>
      <c r="M197">
        <f t="shared" si="28"/>
        <v>1</v>
      </c>
      <c r="N197">
        <f t="shared" si="28"/>
        <v>0</v>
      </c>
      <c r="O197">
        <f t="shared" si="28"/>
        <v>0</v>
      </c>
    </row>
    <row r="198" spans="1:15" x14ac:dyDescent="0.3">
      <c r="A198">
        <v>1</v>
      </c>
      <c r="B198">
        <v>2014</v>
      </c>
      <c r="C198">
        <v>10247</v>
      </c>
      <c r="D198">
        <v>20</v>
      </c>
      <c r="E198">
        <v>15</v>
      </c>
      <c r="F198">
        <v>1.5</v>
      </c>
      <c r="G198">
        <f t="shared" si="29"/>
        <v>0</v>
      </c>
      <c r="H198">
        <f t="shared" si="29"/>
        <v>0</v>
      </c>
      <c r="I198">
        <f t="shared" si="29"/>
        <v>1</v>
      </c>
      <c r="J198">
        <f t="shared" si="29"/>
        <v>0</v>
      </c>
      <c r="K198">
        <f t="shared" si="29"/>
        <v>0</v>
      </c>
      <c r="L198">
        <f t="shared" si="29"/>
        <v>0</v>
      </c>
      <c r="M198">
        <f t="shared" si="28"/>
        <v>1</v>
      </c>
      <c r="N198">
        <f t="shared" si="28"/>
        <v>0</v>
      </c>
      <c r="O198">
        <f t="shared" si="28"/>
        <v>0</v>
      </c>
    </row>
    <row r="199" spans="1:15" x14ac:dyDescent="0.3">
      <c r="A199">
        <v>4</v>
      </c>
      <c r="B199">
        <v>2016</v>
      </c>
      <c r="C199">
        <v>10179</v>
      </c>
      <c r="D199">
        <v>0</v>
      </c>
      <c r="E199">
        <v>21</v>
      </c>
      <c r="F199">
        <v>1.5</v>
      </c>
      <c r="G199">
        <f t="shared" si="29"/>
        <v>0</v>
      </c>
      <c r="H199">
        <f t="shared" si="29"/>
        <v>0</v>
      </c>
      <c r="I199">
        <f t="shared" si="29"/>
        <v>0</v>
      </c>
      <c r="J199">
        <f t="shared" si="29"/>
        <v>0</v>
      </c>
      <c r="K199">
        <f t="shared" si="29"/>
        <v>1</v>
      </c>
      <c r="L199">
        <f t="shared" si="29"/>
        <v>0</v>
      </c>
      <c r="M199">
        <f t="shared" si="28"/>
        <v>0</v>
      </c>
      <c r="N199">
        <f t="shared" si="28"/>
        <v>0</v>
      </c>
      <c r="O199">
        <f t="shared" si="28"/>
        <v>1</v>
      </c>
    </row>
    <row r="200" spans="1:15" x14ac:dyDescent="0.3">
      <c r="A200">
        <v>1</v>
      </c>
      <c r="B200">
        <v>2015</v>
      </c>
      <c r="C200">
        <v>10179</v>
      </c>
      <c r="D200">
        <v>95</v>
      </c>
      <c r="E200">
        <v>17</v>
      </c>
      <c r="F200">
        <v>1.5</v>
      </c>
      <c r="G200">
        <f t="shared" si="29"/>
        <v>0</v>
      </c>
      <c r="H200">
        <f t="shared" si="29"/>
        <v>0</v>
      </c>
      <c r="I200">
        <f t="shared" si="29"/>
        <v>0</v>
      </c>
      <c r="J200">
        <f t="shared" si="29"/>
        <v>1</v>
      </c>
      <c r="K200">
        <f t="shared" si="29"/>
        <v>0</v>
      </c>
      <c r="L200">
        <f t="shared" si="29"/>
        <v>0</v>
      </c>
      <c r="M200">
        <f t="shared" si="28"/>
        <v>1</v>
      </c>
      <c r="N200">
        <f t="shared" si="28"/>
        <v>0</v>
      </c>
      <c r="O200">
        <f t="shared" si="28"/>
        <v>0</v>
      </c>
    </row>
    <row r="201" spans="1:15" x14ac:dyDescent="0.3">
      <c r="A201">
        <v>1</v>
      </c>
      <c r="B201">
        <v>2015</v>
      </c>
      <c r="C201">
        <v>10150</v>
      </c>
      <c r="D201">
        <v>50</v>
      </c>
      <c r="E201">
        <v>90</v>
      </c>
      <c r="F201">
        <v>16</v>
      </c>
      <c r="G201">
        <f t="shared" si="29"/>
        <v>0</v>
      </c>
      <c r="H201">
        <f t="shared" si="29"/>
        <v>0</v>
      </c>
      <c r="I201">
        <f t="shared" si="29"/>
        <v>0</v>
      </c>
      <c r="J201">
        <f t="shared" si="29"/>
        <v>1</v>
      </c>
      <c r="K201">
        <f t="shared" si="29"/>
        <v>0</v>
      </c>
      <c r="L201">
        <f t="shared" si="29"/>
        <v>0</v>
      </c>
      <c r="M201">
        <f t="shared" si="28"/>
        <v>1</v>
      </c>
      <c r="N201">
        <f t="shared" si="28"/>
        <v>0</v>
      </c>
      <c r="O201">
        <f t="shared" si="28"/>
        <v>0</v>
      </c>
    </row>
    <row r="202" spans="1:15" x14ac:dyDescent="0.3">
      <c r="A202">
        <v>4</v>
      </c>
      <c r="B202">
        <v>2014</v>
      </c>
      <c r="C202">
        <v>10110</v>
      </c>
      <c r="D202">
        <v>0</v>
      </c>
      <c r="E202">
        <v>12</v>
      </c>
      <c r="F202">
        <v>2.5</v>
      </c>
      <c r="G202">
        <f t="shared" ref="G202:L211" si="30">IF($B202=G$1,1,0)</f>
        <v>0</v>
      </c>
      <c r="H202">
        <f t="shared" si="30"/>
        <v>0</v>
      </c>
      <c r="I202">
        <f t="shared" si="30"/>
        <v>1</v>
      </c>
      <c r="J202">
        <f t="shared" si="30"/>
        <v>0</v>
      </c>
      <c r="K202">
        <f t="shared" si="30"/>
        <v>0</v>
      </c>
      <c r="L202">
        <f t="shared" si="30"/>
        <v>0</v>
      </c>
      <c r="M202">
        <f t="shared" ref="M202:O221" si="31">IF($A202=M$1,1,0)</f>
        <v>0</v>
      </c>
      <c r="N202">
        <f t="shared" si="31"/>
        <v>0</v>
      </c>
      <c r="O202">
        <f t="shared" si="31"/>
        <v>1</v>
      </c>
    </row>
    <row r="203" spans="1:15" x14ac:dyDescent="0.3">
      <c r="A203">
        <v>4</v>
      </c>
      <c r="B203">
        <v>2016</v>
      </c>
      <c r="C203">
        <v>10103</v>
      </c>
      <c r="D203">
        <v>115</v>
      </c>
      <c r="E203">
        <v>20</v>
      </c>
      <c r="F203">
        <v>1.5</v>
      </c>
      <c r="G203">
        <f t="shared" si="30"/>
        <v>0</v>
      </c>
      <c r="H203">
        <f t="shared" si="30"/>
        <v>0</v>
      </c>
      <c r="I203">
        <f t="shared" si="30"/>
        <v>0</v>
      </c>
      <c r="J203">
        <f t="shared" si="30"/>
        <v>0</v>
      </c>
      <c r="K203">
        <f t="shared" si="30"/>
        <v>1</v>
      </c>
      <c r="L203">
        <f t="shared" si="30"/>
        <v>0</v>
      </c>
      <c r="M203">
        <f t="shared" si="31"/>
        <v>0</v>
      </c>
      <c r="N203">
        <f t="shared" si="31"/>
        <v>0</v>
      </c>
      <c r="O203">
        <f t="shared" si="31"/>
        <v>1</v>
      </c>
    </row>
    <row r="204" spans="1:15" x14ac:dyDescent="0.3">
      <c r="A204">
        <v>4</v>
      </c>
      <c r="B204">
        <v>2016</v>
      </c>
      <c r="C204">
        <v>10008</v>
      </c>
      <c r="D204">
        <v>20</v>
      </c>
      <c r="E204">
        <v>26</v>
      </c>
      <c r="F204">
        <v>2.5</v>
      </c>
      <c r="G204">
        <f t="shared" si="30"/>
        <v>0</v>
      </c>
      <c r="H204">
        <f t="shared" si="30"/>
        <v>0</v>
      </c>
      <c r="I204">
        <f t="shared" si="30"/>
        <v>0</v>
      </c>
      <c r="J204">
        <f t="shared" si="30"/>
        <v>0</v>
      </c>
      <c r="K204">
        <f t="shared" si="30"/>
        <v>1</v>
      </c>
      <c r="L204">
        <f t="shared" si="30"/>
        <v>0</v>
      </c>
      <c r="M204">
        <f t="shared" si="31"/>
        <v>0</v>
      </c>
      <c r="N204">
        <f t="shared" si="31"/>
        <v>0</v>
      </c>
      <c r="O204">
        <f t="shared" si="31"/>
        <v>1</v>
      </c>
    </row>
    <row r="205" spans="1:15" x14ac:dyDescent="0.3">
      <c r="A205">
        <v>2</v>
      </c>
      <c r="B205">
        <v>2017</v>
      </c>
      <c r="C205">
        <v>9945</v>
      </c>
      <c r="D205">
        <v>200</v>
      </c>
      <c r="E205">
        <v>43</v>
      </c>
      <c r="F205">
        <v>2</v>
      </c>
      <c r="G205">
        <f t="shared" si="30"/>
        <v>0</v>
      </c>
      <c r="H205">
        <f t="shared" si="30"/>
        <v>0</v>
      </c>
      <c r="I205">
        <f t="shared" si="30"/>
        <v>0</v>
      </c>
      <c r="J205">
        <f t="shared" si="30"/>
        <v>0</v>
      </c>
      <c r="K205">
        <f t="shared" si="30"/>
        <v>0</v>
      </c>
      <c r="L205">
        <f t="shared" si="30"/>
        <v>1</v>
      </c>
      <c r="M205">
        <f t="shared" si="31"/>
        <v>0</v>
      </c>
      <c r="N205">
        <f t="shared" si="31"/>
        <v>1</v>
      </c>
      <c r="O205">
        <f t="shared" si="31"/>
        <v>0</v>
      </c>
    </row>
    <row r="206" spans="1:15" x14ac:dyDescent="0.3">
      <c r="A206">
        <v>2</v>
      </c>
      <c r="B206">
        <v>2013</v>
      </c>
      <c r="C206">
        <v>9881</v>
      </c>
      <c r="D206">
        <v>50</v>
      </c>
      <c r="E206">
        <v>136</v>
      </c>
      <c r="F206">
        <v>12</v>
      </c>
      <c r="G206">
        <f t="shared" si="30"/>
        <v>0</v>
      </c>
      <c r="H206">
        <f t="shared" si="30"/>
        <v>1</v>
      </c>
      <c r="I206">
        <f t="shared" si="30"/>
        <v>0</v>
      </c>
      <c r="J206">
        <f t="shared" si="30"/>
        <v>0</v>
      </c>
      <c r="K206">
        <f t="shared" si="30"/>
        <v>0</v>
      </c>
      <c r="L206">
        <f t="shared" si="30"/>
        <v>0</v>
      </c>
      <c r="M206">
        <f t="shared" si="31"/>
        <v>0</v>
      </c>
      <c r="N206">
        <f t="shared" si="31"/>
        <v>1</v>
      </c>
      <c r="O206">
        <f t="shared" si="31"/>
        <v>0</v>
      </c>
    </row>
    <row r="207" spans="1:15" x14ac:dyDescent="0.3">
      <c r="A207">
        <v>3</v>
      </c>
      <c r="B207">
        <v>2014</v>
      </c>
      <c r="C207">
        <v>9833</v>
      </c>
      <c r="D207">
        <v>0</v>
      </c>
      <c r="E207">
        <v>15</v>
      </c>
      <c r="F207">
        <v>1</v>
      </c>
      <c r="G207">
        <f t="shared" si="30"/>
        <v>0</v>
      </c>
      <c r="H207">
        <f t="shared" si="30"/>
        <v>0</v>
      </c>
      <c r="I207">
        <f t="shared" si="30"/>
        <v>1</v>
      </c>
      <c r="J207">
        <f t="shared" si="30"/>
        <v>0</v>
      </c>
      <c r="K207">
        <f t="shared" si="30"/>
        <v>0</v>
      </c>
      <c r="L207">
        <f t="shared" si="30"/>
        <v>0</v>
      </c>
      <c r="M207">
        <f t="shared" si="31"/>
        <v>0</v>
      </c>
      <c r="N207">
        <f t="shared" si="31"/>
        <v>0</v>
      </c>
      <c r="O207">
        <f t="shared" si="31"/>
        <v>0</v>
      </c>
    </row>
    <row r="208" spans="1:15" x14ac:dyDescent="0.3">
      <c r="A208">
        <v>4</v>
      </c>
      <c r="B208">
        <v>2017</v>
      </c>
      <c r="C208">
        <v>9832</v>
      </c>
      <c r="D208">
        <v>95</v>
      </c>
      <c r="E208">
        <v>59</v>
      </c>
      <c r="F208">
        <v>2</v>
      </c>
      <c r="G208">
        <f t="shared" si="30"/>
        <v>0</v>
      </c>
      <c r="H208">
        <f t="shared" si="30"/>
        <v>0</v>
      </c>
      <c r="I208">
        <f t="shared" si="30"/>
        <v>0</v>
      </c>
      <c r="J208">
        <f t="shared" si="30"/>
        <v>0</v>
      </c>
      <c r="K208">
        <f t="shared" si="30"/>
        <v>0</v>
      </c>
      <c r="L208">
        <f t="shared" si="30"/>
        <v>1</v>
      </c>
      <c r="M208">
        <f t="shared" si="31"/>
        <v>0</v>
      </c>
      <c r="N208">
        <f t="shared" si="31"/>
        <v>0</v>
      </c>
      <c r="O208">
        <f t="shared" si="31"/>
        <v>1</v>
      </c>
    </row>
    <row r="209" spans="1:15" x14ac:dyDescent="0.3">
      <c r="A209">
        <v>2</v>
      </c>
      <c r="B209">
        <v>2017</v>
      </c>
      <c r="C209">
        <v>9831</v>
      </c>
      <c r="D209">
        <v>195</v>
      </c>
      <c r="E209">
        <v>74</v>
      </c>
      <c r="F209">
        <v>14.5</v>
      </c>
      <c r="G209">
        <f t="shared" si="30"/>
        <v>0</v>
      </c>
      <c r="H209">
        <f t="shared" si="30"/>
        <v>0</v>
      </c>
      <c r="I209">
        <f t="shared" si="30"/>
        <v>0</v>
      </c>
      <c r="J209">
        <f t="shared" si="30"/>
        <v>0</v>
      </c>
      <c r="K209">
        <f t="shared" si="30"/>
        <v>0</v>
      </c>
      <c r="L209">
        <f t="shared" si="30"/>
        <v>1</v>
      </c>
      <c r="M209">
        <f t="shared" si="31"/>
        <v>0</v>
      </c>
      <c r="N209">
        <f t="shared" si="31"/>
        <v>1</v>
      </c>
      <c r="O209">
        <f t="shared" si="31"/>
        <v>0</v>
      </c>
    </row>
    <row r="210" spans="1:15" x14ac:dyDescent="0.3">
      <c r="A210">
        <v>1</v>
      </c>
      <c r="B210">
        <v>2015</v>
      </c>
      <c r="C210">
        <v>9786</v>
      </c>
      <c r="D210">
        <v>0</v>
      </c>
      <c r="E210">
        <v>7</v>
      </c>
      <c r="F210">
        <v>0.7</v>
      </c>
      <c r="G210">
        <f t="shared" si="30"/>
        <v>0</v>
      </c>
      <c r="H210">
        <f t="shared" si="30"/>
        <v>0</v>
      </c>
      <c r="I210">
        <f t="shared" si="30"/>
        <v>0</v>
      </c>
      <c r="J210">
        <f t="shared" si="30"/>
        <v>1</v>
      </c>
      <c r="K210">
        <f t="shared" si="30"/>
        <v>0</v>
      </c>
      <c r="L210">
        <f t="shared" si="30"/>
        <v>0</v>
      </c>
      <c r="M210">
        <f t="shared" si="31"/>
        <v>1</v>
      </c>
      <c r="N210">
        <f t="shared" si="31"/>
        <v>0</v>
      </c>
      <c r="O210">
        <f t="shared" si="31"/>
        <v>0</v>
      </c>
    </row>
    <row r="211" spans="1:15" x14ac:dyDescent="0.3">
      <c r="A211">
        <v>1</v>
      </c>
      <c r="B211">
        <v>2016</v>
      </c>
      <c r="C211">
        <v>9773</v>
      </c>
      <c r="D211">
        <v>200</v>
      </c>
      <c r="E211">
        <v>65</v>
      </c>
      <c r="F211">
        <v>4.5</v>
      </c>
      <c r="G211">
        <f t="shared" si="30"/>
        <v>0</v>
      </c>
      <c r="H211">
        <f t="shared" si="30"/>
        <v>0</v>
      </c>
      <c r="I211">
        <f t="shared" si="30"/>
        <v>0</v>
      </c>
      <c r="J211">
        <f t="shared" si="30"/>
        <v>0</v>
      </c>
      <c r="K211">
        <f t="shared" si="30"/>
        <v>1</v>
      </c>
      <c r="L211">
        <f t="shared" si="30"/>
        <v>0</v>
      </c>
      <c r="M211">
        <f t="shared" si="31"/>
        <v>1</v>
      </c>
      <c r="N211">
        <f t="shared" si="31"/>
        <v>0</v>
      </c>
      <c r="O211">
        <f t="shared" si="31"/>
        <v>0</v>
      </c>
    </row>
    <row r="212" spans="1:15" x14ac:dyDescent="0.3">
      <c r="A212">
        <v>2</v>
      </c>
      <c r="B212">
        <v>2016</v>
      </c>
      <c r="C212">
        <v>9762</v>
      </c>
      <c r="D212">
        <v>20</v>
      </c>
      <c r="E212">
        <v>112</v>
      </c>
      <c r="F212">
        <v>13.5</v>
      </c>
      <c r="G212">
        <f t="shared" ref="G212:L221" si="32">IF($B212=G$1,1,0)</f>
        <v>0</v>
      </c>
      <c r="H212">
        <f t="shared" si="32"/>
        <v>0</v>
      </c>
      <c r="I212">
        <f t="shared" si="32"/>
        <v>0</v>
      </c>
      <c r="J212">
        <f t="shared" si="32"/>
        <v>0</v>
      </c>
      <c r="K212">
        <f t="shared" si="32"/>
        <v>1</v>
      </c>
      <c r="L212">
        <f t="shared" si="32"/>
        <v>0</v>
      </c>
      <c r="M212">
        <f t="shared" si="31"/>
        <v>0</v>
      </c>
      <c r="N212">
        <f t="shared" si="31"/>
        <v>1</v>
      </c>
      <c r="O212">
        <f t="shared" si="31"/>
        <v>0</v>
      </c>
    </row>
    <row r="213" spans="1:15" x14ac:dyDescent="0.3">
      <c r="A213">
        <v>1</v>
      </c>
      <c r="B213">
        <v>2015</v>
      </c>
      <c r="C213">
        <v>9687</v>
      </c>
      <c r="D213">
        <v>195</v>
      </c>
      <c r="E213">
        <v>59</v>
      </c>
      <c r="F213">
        <v>5</v>
      </c>
      <c r="G213">
        <f t="shared" si="32"/>
        <v>0</v>
      </c>
      <c r="H213">
        <f t="shared" si="32"/>
        <v>0</v>
      </c>
      <c r="I213">
        <f t="shared" si="32"/>
        <v>0</v>
      </c>
      <c r="J213">
        <f t="shared" si="32"/>
        <v>1</v>
      </c>
      <c r="K213">
        <f t="shared" si="32"/>
        <v>0</v>
      </c>
      <c r="L213">
        <f t="shared" si="32"/>
        <v>0</v>
      </c>
      <c r="M213">
        <f t="shared" si="31"/>
        <v>1</v>
      </c>
      <c r="N213">
        <f t="shared" si="31"/>
        <v>0</v>
      </c>
      <c r="O213">
        <f t="shared" si="31"/>
        <v>0</v>
      </c>
    </row>
    <row r="214" spans="1:15" x14ac:dyDescent="0.3">
      <c r="A214">
        <v>4</v>
      </c>
      <c r="B214">
        <v>2015</v>
      </c>
      <c r="C214">
        <v>9668</v>
      </c>
      <c r="D214">
        <v>100</v>
      </c>
      <c r="E214">
        <v>52</v>
      </c>
      <c r="F214">
        <v>4</v>
      </c>
      <c r="G214">
        <f t="shared" si="32"/>
        <v>0</v>
      </c>
      <c r="H214">
        <f t="shared" si="32"/>
        <v>0</v>
      </c>
      <c r="I214">
        <f t="shared" si="32"/>
        <v>0</v>
      </c>
      <c r="J214">
        <f t="shared" si="32"/>
        <v>1</v>
      </c>
      <c r="K214">
        <f t="shared" si="32"/>
        <v>0</v>
      </c>
      <c r="L214">
        <f t="shared" si="32"/>
        <v>0</v>
      </c>
      <c r="M214">
        <f t="shared" si="31"/>
        <v>0</v>
      </c>
      <c r="N214">
        <f t="shared" si="31"/>
        <v>0</v>
      </c>
      <c r="O214">
        <f t="shared" si="31"/>
        <v>1</v>
      </c>
    </row>
    <row r="215" spans="1:15" x14ac:dyDescent="0.3">
      <c r="A215">
        <v>4</v>
      </c>
      <c r="B215">
        <v>2016</v>
      </c>
      <c r="C215">
        <v>9607</v>
      </c>
      <c r="D215">
        <v>50</v>
      </c>
      <c r="E215">
        <v>40</v>
      </c>
      <c r="F215">
        <v>5.5</v>
      </c>
      <c r="G215">
        <f t="shared" si="32"/>
        <v>0</v>
      </c>
      <c r="H215">
        <f t="shared" si="32"/>
        <v>0</v>
      </c>
      <c r="I215">
        <f t="shared" si="32"/>
        <v>0</v>
      </c>
      <c r="J215">
        <f t="shared" si="32"/>
        <v>0</v>
      </c>
      <c r="K215">
        <f t="shared" si="32"/>
        <v>1</v>
      </c>
      <c r="L215">
        <f t="shared" si="32"/>
        <v>0</v>
      </c>
      <c r="M215">
        <f t="shared" si="31"/>
        <v>0</v>
      </c>
      <c r="N215">
        <f t="shared" si="31"/>
        <v>0</v>
      </c>
      <c r="O215">
        <f t="shared" si="31"/>
        <v>1</v>
      </c>
    </row>
    <row r="216" spans="1:15" x14ac:dyDescent="0.3">
      <c r="A216">
        <v>2</v>
      </c>
      <c r="B216">
        <v>2015</v>
      </c>
      <c r="C216">
        <v>9554</v>
      </c>
      <c r="D216">
        <v>20</v>
      </c>
      <c r="E216">
        <v>16</v>
      </c>
      <c r="F216">
        <v>1.5</v>
      </c>
      <c r="G216">
        <f t="shared" si="32"/>
        <v>0</v>
      </c>
      <c r="H216">
        <f t="shared" si="32"/>
        <v>0</v>
      </c>
      <c r="I216">
        <f t="shared" si="32"/>
        <v>0</v>
      </c>
      <c r="J216">
        <f t="shared" si="32"/>
        <v>1</v>
      </c>
      <c r="K216">
        <f t="shared" si="32"/>
        <v>0</v>
      </c>
      <c r="L216">
        <f t="shared" si="32"/>
        <v>0</v>
      </c>
      <c r="M216">
        <f t="shared" si="31"/>
        <v>0</v>
      </c>
      <c r="N216">
        <f t="shared" si="31"/>
        <v>1</v>
      </c>
      <c r="O216">
        <f t="shared" si="31"/>
        <v>0</v>
      </c>
    </row>
    <row r="217" spans="1:15" x14ac:dyDescent="0.3">
      <c r="A217">
        <v>4</v>
      </c>
      <c r="B217">
        <v>2016</v>
      </c>
      <c r="C217">
        <v>9425</v>
      </c>
      <c r="D217">
        <v>20</v>
      </c>
      <c r="E217">
        <v>14</v>
      </c>
      <c r="F217">
        <v>1.5</v>
      </c>
      <c r="G217">
        <f t="shared" si="32"/>
        <v>0</v>
      </c>
      <c r="H217">
        <f t="shared" si="32"/>
        <v>0</v>
      </c>
      <c r="I217">
        <f t="shared" si="32"/>
        <v>0</v>
      </c>
      <c r="J217">
        <f t="shared" si="32"/>
        <v>0</v>
      </c>
      <c r="K217">
        <f t="shared" si="32"/>
        <v>1</v>
      </c>
      <c r="L217">
        <f t="shared" si="32"/>
        <v>0</v>
      </c>
      <c r="M217">
        <f t="shared" si="31"/>
        <v>0</v>
      </c>
      <c r="N217">
        <f t="shared" si="31"/>
        <v>0</v>
      </c>
      <c r="O217">
        <f t="shared" si="31"/>
        <v>1</v>
      </c>
    </row>
    <row r="218" spans="1:15" x14ac:dyDescent="0.3">
      <c r="A218">
        <v>1</v>
      </c>
      <c r="B218">
        <v>2015</v>
      </c>
      <c r="C218">
        <v>9421</v>
      </c>
      <c r="D218">
        <v>195</v>
      </c>
      <c r="E218">
        <v>36</v>
      </c>
      <c r="F218">
        <v>3.5</v>
      </c>
      <c r="G218">
        <f t="shared" si="32"/>
        <v>0</v>
      </c>
      <c r="H218">
        <f t="shared" si="32"/>
        <v>0</v>
      </c>
      <c r="I218">
        <f t="shared" si="32"/>
        <v>0</v>
      </c>
      <c r="J218">
        <f t="shared" si="32"/>
        <v>1</v>
      </c>
      <c r="K218">
        <f t="shared" si="32"/>
        <v>0</v>
      </c>
      <c r="L218">
        <f t="shared" si="32"/>
        <v>0</v>
      </c>
      <c r="M218">
        <f t="shared" si="31"/>
        <v>1</v>
      </c>
      <c r="N218">
        <f t="shared" si="31"/>
        <v>0</v>
      </c>
      <c r="O218">
        <f t="shared" si="31"/>
        <v>0</v>
      </c>
    </row>
    <row r="219" spans="1:15" x14ac:dyDescent="0.3">
      <c r="A219">
        <v>4</v>
      </c>
      <c r="B219">
        <v>2015</v>
      </c>
      <c r="C219">
        <v>9384</v>
      </c>
      <c r="D219">
        <v>150</v>
      </c>
      <c r="E219">
        <v>16</v>
      </c>
      <c r="F219">
        <v>1.5</v>
      </c>
      <c r="G219">
        <f t="shared" si="32"/>
        <v>0</v>
      </c>
      <c r="H219">
        <f t="shared" si="32"/>
        <v>0</v>
      </c>
      <c r="I219">
        <f t="shared" si="32"/>
        <v>0</v>
      </c>
      <c r="J219">
        <f t="shared" si="32"/>
        <v>1</v>
      </c>
      <c r="K219">
        <f t="shared" si="32"/>
        <v>0</v>
      </c>
      <c r="L219">
        <f t="shared" si="32"/>
        <v>0</v>
      </c>
      <c r="M219">
        <f t="shared" si="31"/>
        <v>0</v>
      </c>
      <c r="N219">
        <f t="shared" si="31"/>
        <v>0</v>
      </c>
      <c r="O219">
        <f t="shared" si="31"/>
        <v>1</v>
      </c>
    </row>
    <row r="220" spans="1:15" x14ac:dyDescent="0.3">
      <c r="A220">
        <v>1</v>
      </c>
      <c r="B220">
        <v>2014</v>
      </c>
      <c r="C220">
        <v>9381</v>
      </c>
      <c r="D220">
        <v>20</v>
      </c>
      <c r="E220">
        <v>131</v>
      </c>
      <c r="F220">
        <v>11</v>
      </c>
      <c r="G220">
        <f t="shared" si="32"/>
        <v>0</v>
      </c>
      <c r="H220">
        <f t="shared" si="32"/>
        <v>0</v>
      </c>
      <c r="I220">
        <f t="shared" si="32"/>
        <v>1</v>
      </c>
      <c r="J220">
        <f t="shared" si="32"/>
        <v>0</v>
      </c>
      <c r="K220">
        <f t="shared" si="32"/>
        <v>0</v>
      </c>
      <c r="L220">
        <f t="shared" si="32"/>
        <v>0</v>
      </c>
      <c r="M220">
        <f t="shared" si="31"/>
        <v>1</v>
      </c>
      <c r="N220">
        <f t="shared" si="31"/>
        <v>0</v>
      </c>
      <c r="O220">
        <f t="shared" si="31"/>
        <v>0</v>
      </c>
    </row>
    <row r="221" spans="1:15" x14ac:dyDescent="0.3">
      <c r="A221">
        <v>2</v>
      </c>
      <c r="B221">
        <v>2014</v>
      </c>
      <c r="C221">
        <v>9375</v>
      </c>
      <c r="D221">
        <v>95</v>
      </c>
      <c r="E221">
        <v>43</v>
      </c>
      <c r="F221">
        <v>7</v>
      </c>
      <c r="G221">
        <f t="shared" si="32"/>
        <v>0</v>
      </c>
      <c r="H221">
        <f t="shared" si="32"/>
        <v>0</v>
      </c>
      <c r="I221">
        <f t="shared" si="32"/>
        <v>1</v>
      </c>
      <c r="J221">
        <f t="shared" si="32"/>
        <v>0</v>
      </c>
      <c r="K221">
        <f t="shared" si="32"/>
        <v>0</v>
      </c>
      <c r="L221">
        <f t="shared" si="32"/>
        <v>0</v>
      </c>
      <c r="M221">
        <f t="shared" si="31"/>
        <v>0</v>
      </c>
      <c r="N221">
        <f t="shared" si="31"/>
        <v>1</v>
      </c>
      <c r="O221">
        <f t="shared" si="31"/>
        <v>0</v>
      </c>
    </row>
    <row r="222" spans="1:15" x14ac:dyDescent="0.3">
      <c r="A222">
        <v>4</v>
      </c>
      <c r="B222">
        <v>2015</v>
      </c>
      <c r="C222">
        <v>9364</v>
      </c>
      <c r="D222">
        <v>0</v>
      </c>
      <c r="E222">
        <v>10</v>
      </c>
      <c r="F222">
        <v>0.53333333000000005</v>
      </c>
      <c r="G222">
        <f t="shared" ref="G222:L231" si="33">IF($B222=G$1,1,0)</f>
        <v>0</v>
      </c>
      <c r="H222">
        <f t="shared" si="33"/>
        <v>0</v>
      </c>
      <c r="I222">
        <f t="shared" si="33"/>
        <v>0</v>
      </c>
      <c r="J222">
        <f t="shared" si="33"/>
        <v>1</v>
      </c>
      <c r="K222">
        <f t="shared" si="33"/>
        <v>0</v>
      </c>
      <c r="L222">
        <f t="shared" si="33"/>
        <v>0</v>
      </c>
      <c r="M222">
        <f t="shared" ref="M222:O241" si="34">IF($A222=M$1,1,0)</f>
        <v>0</v>
      </c>
      <c r="N222">
        <f t="shared" si="34"/>
        <v>0</v>
      </c>
      <c r="O222">
        <f t="shared" si="34"/>
        <v>1</v>
      </c>
    </row>
    <row r="223" spans="1:15" x14ac:dyDescent="0.3">
      <c r="A223">
        <v>2</v>
      </c>
      <c r="B223">
        <v>2016</v>
      </c>
      <c r="C223">
        <v>9359</v>
      </c>
      <c r="D223">
        <v>200</v>
      </c>
      <c r="E223">
        <v>402</v>
      </c>
      <c r="F223">
        <v>32.5</v>
      </c>
      <c r="G223">
        <f t="shared" si="33"/>
        <v>0</v>
      </c>
      <c r="H223">
        <f t="shared" si="33"/>
        <v>0</v>
      </c>
      <c r="I223">
        <f t="shared" si="33"/>
        <v>0</v>
      </c>
      <c r="J223">
        <f t="shared" si="33"/>
        <v>0</v>
      </c>
      <c r="K223">
        <f t="shared" si="33"/>
        <v>1</v>
      </c>
      <c r="L223">
        <f t="shared" si="33"/>
        <v>0</v>
      </c>
      <c r="M223">
        <f t="shared" si="34"/>
        <v>0</v>
      </c>
      <c r="N223">
        <f t="shared" si="34"/>
        <v>1</v>
      </c>
      <c r="O223">
        <f t="shared" si="34"/>
        <v>0</v>
      </c>
    </row>
    <row r="224" spans="1:15" x14ac:dyDescent="0.3">
      <c r="A224">
        <v>4</v>
      </c>
      <c r="B224">
        <v>2015</v>
      </c>
      <c r="C224">
        <v>9355</v>
      </c>
      <c r="D224">
        <v>200</v>
      </c>
      <c r="E224">
        <v>177</v>
      </c>
      <c r="F224">
        <v>16.5</v>
      </c>
      <c r="G224">
        <f t="shared" si="33"/>
        <v>0</v>
      </c>
      <c r="H224">
        <f t="shared" si="33"/>
        <v>0</v>
      </c>
      <c r="I224">
        <f t="shared" si="33"/>
        <v>0</v>
      </c>
      <c r="J224">
        <f t="shared" si="33"/>
        <v>1</v>
      </c>
      <c r="K224">
        <f t="shared" si="33"/>
        <v>0</v>
      </c>
      <c r="L224">
        <f t="shared" si="33"/>
        <v>0</v>
      </c>
      <c r="M224">
        <f t="shared" si="34"/>
        <v>0</v>
      </c>
      <c r="N224">
        <f t="shared" si="34"/>
        <v>0</v>
      </c>
      <c r="O224">
        <f t="shared" si="34"/>
        <v>1</v>
      </c>
    </row>
    <row r="225" spans="1:15" x14ac:dyDescent="0.3">
      <c r="A225">
        <v>2</v>
      </c>
      <c r="B225">
        <v>2016</v>
      </c>
      <c r="C225">
        <v>9349</v>
      </c>
      <c r="D225">
        <v>20</v>
      </c>
      <c r="E225">
        <v>69</v>
      </c>
      <c r="F225">
        <v>4</v>
      </c>
      <c r="G225">
        <f t="shared" si="33"/>
        <v>0</v>
      </c>
      <c r="H225">
        <f t="shared" si="33"/>
        <v>0</v>
      </c>
      <c r="I225">
        <f t="shared" si="33"/>
        <v>0</v>
      </c>
      <c r="J225">
        <f t="shared" si="33"/>
        <v>0</v>
      </c>
      <c r="K225">
        <f t="shared" si="33"/>
        <v>1</v>
      </c>
      <c r="L225">
        <f t="shared" si="33"/>
        <v>0</v>
      </c>
      <c r="M225">
        <f t="shared" si="34"/>
        <v>0</v>
      </c>
      <c r="N225">
        <f t="shared" si="34"/>
        <v>1</v>
      </c>
      <c r="O225">
        <f t="shared" si="34"/>
        <v>0</v>
      </c>
    </row>
    <row r="226" spans="1:15" x14ac:dyDescent="0.3">
      <c r="A226">
        <v>4</v>
      </c>
      <c r="B226">
        <v>2015</v>
      </c>
      <c r="C226">
        <v>9332</v>
      </c>
      <c r="D226">
        <v>170</v>
      </c>
      <c r="E226">
        <v>33</v>
      </c>
      <c r="F226">
        <v>3.5</v>
      </c>
      <c r="G226">
        <f t="shared" si="33"/>
        <v>0</v>
      </c>
      <c r="H226">
        <f t="shared" si="33"/>
        <v>0</v>
      </c>
      <c r="I226">
        <f t="shared" si="33"/>
        <v>0</v>
      </c>
      <c r="J226">
        <f t="shared" si="33"/>
        <v>1</v>
      </c>
      <c r="K226">
        <f t="shared" si="33"/>
        <v>0</v>
      </c>
      <c r="L226">
        <f t="shared" si="33"/>
        <v>0</v>
      </c>
      <c r="M226">
        <f t="shared" si="34"/>
        <v>0</v>
      </c>
      <c r="N226">
        <f t="shared" si="34"/>
        <v>0</v>
      </c>
      <c r="O226">
        <f t="shared" si="34"/>
        <v>1</v>
      </c>
    </row>
    <row r="227" spans="1:15" x14ac:dyDescent="0.3">
      <c r="A227">
        <v>4</v>
      </c>
      <c r="B227">
        <v>2016</v>
      </c>
      <c r="C227">
        <v>9132</v>
      </c>
      <c r="D227">
        <v>110</v>
      </c>
      <c r="E227">
        <v>137</v>
      </c>
      <c r="F227">
        <v>7</v>
      </c>
      <c r="G227">
        <f t="shared" si="33"/>
        <v>0</v>
      </c>
      <c r="H227">
        <f t="shared" si="33"/>
        <v>0</v>
      </c>
      <c r="I227">
        <f t="shared" si="33"/>
        <v>0</v>
      </c>
      <c r="J227">
        <f t="shared" si="33"/>
        <v>0</v>
      </c>
      <c r="K227">
        <f t="shared" si="33"/>
        <v>1</v>
      </c>
      <c r="L227">
        <f t="shared" si="33"/>
        <v>0</v>
      </c>
      <c r="M227">
        <f t="shared" si="34"/>
        <v>0</v>
      </c>
      <c r="N227">
        <f t="shared" si="34"/>
        <v>0</v>
      </c>
      <c r="O227">
        <f t="shared" si="34"/>
        <v>1</v>
      </c>
    </row>
    <row r="228" spans="1:15" x14ac:dyDescent="0.3">
      <c r="A228">
        <v>4</v>
      </c>
      <c r="B228">
        <v>2014</v>
      </c>
      <c r="C228">
        <v>9110</v>
      </c>
      <c r="D228">
        <v>0</v>
      </c>
      <c r="E228">
        <v>22</v>
      </c>
      <c r="F228">
        <v>2.5</v>
      </c>
      <c r="G228">
        <f t="shared" si="33"/>
        <v>0</v>
      </c>
      <c r="H228">
        <f t="shared" si="33"/>
        <v>0</v>
      </c>
      <c r="I228">
        <f t="shared" si="33"/>
        <v>1</v>
      </c>
      <c r="J228">
        <f t="shared" si="33"/>
        <v>0</v>
      </c>
      <c r="K228">
        <f t="shared" si="33"/>
        <v>0</v>
      </c>
      <c r="L228">
        <f t="shared" si="33"/>
        <v>0</v>
      </c>
      <c r="M228">
        <f t="shared" si="34"/>
        <v>0</v>
      </c>
      <c r="N228">
        <f t="shared" si="34"/>
        <v>0</v>
      </c>
      <c r="O228">
        <f t="shared" si="34"/>
        <v>1</v>
      </c>
    </row>
    <row r="229" spans="1:15" x14ac:dyDescent="0.3">
      <c r="A229">
        <v>4</v>
      </c>
      <c r="B229">
        <v>2014</v>
      </c>
      <c r="C229">
        <v>9109</v>
      </c>
      <c r="D229">
        <v>60</v>
      </c>
      <c r="E229">
        <v>50</v>
      </c>
      <c r="F229">
        <v>9</v>
      </c>
      <c r="G229">
        <f t="shared" si="33"/>
        <v>0</v>
      </c>
      <c r="H229">
        <f t="shared" si="33"/>
        <v>0</v>
      </c>
      <c r="I229">
        <f t="shared" si="33"/>
        <v>1</v>
      </c>
      <c r="J229">
        <f t="shared" si="33"/>
        <v>0</v>
      </c>
      <c r="K229">
        <f t="shared" si="33"/>
        <v>0</v>
      </c>
      <c r="L229">
        <f t="shared" si="33"/>
        <v>0</v>
      </c>
      <c r="M229">
        <f t="shared" si="34"/>
        <v>0</v>
      </c>
      <c r="N229">
        <f t="shared" si="34"/>
        <v>0</v>
      </c>
      <c r="O229">
        <f t="shared" si="34"/>
        <v>1</v>
      </c>
    </row>
    <row r="230" spans="1:15" x14ac:dyDescent="0.3">
      <c r="A230">
        <v>1</v>
      </c>
      <c r="B230">
        <v>2014</v>
      </c>
      <c r="C230">
        <v>9103</v>
      </c>
      <c r="D230">
        <v>100</v>
      </c>
      <c r="E230">
        <v>58</v>
      </c>
      <c r="F230">
        <v>9</v>
      </c>
      <c r="G230">
        <f t="shared" si="33"/>
        <v>0</v>
      </c>
      <c r="H230">
        <f t="shared" si="33"/>
        <v>0</v>
      </c>
      <c r="I230">
        <f t="shared" si="33"/>
        <v>1</v>
      </c>
      <c r="J230">
        <f t="shared" si="33"/>
        <v>0</v>
      </c>
      <c r="K230">
        <f t="shared" si="33"/>
        <v>0</v>
      </c>
      <c r="L230">
        <f t="shared" si="33"/>
        <v>0</v>
      </c>
      <c r="M230">
        <f t="shared" si="34"/>
        <v>1</v>
      </c>
      <c r="N230">
        <f t="shared" si="34"/>
        <v>0</v>
      </c>
      <c r="O230">
        <f t="shared" si="34"/>
        <v>0</v>
      </c>
    </row>
    <row r="231" spans="1:15" x14ac:dyDescent="0.3">
      <c r="A231">
        <v>4</v>
      </c>
      <c r="B231">
        <v>2017</v>
      </c>
      <c r="C231">
        <v>9067</v>
      </c>
      <c r="D231">
        <v>100</v>
      </c>
      <c r="E231">
        <v>27</v>
      </c>
      <c r="F231">
        <v>3</v>
      </c>
      <c r="G231">
        <f t="shared" si="33"/>
        <v>0</v>
      </c>
      <c r="H231">
        <f t="shared" si="33"/>
        <v>0</v>
      </c>
      <c r="I231">
        <f t="shared" si="33"/>
        <v>0</v>
      </c>
      <c r="J231">
        <f t="shared" si="33"/>
        <v>0</v>
      </c>
      <c r="K231">
        <f t="shared" si="33"/>
        <v>0</v>
      </c>
      <c r="L231">
        <f t="shared" si="33"/>
        <v>1</v>
      </c>
      <c r="M231">
        <f t="shared" si="34"/>
        <v>0</v>
      </c>
      <c r="N231">
        <f t="shared" si="34"/>
        <v>0</v>
      </c>
      <c r="O231">
        <f t="shared" si="34"/>
        <v>1</v>
      </c>
    </row>
    <row r="232" spans="1:15" x14ac:dyDescent="0.3">
      <c r="A232">
        <v>4</v>
      </c>
      <c r="B232">
        <v>2016</v>
      </c>
      <c r="C232">
        <v>9056</v>
      </c>
      <c r="D232">
        <v>195</v>
      </c>
      <c r="E232">
        <v>31</v>
      </c>
      <c r="F232">
        <v>1.5</v>
      </c>
      <c r="G232">
        <f t="shared" ref="G232:L241" si="35">IF($B232=G$1,1,0)</f>
        <v>0</v>
      </c>
      <c r="H232">
        <f t="shared" si="35"/>
        <v>0</v>
      </c>
      <c r="I232">
        <f t="shared" si="35"/>
        <v>0</v>
      </c>
      <c r="J232">
        <f t="shared" si="35"/>
        <v>0</v>
      </c>
      <c r="K232">
        <f t="shared" si="35"/>
        <v>1</v>
      </c>
      <c r="L232">
        <f t="shared" si="35"/>
        <v>0</v>
      </c>
      <c r="M232">
        <f t="shared" si="34"/>
        <v>0</v>
      </c>
      <c r="N232">
        <f t="shared" si="34"/>
        <v>0</v>
      </c>
      <c r="O232">
        <f t="shared" si="34"/>
        <v>1</v>
      </c>
    </row>
    <row r="233" spans="1:15" x14ac:dyDescent="0.3">
      <c r="A233">
        <v>4</v>
      </c>
      <c r="B233">
        <v>2015</v>
      </c>
      <c r="C233">
        <v>9028</v>
      </c>
      <c r="D233">
        <v>20</v>
      </c>
      <c r="E233">
        <v>12</v>
      </c>
      <c r="F233">
        <v>1.5</v>
      </c>
      <c r="G233">
        <f t="shared" si="35"/>
        <v>0</v>
      </c>
      <c r="H233">
        <f t="shared" si="35"/>
        <v>0</v>
      </c>
      <c r="I233">
        <f t="shared" si="35"/>
        <v>0</v>
      </c>
      <c r="J233">
        <f t="shared" si="35"/>
        <v>1</v>
      </c>
      <c r="K233">
        <f t="shared" si="35"/>
        <v>0</v>
      </c>
      <c r="L233">
        <f t="shared" si="35"/>
        <v>0</v>
      </c>
      <c r="M233">
        <f t="shared" si="34"/>
        <v>0</v>
      </c>
      <c r="N233">
        <f t="shared" si="34"/>
        <v>0</v>
      </c>
      <c r="O233">
        <f t="shared" si="34"/>
        <v>1</v>
      </c>
    </row>
    <row r="234" spans="1:15" x14ac:dyDescent="0.3">
      <c r="A234">
        <v>1</v>
      </c>
      <c r="B234">
        <v>2016</v>
      </c>
      <c r="C234">
        <v>8968</v>
      </c>
      <c r="D234">
        <v>100</v>
      </c>
      <c r="E234">
        <v>25</v>
      </c>
      <c r="F234">
        <v>2</v>
      </c>
      <c r="G234">
        <f t="shared" si="35"/>
        <v>0</v>
      </c>
      <c r="H234">
        <f t="shared" si="35"/>
        <v>0</v>
      </c>
      <c r="I234">
        <f t="shared" si="35"/>
        <v>0</v>
      </c>
      <c r="J234">
        <f t="shared" si="35"/>
        <v>0</v>
      </c>
      <c r="K234">
        <f t="shared" si="35"/>
        <v>1</v>
      </c>
      <c r="L234">
        <f t="shared" si="35"/>
        <v>0</v>
      </c>
      <c r="M234">
        <f t="shared" si="34"/>
        <v>1</v>
      </c>
      <c r="N234">
        <f t="shared" si="34"/>
        <v>0</v>
      </c>
      <c r="O234">
        <f t="shared" si="34"/>
        <v>0</v>
      </c>
    </row>
    <row r="235" spans="1:15" x14ac:dyDescent="0.3">
      <c r="A235">
        <v>1</v>
      </c>
      <c r="B235">
        <v>2017</v>
      </c>
      <c r="C235">
        <v>8964</v>
      </c>
      <c r="D235">
        <v>75</v>
      </c>
      <c r="E235">
        <v>56</v>
      </c>
      <c r="F235">
        <v>5.5</v>
      </c>
      <c r="G235">
        <f t="shared" si="35"/>
        <v>0</v>
      </c>
      <c r="H235">
        <f t="shared" si="35"/>
        <v>0</v>
      </c>
      <c r="I235">
        <f t="shared" si="35"/>
        <v>0</v>
      </c>
      <c r="J235">
        <f t="shared" si="35"/>
        <v>0</v>
      </c>
      <c r="K235">
        <f t="shared" si="35"/>
        <v>0</v>
      </c>
      <c r="L235">
        <f t="shared" si="35"/>
        <v>1</v>
      </c>
      <c r="M235">
        <f t="shared" si="34"/>
        <v>1</v>
      </c>
      <c r="N235">
        <f t="shared" si="34"/>
        <v>0</v>
      </c>
      <c r="O235">
        <f t="shared" si="34"/>
        <v>0</v>
      </c>
    </row>
    <row r="236" spans="1:15" x14ac:dyDescent="0.3">
      <c r="A236">
        <v>4</v>
      </c>
      <c r="B236">
        <v>2014</v>
      </c>
      <c r="C236">
        <v>8777</v>
      </c>
      <c r="D236">
        <v>60</v>
      </c>
      <c r="E236">
        <v>75</v>
      </c>
      <c r="F236">
        <v>15.5</v>
      </c>
      <c r="G236">
        <f t="shared" si="35"/>
        <v>0</v>
      </c>
      <c r="H236">
        <f t="shared" si="35"/>
        <v>0</v>
      </c>
      <c r="I236">
        <f t="shared" si="35"/>
        <v>1</v>
      </c>
      <c r="J236">
        <f t="shared" si="35"/>
        <v>0</v>
      </c>
      <c r="K236">
        <f t="shared" si="35"/>
        <v>0</v>
      </c>
      <c r="L236">
        <f t="shared" si="35"/>
        <v>0</v>
      </c>
      <c r="M236">
        <f t="shared" si="34"/>
        <v>0</v>
      </c>
      <c r="N236">
        <f t="shared" si="34"/>
        <v>0</v>
      </c>
      <c r="O236">
        <f t="shared" si="34"/>
        <v>1</v>
      </c>
    </row>
    <row r="237" spans="1:15" x14ac:dyDescent="0.3">
      <c r="A237">
        <v>4</v>
      </c>
      <c r="B237">
        <v>2015</v>
      </c>
      <c r="C237">
        <v>8770</v>
      </c>
      <c r="D237">
        <v>0</v>
      </c>
      <c r="E237">
        <v>13</v>
      </c>
      <c r="F237">
        <v>0.53333333000000005</v>
      </c>
      <c r="G237">
        <f t="shared" si="35"/>
        <v>0</v>
      </c>
      <c r="H237">
        <f t="shared" si="35"/>
        <v>0</v>
      </c>
      <c r="I237">
        <f t="shared" si="35"/>
        <v>0</v>
      </c>
      <c r="J237">
        <f t="shared" si="35"/>
        <v>1</v>
      </c>
      <c r="K237">
        <f t="shared" si="35"/>
        <v>0</v>
      </c>
      <c r="L237">
        <f t="shared" si="35"/>
        <v>0</v>
      </c>
      <c r="M237">
        <f t="shared" si="34"/>
        <v>0</v>
      </c>
      <c r="N237">
        <f t="shared" si="34"/>
        <v>0</v>
      </c>
      <c r="O237">
        <f t="shared" si="34"/>
        <v>1</v>
      </c>
    </row>
    <row r="238" spans="1:15" x14ac:dyDescent="0.3">
      <c r="A238">
        <v>4</v>
      </c>
      <c r="B238">
        <v>2016</v>
      </c>
      <c r="C238">
        <v>8768</v>
      </c>
      <c r="D238">
        <v>0</v>
      </c>
      <c r="E238">
        <v>8</v>
      </c>
      <c r="F238">
        <v>1</v>
      </c>
      <c r="G238">
        <f t="shared" si="35"/>
        <v>0</v>
      </c>
      <c r="H238">
        <f t="shared" si="35"/>
        <v>0</v>
      </c>
      <c r="I238">
        <f t="shared" si="35"/>
        <v>0</v>
      </c>
      <c r="J238">
        <f t="shared" si="35"/>
        <v>0</v>
      </c>
      <c r="K238">
        <f t="shared" si="35"/>
        <v>1</v>
      </c>
      <c r="L238">
        <f t="shared" si="35"/>
        <v>0</v>
      </c>
      <c r="M238">
        <f t="shared" si="34"/>
        <v>0</v>
      </c>
      <c r="N238">
        <f t="shared" si="34"/>
        <v>0</v>
      </c>
      <c r="O238">
        <f t="shared" si="34"/>
        <v>1</v>
      </c>
    </row>
    <row r="239" spans="1:15" x14ac:dyDescent="0.3">
      <c r="A239">
        <v>4</v>
      </c>
      <c r="B239">
        <v>2014</v>
      </c>
      <c r="C239">
        <v>8755</v>
      </c>
      <c r="D239">
        <v>50</v>
      </c>
      <c r="E239">
        <v>133</v>
      </c>
      <c r="F239">
        <v>15.5</v>
      </c>
      <c r="G239">
        <f t="shared" si="35"/>
        <v>0</v>
      </c>
      <c r="H239">
        <f t="shared" si="35"/>
        <v>0</v>
      </c>
      <c r="I239">
        <f t="shared" si="35"/>
        <v>1</v>
      </c>
      <c r="J239">
        <f t="shared" si="35"/>
        <v>0</v>
      </c>
      <c r="K239">
        <f t="shared" si="35"/>
        <v>0</v>
      </c>
      <c r="L239">
        <f t="shared" si="35"/>
        <v>0</v>
      </c>
      <c r="M239">
        <f t="shared" si="34"/>
        <v>0</v>
      </c>
      <c r="N239">
        <f t="shared" si="34"/>
        <v>0</v>
      </c>
      <c r="O239">
        <f t="shared" si="34"/>
        <v>1</v>
      </c>
    </row>
    <row r="240" spans="1:15" x14ac:dyDescent="0.3">
      <c r="A240">
        <v>4</v>
      </c>
      <c r="B240">
        <v>2015</v>
      </c>
      <c r="C240">
        <v>8711</v>
      </c>
      <c r="D240">
        <v>85</v>
      </c>
      <c r="E240">
        <v>22</v>
      </c>
      <c r="F240">
        <v>1.5</v>
      </c>
      <c r="G240">
        <f t="shared" si="35"/>
        <v>0</v>
      </c>
      <c r="H240">
        <f t="shared" si="35"/>
        <v>0</v>
      </c>
      <c r="I240">
        <f t="shared" si="35"/>
        <v>0</v>
      </c>
      <c r="J240">
        <f t="shared" si="35"/>
        <v>1</v>
      </c>
      <c r="K240">
        <f t="shared" si="35"/>
        <v>0</v>
      </c>
      <c r="L240">
        <f t="shared" si="35"/>
        <v>0</v>
      </c>
      <c r="M240">
        <f t="shared" si="34"/>
        <v>0</v>
      </c>
      <c r="N240">
        <f t="shared" si="34"/>
        <v>0</v>
      </c>
      <c r="O240">
        <f t="shared" si="34"/>
        <v>1</v>
      </c>
    </row>
    <row r="241" spans="1:15" x14ac:dyDescent="0.3">
      <c r="A241">
        <v>4</v>
      </c>
      <c r="B241">
        <v>2016</v>
      </c>
      <c r="C241">
        <v>8711</v>
      </c>
      <c r="D241">
        <v>40</v>
      </c>
      <c r="E241">
        <v>12</v>
      </c>
      <c r="F241">
        <v>1</v>
      </c>
      <c r="G241">
        <f t="shared" si="35"/>
        <v>0</v>
      </c>
      <c r="H241">
        <f t="shared" si="35"/>
        <v>0</v>
      </c>
      <c r="I241">
        <f t="shared" si="35"/>
        <v>0</v>
      </c>
      <c r="J241">
        <f t="shared" si="35"/>
        <v>0</v>
      </c>
      <c r="K241">
        <f t="shared" si="35"/>
        <v>1</v>
      </c>
      <c r="L241">
        <f t="shared" si="35"/>
        <v>0</v>
      </c>
      <c r="M241">
        <f t="shared" si="34"/>
        <v>0</v>
      </c>
      <c r="N241">
        <f t="shared" si="34"/>
        <v>0</v>
      </c>
      <c r="O241">
        <f t="shared" si="34"/>
        <v>1</v>
      </c>
    </row>
    <row r="242" spans="1:15" x14ac:dyDescent="0.3">
      <c r="A242">
        <v>4</v>
      </c>
      <c r="B242">
        <v>2017</v>
      </c>
      <c r="C242">
        <v>8693</v>
      </c>
      <c r="D242">
        <v>0</v>
      </c>
      <c r="E242">
        <v>11</v>
      </c>
      <c r="F242">
        <v>1.5</v>
      </c>
      <c r="G242">
        <f t="shared" ref="G242:L251" si="36">IF($B242=G$1,1,0)</f>
        <v>0</v>
      </c>
      <c r="H242">
        <f t="shared" si="36"/>
        <v>0</v>
      </c>
      <c r="I242">
        <f t="shared" si="36"/>
        <v>0</v>
      </c>
      <c r="J242">
        <f t="shared" si="36"/>
        <v>0</v>
      </c>
      <c r="K242">
        <f t="shared" si="36"/>
        <v>0</v>
      </c>
      <c r="L242">
        <f t="shared" si="36"/>
        <v>1</v>
      </c>
      <c r="M242">
        <f t="shared" ref="M242:O261" si="37">IF($A242=M$1,1,0)</f>
        <v>0</v>
      </c>
      <c r="N242">
        <f t="shared" si="37"/>
        <v>0</v>
      </c>
      <c r="O242">
        <f t="shared" si="37"/>
        <v>1</v>
      </c>
    </row>
    <row r="243" spans="1:15" x14ac:dyDescent="0.3">
      <c r="A243">
        <v>4</v>
      </c>
      <c r="B243">
        <v>2015</v>
      </c>
      <c r="C243">
        <v>8691</v>
      </c>
      <c r="D243">
        <v>100</v>
      </c>
      <c r="E243">
        <v>63</v>
      </c>
      <c r="F243">
        <v>11</v>
      </c>
      <c r="G243">
        <f t="shared" si="36"/>
        <v>0</v>
      </c>
      <c r="H243">
        <f t="shared" si="36"/>
        <v>0</v>
      </c>
      <c r="I243">
        <f t="shared" si="36"/>
        <v>0</v>
      </c>
      <c r="J243">
        <f t="shared" si="36"/>
        <v>1</v>
      </c>
      <c r="K243">
        <f t="shared" si="36"/>
        <v>0</v>
      </c>
      <c r="L243">
        <f t="shared" si="36"/>
        <v>0</v>
      </c>
      <c r="M243">
        <f t="shared" si="37"/>
        <v>0</v>
      </c>
      <c r="N243">
        <f t="shared" si="37"/>
        <v>0</v>
      </c>
      <c r="O243">
        <f t="shared" si="37"/>
        <v>1</v>
      </c>
    </row>
    <row r="244" spans="1:15" x14ac:dyDescent="0.3">
      <c r="A244">
        <v>4</v>
      </c>
      <c r="B244">
        <v>2016</v>
      </c>
      <c r="C244">
        <v>8625</v>
      </c>
      <c r="D244">
        <v>170</v>
      </c>
      <c r="E244">
        <v>73</v>
      </c>
      <c r="F244">
        <v>5</v>
      </c>
      <c r="G244">
        <f t="shared" si="36"/>
        <v>0</v>
      </c>
      <c r="H244">
        <f t="shared" si="36"/>
        <v>0</v>
      </c>
      <c r="I244">
        <f t="shared" si="36"/>
        <v>0</v>
      </c>
      <c r="J244">
        <f t="shared" si="36"/>
        <v>0</v>
      </c>
      <c r="K244">
        <f t="shared" si="36"/>
        <v>1</v>
      </c>
      <c r="L244">
        <f t="shared" si="36"/>
        <v>0</v>
      </c>
      <c r="M244">
        <f t="shared" si="37"/>
        <v>0</v>
      </c>
      <c r="N244">
        <f t="shared" si="37"/>
        <v>0</v>
      </c>
      <c r="O244">
        <f t="shared" si="37"/>
        <v>1</v>
      </c>
    </row>
    <row r="245" spans="1:15" x14ac:dyDescent="0.3">
      <c r="A245">
        <v>1</v>
      </c>
      <c r="B245">
        <v>2016</v>
      </c>
      <c r="C245">
        <v>8594</v>
      </c>
      <c r="D245">
        <v>95</v>
      </c>
      <c r="E245">
        <v>18</v>
      </c>
      <c r="F245">
        <v>2</v>
      </c>
      <c r="G245">
        <f t="shared" si="36"/>
        <v>0</v>
      </c>
      <c r="H245">
        <f t="shared" si="36"/>
        <v>0</v>
      </c>
      <c r="I245">
        <f t="shared" si="36"/>
        <v>0</v>
      </c>
      <c r="J245">
        <f t="shared" si="36"/>
        <v>0</v>
      </c>
      <c r="K245">
        <f t="shared" si="36"/>
        <v>1</v>
      </c>
      <c r="L245">
        <f t="shared" si="36"/>
        <v>0</v>
      </c>
      <c r="M245">
        <f t="shared" si="37"/>
        <v>1</v>
      </c>
      <c r="N245">
        <f t="shared" si="37"/>
        <v>0</v>
      </c>
      <c r="O245">
        <f t="shared" si="37"/>
        <v>0</v>
      </c>
    </row>
    <row r="246" spans="1:15" x14ac:dyDescent="0.3">
      <c r="A246">
        <v>1</v>
      </c>
      <c r="B246">
        <v>2013</v>
      </c>
      <c r="C246">
        <v>8592</v>
      </c>
      <c r="D246">
        <v>0</v>
      </c>
      <c r="E246">
        <v>35</v>
      </c>
      <c r="F246">
        <v>2.5</v>
      </c>
      <c r="G246">
        <f t="shared" si="36"/>
        <v>0</v>
      </c>
      <c r="H246">
        <f t="shared" si="36"/>
        <v>1</v>
      </c>
      <c r="I246">
        <f t="shared" si="36"/>
        <v>0</v>
      </c>
      <c r="J246">
        <f t="shared" si="36"/>
        <v>0</v>
      </c>
      <c r="K246">
        <f t="shared" si="36"/>
        <v>0</v>
      </c>
      <c r="L246">
        <f t="shared" si="36"/>
        <v>0</v>
      </c>
      <c r="M246">
        <f t="shared" si="37"/>
        <v>1</v>
      </c>
      <c r="N246">
        <f t="shared" si="37"/>
        <v>0</v>
      </c>
      <c r="O246">
        <f t="shared" si="37"/>
        <v>0</v>
      </c>
    </row>
    <row r="247" spans="1:15" x14ac:dyDescent="0.3">
      <c r="A247">
        <v>4</v>
      </c>
      <c r="B247">
        <v>2015</v>
      </c>
      <c r="C247">
        <v>8577</v>
      </c>
      <c r="D247">
        <v>200</v>
      </c>
      <c r="E247">
        <v>31</v>
      </c>
      <c r="F247">
        <v>1.5</v>
      </c>
      <c r="G247">
        <f t="shared" si="36"/>
        <v>0</v>
      </c>
      <c r="H247">
        <f t="shared" si="36"/>
        <v>0</v>
      </c>
      <c r="I247">
        <f t="shared" si="36"/>
        <v>0</v>
      </c>
      <c r="J247">
        <f t="shared" si="36"/>
        <v>1</v>
      </c>
      <c r="K247">
        <f t="shared" si="36"/>
        <v>0</v>
      </c>
      <c r="L247">
        <f t="shared" si="36"/>
        <v>0</v>
      </c>
      <c r="M247">
        <f t="shared" si="37"/>
        <v>0</v>
      </c>
      <c r="N247">
        <f t="shared" si="37"/>
        <v>0</v>
      </c>
      <c r="O247">
        <f t="shared" si="37"/>
        <v>1</v>
      </c>
    </row>
    <row r="248" spans="1:15" x14ac:dyDescent="0.3">
      <c r="A248">
        <v>4</v>
      </c>
      <c r="B248">
        <v>2016</v>
      </c>
      <c r="C248">
        <v>8496</v>
      </c>
      <c r="D248">
        <v>150</v>
      </c>
      <c r="E248">
        <v>308</v>
      </c>
      <c r="F248">
        <v>29.5</v>
      </c>
      <c r="G248">
        <f t="shared" si="36"/>
        <v>0</v>
      </c>
      <c r="H248">
        <f t="shared" si="36"/>
        <v>0</v>
      </c>
      <c r="I248">
        <f t="shared" si="36"/>
        <v>0</v>
      </c>
      <c r="J248">
        <f t="shared" si="36"/>
        <v>0</v>
      </c>
      <c r="K248">
        <f t="shared" si="36"/>
        <v>1</v>
      </c>
      <c r="L248">
        <f t="shared" si="36"/>
        <v>0</v>
      </c>
      <c r="M248">
        <f t="shared" si="37"/>
        <v>0</v>
      </c>
      <c r="N248">
        <f t="shared" si="37"/>
        <v>0</v>
      </c>
      <c r="O248">
        <f t="shared" si="37"/>
        <v>1</v>
      </c>
    </row>
    <row r="249" spans="1:15" x14ac:dyDescent="0.3">
      <c r="A249">
        <v>1</v>
      </c>
      <c r="B249">
        <v>2014</v>
      </c>
      <c r="C249">
        <v>8462</v>
      </c>
      <c r="D249">
        <v>20</v>
      </c>
      <c r="E249">
        <v>21</v>
      </c>
      <c r="F249">
        <v>2</v>
      </c>
      <c r="G249">
        <f t="shared" si="36"/>
        <v>0</v>
      </c>
      <c r="H249">
        <f t="shared" si="36"/>
        <v>0</v>
      </c>
      <c r="I249">
        <f t="shared" si="36"/>
        <v>1</v>
      </c>
      <c r="J249">
        <f t="shared" si="36"/>
        <v>0</v>
      </c>
      <c r="K249">
        <f t="shared" si="36"/>
        <v>0</v>
      </c>
      <c r="L249">
        <f t="shared" si="36"/>
        <v>0</v>
      </c>
      <c r="M249">
        <f t="shared" si="37"/>
        <v>1</v>
      </c>
      <c r="N249">
        <f t="shared" si="37"/>
        <v>0</v>
      </c>
      <c r="O249">
        <f t="shared" si="37"/>
        <v>0</v>
      </c>
    </row>
    <row r="250" spans="1:15" x14ac:dyDescent="0.3">
      <c r="A250">
        <v>4</v>
      </c>
      <c r="B250">
        <v>2014</v>
      </c>
      <c r="C250">
        <v>8415</v>
      </c>
      <c r="D250">
        <v>0</v>
      </c>
      <c r="E250">
        <v>13</v>
      </c>
      <c r="F250">
        <v>1</v>
      </c>
      <c r="G250">
        <f t="shared" si="36"/>
        <v>0</v>
      </c>
      <c r="H250">
        <f t="shared" si="36"/>
        <v>0</v>
      </c>
      <c r="I250">
        <f t="shared" si="36"/>
        <v>1</v>
      </c>
      <c r="J250">
        <f t="shared" si="36"/>
        <v>0</v>
      </c>
      <c r="K250">
        <f t="shared" si="36"/>
        <v>0</v>
      </c>
      <c r="L250">
        <f t="shared" si="36"/>
        <v>0</v>
      </c>
      <c r="M250">
        <f t="shared" si="37"/>
        <v>0</v>
      </c>
      <c r="N250">
        <f t="shared" si="37"/>
        <v>0</v>
      </c>
      <c r="O250">
        <f t="shared" si="37"/>
        <v>1</v>
      </c>
    </row>
    <row r="251" spans="1:15" x14ac:dyDescent="0.3">
      <c r="A251">
        <v>4</v>
      </c>
      <c r="B251">
        <v>2014</v>
      </c>
      <c r="C251">
        <v>8371</v>
      </c>
      <c r="D251">
        <v>0</v>
      </c>
      <c r="E251">
        <v>18</v>
      </c>
      <c r="F251">
        <v>1.5</v>
      </c>
      <c r="G251">
        <f t="shared" si="36"/>
        <v>0</v>
      </c>
      <c r="H251">
        <f t="shared" si="36"/>
        <v>0</v>
      </c>
      <c r="I251">
        <f t="shared" si="36"/>
        <v>1</v>
      </c>
      <c r="J251">
        <f t="shared" si="36"/>
        <v>0</v>
      </c>
      <c r="K251">
        <f t="shared" si="36"/>
        <v>0</v>
      </c>
      <c r="L251">
        <f t="shared" si="36"/>
        <v>0</v>
      </c>
      <c r="M251">
        <f t="shared" si="37"/>
        <v>0</v>
      </c>
      <c r="N251">
        <f t="shared" si="37"/>
        <v>0</v>
      </c>
      <c r="O251">
        <f t="shared" si="37"/>
        <v>1</v>
      </c>
    </row>
    <row r="252" spans="1:15" x14ac:dyDescent="0.3">
      <c r="A252">
        <v>4</v>
      </c>
      <c r="B252">
        <v>2014</v>
      </c>
      <c r="C252">
        <v>8337</v>
      </c>
      <c r="D252">
        <v>0</v>
      </c>
      <c r="E252">
        <v>129</v>
      </c>
      <c r="F252">
        <v>20.5</v>
      </c>
      <c r="G252">
        <f t="shared" ref="G252:L261" si="38">IF($B252=G$1,1,0)</f>
        <v>0</v>
      </c>
      <c r="H252">
        <f t="shared" si="38"/>
        <v>0</v>
      </c>
      <c r="I252">
        <f t="shared" si="38"/>
        <v>1</v>
      </c>
      <c r="J252">
        <f t="shared" si="38"/>
        <v>0</v>
      </c>
      <c r="K252">
        <f t="shared" si="38"/>
        <v>0</v>
      </c>
      <c r="L252">
        <f t="shared" si="38"/>
        <v>0</v>
      </c>
      <c r="M252">
        <f t="shared" si="37"/>
        <v>0</v>
      </c>
      <c r="N252">
        <f t="shared" si="37"/>
        <v>0</v>
      </c>
      <c r="O252">
        <f t="shared" si="37"/>
        <v>1</v>
      </c>
    </row>
    <row r="253" spans="1:15" x14ac:dyDescent="0.3">
      <c r="A253">
        <v>4</v>
      </c>
      <c r="B253">
        <v>2015</v>
      </c>
      <c r="C253">
        <v>8320</v>
      </c>
      <c r="D253">
        <v>20</v>
      </c>
      <c r="E253">
        <v>11</v>
      </c>
      <c r="F253">
        <v>0.71666666999999995</v>
      </c>
      <c r="G253">
        <f t="shared" si="38"/>
        <v>0</v>
      </c>
      <c r="H253">
        <f t="shared" si="38"/>
        <v>0</v>
      </c>
      <c r="I253">
        <f t="shared" si="38"/>
        <v>0</v>
      </c>
      <c r="J253">
        <f t="shared" si="38"/>
        <v>1</v>
      </c>
      <c r="K253">
        <f t="shared" si="38"/>
        <v>0</v>
      </c>
      <c r="L253">
        <f t="shared" si="38"/>
        <v>0</v>
      </c>
      <c r="M253">
        <f t="shared" si="37"/>
        <v>0</v>
      </c>
      <c r="N253">
        <f t="shared" si="37"/>
        <v>0</v>
      </c>
      <c r="O253">
        <f t="shared" si="37"/>
        <v>1</v>
      </c>
    </row>
    <row r="254" spans="1:15" x14ac:dyDescent="0.3">
      <c r="A254">
        <v>4</v>
      </c>
      <c r="B254">
        <v>2015</v>
      </c>
      <c r="C254">
        <v>8234</v>
      </c>
      <c r="D254">
        <v>25</v>
      </c>
      <c r="E254">
        <v>110</v>
      </c>
      <c r="F254">
        <v>7.5</v>
      </c>
      <c r="G254">
        <f t="shared" si="38"/>
        <v>0</v>
      </c>
      <c r="H254">
        <f t="shared" si="38"/>
        <v>0</v>
      </c>
      <c r="I254">
        <f t="shared" si="38"/>
        <v>0</v>
      </c>
      <c r="J254">
        <f t="shared" si="38"/>
        <v>1</v>
      </c>
      <c r="K254">
        <f t="shared" si="38"/>
        <v>0</v>
      </c>
      <c r="L254">
        <f t="shared" si="38"/>
        <v>0</v>
      </c>
      <c r="M254">
        <f t="shared" si="37"/>
        <v>0</v>
      </c>
      <c r="N254">
        <f t="shared" si="37"/>
        <v>0</v>
      </c>
      <c r="O254">
        <f t="shared" si="37"/>
        <v>1</v>
      </c>
    </row>
    <row r="255" spans="1:15" x14ac:dyDescent="0.3">
      <c r="A255">
        <v>4</v>
      </c>
      <c r="B255">
        <v>2015</v>
      </c>
      <c r="C255">
        <v>8067</v>
      </c>
      <c r="D255">
        <v>75</v>
      </c>
      <c r="E255">
        <v>44</v>
      </c>
      <c r="F255">
        <v>3.5</v>
      </c>
      <c r="G255">
        <f t="shared" si="38"/>
        <v>0</v>
      </c>
      <c r="H255">
        <f t="shared" si="38"/>
        <v>0</v>
      </c>
      <c r="I255">
        <f t="shared" si="38"/>
        <v>0</v>
      </c>
      <c r="J255">
        <f t="shared" si="38"/>
        <v>1</v>
      </c>
      <c r="K255">
        <f t="shared" si="38"/>
        <v>0</v>
      </c>
      <c r="L255">
        <f t="shared" si="38"/>
        <v>0</v>
      </c>
      <c r="M255">
        <f t="shared" si="37"/>
        <v>0</v>
      </c>
      <c r="N255">
        <f t="shared" si="37"/>
        <v>0</v>
      </c>
      <c r="O255">
        <f t="shared" si="37"/>
        <v>1</v>
      </c>
    </row>
    <row r="256" spans="1:15" x14ac:dyDescent="0.3">
      <c r="A256">
        <v>4</v>
      </c>
      <c r="B256">
        <v>2016</v>
      </c>
      <c r="C256">
        <v>8059</v>
      </c>
      <c r="D256">
        <v>40</v>
      </c>
      <c r="E256">
        <v>39</v>
      </c>
      <c r="F256">
        <v>2</v>
      </c>
      <c r="G256">
        <f t="shared" si="38"/>
        <v>0</v>
      </c>
      <c r="H256">
        <f t="shared" si="38"/>
        <v>0</v>
      </c>
      <c r="I256">
        <f t="shared" si="38"/>
        <v>0</v>
      </c>
      <c r="J256">
        <f t="shared" si="38"/>
        <v>0</v>
      </c>
      <c r="K256">
        <f t="shared" si="38"/>
        <v>1</v>
      </c>
      <c r="L256">
        <f t="shared" si="38"/>
        <v>0</v>
      </c>
      <c r="M256">
        <f t="shared" si="37"/>
        <v>0</v>
      </c>
      <c r="N256">
        <f t="shared" si="37"/>
        <v>0</v>
      </c>
      <c r="O256">
        <f t="shared" si="37"/>
        <v>1</v>
      </c>
    </row>
    <row r="257" spans="1:15" x14ac:dyDescent="0.3">
      <c r="A257">
        <v>1</v>
      </c>
      <c r="B257">
        <v>2017</v>
      </c>
      <c r="C257">
        <v>7922</v>
      </c>
      <c r="D257">
        <v>0</v>
      </c>
      <c r="E257">
        <v>16</v>
      </c>
      <c r="F257">
        <v>1.5</v>
      </c>
      <c r="G257">
        <f t="shared" si="38"/>
        <v>0</v>
      </c>
      <c r="H257">
        <f t="shared" si="38"/>
        <v>0</v>
      </c>
      <c r="I257">
        <f t="shared" si="38"/>
        <v>0</v>
      </c>
      <c r="J257">
        <f t="shared" si="38"/>
        <v>0</v>
      </c>
      <c r="K257">
        <f t="shared" si="38"/>
        <v>0</v>
      </c>
      <c r="L257">
        <f t="shared" si="38"/>
        <v>1</v>
      </c>
      <c r="M257">
        <f t="shared" si="37"/>
        <v>1</v>
      </c>
      <c r="N257">
        <f t="shared" si="37"/>
        <v>0</v>
      </c>
      <c r="O257">
        <f t="shared" si="37"/>
        <v>0</v>
      </c>
    </row>
    <row r="258" spans="1:15" x14ac:dyDescent="0.3">
      <c r="A258">
        <v>4</v>
      </c>
      <c r="B258">
        <v>2016</v>
      </c>
      <c r="C258">
        <v>7905</v>
      </c>
      <c r="D258">
        <v>0</v>
      </c>
      <c r="E258">
        <v>5</v>
      </c>
      <c r="F258">
        <v>0.68333332999999996</v>
      </c>
      <c r="G258">
        <f t="shared" si="38"/>
        <v>0</v>
      </c>
      <c r="H258">
        <f t="shared" si="38"/>
        <v>0</v>
      </c>
      <c r="I258">
        <f t="shared" si="38"/>
        <v>0</v>
      </c>
      <c r="J258">
        <f t="shared" si="38"/>
        <v>0</v>
      </c>
      <c r="K258">
        <f t="shared" si="38"/>
        <v>1</v>
      </c>
      <c r="L258">
        <f t="shared" si="38"/>
        <v>0</v>
      </c>
      <c r="M258">
        <f t="shared" si="37"/>
        <v>0</v>
      </c>
      <c r="N258">
        <f t="shared" si="37"/>
        <v>0</v>
      </c>
      <c r="O258">
        <f t="shared" si="37"/>
        <v>1</v>
      </c>
    </row>
    <row r="259" spans="1:15" x14ac:dyDescent="0.3">
      <c r="A259">
        <v>1</v>
      </c>
      <c r="B259">
        <v>2016</v>
      </c>
      <c r="C259">
        <v>7884</v>
      </c>
      <c r="D259">
        <v>150</v>
      </c>
      <c r="E259">
        <v>28</v>
      </c>
      <c r="F259">
        <v>2</v>
      </c>
      <c r="G259">
        <f t="shared" si="38"/>
        <v>0</v>
      </c>
      <c r="H259">
        <f t="shared" si="38"/>
        <v>0</v>
      </c>
      <c r="I259">
        <f t="shared" si="38"/>
        <v>0</v>
      </c>
      <c r="J259">
        <f t="shared" si="38"/>
        <v>0</v>
      </c>
      <c r="K259">
        <f t="shared" si="38"/>
        <v>1</v>
      </c>
      <c r="L259">
        <f t="shared" si="38"/>
        <v>0</v>
      </c>
      <c r="M259">
        <f t="shared" si="37"/>
        <v>1</v>
      </c>
      <c r="N259">
        <f t="shared" si="37"/>
        <v>0</v>
      </c>
      <c r="O259">
        <f t="shared" si="37"/>
        <v>0</v>
      </c>
    </row>
    <row r="260" spans="1:15" x14ac:dyDescent="0.3">
      <c r="A260">
        <v>1</v>
      </c>
      <c r="B260">
        <v>2012</v>
      </c>
      <c r="C260">
        <v>7867</v>
      </c>
      <c r="D260">
        <v>20</v>
      </c>
      <c r="E260">
        <v>23</v>
      </c>
      <c r="F260">
        <v>3</v>
      </c>
      <c r="G260">
        <f t="shared" si="38"/>
        <v>1</v>
      </c>
      <c r="H260">
        <f t="shared" si="38"/>
        <v>0</v>
      </c>
      <c r="I260">
        <f t="shared" si="38"/>
        <v>0</v>
      </c>
      <c r="J260">
        <f t="shared" si="38"/>
        <v>0</v>
      </c>
      <c r="K260">
        <f t="shared" si="38"/>
        <v>0</v>
      </c>
      <c r="L260">
        <f t="shared" si="38"/>
        <v>0</v>
      </c>
      <c r="M260">
        <f t="shared" si="37"/>
        <v>1</v>
      </c>
      <c r="N260">
        <f t="shared" si="37"/>
        <v>0</v>
      </c>
      <c r="O260">
        <f t="shared" si="37"/>
        <v>0</v>
      </c>
    </row>
    <row r="261" spans="1:15" x14ac:dyDescent="0.3">
      <c r="A261">
        <v>4</v>
      </c>
      <c r="B261">
        <v>2017</v>
      </c>
      <c r="C261">
        <v>7865</v>
      </c>
      <c r="D261">
        <v>0</v>
      </c>
      <c r="E261">
        <v>36</v>
      </c>
      <c r="F261">
        <v>5</v>
      </c>
      <c r="G261">
        <f t="shared" si="38"/>
        <v>0</v>
      </c>
      <c r="H261">
        <f t="shared" si="38"/>
        <v>0</v>
      </c>
      <c r="I261">
        <f t="shared" si="38"/>
        <v>0</v>
      </c>
      <c r="J261">
        <f t="shared" si="38"/>
        <v>0</v>
      </c>
      <c r="K261">
        <f t="shared" si="38"/>
        <v>0</v>
      </c>
      <c r="L261">
        <f t="shared" si="38"/>
        <v>1</v>
      </c>
      <c r="M261">
        <f t="shared" si="37"/>
        <v>0</v>
      </c>
      <c r="N261">
        <f t="shared" si="37"/>
        <v>0</v>
      </c>
      <c r="O261">
        <f t="shared" si="37"/>
        <v>1</v>
      </c>
    </row>
    <row r="262" spans="1:15" x14ac:dyDescent="0.3">
      <c r="A262">
        <v>3</v>
      </c>
      <c r="B262">
        <v>2015</v>
      </c>
      <c r="C262">
        <v>7852</v>
      </c>
      <c r="D262">
        <v>125</v>
      </c>
      <c r="E262">
        <v>31</v>
      </c>
      <c r="F262">
        <v>3.5</v>
      </c>
      <c r="G262">
        <f t="shared" ref="G262:L271" si="39">IF($B262=G$1,1,0)</f>
        <v>0</v>
      </c>
      <c r="H262">
        <f t="shared" si="39"/>
        <v>0</v>
      </c>
      <c r="I262">
        <f t="shared" si="39"/>
        <v>0</v>
      </c>
      <c r="J262">
        <f t="shared" si="39"/>
        <v>1</v>
      </c>
      <c r="K262">
        <f t="shared" si="39"/>
        <v>0</v>
      </c>
      <c r="L262">
        <f t="shared" si="39"/>
        <v>0</v>
      </c>
      <c r="M262">
        <f t="shared" ref="M262:O281" si="40">IF($A262=M$1,1,0)</f>
        <v>0</v>
      </c>
      <c r="N262">
        <f t="shared" si="40"/>
        <v>0</v>
      </c>
      <c r="O262">
        <f t="shared" si="40"/>
        <v>0</v>
      </c>
    </row>
    <row r="263" spans="1:15" x14ac:dyDescent="0.3">
      <c r="A263">
        <v>4</v>
      </c>
      <c r="B263">
        <v>2016</v>
      </c>
      <c r="C263">
        <v>7827</v>
      </c>
      <c r="D263">
        <v>195</v>
      </c>
      <c r="E263">
        <v>66</v>
      </c>
      <c r="F263">
        <v>11</v>
      </c>
      <c r="G263">
        <f t="shared" si="39"/>
        <v>0</v>
      </c>
      <c r="H263">
        <f t="shared" si="39"/>
        <v>0</v>
      </c>
      <c r="I263">
        <f t="shared" si="39"/>
        <v>0</v>
      </c>
      <c r="J263">
        <f t="shared" si="39"/>
        <v>0</v>
      </c>
      <c r="K263">
        <f t="shared" si="39"/>
        <v>1</v>
      </c>
      <c r="L263">
        <f t="shared" si="39"/>
        <v>0</v>
      </c>
      <c r="M263">
        <f t="shared" si="40"/>
        <v>0</v>
      </c>
      <c r="N263">
        <f t="shared" si="40"/>
        <v>0</v>
      </c>
      <c r="O263">
        <f t="shared" si="40"/>
        <v>1</v>
      </c>
    </row>
    <row r="264" spans="1:15" x14ac:dyDescent="0.3">
      <c r="A264">
        <v>2</v>
      </c>
      <c r="B264">
        <v>2015</v>
      </c>
      <c r="C264">
        <v>7789</v>
      </c>
      <c r="D264">
        <v>90</v>
      </c>
      <c r="E264">
        <v>23</v>
      </c>
      <c r="F264">
        <v>1.5</v>
      </c>
      <c r="G264">
        <f t="shared" si="39"/>
        <v>0</v>
      </c>
      <c r="H264">
        <f t="shared" si="39"/>
        <v>0</v>
      </c>
      <c r="I264">
        <f t="shared" si="39"/>
        <v>0</v>
      </c>
      <c r="J264">
        <f t="shared" si="39"/>
        <v>1</v>
      </c>
      <c r="K264">
        <f t="shared" si="39"/>
        <v>0</v>
      </c>
      <c r="L264">
        <f t="shared" si="39"/>
        <v>0</v>
      </c>
      <c r="M264">
        <f t="shared" si="40"/>
        <v>0</v>
      </c>
      <c r="N264">
        <f t="shared" si="40"/>
        <v>1</v>
      </c>
      <c r="O264">
        <f t="shared" si="40"/>
        <v>0</v>
      </c>
    </row>
    <row r="265" spans="1:15" x14ac:dyDescent="0.3">
      <c r="A265">
        <v>4</v>
      </c>
      <c r="B265">
        <v>2014</v>
      </c>
      <c r="C265">
        <v>7785</v>
      </c>
      <c r="D265">
        <v>75</v>
      </c>
      <c r="E265">
        <v>33</v>
      </c>
      <c r="F265">
        <v>4.5</v>
      </c>
      <c r="G265">
        <f t="shared" si="39"/>
        <v>0</v>
      </c>
      <c r="H265">
        <f t="shared" si="39"/>
        <v>0</v>
      </c>
      <c r="I265">
        <f t="shared" si="39"/>
        <v>1</v>
      </c>
      <c r="J265">
        <f t="shared" si="39"/>
        <v>0</v>
      </c>
      <c r="K265">
        <f t="shared" si="39"/>
        <v>0</v>
      </c>
      <c r="L265">
        <f t="shared" si="39"/>
        <v>0</v>
      </c>
      <c r="M265">
        <f t="shared" si="40"/>
        <v>0</v>
      </c>
      <c r="N265">
        <f t="shared" si="40"/>
        <v>0</v>
      </c>
      <c r="O265">
        <f t="shared" si="40"/>
        <v>1</v>
      </c>
    </row>
    <row r="266" spans="1:15" x14ac:dyDescent="0.3">
      <c r="A266">
        <v>4</v>
      </c>
      <c r="B266">
        <v>2016</v>
      </c>
      <c r="C266">
        <v>7741</v>
      </c>
      <c r="D266">
        <v>140</v>
      </c>
      <c r="E266">
        <v>36</v>
      </c>
      <c r="F266">
        <v>2.5</v>
      </c>
      <c r="G266">
        <f t="shared" si="39"/>
        <v>0</v>
      </c>
      <c r="H266">
        <f t="shared" si="39"/>
        <v>0</v>
      </c>
      <c r="I266">
        <f t="shared" si="39"/>
        <v>0</v>
      </c>
      <c r="J266">
        <f t="shared" si="39"/>
        <v>0</v>
      </c>
      <c r="K266">
        <f t="shared" si="39"/>
        <v>1</v>
      </c>
      <c r="L266">
        <f t="shared" si="39"/>
        <v>0</v>
      </c>
      <c r="M266">
        <f t="shared" si="40"/>
        <v>0</v>
      </c>
      <c r="N266">
        <f t="shared" si="40"/>
        <v>0</v>
      </c>
      <c r="O266">
        <f t="shared" si="40"/>
        <v>1</v>
      </c>
    </row>
    <row r="267" spans="1:15" x14ac:dyDescent="0.3">
      <c r="A267">
        <v>1</v>
      </c>
      <c r="B267">
        <v>2016</v>
      </c>
      <c r="C267">
        <v>7720</v>
      </c>
      <c r="D267">
        <v>150</v>
      </c>
      <c r="E267">
        <v>17</v>
      </c>
      <c r="F267">
        <v>1.5</v>
      </c>
      <c r="G267">
        <f t="shared" si="39"/>
        <v>0</v>
      </c>
      <c r="H267">
        <f t="shared" si="39"/>
        <v>0</v>
      </c>
      <c r="I267">
        <f t="shared" si="39"/>
        <v>0</v>
      </c>
      <c r="J267">
        <f t="shared" si="39"/>
        <v>0</v>
      </c>
      <c r="K267">
        <f t="shared" si="39"/>
        <v>1</v>
      </c>
      <c r="L267">
        <f t="shared" si="39"/>
        <v>0</v>
      </c>
      <c r="M267">
        <f t="shared" si="40"/>
        <v>1</v>
      </c>
      <c r="N267">
        <f t="shared" si="40"/>
        <v>0</v>
      </c>
      <c r="O267">
        <f t="shared" si="40"/>
        <v>0</v>
      </c>
    </row>
    <row r="268" spans="1:15" x14ac:dyDescent="0.3">
      <c r="A268">
        <v>4</v>
      </c>
      <c r="B268">
        <v>2012</v>
      </c>
      <c r="C268">
        <v>7706</v>
      </c>
      <c r="D268">
        <v>50</v>
      </c>
      <c r="E268">
        <v>45</v>
      </c>
      <c r="F268">
        <v>5</v>
      </c>
      <c r="G268">
        <f t="shared" si="39"/>
        <v>1</v>
      </c>
      <c r="H268">
        <f t="shared" si="39"/>
        <v>0</v>
      </c>
      <c r="I268">
        <f t="shared" si="39"/>
        <v>0</v>
      </c>
      <c r="J268">
        <f t="shared" si="39"/>
        <v>0</v>
      </c>
      <c r="K268">
        <f t="shared" si="39"/>
        <v>0</v>
      </c>
      <c r="L268">
        <f t="shared" si="39"/>
        <v>0</v>
      </c>
      <c r="M268">
        <f t="shared" si="40"/>
        <v>0</v>
      </c>
      <c r="N268">
        <f t="shared" si="40"/>
        <v>0</v>
      </c>
      <c r="O268">
        <f t="shared" si="40"/>
        <v>1</v>
      </c>
    </row>
    <row r="269" spans="1:15" x14ac:dyDescent="0.3">
      <c r="A269">
        <v>4</v>
      </c>
      <c r="B269">
        <v>2014</v>
      </c>
      <c r="C269">
        <v>7660</v>
      </c>
      <c r="D269">
        <v>50</v>
      </c>
      <c r="E269">
        <v>19</v>
      </c>
      <c r="F269">
        <v>2</v>
      </c>
      <c r="G269">
        <f t="shared" si="39"/>
        <v>0</v>
      </c>
      <c r="H269">
        <f t="shared" si="39"/>
        <v>0</v>
      </c>
      <c r="I269">
        <f t="shared" si="39"/>
        <v>1</v>
      </c>
      <c r="J269">
        <f t="shared" si="39"/>
        <v>0</v>
      </c>
      <c r="K269">
        <f t="shared" si="39"/>
        <v>0</v>
      </c>
      <c r="L269">
        <f t="shared" si="39"/>
        <v>0</v>
      </c>
      <c r="M269">
        <f t="shared" si="40"/>
        <v>0</v>
      </c>
      <c r="N269">
        <f t="shared" si="40"/>
        <v>0</v>
      </c>
      <c r="O269">
        <f t="shared" si="40"/>
        <v>1</v>
      </c>
    </row>
    <row r="270" spans="1:15" x14ac:dyDescent="0.3">
      <c r="A270">
        <v>2</v>
      </c>
      <c r="B270">
        <v>2014</v>
      </c>
      <c r="C270">
        <v>7517</v>
      </c>
      <c r="D270">
        <v>95</v>
      </c>
      <c r="E270">
        <v>47</v>
      </c>
      <c r="F270">
        <v>4.5</v>
      </c>
      <c r="G270">
        <f t="shared" si="39"/>
        <v>0</v>
      </c>
      <c r="H270">
        <f t="shared" si="39"/>
        <v>0</v>
      </c>
      <c r="I270">
        <f t="shared" si="39"/>
        <v>1</v>
      </c>
      <c r="J270">
        <f t="shared" si="39"/>
        <v>0</v>
      </c>
      <c r="K270">
        <f t="shared" si="39"/>
        <v>0</v>
      </c>
      <c r="L270">
        <f t="shared" si="39"/>
        <v>0</v>
      </c>
      <c r="M270">
        <f t="shared" si="40"/>
        <v>0</v>
      </c>
      <c r="N270">
        <f t="shared" si="40"/>
        <v>1</v>
      </c>
      <c r="O270">
        <f t="shared" si="40"/>
        <v>0</v>
      </c>
    </row>
    <row r="271" spans="1:15" x14ac:dyDescent="0.3">
      <c r="A271">
        <v>4</v>
      </c>
      <c r="B271">
        <v>2015</v>
      </c>
      <c r="C271">
        <v>7501</v>
      </c>
      <c r="D271">
        <v>200</v>
      </c>
      <c r="E271">
        <v>384</v>
      </c>
      <c r="F271">
        <v>76.5</v>
      </c>
      <c r="G271">
        <f t="shared" si="39"/>
        <v>0</v>
      </c>
      <c r="H271">
        <f t="shared" si="39"/>
        <v>0</v>
      </c>
      <c r="I271">
        <f t="shared" si="39"/>
        <v>0</v>
      </c>
      <c r="J271">
        <f t="shared" si="39"/>
        <v>1</v>
      </c>
      <c r="K271">
        <f t="shared" si="39"/>
        <v>0</v>
      </c>
      <c r="L271">
        <f t="shared" si="39"/>
        <v>0</v>
      </c>
      <c r="M271">
        <f t="shared" si="40"/>
        <v>0</v>
      </c>
      <c r="N271">
        <f t="shared" si="40"/>
        <v>0</v>
      </c>
      <c r="O271">
        <f t="shared" si="40"/>
        <v>1</v>
      </c>
    </row>
    <row r="272" spans="1:15" x14ac:dyDescent="0.3">
      <c r="A272">
        <v>4</v>
      </c>
      <c r="B272">
        <v>2015</v>
      </c>
      <c r="C272">
        <v>7489</v>
      </c>
      <c r="D272">
        <v>110</v>
      </c>
      <c r="E272">
        <v>173</v>
      </c>
      <c r="F272">
        <v>16</v>
      </c>
      <c r="G272">
        <f t="shared" ref="G272:L281" si="41">IF($B272=G$1,1,0)</f>
        <v>0</v>
      </c>
      <c r="H272">
        <f t="shared" si="41"/>
        <v>0</v>
      </c>
      <c r="I272">
        <f t="shared" si="41"/>
        <v>0</v>
      </c>
      <c r="J272">
        <f t="shared" si="41"/>
        <v>1</v>
      </c>
      <c r="K272">
        <f t="shared" si="41"/>
        <v>0</v>
      </c>
      <c r="L272">
        <f t="shared" si="41"/>
        <v>0</v>
      </c>
      <c r="M272">
        <f t="shared" si="40"/>
        <v>0</v>
      </c>
      <c r="N272">
        <f t="shared" si="40"/>
        <v>0</v>
      </c>
      <c r="O272">
        <f t="shared" si="40"/>
        <v>1</v>
      </c>
    </row>
    <row r="273" spans="1:15" x14ac:dyDescent="0.3">
      <c r="A273">
        <v>1</v>
      </c>
      <c r="B273">
        <v>2015</v>
      </c>
      <c r="C273">
        <v>7484</v>
      </c>
      <c r="D273">
        <v>0</v>
      </c>
      <c r="E273">
        <v>5</v>
      </c>
      <c r="F273">
        <v>1</v>
      </c>
      <c r="G273">
        <f t="shared" si="41"/>
        <v>0</v>
      </c>
      <c r="H273">
        <f t="shared" si="41"/>
        <v>0</v>
      </c>
      <c r="I273">
        <f t="shared" si="41"/>
        <v>0</v>
      </c>
      <c r="J273">
        <f t="shared" si="41"/>
        <v>1</v>
      </c>
      <c r="K273">
        <f t="shared" si="41"/>
        <v>0</v>
      </c>
      <c r="L273">
        <f t="shared" si="41"/>
        <v>0</v>
      </c>
      <c r="M273">
        <f t="shared" si="40"/>
        <v>1</v>
      </c>
      <c r="N273">
        <f t="shared" si="40"/>
        <v>0</v>
      </c>
      <c r="O273">
        <f t="shared" si="40"/>
        <v>0</v>
      </c>
    </row>
    <row r="274" spans="1:15" x14ac:dyDescent="0.3">
      <c r="A274">
        <v>3</v>
      </c>
      <c r="B274">
        <v>2014</v>
      </c>
      <c r="C274">
        <v>7449</v>
      </c>
      <c r="D274">
        <v>20</v>
      </c>
      <c r="E274">
        <v>13</v>
      </c>
      <c r="F274">
        <v>1</v>
      </c>
      <c r="G274">
        <f t="shared" si="41"/>
        <v>0</v>
      </c>
      <c r="H274">
        <f t="shared" si="41"/>
        <v>0</v>
      </c>
      <c r="I274">
        <f t="shared" si="41"/>
        <v>1</v>
      </c>
      <c r="J274">
        <f t="shared" si="41"/>
        <v>0</v>
      </c>
      <c r="K274">
        <f t="shared" si="41"/>
        <v>0</v>
      </c>
      <c r="L274">
        <f t="shared" si="41"/>
        <v>0</v>
      </c>
      <c r="M274">
        <f t="shared" si="40"/>
        <v>0</v>
      </c>
      <c r="N274">
        <f t="shared" si="40"/>
        <v>0</v>
      </c>
      <c r="O274">
        <f t="shared" si="40"/>
        <v>0</v>
      </c>
    </row>
    <row r="275" spans="1:15" x14ac:dyDescent="0.3">
      <c r="A275">
        <v>1</v>
      </c>
      <c r="B275">
        <v>2015</v>
      </c>
      <c r="C275">
        <v>7449</v>
      </c>
      <c r="D275">
        <v>200</v>
      </c>
      <c r="E275">
        <v>32</v>
      </c>
      <c r="F275">
        <v>4</v>
      </c>
      <c r="G275">
        <f t="shared" si="41"/>
        <v>0</v>
      </c>
      <c r="H275">
        <f t="shared" si="41"/>
        <v>0</v>
      </c>
      <c r="I275">
        <f t="shared" si="41"/>
        <v>0</v>
      </c>
      <c r="J275">
        <f t="shared" si="41"/>
        <v>1</v>
      </c>
      <c r="K275">
        <f t="shared" si="41"/>
        <v>0</v>
      </c>
      <c r="L275">
        <f t="shared" si="41"/>
        <v>0</v>
      </c>
      <c r="M275">
        <f t="shared" si="40"/>
        <v>1</v>
      </c>
      <c r="N275">
        <f t="shared" si="40"/>
        <v>0</v>
      </c>
      <c r="O275">
        <f t="shared" si="40"/>
        <v>0</v>
      </c>
    </row>
    <row r="276" spans="1:15" x14ac:dyDescent="0.3">
      <c r="A276">
        <v>4</v>
      </c>
      <c r="B276">
        <v>2016</v>
      </c>
      <c r="C276">
        <v>7438</v>
      </c>
      <c r="D276">
        <v>0</v>
      </c>
      <c r="E276">
        <v>37</v>
      </c>
      <c r="F276">
        <v>2.5</v>
      </c>
      <c r="G276">
        <f t="shared" si="41"/>
        <v>0</v>
      </c>
      <c r="H276">
        <f t="shared" si="41"/>
        <v>0</v>
      </c>
      <c r="I276">
        <f t="shared" si="41"/>
        <v>0</v>
      </c>
      <c r="J276">
        <f t="shared" si="41"/>
        <v>0</v>
      </c>
      <c r="K276">
        <f t="shared" si="41"/>
        <v>1</v>
      </c>
      <c r="L276">
        <f t="shared" si="41"/>
        <v>0</v>
      </c>
      <c r="M276">
        <f t="shared" si="40"/>
        <v>0</v>
      </c>
      <c r="N276">
        <f t="shared" si="40"/>
        <v>0</v>
      </c>
      <c r="O276">
        <f t="shared" si="40"/>
        <v>1</v>
      </c>
    </row>
    <row r="277" spans="1:15" x14ac:dyDescent="0.3">
      <c r="A277">
        <v>4</v>
      </c>
      <c r="B277">
        <v>2015</v>
      </c>
      <c r="C277">
        <v>7416</v>
      </c>
      <c r="D277">
        <v>20</v>
      </c>
      <c r="E277">
        <v>14</v>
      </c>
      <c r="F277">
        <v>0.65</v>
      </c>
      <c r="G277">
        <f t="shared" si="41"/>
        <v>0</v>
      </c>
      <c r="H277">
        <f t="shared" si="41"/>
        <v>0</v>
      </c>
      <c r="I277">
        <f t="shared" si="41"/>
        <v>0</v>
      </c>
      <c r="J277">
        <f t="shared" si="41"/>
        <v>1</v>
      </c>
      <c r="K277">
        <f t="shared" si="41"/>
        <v>0</v>
      </c>
      <c r="L277">
        <f t="shared" si="41"/>
        <v>0</v>
      </c>
      <c r="M277">
        <f t="shared" si="40"/>
        <v>0</v>
      </c>
      <c r="N277">
        <f t="shared" si="40"/>
        <v>0</v>
      </c>
      <c r="O277">
        <f t="shared" si="40"/>
        <v>1</v>
      </c>
    </row>
    <row r="278" spans="1:15" x14ac:dyDescent="0.3">
      <c r="A278">
        <v>1</v>
      </c>
      <c r="B278">
        <v>2014</v>
      </c>
      <c r="C278">
        <v>7407</v>
      </c>
      <c r="D278">
        <v>50</v>
      </c>
      <c r="E278">
        <v>147</v>
      </c>
      <c r="F278">
        <v>20</v>
      </c>
      <c r="G278">
        <f t="shared" si="41"/>
        <v>0</v>
      </c>
      <c r="H278">
        <f t="shared" si="41"/>
        <v>0</v>
      </c>
      <c r="I278">
        <f t="shared" si="41"/>
        <v>1</v>
      </c>
      <c r="J278">
        <f t="shared" si="41"/>
        <v>0</v>
      </c>
      <c r="K278">
        <f t="shared" si="41"/>
        <v>0</v>
      </c>
      <c r="L278">
        <f t="shared" si="41"/>
        <v>0</v>
      </c>
      <c r="M278">
        <f t="shared" si="40"/>
        <v>1</v>
      </c>
      <c r="N278">
        <f t="shared" si="40"/>
        <v>0</v>
      </c>
      <c r="O278">
        <f t="shared" si="40"/>
        <v>0</v>
      </c>
    </row>
    <row r="279" spans="1:15" x14ac:dyDescent="0.3">
      <c r="A279">
        <v>4</v>
      </c>
      <c r="B279">
        <v>2015</v>
      </c>
      <c r="C279">
        <v>7380</v>
      </c>
      <c r="D279">
        <v>75</v>
      </c>
      <c r="E279">
        <v>59</v>
      </c>
      <c r="F279">
        <v>2.5</v>
      </c>
      <c r="G279">
        <f t="shared" si="41"/>
        <v>0</v>
      </c>
      <c r="H279">
        <f t="shared" si="41"/>
        <v>0</v>
      </c>
      <c r="I279">
        <f t="shared" si="41"/>
        <v>0</v>
      </c>
      <c r="J279">
        <f t="shared" si="41"/>
        <v>1</v>
      </c>
      <c r="K279">
        <f t="shared" si="41"/>
        <v>0</v>
      </c>
      <c r="L279">
        <f t="shared" si="41"/>
        <v>0</v>
      </c>
      <c r="M279">
        <f t="shared" si="40"/>
        <v>0</v>
      </c>
      <c r="N279">
        <f t="shared" si="40"/>
        <v>0</v>
      </c>
      <c r="O279">
        <f t="shared" si="40"/>
        <v>1</v>
      </c>
    </row>
    <row r="280" spans="1:15" x14ac:dyDescent="0.3">
      <c r="A280">
        <v>1</v>
      </c>
      <c r="B280">
        <v>2016</v>
      </c>
      <c r="C280">
        <v>7375</v>
      </c>
      <c r="D280">
        <v>40</v>
      </c>
      <c r="E280">
        <v>17</v>
      </c>
      <c r="F280">
        <v>1.5</v>
      </c>
      <c r="G280">
        <f t="shared" si="41"/>
        <v>0</v>
      </c>
      <c r="H280">
        <f t="shared" si="41"/>
        <v>0</v>
      </c>
      <c r="I280">
        <f t="shared" si="41"/>
        <v>0</v>
      </c>
      <c r="J280">
        <f t="shared" si="41"/>
        <v>0</v>
      </c>
      <c r="K280">
        <f t="shared" si="41"/>
        <v>1</v>
      </c>
      <c r="L280">
        <f t="shared" si="41"/>
        <v>0</v>
      </c>
      <c r="M280">
        <f t="shared" si="40"/>
        <v>1</v>
      </c>
      <c r="N280">
        <f t="shared" si="40"/>
        <v>0</v>
      </c>
      <c r="O280">
        <f t="shared" si="40"/>
        <v>0</v>
      </c>
    </row>
    <row r="281" spans="1:15" x14ac:dyDescent="0.3">
      <c r="A281">
        <v>4</v>
      </c>
      <c r="B281">
        <v>2013</v>
      </c>
      <c r="C281">
        <v>7368</v>
      </c>
      <c r="D281">
        <v>20</v>
      </c>
      <c r="E281">
        <v>52</v>
      </c>
      <c r="F281">
        <v>2</v>
      </c>
      <c r="G281">
        <f t="shared" si="41"/>
        <v>0</v>
      </c>
      <c r="H281">
        <f t="shared" si="41"/>
        <v>1</v>
      </c>
      <c r="I281">
        <f t="shared" si="41"/>
        <v>0</v>
      </c>
      <c r="J281">
        <f t="shared" si="41"/>
        <v>0</v>
      </c>
      <c r="K281">
        <f t="shared" si="41"/>
        <v>0</v>
      </c>
      <c r="L281">
        <f t="shared" si="41"/>
        <v>0</v>
      </c>
      <c r="M281">
        <f t="shared" si="40"/>
        <v>0</v>
      </c>
      <c r="N281">
        <f t="shared" si="40"/>
        <v>0</v>
      </c>
      <c r="O281">
        <f t="shared" si="40"/>
        <v>1</v>
      </c>
    </row>
    <row r="282" spans="1:15" x14ac:dyDescent="0.3">
      <c r="A282">
        <v>4</v>
      </c>
      <c r="B282">
        <v>2017</v>
      </c>
      <c r="C282">
        <v>7331</v>
      </c>
      <c r="D282">
        <v>200</v>
      </c>
      <c r="E282">
        <v>18</v>
      </c>
      <c r="F282">
        <v>1.5</v>
      </c>
      <c r="G282">
        <f t="shared" ref="G282:L291" si="42">IF($B282=G$1,1,0)</f>
        <v>0</v>
      </c>
      <c r="H282">
        <f t="shared" si="42"/>
        <v>0</v>
      </c>
      <c r="I282">
        <f t="shared" si="42"/>
        <v>0</v>
      </c>
      <c r="J282">
        <f t="shared" si="42"/>
        <v>0</v>
      </c>
      <c r="K282">
        <f t="shared" si="42"/>
        <v>0</v>
      </c>
      <c r="L282">
        <f t="shared" si="42"/>
        <v>1</v>
      </c>
      <c r="M282">
        <f t="shared" ref="M282:O301" si="43">IF($A282=M$1,1,0)</f>
        <v>0</v>
      </c>
      <c r="N282">
        <f t="shared" si="43"/>
        <v>0</v>
      </c>
      <c r="O282">
        <f t="shared" si="43"/>
        <v>1</v>
      </c>
    </row>
    <row r="283" spans="1:15" x14ac:dyDescent="0.3">
      <c r="A283">
        <v>1</v>
      </c>
      <c r="B283">
        <v>2014</v>
      </c>
      <c r="C283">
        <v>7318</v>
      </c>
      <c r="D283">
        <v>0</v>
      </c>
      <c r="E283">
        <v>8</v>
      </c>
      <c r="F283">
        <v>0.58333332999999998</v>
      </c>
      <c r="G283">
        <f t="shared" si="42"/>
        <v>0</v>
      </c>
      <c r="H283">
        <f t="shared" si="42"/>
        <v>0</v>
      </c>
      <c r="I283">
        <f t="shared" si="42"/>
        <v>1</v>
      </c>
      <c r="J283">
        <f t="shared" si="42"/>
        <v>0</v>
      </c>
      <c r="K283">
        <f t="shared" si="42"/>
        <v>0</v>
      </c>
      <c r="L283">
        <f t="shared" si="42"/>
        <v>0</v>
      </c>
      <c r="M283">
        <f t="shared" si="43"/>
        <v>1</v>
      </c>
      <c r="N283">
        <f t="shared" si="43"/>
        <v>0</v>
      </c>
      <c r="O283">
        <f t="shared" si="43"/>
        <v>0</v>
      </c>
    </row>
    <row r="284" spans="1:15" x14ac:dyDescent="0.3">
      <c r="A284">
        <v>1</v>
      </c>
      <c r="B284">
        <v>2016</v>
      </c>
      <c r="C284">
        <v>7304</v>
      </c>
      <c r="D284">
        <v>0</v>
      </c>
      <c r="E284">
        <v>28</v>
      </c>
      <c r="F284">
        <v>2</v>
      </c>
      <c r="G284">
        <f t="shared" si="42"/>
        <v>0</v>
      </c>
      <c r="H284">
        <f t="shared" si="42"/>
        <v>0</v>
      </c>
      <c r="I284">
        <f t="shared" si="42"/>
        <v>0</v>
      </c>
      <c r="J284">
        <f t="shared" si="42"/>
        <v>0</v>
      </c>
      <c r="K284">
        <f t="shared" si="42"/>
        <v>1</v>
      </c>
      <c r="L284">
        <f t="shared" si="42"/>
        <v>0</v>
      </c>
      <c r="M284">
        <f t="shared" si="43"/>
        <v>1</v>
      </c>
      <c r="N284">
        <f t="shared" si="43"/>
        <v>0</v>
      </c>
      <c r="O284">
        <f t="shared" si="43"/>
        <v>0</v>
      </c>
    </row>
    <row r="285" spans="1:15" x14ac:dyDescent="0.3">
      <c r="A285">
        <v>4</v>
      </c>
      <c r="B285">
        <v>2016</v>
      </c>
      <c r="C285">
        <v>7213</v>
      </c>
      <c r="D285">
        <v>100</v>
      </c>
      <c r="E285">
        <v>38</v>
      </c>
      <c r="F285">
        <v>3</v>
      </c>
      <c r="G285">
        <f t="shared" si="42"/>
        <v>0</v>
      </c>
      <c r="H285">
        <f t="shared" si="42"/>
        <v>0</v>
      </c>
      <c r="I285">
        <f t="shared" si="42"/>
        <v>0</v>
      </c>
      <c r="J285">
        <f t="shared" si="42"/>
        <v>0</v>
      </c>
      <c r="K285">
        <f t="shared" si="42"/>
        <v>1</v>
      </c>
      <c r="L285">
        <f t="shared" si="42"/>
        <v>0</v>
      </c>
      <c r="M285">
        <f t="shared" si="43"/>
        <v>0</v>
      </c>
      <c r="N285">
        <f t="shared" si="43"/>
        <v>0</v>
      </c>
      <c r="O285">
        <f t="shared" si="43"/>
        <v>1</v>
      </c>
    </row>
    <row r="286" spans="1:15" x14ac:dyDescent="0.3">
      <c r="A286">
        <v>4</v>
      </c>
      <c r="B286">
        <v>2016</v>
      </c>
      <c r="C286">
        <v>7211</v>
      </c>
      <c r="D286">
        <v>200</v>
      </c>
      <c r="E286">
        <v>491</v>
      </c>
      <c r="F286">
        <v>57</v>
      </c>
      <c r="G286">
        <f t="shared" si="42"/>
        <v>0</v>
      </c>
      <c r="H286">
        <f t="shared" si="42"/>
        <v>0</v>
      </c>
      <c r="I286">
        <f t="shared" si="42"/>
        <v>0</v>
      </c>
      <c r="J286">
        <f t="shared" si="42"/>
        <v>0</v>
      </c>
      <c r="K286">
        <f t="shared" si="42"/>
        <v>1</v>
      </c>
      <c r="L286">
        <f t="shared" si="42"/>
        <v>0</v>
      </c>
      <c r="M286">
        <f t="shared" si="43"/>
        <v>0</v>
      </c>
      <c r="N286">
        <f t="shared" si="43"/>
        <v>0</v>
      </c>
      <c r="O286">
        <f t="shared" si="43"/>
        <v>1</v>
      </c>
    </row>
    <row r="287" spans="1:15" x14ac:dyDescent="0.3">
      <c r="A287">
        <v>4</v>
      </c>
      <c r="B287">
        <v>2017</v>
      </c>
      <c r="C287">
        <v>7196</v>
      </c>
      <c r="D287">
        <v>30</v>
      </c>
      <c r="E287">
        <v>38</v>
      </c>
      <c r="F287">
        <v>6.5</v>
      </c>
      <c r="G287">
        <f t="shared" si="42"/>
        <v>0</v>
      </c>
      <c r="H287">
        <f t="shared" si="42"/>
        <v>0</v>
      </c>
      <c r="I287">
        <f t="shared" si="42"/>
        <v>0</v>
      </c>
      <c r="J287">
        <f t="shared" si="42"/>
        <v>0</v>
      </c>
      <c r="K287">
        <f t="shared" si="42"/>
        <v>0</v>
      </c>
      <c r="L287">
        <f t="shared" si="42"/>
        <v>1</v>
      </c>
      <c r="M287">
        <f t="shared" si="43"/>
        <v>0</v>
      </c>
      <c r="N287">
        <f t="shared" si="43"/>
        <v>0</v>
      </c>
      <c r="O287">
        <f t="shared" si="43"/>
        <v>1</v>
      </c>
    </row>
    <row r="288" spans="1:15" x14ac:dyDescent="0.3">
      <c r="A288">
        <v>4</v>
      </c>
      <c r="B288">
        <v>2016</v>
      </c>
      <c r="C288">
        <v>7184</v>
      </c>
      <c r="D288">
        <v>70</v>
      </c>
      <c r="E288">
        <v>29</v>
      </c>
      <c r="F288">
        <v>4</v>
      </c>
      <c r="G288">
        <f t="shared" si="42"/>
        <v>0</v>
      </c>
      <c r="H288">
        <f t="shared" si="42"/>
        <v>0</v>
      </c>
      <c r="I288">
        <f t="shared" si="42"/>
        <v>0</v>
      </c>
      <c r="J288">
        <f t="shared" si="42"/>
        <v>0</v>
      </c>
      <c r="K288">
        <f t="shared" si="42"/>
        <v>1</v>
      </c>
      <c r="L288">
        <f t="shared" si="42"/>
        <v>0</v>
      </c>
      <c r="M288">
        <f t="shared" si="43"/>
        <v>0</v>
      </c>
      <c r="N288">
        <f t="shared" si="43"/>
        <v>0</v>
      </c>
      <c r="O288">
        <f t="shared" si="43"/>
        <v>1</v>
      </c>
    </row>
    <row r="289" spans="1:15" x14ac:dyDescent="0.3">
      <c r="A289">
        <v>4</v>
      </c>
      <c r="B289">
        <v>2016</v>
      </c>
      <c r="C289">
        <v>7169</v>
      </c>
      <c r="D289">
        <v>80</v>
      </c>
      <c r="E289">
        <v>20</v>
      </c>
      <c r="F289">
        <v>1</v>
      </c>
      <c r="G289">
        <f t="shared" si="42"/>
        <v>0</v>
      </c>
      <c r="H289">
        <f t="shared" si="42"/>
        <v>0</v>
      </c>
      <c r="I289">
        <f t="shared" si="42"/>
        <v>0</v>
      </c>
      <c r="J289">
        <f t="shared" si="42"/>
        <v>0</v>
      </c>
      <c r="K289">
        <f t="shared" si="42"/>
        <v>1</v>
      </c>
      <c r="L289">
        <f t="shared" si="42"/>
        <v>0</v>
      </c>
      <c r="M289">
        <f t="shared" si="43"/>
        <v>0</v>
      </c>
      <c r="N289">
        <f t="shared" si="43"/>
        <v>0</v>
      </c>
      <c r="O289">
        <f t="shared" si="43"/>
        <v>1</v>
      </c>
    </row>
    <row r="290" spans="1:15" x14ac:dyDescent="0.3">
      <c r="A290">
        <v>1</v>
      </c>
      <c r="B290">
        <v>2015</v>
      </c>
      <c r="C290">
        <v>7146</v>
      </c>
      <c r="D290">
        <v>40</v>
      </c>
      <c r="E290">
        <v>77</v>
      </c>
      <c r="F290">
        <v>14.5</v>
      </c>
      <c r="G290">
        <f t="shared" si="42"/>
        <v>0</v>
      </c>
      <c r="H290">
        <f t="shared" si="42"/>
        <v>0</v>
      </c>
      <c r="I290">
        <f t="shared" si="42"/>
        <v>0</v>
      </c>
      <c r="J290">
        <f t="shared" si="42"/>
        <v>1</v>
      </c>
      <c r="K290">
        <f t="shared" si="42"/>
        <v>0</v>
      </c>
      <c r="L290">
        <f t="shared" si="42"/>
        <v>0</v>
      </c>
      <c r="M290">
        <f t="shared" si="43"/>
        <v>1</v>
      </c>
      <c r="N290">
        <f t="shared" si="43"/>
        <v>0</v>
      </c>
      <c r="O290">
        <f t="shared" si="43"/>
        <v>0</v>
      </c>
    </row>
    <row r="291" spans="1:15" x14ac:dyDescent="0.3">
      <c r="A291">
        <v>4</v>
      </c>
      <c r="B291">
        <v>2016</v>
      </c>
      <c r="C291">
        <v>7142</v>
      </c>
      <c r="D291">
        <v>0</v>
      </c>
      <c r="E291">
        <v>25</v>
      </c>
      <c r="F291">
        <v>4</v>
      </c>
      <c r="G291">
        <f t="shared" si="42"/>
        <v>0</v>
      </c>
      <c r="H291">
        <f t="shared" si="42"/>
        <v>0</v>
      </c>
      <c r="I291">
        <f t="shared" si="42"/>
        <v>0</v>
      </c>
      <c r="J291">
        <f t="shared" si="42"/>
        <v>0</v>
      </c>
      <c r="K291">
        <f t="shared" si="42"/>
        <v>1</v>
      </c>
      <c r="L291">
        <f t="shared" si="42"/>
        <v>0</v>
      </c>
      <c r="M291">
        <f t="shared" si="43"/>
        <v>0</v>
      </c>
      <c r="N291">
        <f t="shared" si="43"/>
        <v>0</v>
      </c>
      <c r="O291">
        <f t="shared" si="43"/>
        <v>1</v>
      </c>
    </row>
    <row r="292" spans="1:15" x14ac:dyDescent="0.3">
      <c r="A292">
        <v>2</v>
      </c>
      <c r="B292">
        <v>2013</v>
      </c>
      <c r="C292">
        <v>7130</v>
      </c>
      <c r="D292">
        <v>100</v>
      </c>
      <c r="E292">
        <v>17</v>
      </c>
      <c r="F292">
        <v>1</v>
      </c>
      <c r="G292">
        <f t="shared" ref="G292:L301" si="44">IF($B292=G$1,1,0)</f>
        <v>0</v>
      </c>
      <c r="H292">
        <f t="shared" si="44"/>
        <v>1</v>
      </c>
      <c r="I292">
        <f t="shared" si="44"/>
        <v>0</v>
      </c>
      <c r="J292">
        <f t="shared" si="44"/>
        <v>0</v>
      </c>
      <c r="K292">
        <f t="shared" si="44"/>
        <v>0</v>
      </c>
      <c r="L292">
        <f t="shared" si="44"/>
        <v>0</v>
      </c>
      <c r="M292">
        <f t="shared" si="43"/>
        <v>0</v>
      </c>
      <c r="N292">
        <f t="shared" si="43"/>
        <v>1</v>
      </c>
      <c r="O292">
        <f t="shared" si="43"/>
        <v>0</v>
      </c>
    </row>
    <row r="293" spans="1:15" x14ac:dyDescent="0.3">
      <c r="A293">
        <v>2</v>
      </c>
      <c r="B293">
        <v>2015</v>
      </c>
      <c r="C293">
        <v>7130</v>
      </c>
      <c r="D293">
        <v>95</v>
      </c>
      <c r="E293">
        <v>24</v>
      </c>
      <c r="F293">
        <v>2</v>
      </c>
      <c r="G293">
        <f t="shared" si="44"/>
        <v>0</v>
      </c>
      <c r="H293">
        <f t="shared" si="44"/>
        <v>0</v>
      </c>
      <c r="I293">
        <f t="shared" si="44"/>
        <v>0</v>
      </c>
      <c r="J293">
        <f t="shared" si="44"/>
        <v>1</v>
      </c>
      <c r="K293">
        <f t="shared" si="44"/>
        <v>0</v>
      </c>
      <c r="L293">
        <f t="shared" si="44"/>
        <v>0</v>
      </c>
      <c r="M293">
        <f t="shared" si="43"/>
        <v>0</v>
      </c>
      <c r="N293">
        <f t="shared" si="43"/>
        <v>1</v>
      </c>
      <c r="O293">
        <f t="shared" si="43"/>
        <v>0</v>
      </c>
    </row>
    <row r="294" spans="1:15" x14ac:dyDescent="0.3">
      <c r="A294">
        <v>4</v>
      </c>
      <c r="B294">
        <v>2014</v>
      </c>
      <c r="C294">
        <v>7090</v>
      </c>
      <c r="D294">
        <v>50</v>
      </c>
      <c r="E294">
        <v>30</v>
      </c>
      <c r="F294">
        <v>8.5</v>
      </c>
      <c r="G294">
        <f t="shared" si="44"/>
        <v>0</v>
      </c>
      <c r="H294">
        <f t="shared" si="44"/>
        <v>0</v>
      </c>
      <c r="I294">
        <f t="shared" si="44"/>
        <v>1</v>
      </c>
      <c r="J294">
        <f t="shared" si="44"/>
        <v>0</v>
      </c>
      <c r="K294">
        <f t="shared" si="44"/>
        <v>0</v>
      </c>
      <c r="L294">
        <f t="shared" si="44"/>
        <v>0</v>
      </c>
      <c r="M294">
        <f t="shared" si="43"/>
        <v>0</v>
      </c>
      <c r="N294">
        <f t="shared" si="43"/>
        <v>0</v>
      </c>
      <c r="O294">
        <f t="shared" si="43"/>
        <v>1</v>
      </c>
    </row>
    <row r="295" spans="1:15" x14ac:dyDescent="0.3">
      <c r="A295">
        <v>1</v>
      </c>
      <c r="B295">
        <v>2017</v>
      </c>
      <c r="C295">
        <v>7062</v>
      </c>
      <c r="D295">
        <v>200</v>
      </c>
      <c r="E295">
        <v>172</v>
      </c>
      <c r="F295">
        <v>11</v>
      </c>
      <c r="G295">
        <f t="shared" si="44"/>
        <v>0</v>
      </c>
      <c r="H295">
        <f t="shared" si="44"/>
        <v>0</v>
      </c>
      <c r="I295">
        <f t="shared" si="44"/>
        <v>0</v>
      </c>
      <c r="J295">
        <f t="shared" si="44"/>
        <v>0</v>
      </c>
      <c r="K295">
        <f t="shared" si="44"/>
        <v>0</v>
      </c>
      <c r="L295">
        <f t="shared" si="44"/>
        <v>1</v>
      </c>
      <c r="M295">
        <f t="shared" si="43"/>
        <v>1</v>
      </c>
      <c r="N295">
        <f t="shared" si="43"/>
        <v>0</v>
      </c>
      <c r="O295">
        <f t="shared" si="43"/>
        <v>0</v>
      </c>
    </row>
    <row r="296" spans="1:15" x14ac:dyDescent="0.3">
      <c r="A296">
        <v>1</v>
      </c>
      <c r="B296">
        <v>2017</v>
      </c>
      <c r="C296">
        <v>7059</v>
      </c>
      <c r="D296">
        <v>100</v>
      </c>
      <c r="E296">
        <v>58</v>
      </c>
      <c r="F296">
        <v>5</v>
      </c>
      <c r="G296">
        <f t="shared" si="44"/>
        <v>0</v>
      </c>
      <c r="H296">
        <f t="shared" si="44"/>
        <v>0</v>
      </c>
      <c r="I296">
        <f t="shared" si="44"/>
        <v>0</v>
      </c>
      <c r="J296">
        <f t="shared" si="44"/>
        <v>0</v>
      </c>
      <c r="K296">
        <f t="shared" si="44"/>
        <v>0</v>
      </c>
      <c r="L296">
        <f t="shared" si="44"/>
        <v>1</v>
      </c>
      <c r="M296">
        <f t="shared" si="43"/>
        <v>1</v>
      </c>
      <c r="N296">
        <f t="shared" si="43"/>
        <v>0</v>
      </c>
      <c r="O296">
        <f t="shared" si="43"/>
        <v>0</v>
      </c>
    </row>
    <row r="297" spans="1:15" x14ac:dyDescent="0.3">
      <c r="A297">
        <v>1</v>
      </c>
      <c r="B297">
        <v>2016</v>
      </c>
      <c r="C297">
        <v>7057</v>
      </c>
      <c r="D297">
        <v>165</v>
      </c>
      <c r="E297">
        <v>65</v>
      </c>
      <c r="F297">
        <v>18.5</v>
      </c>
      <c r="G297">
        <f t="shared" si="44"/>
        <v>0</v>
      </c>
      <c r="H297">
        <f t="shared" si="44"/>
        <v>0</v>
      </c>
      <c r="I297">
        <f t="shared" si="44"/>
        <v>0</v>
      </c>
      <c r="J297">
        <f t="shared" si="44"/>
        <v>0</v>
      </c>
      <c r="K297">
        <f t="shared" si="44"/>
        <v>1</v>
      </c>
      <c r="L297">
        <f t="shared" si="44"/>
        <v>0</v>
      </c>
      <c r="M297">
        <f t="shared" si="43"/>
        <v>1</v>
      </c>
      <c r="N297">
        <f t="shared" si="43"/>
        <v>0</v>
      </c>
      <c r="O297">
        <f t="shared" si="43"/>
        <v>0</v>
      </c>
    </row>
    <row r="298" spans="1:15" x14ac:dyDescent="0.3">
      <c r="A298">
        <v>4</v>
      </c>
      <c r="B298">
        <v>2017</v>
      </c>
      <c r="C298">
        <v>7055</v>
      </c>
      <c r="D298">
        <v>0</v>
      </c>
      <c r="E298">
        <v>24</v>
      </c>
      <c r="F298">
        <v>2</v>
      </c>
      <c r="G298">
        <f t="shared" si="44"/>
        <v>0</v>
      </c>
      <c r="H298">
        <f t="shared" si="44"/>
        <v>0</v>
      </c>
      <c r="I298">
        <f t="shared" si="44"/>
        <v>0</v>
      </c>
      <c r="J298">
        <f t="shared" si="44"/>
        <v>0</v>
      </c>
      <c r="K298">
        <f t="shared" si="44"/>
        <v>0</v>
      </c>
      <c r="L298">
        <f t="shared" si="44"/>
        <v>1</v>
      </c>
      <c r="M298">
        <f t="shared" si="43"/>
        <v>0</v>
      </c>
      <c r="N298">
        <f t="shared" si="43"/>
        <v>0</v>
      </c>
      <c r="O298">
        <f t="shared" si="43"/>
        <v>1</v>
      </c>
    </row>
    <row r="299" spans="1:15" x14ac:dyDescent="0.3">
      <c r="A299">
        <v>4</v>
      </c>
      <c r="B299">
        <v>2015</v>
      </c>
      <c r="C299">
        <v>7018</v>
      </c>
      <c r="D299">
        <v>20</v>
      </c>
      <c r="E299">
        <v>38</v>
      </c>
      <c r="F299">
        <v>3</v>
      </c>
      <c r="G299">
        <f t="shared" si="44"/>
        <v>0</v>
      </c>
      <c r="H299">
        <f t="shared" si="44"/>
        <v>0</v>
      </c>
      <c r="I299">
        <f t="shared" si="44"/>
        <v>0</v>
      </c>
      <c r="J299">
        <f t="shared" si="44"/>
        <v>1</v>
      </c>
      <c r="K299">
        <f t="shared" si="44"/>
        <v>0</v>
      </c>
      <c r="L299">
        <f t="shared" si="44"/>
        <v>0</v>
      </c>
      <c r="M299">
        <f t="shared" si="43"/>
        <v>0</v>
      </c>
      <c r="N299">
        <f t="shared" si="43"/>
        <v>0</v>
      </c>
      <c r="O299">
        <f t="shared" si="43"/>
        <v>1</v>
      </c>
    </row>
    <row r="300" spans="1:15" x14ac:dyDescent="0.3">
      <c r="A300">
        <v>2</v>
      </c>
      <c r="B300">
        <v>2015</v>
      </c>
      <c r="C300">
        <v>7017</v>
      </c>
      <c r="D300">
        <v>20</v>
      </c>
      <c r="E300">
        <v>28</v>
      </c>
      <c r="F300">
        <v>3.5</v>
      </c>
      <c r="G300">
        <f t="shared" si="44"/>
        <v>0</v>
      </c>
      <c r="H300">
        <f t="shared" si="44"/>
        <v>0</v>
      </c>
      <c r="I300">
        <f t="shared" si="44"/>
        <v>0</v>
      </c>
      <c r="J300">
        <f t="shared" si="44"/>
        <v>1</v>
      </c>
      <c r="K300">
        <f t="shared" si="44"/>
        <v>0</v>
      </c>
      <c r="L300">
        <f t="shared" si="44"/>
        <v>0</v>
      </c>
      <c r="M300">
        <f t="shared" si="43"/>
        <v>0</v>
      </c>
      <c r="N300">
        <f t="shared" si="43"/>
        <v>1</v>
      </c>
      <c r="O300">
        <f t="shared" si="43"/>
        <v>0</v>
      </c>
    </row>
    <row r="301" spans="1:15" x14ac:dyDescent="0.3">
      <c r="A301">
        <v>4</v>
      </c>
      <c r="B301">
        <v>2011</v>
      </c>
      <c r="C301">
        <v>7014</v>
      </c>
      <c r="D301">
        <v>50</v>
      </c>
      <c r="E301">
        <v>62</v>
      </c>
      <c r="F301">
        <v>4.5</v>
      </c>
      <c r="G301">
        <f t="shared" si="44"/>
        <v>0</v>
      </c>
      <c r="H301">
        <f t="shared" si="44"/>
        <v>0</v>
      </c>
      <c r="I301">
        <f t="shared" si="44"/>
        <v>0</v>
      </c>
      <c r="J301">
        <f t="shared" si="44"/>
        <v>0</v>
      </c>
      <c r="K301">
        <f t="shared" si="44"/>
        <v>0</v>
      </c>
      <c r="L301">
        <f t="shared" si="44"/>
        <v>0</v>
      </c>
      <c r="M301">
        <f t="shared" si="43"/>
        <v>0</v>
      </c>
      <c r="N301">
        <f t="shared" si="43"/>
        <v>0</v>
      </c>
      <c r="O301">
        <f t="shared" si="43"/>
        <v>1</v>
      </c>
    </row>
    <row r="302" spans="1:15" x14ac:dyDescent="0.3">
      <c r="A302">
        <v>4</v>
      </c>
      <c r="B302">
        <v>2017</v>
      </c>
      <c r="C302">
        <v>6958</v>
      </c>
      <c r="D302">
        <v>0</v>
      </c>
      <c r="E302">
        <v>30</v>
      </c>
      <c r="F302">
        <v>3.5</v>
      </c>
      <c r="G302">
        <f t="shared" ref="G302:L311" si="45">IF($B302=G$1,1,0)</f>
        <v>0</v>
      </c>
      <c r="H302">
        <f t="shared" si="45"/>
        <v>0</v>
      </c>
      <c r="I302">
        <f t="shared" si="45"/>
        <v>0</v>
      </c>
      <c r="J302">
        <f t="shared" si="45"/>
        <v>0</v>
      </c>
      <c r="K302">
        <f t="shared" si="45"/>
        <v>0</v>
      </c>
      <c r="L302">
        <f t="shared" si="45"/>
        <v>1</v>
      </c>
      <c r="M302">
        <f t="shared" ref="M302:O321" si="46">IF($A302=M$1,1,0)</f>
        <v>0</v>
      </c>
      <c r="N302">
        <f t="shared" si="46"/>
        <v>0</v>
      </c>
      <c r="O302">
        <f t="shared" si="46"/>
        <v>1</v>
      </c>
    </row>
    <row r="303" spans="1:15" x14ac:dyDescent="0.3">
      <c r="A303">
        <v>1</v>
      </c>
      <c r="B303">
        <v>2015</v>
      </c>
      <c r="C303">
        <v>6937</v>
      </c>
      <c r="D303">
        <v>25</v>
      </c>
      <c r="E303">
        <v>7</v>
      </c>
      <c r="F303">
        <v>1</v>
      </c>
      <c r="G303">
        <f t="shared" si="45"/>
        <v>0</v>
      </c>
      <c r="H303">
        <f t="shared" si="45"/>
        <v>0</v>
      </c>
      <c r="I303">
        <f t="shared" si="45"/>
        <v>0</v>
      </c>
      <c r="J303">
        <f t="shared" si="45"/>
        <v>1</v>
      </c>
      <c r="K303">
        <f t="shared" si="45"/>
        <v>0</v>
      </c>
      <c r="L303">
        <f t="shared" si="45"/>
        <v>0</v>
      </c>
      <c r="M303">
        <f t="shared" si="46"/>
        <v>1</v>
      </c>
      <c r="N303">
        <f t="shared" si="46"/>
        <v>0</v>
      </c>
      <c r="O303">
        <f t="shared" si="46"/>
        <v>0</v>
      </c>
    </row>
    <row r="304" spans="1:15" x14ac:dyDescent="0.3">
      <c r="A304">
        <v>1</v>
      </c>
      <c r="B304">
        <v>2017</v>
      </c>
      <c r="C304">
        <v>6909</v>
      </c>
      <c r="D304">
        <v>0</v>
      </c>
      <c r="E304">
        <v>14</v>
      </c>
      <c r="F304">
        <v>2</v>
      </c>
      <c r="G304">
        <f t="shared" si="45"/>
        <v>0</v>
      </c>
      <c r="H304">
        <f t="shared" si="45"/>
        <v>0</v>
      </c>
      <c r="I304">
        <f t="shared" si="45"/>
        <v>0</v>
      </c>
      <c r="J304">
        <f t="shared" si="45"/>
        <v>0</v>
      </c>
      <c r="K304">
        <f t="shared" si="45"/>
        <v>0</v>
      </c>
      <c r="L304">
        <f t="shared" si="45"/>
        <v>1</v>
      </c>
      <c r="M304">
        <f t="shared" si="46"/>
        <v>1</v>
      </c>
      <c r="N304">
        <f t="shared" si="46"/>
        <v>0</v>
      </c>
      <c r="O304">
        <f t="shared" si="46"/>
        <v>0</v>
      </c>
    </row>
    <row r="305" spans="1:15" x14ac:dyDescent="0.3">
      <c r="A305">
        <v>1</v>
      </c>
      <c r="B305">
        <v>2015</v>
      </c>
      <c r="C305">
        <v>6890</v>
      </c>
      <c r="D305">
        <v>100</v>
      </c>
      <c r="E305">
        <v>90</v>
      </c>
      <c r="F305">
        <v>10.5</v>
      </c>
      <c r="G305">
        <f t="shared" si="45"/>
        <v>0</v>
      </c>
      <c r="H305">
        <f t="shared" si="45"/>
        <v>0</v>
      </c>
      <c r="I305">
        <f t="shared" si="45"/>
        <v>0</v>
      </c>
      <c r="J305">
        <f t="shared" si="45"/>
        <v>1</v>
      </c>
      <c r="K305">
        <f t="shared" si="45"/>
        <v>0</v>
      </c>
      <c r="L305">
        <f t="shared" si="45"/>
        <v>0</v>
      </c>
      <c r="M305">
        <f t="shared" si="46"/>
        <v>1</v>
      </c>
      <c r="N305">
        <f t="shared" si="46"/>
        <v>0</v>
      </c>
      <c r="O305">
        <f t="shared" si="46"/>
        <v>0</v>
      </c>
    </row>
    <row r="306" spans="1:15" x14ac:dyDescent="0.3">
      <c r="A306">
        <v>4</v>
      </c>
      <c r="B306">
        <v>2016</v>
      </c>
      <c r="C306">
        <v>6856</v>
      </c>
      <c r="D306">
        <v>0</v>
      </c>
      <c r="E306">
        <v>19</v>
      </c>
      <c r="F306">
        <v>2</v>
      </c>
      <c r="G306">
        <f t="shared" si="45"/>
        <v>0</v>
      </c>
      <c r="H306">
        <f t="shared" si="45"/>
        <v>0</v>
      </c>
      <c r="I306">
        <f t="shared" si="45"/>
        <v>0</v>
      </c>
      <c r="J306">
        <f t="shared" si="45"/>
        <v>0</v>
      </c>
      <c r="K306">
        <f t="shared" si="45"/>
        <v>1</v>
      </c>
      <c r="L306">
        <f t="shared" si="45"/>
        <v>0</v>
      </c>
      <c r="M306">
        <f t="shared" si="46"/>
        <v>0</v>
      </c>
      <c r="N306">
        <f t="shared" si="46"/>
        <v>0</v>
      </c>
      <c r="O306">
        <f t="shared" si="46"/>
        <v>1</v>
      </c>
    </row>
    <row r="307" spans="1:15" x14ac:dyDescent="0.3">
      <c r="A307">
        <v>4</v>
      </c>
      <c r="B307">
        <v>2014</v>
      </c>
      <c r="C307">
        <v>6851</v>
      </c>
      <c r="D307">
        <v>200</v>
      </c>
      <c r="E307">
        <v>454</v>
      </c>
      <c r="F307">
        <v>60</v>
      </c>
      <c r="G307">
        <f t="shared" si="45"/>
        <v>0</v>
      </c>
      <c r="H307">
        <f t="shared" si="45"/>
        <v>0</v>
      </c>
      <c r="I307">
        <f t="shared" si="45"/>
        <v>1</v>
      </c>
      <c r="J307">
        <f t="shared" si="45"/>
        <v>0</v>
      </c>
      <c r="K307">
        <f t="shared" si="45"/>
        <v>0</v>
      </c>
      <c r="L307">
        <f t="shared" si="45"/>
        <v>0</v>
      </c>
      <c r="M307">
        <f t="shared" si="46"/>
        <v>0</v>
      </c>
      <c r="N307">
        <f t="shared" si="46"/>
        <v>0</v>
      </c>
      <c r="O307">
        <f t="shared" si="46"/>
        <v>1</v>
      </c>
    </row>
    <row r="308" spans="1:15" x14ac:dyDescent="0.3">
      <c r="A308">
        <v>1</v>
      </c>
      <c r="B308">
        <v>2013</v>
      </c>
      <c r="C308">
        <v>6760</v>
      </c>
      <c r="D308">
        <v>20</v>
      </c>
      <c r="E308">
        <v>27</v>
      </c>
      <c r="F308">
        <v>3</v>
      </c>
      <c r="G308">
        <f t="shared" si="45"/>
        <v>0</v>
      </c>
      <c r="H308">
        <f t="shared" si="45"/>
        <v>1</v>
      </c>
      <c r="I308">
        <f t="shared" si="45"/>
        <v>0</v>
      </c>
      <c r="J308">
        <f t="shared" si="45"/>
        <v>0</v>
      </c>
      <c r="K308">
        <f t="shared" si="45"/>
        <v>0</v>
      </c>
      <c r="L308">
        <f t="shared" si="45"/>
        <v>0</v>
      </c>
      <c r="M308">
        <f t="shared" si="46"/>
        <v>1</v>
      </c>
      <c r="N308">
        <f t="shared" si="46"/>
        <v>0</v>
      </c>
      <c r="O308">
        <f t="shared" si="46"/>
        <v>0</v>
      </c>
    </row>
    <row r="309" spans="1:15" x14ac:dyDescent="0.3">
      <c r="A309">
        <v>2</v>
      </c>
      <c r="B309">
        <v>2014</v>
      </c>
      <c r="C309">
        <v>6751</v>
      </c>
      <c r="D309">
        <v>200</v>
      </c>
      <c r="E309">
        <v>353</v>
      </c>
      <c r="F309">
        <v>48.5</v>
      </c>
      <c r="G309">
        <f t="shared" si="45"/>
        <v>0</v>
      </c>
      <c r="H309">
        <f t="shared" si="45"/>
        <v>0</v>
      </c>
      <c r="I309">
        <f t="shared" si="45"/>
        <v>1</v>
      </c>
      <c r="J309">
        <f t="shared" si="45"/>
        <v>0</v>
      </c>
      <c r="K309">
        <f t="shared" si="45"/>
        <v>0</v>
      </c>
      <c r="L309">
        <f t="shared" si="45"/>
        <v>0</v>
      </c>
      <c r="M309">
        <f t="shared" si="46"/>
        <v>0</v>
      </c>
      <c r="N309">
        <f t="shared" si="46"/>
        <v>1</v>
      </c>
      <c r="O309">
        <f t="shared" si="46"/>
        <v>0</v>
      </c>
    </row>
    <row r="310" spans="1:15" x14ac:dyDescent="0.3">
      <c r="A310">
        <v>1</v>
      </c>
      <c r="B310">
        <v>2016</v>
      </c>
      <c r="C310">
        <v>6742</v>
      </c>
      <c r="D310">
        <v>0</v>
      </c>
      <c r="E310">
        <v>6</v>
      </c>
      <c r="F310">
        <v>0.68333332999999996</v>
      </c>
      <c r="G310">
        <f t="shared" si="45"/>
        <v>0</v>
      </c>
      <c r="H310">
        <f t="shared" si="45"/>
        <v>0</v>
      </c>
      <c r="I310">
        <f t="shared" si="45"/>
        <v>0</v>
      </c>
      <c r="J310">
        <f t="shared" si="45"/>
        <v>0</v>
      </c>
      <c r="K310">
        <f t="shared" si="45"/>
        <v>1</v>
      </c>
      <c r="L310">
        <f t="shared" si="45"/>
        <v>0</v>
      </c>
      <c r="M310">
        <f t="shared" si="46"/>
        <v>1</v>
      </c>
      <c r="N310">
        <f t="shared" si="46"/>
        <v>0</v>
      </c>
      <c r="O310">
        <f t="shared" si="46"/>
        <v>0</v>
      </c>
    </row>
    <row r="311" spans="1:15" x14ac:dyDescent="0.3">
      <c r="A311">
        <v>4</v>
      </c>
      <c r="B311">
        <v>2017</v>
      </c>
      <c r="C311">
        <v>6648</v>
      </c>
      <c r="D311">
        <v>40</v>
      </c>
      <c r="E311">
        <v>22</v>
      </c>
      <c r="F311">
        <v>1.5</v>
      </c>
      <c r="G311">
        <f t="shared" si="45"/>
        <v>0</v>
      </c>
      <c r="H311">
        <f t="shared" si="45"/>
        <v>0</v>
      </c>
      <c r="I311">
        <f t="shared" si="45"/>
        <v>0</v>
      </c>
      <c r="J311">
        <f t="shared" si="45"/>
        <v>0</v>
      </c>
      <c r="K311">
        <f t="shared" si="45"/>
        <v>0</v>
      </c>
      <c r="L311">
        <f t="shared" si="45"/>
        <v>1</v>
      </c>
      <c r="M311">
        <f t="shared" si="46"/>
        <v>0</v>
      </c>
      <c r="N311">
        <f t="shared" si="46"/>
        <v>0</v>
      </c>
      <c r="O311">
        <f t="shared" si="46"/>
        <v>1</v>
      </c>
    </row>
    <row r="312" spans="1:15" x14ac:dyDescent="0.3">
      <c r="A312">
        <v>4</v>
      </c>
      <c r="B312">
        <v>2016</v>
      </c>
      <c r="C312">
        <v>6636</v>
      </c>
      <c r="D312">
        <v>195</v>
      </c>
      <c r="E312">
        <v>50</v>
      </c>
      <c r="F312">
        <v>6</v>
      </c>
      <c r="G312">
        <f t="shared" ref="G312:L321" si="47">IF($B312=G$1,1,0)</f>
        <v>0</v>
      </c>
      <c r="H312">
        <f t="shared" si="47"/>
        <v>0</v>
      </c>
      <c r="I312">
        <f t="shared" si="47"/>
        <v>0</v>
      </c>
      <c r="J312">
        <f t="shared" si="47"/>
        <v>0</v>
      </c>
      <c r="K312">
        <f t="shared" si="47"/>
        <v>1</v>
      </c>
      <c r="L312">
        <f t="shared" si="47"/>
        <v>0</v>
      </c>
      <c r="M312">
        <f t="shared" si="46"/>
        <v>0</v>
      </c>
      <c r="N312">
        <f t="shared" si="46"/>
        <v>0</v>
      </c>
      <c r="O312">
        <f t="shared" si="46"/>
        <v>1</v>
      </c>
    </row>
    <row r="313" spans="1:15" x14ac:dyDescent="0.3">
      <c r="A313">
        <v>1</v>
      </c>
      <c r="B313">
        <v>2013</v>
      </c>
      <c r="C313">
        <v>6628</v>
      </c>
      <c r="D313">
        <v>20</v>
      </c>
      <c r="E313">
        <v>19</v>
      </c>
      <c r="F313">
        <v>1</v>
      </c>
      <c r="G313">
        <f t="shared" si="47"/>
        <v>0</v>
      </c>
      <c r="H313">
        <f t="shared" si="47"/>
        <v>1</v>
      </c>
      <c r="I313">
        <f t="shared" si="47"/>
        <v>0</v>
      </c>
      <c r="J313">
        <f t="shared" si="47"/>
        <v>0</v>
      </c>
      <c r="K313">
        <f t="shared" si="47"/>
        <v>0</v>
      </c>
      <c r="L313">
        <f t="shared" si="47"/>
        <v>0</v>
      </c>
      <c r="M313">
        <f t="shared" si="46"/>
        <v>1</v>
      </c>
      <c r="N313">
        <f t="shared" si="46"/>
        <v>0</v>
      </c>
      <c r="O313">
        <f t="shared" si="46"/>
        <v>0</v>
      </c>
    </row>
    <row r="314" spans="1:15" x14ac:dyDescent="0.3">
      <c r="A314">
        <v>1</v>
      </c>
      <c r="B314">
        <v>2015</v>
      </c>
      <c r="C314">
        <v>6601</v>
      </c>
      <c r="D314">
        <v>200</v>
      </c>
      <c r="E314">
        <v>26</v>
      </c>
      <c r="F314">
        <v>3.5</v>
      </c>
      <c r="G314">
        <f t="shared" si="47"/>
        <v>0</v>
      </c>
      <c r="H314">
        <f t="shared" si="47"/>
        <v>0</v>
      </c>
      <c r="I314">
        <f t="shared" si="47"/>
        <v>0</v>
      </c>
      <c r="J314">
        <f t="shared" si="47"/>
        <v>1</v>
      </c>
      <c r="K314">
        <f t="shared" si="47"/>
        <v>0</v>
      </c>
      <c r="L314">
        <f t="shared" si="47"/>
        <v>0</v>
      </c>
      <c r="M314">
        <f t="shared" si="46"/>
        <v>1</v>
      </c>
      <c r="N314">
        <f t="shared" si="46"/>
        <v>0</v>
      </c>
      <c r="O314">
        <f t="shared" si="46"/>
        <v>0</v>
      </c>
    </row>
    <row r="315" spans="1:15" x14ac:dyDescent="0.3">
      <c r="A315">
        <v>1</v>
      </c>
      <c r="B315">
        <v>2014</v>
      </c>
      <c r="C315">
        <v>6588</v>
      </c>
      <c r="D315">
        <v>20</v>
      </c>
      <c r="E315">
        <v>36</v>
      </c>
      <c r="F315">
        <v>2</v>
      </c>
      <c r="G315">
        <f t="shared" si="47"/>
        <v>0</v>
      </c>
      <c r="H315">
        <f t="shared" si="47"/>
        <v>0</v>
      </c>
      <c r="I315">
        <f t="shared" si="47"/>
        <v>1</v>
      </c>
      <c r="J315">
        <f t="shared" si="47"/>
        <v>0</v>
      </c>
      <c r="K315">
        <f t="shared" si="47"/>
        <v>0</v>
      </c>
      <c r="L315">
        <f t="shared" si="47"/>
        <v>0</v>
      </c>
      <c r="M315">
        <f t="shared" si="46"/>
        <v>1</v>
      </c>
      <c r="N315">
        <f t="shared" si="46"/>
        <v>0</v>
      </c>
      <c r="O315">
        <f t="shared" si="46"/>
        <v>0</v>
      </c>
    </row>
    <row r="316" spans="1:15" x14ac:dyDescent="0.3">
      <c r="A316">
        <v>4</v>
      </c>
      <c r="B316">
        <v>2016</v>
      </c>
      <c r="C316">
        <v>6548</v>
      </c>
      <c r="D316">
        <v>20</v>
      </c>
      <c r="E316">
        <v>38</v>
      </c>
      <c r="F316">
        <v>4</v>
      </c>
      <c r="G316">
        <f t="shared" si="47"/>
        <v>0</v>
      </c>
      <c r="H316">
        <f t="shared" si="47"/>
        <v>0</v>
      </c>
      <c r="I316">
        <f t="shared" si="47"/>
        <v>0</v>
      </c>
      <c r="J316">
        <f t="shared" si="47"/>
        <v>0</v>
      </c>
      <c r="K316">
        <f t="shared" si="47"/>
        <v>1</v>
      </c>
      <c r="L316">
        <f t="shared" si="47"/>
        <v>0</v>
      </c>
      <c r="M316">
        <f t="shared" si="46"/>
        <v>0</v>
      </c>
      <c r="N316">
        <f t="shared" si="46"/>
        <v>0</v>
      </c>
      <c r="O316">
        <f t="shared" si="46"/>
        <v>1</v>
      </c>
    </row>
    <row r="317" spans="1:15" x14ac:dyDescent="0.3">
      <c r="A317">
        <v>4</v>
      </c>
      <c r="B317">
        <v>2016</v>
      </c>
      <c r="C317">
        <v>6527</v>
      </c>
      <c r="D317">
        <v>140</v>
      </c>
      <c r="E317">
        <v>111</v>
      </c>
      <c r="F317">
        <v>9</v>
      </c>
      <c r="G317">
        <f t="shared" si="47"/>
        <v>0</v>
      </c>
      <c r="H317">
        <f t="shared" si="47"/>
        <v>0</v>
      </c>
      <c r="I317">
        <f t="shared" si="47"/>
        <v>0</v>
      </c>
      <c r="J317">
        <f t="shared" si="47"/>
        <v>0</v>
      </c>
      <c r="K317">
        <f t="shared" si="47"/>
        <v>1</v>
      </c>
      <c r="L317">
        <f t="shared" si="47"/>
        <v>0</v>
      </c>
      <c r="M317">
        <f t="shared" si="46"/>
        <v>0</v>
      </c>
      <c r="N317">
        <f t="shared" si="46"/>
        <v>0</v>
      </c>
      <c r="O317">
        <f t="shared" si="46"/>
        <v>1</v>
      </c>
    </row>
    <row r="318" spans="1:15" x14ac:dyDescent="0.3">
      <c r="A318">
        <v>4</v>
      </c>
      <c r="B318">
        <v>2015</v>
      </c>
      <c r="C318">
        <v>6510</v>
      </c>
      <c r="D318">
        <v>195</v>
      </c>
      <c r="E318">
        <v>22</v>
      </c>
      <c r="F318">
        <v>2</v>
      </c>
      <c r="G318">
        <f t="shared" si="47"/>
        <v>0</v>
      </c>
      <c r="H318">
        <f t="shared" si="47"/>
        <v>0</v>
      </c>
      <c r="I318">
        <f t="shared" si="47"/>
        <v>0</v>
      </c>
      <c r="J318">
        <f t="shared" si="47"/>
        <v>1</v>
      </c>
      <c r="K318">
        <f t="shared" si="47"/>
        <v>0</v>
      </c>
      <c r="L318">
        <f t="shared" si="47"/>
        <v>0</v>
      </c>
      <c r="M318">
        <f t="shared" si="46"/>
        <v>0</v>
      </c>
      <c r="N318">
        <f t="shared" si="46"/>
        <v>0</v>
      </c>
      <c r="O318">
        <f t="shared" si="46"/>
        <v>1</v>
      </c>
    </row>
    <row r="319" spans="1:15" x14ac:dyDescent="0.3">
      <c r="A319">
        <v>1</v>
      </c>
      <c r="B319">
        <v>2015</v>
      </c>
      <c r="C319">
        <v>6508</v>
      </c>
      <c r="D319">
        <v>200</v>
      </c>
      <c r="E319">
        <v>90</v>
      </c>
      <c r="F319">
        <v>6.5</v>
      </c>
      <c r="G319">
        <f t="shared" si="47"/>
        <v>0</v>
      </c>
      <c r="H319">
        <f t="shared" si="47"/>
        <v>0</v>
      </c>
      <c r="I319">
        <f t="shared" si="47"/>
        <v>0</v>
      </c>
      <c r="J319">
        <f t="shared" si="47"/>
        <v>1</v>
      </c>
      <c r="K319">
        <f t="shared" si="47"/>
        <v>0</v>
      </c>
      <c r="L319">
        <f t="shared" si="47"/>
        <v>0</v>
      </c>
      <c r="M319">
        <f t="shared" si="46"/>
        <v>1</v>
      </c>
      <c r="N319">
        <f t="shared" si="46"/>
        <v>0</v>
      </c>
      <c r="O319">
        <f t="shared" si="46"/>
        <v>0</v>
      </c>
    </row>
    <row r="320" spans="1:15" x14ac:dyDescent="0.3">
      <c r="A320">
        <v>2</v>
      </c>
      <c r="B320">
        <v>2015</v>
      </c>
      <c r="C320">
        <v>6497</v>
      </c>
      <c r="D320">
        <v>200</v>
      </c>
      <c r="E320">
        <v>221</v>
      </c>
      <c r="F320">
        <v>18</v>
      </c>
      <c r="G320">
        <f t="shared" si="47"/>
        <v>0</v>
      </c>
      <c r="H320">
        <f t="shared" si="47"/>
        <v>0</v>
      </c>
      <c r="I320">
        <f t="shared" si="47"/>
        <v>0</v>
      </c>
      <c r="J320">
        <f t="shared" si="47"/>
        <v>1</v>
      </c>
      <c r="K320">
        <f t="shared" si="47"/>
        <v>0</v>
      </c>
      <c r="L320">
        <f t="shared" si="47"/>
        <v>0</v>
      </c>
      <c r="M320">
        <f t="shared" si="46"/>
        <v>0</v>
      </c>
      <c r="N320">
        <f t="shared" si="46"/>
        <v>1</v>
      </c>
      <c r="O320">
        <f t="shared" si="46"/>
        <v>0</v>
      </c>
    </row>
    <row r="321" spans="1:15" x14ac:dyDescent="0.3">
      <c r="A321">
        <v>1</v>
      </c>
      <c r="B321">
        <v>2015</v>
      </c>
      <c r="C321">
        <v>6474</v>
      </c>
      <c r="D321">
        <v>0</v>
      </c>
      <c r="E321">
        <v>15</v>
      </c>
      <c r="F321">
        <v>1</v>
      </c>
      <c r="G321">
        <f t="shared" si="47"/>
        <v>0</v>
      </c>
      <c r="H321">
        <f t="shared" si="47"/>
        <v>0</v>
      </c>
      <c r="I321">
        <f t="shared" si="47"/>
        <v>0</v>
      </c>
      <c r="J321">
        <f t="shared" si="47"/>
        <v>1</v>
      </c>
      <c r="K321">
        <f t="shared" si="47"/>
        <v>0</v>
      </c>
      <c r="L321">
        <f t="shared" si="47"/>
        <v>0</v>
      </c>
      <c r="M321">
        <f t="shared" si="46"/>
        <v>1</v>
      </c>
      <c r="N321">
        <f t="shared" si="46"/>
        <v>0</v>
      </c>
      <c r="O321">
        <f t="shared" si="46"/>
        <v>0</v>
      </c>
    </row>
    <row r="322" spans="1:15" x14ac:dyDescent="0.3">
      <c r="A322">
        <v>4</v>
      </c>
      <c r="B322">
        <v>2017</v>
      </c>
      <c r="C322">
        <v>6437</v>
      </c>
      <c r="D322">
        <v>0</v>
      </c>
      <c r="E322">
        <v>22</v>
      </c>
      <c r="F322">
        <v>1.5</v>
      </c>
      <c r="G322">
        <f t="shared" ref="G322:L331" si="48">IF($B322=G$1,1,0)</f>
        <v>0</v>
      </c>
      <c r="H322">
        <f t="shared" si="48"/>
        <v>0</v>
      </c>
      <c r="I322">
        <f t="shared" si="48"/>
        <v>0</v>
      </c>
      <c r="J322">
        <f t="shared" si="48"/>
        <v>0</v>
      </c>
      <c r="K322">
        <f t="shared" si="48"/>
        <v>0</v>
      </c>
      <c r="L322">
        <f t="shared" si="48"/>
        <v>1</v>
      </c>
      <c r="M322">
        <f t="shared" ref="M322:O341" si="49">IF($A322=M$1,1,0)</f>
        <v>0</v>
      </c>
      <c r="N322">
        <f t="shared" si="49"/>
        <v>0</v>
      </c>
      <c r="O322">
        <f t="shared" si="49"/>
        <v>1</v>
      </c>
    </row>
    <row r="323" spans="1:15" x14ac:dyDescent="0.3">
      <c r="A323">
        <v>4</v>
      </c>
      <c r="B323">
        <v>2016</v>
      </c>
      <c r="C323">
        <v>6420</v>
      </c>
      <c r="D323">
        <v>200</v>
      </c>
      <c r="E323">
        <v>188</v>
      </c>
      <c r="F323">
        <v>22.5</v>
      </c>
      <c r="G323">
        <f t="shared" si="48"/>
        <v>0</v>
      </c>
      <c r="H323">
        <f t="shared" si="48"/>
        <v>0</v>
      </c>
      <c r="I323">
        <f t="shared" si="48"/>
        <v>0</v>
      </c>
      <c r="J323">
        <f t="shared" si="48"/>
        <v>0</v>
      </c>
      <c r="K323">
        <f t="shared" si="48"/>
        <v>1</v>
      </c>
      <c r="L323">
        <f t="shared" si="48"/>
        <v>0</v>
      </c>
      <c r="M323">
        <f t="shared" si="49"/>
        <v>0</v>
      </c>
      <c r="N323">
        <f t="shared" si="49"/>
        <v>0</v>
      </c>
      <c r="O323">
        <f t="shared" si="49"/>
        <v>1</v>
      </c>
    </row>
    <row r="324" spans="1:15" x14ac:dyDescent="0.3">
      <c r="A324">
        <v>4</v>
      </c>
      <c r="B324">
        <v>2015</v>
      </c>
      <c r="C324">
        <v>6413</v>
      </c>
      <c r="D324">
        <v>30</v>
      </c>
      <c r="E324">
        <v>123</v>
      </c>
      <c r="F324">
        <v>9</v>
      </c>
      <c r="G324">
        <f t="shared" si="48"/>
        <v>0</v>
      </c>
      <c r="H324">
        <f t="shared" si="48"/>
        <v>0</v>
      </c>
      <c r="I324">
        <f t="shared" si="48"/>
        <v>0</v>
      </c>
      <c r="J324">
        <f t="shared" si="48"/>
        <v>1</v>
      </c>
      <c r="K324">
        <f t="shared" si="48"/>
        <v>0</v>
      </c>
      <c r="L324">
        <f t="shared" si="48"/>
        <v>0</v>
      </c>
      <c r="M324">
        <f t="shared" si="49"/>
        <v>0</v>
      </c>
      <c r="N324">
        <f t="shared" si="49"/>
        <v>0</v>
      </c>
      <c r="O324">
        <f t="shared" si="49"/>
        <v>1</v>
      </c>
    </row>
    <row r="325" spans="1:15" x14ac:dyDescent="0.3">
      <c r="A325">
        <v>1</v>
      </c>
      <c r="B325">
        <v>2017</v>
      </c>
      <c r="C325">
        <v>6412</v>
      </c>
      <c r="D325">
        <v>150</v>
      </c>
      <c r="E325">
        <v>114</v>
      </c>
      <c r="F325">
        <v>13</v>
      </c>
      <c r="G325">
        <f t="shared" si="48"/>
        <v>0</v>
      </c>
      <c r="H325">
        <f t="shared" si="48"/>
        <v>0</v>
      </c>
      <c r="I325">
        <f t="shared" si="48"/>
        <v>0</v>
      </c>
      <c r="J325">
        <f t="shared" si="48"/>
        <v>0</v>
      </c>
      <c r="K325">
        <f t="shared" si="48"/>
        <v>0</v>
      </c>
      <c r="L325">
        <f t="shared" si="48"/>
        <v>1</v>
      </c>
      <c r="M325">
        <f t="shared" si="49"/>
        <v>1</v>
      </c>
      <c r="N325">
        <f t="shared" si="49"/>
        <v>0</v>
      </c>
      <c r="O325">
        <f t="shared" si="49"/>
        <v>0</v>
      </c>
    </row>
    <row r="326" spans="1:15" x14ac:dyDescent="0.3">
      <c r="A326">
        <v>1</v>
      </c>
      <c r="B326">
        <v>2016</v>
      </c>
      <c r="C326">
        <v>6402</v>
      </c>
      <c r="D326">
        <v>0</v>
      </c>
      <c r="E326">
        <v>23</v>
      </c>
      <c r="F326">
        <v>1.5</v>
      </c>
      <c r="G326">
        <f t="shared" si="48"/>
        <v>0</v>
      </c>
      <c r="H326">
        <f t="shared" si="48"/>
        <v>0</v>
      </c>
      <c r="I326">
        <f t="shared" si="48"/>
        <v>0</v>
      </c>
      <c r="J326">
        <f t="shared" si="48"/>
        <v>0</v>
      </c>
      <c r="K326">
        <f t="shared" si="48"/>
        <v>1</v>
      </c>
      <c r="L326">
        <f t="shared" si="48"/>
        <v>0</v>
      </c>
      <c r="M326">
        <f t="shared" si="49"/>
        <v>1</v>
      </c>
      <c r="N326">
        <f t="shared" si="49"/>
        <v>0</v>
      </c>
      <c r="O326">
        <f t="shared" si="49"/>
        <v>0</v>
      </c>
    </row>
    <row r="327" spans="1:15" x14ac:dyDescent="0.3">
      <c r="A327">
        <v>4</v>
      </c>
      <c r="B327">
        <v>2014</v>
      </c>
      <c r="C327">
        <v>6315</v>
      </c>
      <c r="D327">
        <v>0</v>
      </c>
      <c r="E327">
        <v>16</v>
      </c>
      <c r="F327">
        <v>1.5</v>
      </c>
      <c r="G327">
        <f t="shared" si="48"/>
        <v>0</v>
      </c>
      <c r="H327">
        <f t="shared" si="48"/>
        <v>0</v>
      </c>
      <c r="I327">
        <f t="shared" si="48"/>
        <v>1</v>
      </c>
      <c r="J327">
        <f t="shared" si="48"/>
        <v>0</v>
      </c>
      <c r="K327">
        <f t="shared" si="48"/>
        <v>0</v>
      </c>
      <c r="L327">
        <f t="shared" si="48"/>
        <v>0</v>
      </c>
      <c r="M327">
        <f t="shared" si="49"/>
        <v>0</v>
      </c>
      <c r="N327">
        <f t="shared" si="49"/>
        <v>0</v>
      </c>
      <c r="O327">
        <f t="shared" si="49"/>
        <v>1</v>
      </c>
    </row>
    <row r="328" spans="1:15" x14ac:dyDescent="0.3">
      <c r="A328">
        <v>1</v>
      </c>
      <c r="B328">
        <v>2015</v>
      </c>
      <c r="C328">
        <v>6293</v>
      </c>
      <c r="D328">
        <v>65</v>
      </c>
      <c r="E328">
        <v>8</v>
      </c>
      <c r="F328">
        <v>1</v>
      </c>
      <c r="G328">
        <f t="shared" si="48"/>
        <v>0</v>
      </c>
      <c r="H328">
        <f t="shared" si="48"/>
        <v>0</v>
      </c>
      <c r="I328">
        <f t="shared" si="48"/>
        <v>0</v>
      </c>
      <c r="J328">
        <f t="shared" si="48"/>
        <v>1</v>
      </c>
      <c r="K328">
        <f t="shared" si="48"/>
        <v>0</v>
      </c>
      <c r="L328">
        <f t="shared" si="48"/>
        <v>0</v>
      </c>
      <c r="M328">
        <f t="shared" si="49"/>
        <v>1</v>
      </c>
      <c r="N328">
        <f t="shared" si="49"/>
        <v>0</v>
      </c>
      <c r="O328">
        <f t="shared" si="49"/>
        <v>0</v>
      </c>
    </row>
    <row r="329" spans="1:15" x14ac:dyDescent="0.3">
      <c r="A329">
        <v>3</v>
      </c>
      <c r="B329">
        <v>2013</v>
      </c>
      <c r="C329">
        <v>6162</v>
      </c>
      <c r="D329">
        <v>120</v>
      </c>
      <c r="E329">
        <v>43</v>
      </c>
      <c r="F329">
        <v>4</v>
      </c>
      <c r="G329">
        <f t="shared" si="48"/>
        <v>0</v>
      </c>
      <c r="H329">
        <f t="shared" si="48"/>
        <v>1</v>
      </c>
      <c r="I329">
        <f t="shared" si="48"/>
        <v>0</v>
      </c>
      <c r="J329">
        <f t="shared" si="48"/>
        <v>0</v>
      </c>
      <c r="K329">
        <f t="shared" si="48"/>
        <v>0</v>
      </c>
      <c r="L329">
        <f t="shared" si="48"/>
        <v>0</v>
      </c>
      <c r="M329">
        <f t="shared" si="49"/>
        <v>0</v>
      </c>
      <c r="N329">
        <f t="shared" si="49"/>
        <v>0</v>
      </c>
      <c r="O329">
        <f t="shared" si="49"/>
        <v>0</v>
      </c>
    </row>
    <row r="330" spans="1:15" x14ac:dyDescent="0.3">
      <c r="A330">
        <v>4</v>
      </c>
      <c r="B330">
        <v>2015</v>
      </c>
      <c r="C330">
        <v>6153</v>
      </c>
      <c r="D330">
        <v>150</v>
      </c>
      <c r="E330">
        <v>84</v>
      </c>
      <c r="F330">
        <v>5</v>
      </c>
      <c r="G330">
        <f t="shared" si="48"/>
        <v>0</v>
      </c>
      <c r="H330">
        <f t="shared" si="48"/>
        <v>0</v>
      </c>
      <c r="I330">
        <f t="shared" si="48"/>
        <v>0</v>
      </c>
      <c r="J330">
        <f t="shared" si="48"/>
        <v>1</v>
      </c>
      <c r="K330">
        <f t="shared" si="48"/>
        <v>0</v>
      </c>
      <c r="L330">
        <f t="shared" si="48"/>
        <v>0</v>
      </c>
      <c r="M330">
        <f t="shared" si="49"/>
        <v>0</v>
      </c>
      <c r="N330">
        <f t="shared" si="49"/>
        <v>0</v>
      </c>
      <c r="O330">
        <f t="shared" si="49"/>
        <v>1</v>
      </c>
    </row>
    <row r="331" spans="1:15" x14ac:dyDescent="0.3">
      <c r="A331">
        <v>1</v>
      </c>
      <c r="B331">
        <v>2016</v>
      </c>
      <c r="C331">
        <v>6134</v>
      </c>
      <c r="D331">
        <v>50</v>
      </c>
      <c r="E331">
        <v>15</v>
      </c>
      <c r="F331">
        <v>2</v>
      </c>
      <c r="G331">
        <f t="shared" si="48"/>
        <v>0</v>
      </c>
      <c r="H331">
        <f t="shared" si="48"/>
        <v>0</v>
      </c>
      <c r="I331">
        <f t="shared" si="48"/>
        <v>0</v>
      </c>
      <c r="J331">
        <f t="shared" si="48"/>
        <v>0</v>
      </c>
      <c r="K331">
        <f t="shared" si="48"/>
        <v>1</v>
      </c>
      <c r="L331">
        <f t="shared" si="48"/>
        <v>0</v>
      </c>
      <c r="M331">
        <f t="shared" si="49"/>
        <v>1</v>
      </c>
      <c r="N331">
        <f t="shared" si="49"/>
        <v>0</v>
      </c>
      <c r="O331">
        <f t="shared" si="49"/>
        <v>0</v>
      </c>
    </row>
    <row r="332" spans="1:15" x14ac:dyDescent="0.3">
      <c r="A332">
        <v>4</v>
      </c>
      <c r="B332">
        <v>2016</v>
      </c>
      <c r="C332">
        <v>6134</v>
      </c>
      <c r="D332">
        <v>195</v>
      </c>
      <c r="E332">
        <v>50</v>
      </c>
      <c r="F332">
        <v>6.5</v>
      </c>
      <c r="G332">
        <f t="shared" ref="G332:L341" si="50">IF($B332=G$1,1,0)</f>
        <v>0</v>
      </c>
      <c r="H332">
        <f t="shared" si="50"/>
        <v>0</v>
      </c>
      <c r="I332">
        <f t="shared" si="50"/>
        <v>0</v>
      </c>
      <c r="J332">
        <f t="shared" si="50"/>
        <v>0</v>
      </c>
      <c r="K332">
        <f t="shared" si="50"/>
        <v>1</v>
      </c>
      <c r="L332">
        <f t="shared" si="50"/>
        <v>0</v>
      </c>
      <c r="M332">
        <f t="shared" si="49"/>
        <v>0</v>
      </c>
      <c r="N332">
        <f t="shared" si="49"/>
        <v>0</v>
      </c>
      <c r="O332">
        <f t="shared" si="49"/>
        <v>1</v>
      </c>
    </row>
    <row r="333" spans="1:15" x14ac:dyDescent="0.3">
      <c r="A333">
        <v>4</v>
      </c>
      <c r="B333">
        <v>2014</v>
      </c>
      <c r="C333">
        <v>6117</v>
      </c>
      <c r="D333">
        <v>45</v>
      </c>
      <c r="E333">
        <v>28</v>
      </c>
      <c r="F333">
        <v>2.5</v>
      </c>
      <c r="G333">
        <f t="shared" si="50"/>
        <v>0</v>
      </c>
      <c r="H333">
        <f t="shared" si="50"/>
        <v>0</v>
      </c>
      <c r="I333">
        <f t="shared" si="50"/>
        <v>1</v>
      </c>
      <c r="J333">
        <f t="shared" si="50"/>
        <v>0</v>
      </c>
      <c r="K333">
        <f t="shared" si="50"/>
        <v>0</v>
      </c>
      <c r="L333">
        <f t="shared" si="50"/>
        <v>0</v>
      </c>
      <c r="M333">
        <f t="shared" si="49"/>
        <v>0</v>
      </c>
      <c r="N333">
        <f t="shared" si="49"/>
        <v>0</v>
      </c>
      <c r="O333">
        <f t="shared" si="49"/>
        <v>1</v>
      </c>
    </row>
    <row r="334" spans="1:15" x14ac:dyDescent="0.3">
      <c r="A334">
        <v>1</v>
      </c>
      <c r="B334">
        <v>2016</v>
      </c>
      <c r="C334">
        <v>6082</v>
      </c>
      <c r="D334">
        <v>190</v>
      </c>
      <c r="E334">
        <v>135</v>
      </c>
      <c r="F334">
        <v>9.5</v>
      </c>
      <c r="G334">
        <f t="shared" si="50"/>
        <v>0</v>
      </c>
      <c r="H334">
        <f t="shared" si="50"/>
        <v>0</v>
      </c>
      <c r="I334">
        <f t="shared" si="50"/>
        <v>0</v>
      </c>
      <c r="J334">
        <f t="shared" si="50"/>
        <v>0</v>
      </c>
      <c r="K334">
        <f t="shared" si="50"/>
        <v>1</v>
      </c>
      <c r="L334">
        <f t="shared" si="50"/>
        <v>0</v>
      </c>
      <c r="M334">
        <f t="shared" si="49"/>
        <v>1</v>
      </c>
      <c r="N334">
        <f t="shared" si="49"/>
        <v>0</v>
      </c>
      <c r="O334">
        <f t="shared" si="49"/>
        <v>0</v>
      </c>
    </row>
    <row r="335" spans="1:15" x14ac:dyDescent="0.3">
      <c r="A335">
        <v>4</v>
      </c>
      <c r="B335">
        <v>2014</v>
      </c>
      <c r="C335">
        <v>6073</v>
      </c>
      <c r="D335">
        <v>195</v>
      </c>
      <c r="E335">
        <v>66</v>
      </c>
      <c r="F335">
        <v>9</v>
      </c>
      <c r="G335">
        <f t="shared" si="50"/>
        <v>0</v>
      </c>
      <c r="H335">
        <f t="shared" si="50"/>
        <v>0</v>
      </c>
      <c r="I335">
        <f t="shared" si="50"/>
        <v>1</v>
      </c>
      <c r="J335">
        <f t="shared" si="50"/>
        <v>0</v>
      </c>
      <c r="K335">
        <f t="shared" si="50"/>
        <v>0</v>
      </c>
      <c r="L335">
        <f t="shared" si="50"/>
        <v>0</v>
      </c>
      <c r="M335">
        <f t="shared" si="49"/>
        <v>0</v>
      </c>
      <c r="N335">
        <f t="shared" si="49"/>
        <v>0</v>
      </c>
      <c r="O335">
        <f t="shared" si="49"/>
        <v>1</v>
      </c>
    </row>
    <row r="336" spans="1:15" x14ac:dyDescent="0.3">
      <c r="A336">
        <v>4</v>
      </c>
      <c r="B336">
        <v>2015</v>
      </c>
      <c r="C336">
        <v>6008</v>
      </c>
      <c r="D336">
        <v>20</v>
      </c>
      <c r="E336">
        <v>35</v>
      </c>
      <c r="F336">
        <v>4</v>
      </c>
      <c r="G336">
        <f t="shared" si="50"/>
        <v>0</v>
      </c>
      <c r="H336">
        <f t="shared" si="50"/>
        <v>0</v>
      </c>
      <c r="I336">
        <f t="shared" si="50"/>
        <v>0</v>
      </c>
      <c r="J336">
        <f t="shared" si="50"/>
        <v>1</v>
      </c>
      <c r="K336">
        <f t="shared" si="50"/>
        <v>0</v>
      </c>
      <c r="L336">
        <f t="shared" si="50"/>
        <v>0</v>
      </c>
      <c r="M336">
        <f t="shared" si="49"/>
        <v>0</v>
      </c>
      <c r="N336">
        <f t="shared" si="49"/>
        <v>0</v>
      </c>
      <c r="O336">
        <f t="shared" si="49"/>
        <v>1</v>
      </c>
    </row>
    <row r="337" spans="1:15" x14ac:dyDescent="0.3">
      <c r="A337">
        <v>4</v>
      </c>
      <c r="B337">
        <v>2015</v>
      </c>
      <c r="C337">
        <v>6000</v>
      </c>
      <c r="D337">
        <v>95</v>
      </c>
      <c r="E337">
        <v>25</v>
      </c>
      <c r="F337">
        <v>1.5</v>
      </c>
      <c r="G337">
        <f t="shared" si="50"/>
        <v>0</v>
      </c>
      <c r="H337">
        <f t="shared" si="50"/>
        <v>0</v>
      </c>
      <c r="I337">
        <f t="shared" si="50"/>
        <v>0</v>
      </c>
      <c r="J337">
        <f t="shared" si="50"/>
        <v>1</v>
      </c>
      <c r="K337">
        <f t="shared" si="50"/>
        <v>0</v>
      </c>
      <c r="L337">
        <f t="shared" si="50"/>
        <v>0</v>
      </c>
      <c r="M337">
        <f t="shared" si="49"/>
        <v>0</v>
      </c>
      <c r="N337">
        <f t="shared" si="49"/>
        <v>0</v>
      </c>
      <c r="O337">
        <f t="shared" si="49"/>
        <v>1</v>
      </c>
    </row>
    <row r="338" spans="1:15" x14ac:dyDescent="0.3">
      <c r="A338">
        <v>1</v>
      </c>
      <c r="B338">
        <v>2016</v>
      </c>
      <c r="C338">
        <v>5962</v>
      </c>
      <c r="D338">
        <v>100</v>
      </c>
      <c r="E338">
        <v>132</v>
      </c>
      <c r="F338">
        <v>16</v>
      </c>
      <c r="G338">
        <f t="shared" si="50"/>
        <v>0</v>
      </c>
      <c r="H338">
        <f t="shared" si="50"/>
        <v>0</v>
      </c>
      <c r="I338">
        <f t="shared" si="50"/>
        <v>0</v>
      </c>
      <c r="J338">
        <f t="shared" si="50"/>
        <v>0</v>
      </c>
      <c r="K338">
        <f t="shared" si="50"/>
        <v>1</v>
      </c>
      <c r="L338">
        <f t="shared" si="50"/>
        <v>0</v>
      </c>
      <c r="M338">
        <f t="shared" si="49"/>
        <v>1</v>
      </c>
      <c r="N338">
        <f t="shared" si="49"/>
        <v>0</v>
      </c>
      <c r="O338">
        <f t="shared" si="49"/>
        <v>0</v>
      </c>
    </row>
    <row r="339" spans="1:15" x14ac:dyDescent="0.3">
      <c r="A339">
        <v>4</v>
      </c>
      <c r="B339">
        <v>2014</v>
      </c>
      <c r="C339">
        <v>5921</v>
      </c>
      <c r="D339">
        <v>50</v>
      </c>
      <c r="E339">
        <v>42</v>
      </c>
      <c r="F339">
        <v>4.5</v>
      </c>
      <c r="G339">
        <f t="shared" si="50"/>
        <v>0</v>
      </c>
      <c r="H339">
        <f t="shared" si="50"/>
        <v>0</v>
      </c>
      <c r="I339">
        <f t="shared" si="50"/>
        <v>1</v>
      </c>
      <c r="J339">
        <f t="shared" si="50"/>
        <v>0</v>
      </c>
      <c r="K339">
        <f t="shared" si="50"/>
        <v>0</v>
      </c>
      <c r="L339">
        <f t="shared" si="50"/>
        <v>0</v>
      </c>
      <c r="M339">
        <f t="shared" si="49"/>
        <v>0</v>
      </c>
      <c r="N339">
        <f t="shared" si="49"/>
        <v>0</v>
      </c>
      <c r="O339">
        <f t="shared" si="49"/>
        <v>1</v>
      </c>
    </row>
    <row r="340" spans="1:15" x14ac:dyDescent="0.3">
      <c r="A340">
        <v>4</v>
      </c>
      <c r="B340">
        <v>2016</v>
      </c>
      <c r="C340">
        <v>5811</v>
      </c>
      <c r="D340">
        <v>110</v>
      </c>
      <c r="E340">
        <v>114</v>
      </c>
      <c r="F340">
        <v>6</v>
      </c>
      <c r="G340">
        <f t="shared" si="50"/>
        <v>0</v>
      </c>
      <c r="H340">
        <f t="shared" si="50"/>
        <v>0</v>
      </c>
      <c r="I340">
        <f t="shared" si="50"/>
        <v>0</v>
      </c>
      <c r="J340">
        <f t="shared" si="50"/>
        <v>0</v>
      </c>
      <c r="K340">
        <f t="shared" si="50"/>
        <v>1</v>
      </c>
      <c r="L340">
        <f t="shared" si="50"/>
        <v>0</v>
      </c>
      <c r="M340">
        <f t="shared" si="49"/>
        <v>0</v>
      </c>
      <c r="N340">
        <f t="shared" si="49"/>
        <v>0</v>
      </c>
      <c r="O340">
        <f t="shared" si="49"/>
        <v>1</v>
      </c>
    </row>
    <row r="341" spans="1:15" x14ac:dyDescent="0.3">
      <c r="A341">
        <v>4</v>
      </c>
      <c r="B341">
        <v>2016</v>
      </c>
      <c r="C341">
        <v>5809</v>
      </c>
      <c r="D341">
        <v>200</v>
      </c>
      <c r="E341">
        <v>61</v>
      </c>
      <c r="F341">
        <v>15</v>
      </c>
      <c r="G341">
        <f t="shared" si="50"/>
        <v>0</v>
      </c>
      <c r="H341">
        <f t="shared" si="50"/>
        <v>0</v>
      </c>
      <c r="I341">
        <f t="shared" si="50"/>
        <v>0</v>
      </c>
      <c r="J341">
        <f t="shared" si="50"/>
        <v>0</v>
      </c>
      <c r="K341">
        <f t="shared" si="50"/>
        <v>1</v>
      </c>
      <c r="L341">
        <f t="shared" si="50"/>
        <v>0</v>
      </c>
      <c r="M341">
        <f t="shared" si="49"/>
        <v>0</v>
      </c>
      <c r="N341">
        <f t="shared" si="49"/>
        <v>0</v>
      </c>
      <c r="O341">
        <f t="shared" si="49"/>
        <v>1</v>
      </c>
    </row>
    <row r="342" spans="1:15" x14ac:dyDescent="0.3">
      <c r="A342">
        <v>2</v>
      </c>
      <c r="B342">
        <v>2015</v>
      </c>
      <c r="C342">
        <v>5800</v>
      </c>
      <c r="D342">
        <v>100</v>
      </c>
      <c r="E342">
        <v>32</v>
      </c>
      <c r="F342">
        <v>3.5</v>
      </c>
      <c r="G342">
        <f t="shared" ref="G342:L351" si="51">IF($B342=G$1,1,0)</f>
        <v>0</v>
      </c>
      <c r="H342">
        <f t="shared" si="51"/>
        <v>0</v>
      </c>
      <c r="I342">
        <f t="shared" si="51"/>
        <v>0</v>
      </c>
      <c r="J342">
        <f t="shared" si="51"/>
        <v>1</v>
      </c>
      <c r="K342">
        <f t="shared" si="51"/>
        <v>0</v>
      </c>
      <c r="L342">
        <f t="shared" si="51"/>
        <v>0</v>
      </c>
      <c r="M342">
        <f t="shared" ref="M342:O361" si="52">IF($A342=M$1,1,0)</f>
        <v>0</v>
      </c>
      <c r="N342">
        <f t="shared" si="52"/>
        <v>1</v>
      </c>
      <c r="O342">
        <f t="shared" si="52"/>
        <v>0</v>
      </c>
    </row>
    <row r="343" spans="1:15" x14ac:dyDescent="0.3">
      <c r="A343">
        <v>4</v>
      </c>
      <c r="B343">
        <v>2013</v>
      </c>
      <c r="C343">
        <v>5795</v>
      </c>
      <c r="D343">
        <v>20</v>
      </c>
      <c r="E343">
        <v>29</v>
      </c>
      <c r="F343">
        <v>2.5</v>
      </c>
      <c r="G343">
        <f t="shared" si="51"/>
        <v>0</v>
      </c>
      <c r="H343">
        <f t="shared" si="51"/>
        <v>1</v>
      </c>
      <c r="I343">
        <f t="shared" si="51"/>
        <v>0</v>
      </c>
      <c r="J343">
        <f t="shared" si="51"/>
        <v>0</v>
      </c>
      <c r="K343">
        <f t="shared" si="51"/>
        <v>0</v>
      </c>
      <c r="L343">
        <f t="shared" si="51"/>
        <v>0</v>
      </c>
      <c r="M343">
        <f t="shared" si="52"/>
        <v>0</v>
      </c>
      <c r="N343">
        <f t="shared" si="52"/>
        <v>0</v>
      </c>
      <c r="O343">
        <f t="shared" si="52"/>
        <v>1</v>
      </c>
    </row>
    <row r="344" spans="1:15" x14ac:dyDescent="0.3">
      <c r="A344">
        <v>1</v>
      </c>
      <c r="B344">
        <v>2017</v>
      </c>
      <c r="C344">
        <v>5739</v>
      </c>
      <c r="D344">
        <v>200</v>
      </c>
      <c r="E344">
        <v>29</v>
      </c>
      <c r="F344">
        <v>2.5</v>
      </c>
      <c r="G344">
        <f t="shared" si="51"/>
        <v>0</v>
      </c>
      <c r="H344">
        <f t="shared" si="51"/>
        <v>0</v>
      </c>
      <c r="I344">
        <f t="shared" si="51"/>
        <v>0</v>
      </c>
      <c r="J344">
        <f t="shared" si="51"/>
        <v>0</v>
      </c>
      <c r="K344">
        <f t="shared" si="51"/>
        <v>0</v>
      </c>
      <c r="L344">
        <f t="shared" si="51"/>
        <v>1</v>
      </c>
      <c r="M344">
        <f t="shared" si="52"/>
        <v>1</v>
      </c>
      <c r="N344">
        <f t="shared" si="52"/>
        <v>0</v>
      </c>
      <c r="O344">
        <f t="shared" si="52"/>
        <v>0</v>
      </c>
    </row>
    <row r="345" spans="1:15" x14ac:dyDescent="0.3">
      <c r="A345">
        <v>4</v>
      </c>
      <c r="B345">
        <v>2017</v>
      </c>
      <c r="C345">
        <v>5738</v>
      </c>
      <c r="D345">
        <v>95</v>
      </c>
      <c r="E345">
        <v>35</v>
      </c>
      <c r="F345">
        <v>4</v>
      </c>
      <c r="G345">
        <f t="shared" si="51"/>
        <v>0</v>
      </c>
      <c r="H345">
        <f t="shared" si="51"/>
        <v>0</v>
      </c>
      <c r="I345">
        <f t="shared" si="51"/>
        <v>0</v>
      </c>
      <c r="J345">
        <f t="shared" si="51"/>
        <v>0</v>
      </c>
      <c r="K345">
        <f t="shared" si="51"/>
        <v>0</v>
      </c>
      <c r="L345">
        <f t="shared" si="51"/>
        <v>1</v>
      </c>
      <c r="M345">
        <f t="shared" si="52"/>
        <v>0</v>
      </c>
      <c r="N345">
        <f t="shared" si="52"/>
        <v>0</v>
      </c>
      <c r="O345">
        <f t="shared" si="52"/>
        <v>1</v>
      </c>
    </row>
    <row r="346" spans="1:15" x14ac:dyDescent="0.3">
      <c r="A346">
        <v>2</v>
      </c>
      <c r="B346">
        <v>2015</v>
      </c>
      <c r="C346">
        <v>5715</v>
      </c>
      <c r="D346">
        <v>100</v>
      </c>
      <c r="E346">
        <v>31</v>
      </c>
      <c r="F346">
        <v>3</v>
      </c>
      <c r="G346">
        <f t="shared" si="51"/>
        <v>0</v>
      </c>
      <c r="H346">
        <f t="shared" si="51"/>
        <v>0</v>
      </c>
      <c r="I346">
        <f t="shared" si="51"/>
        <v>0</v>
      </c>
      <c r="J346">
        <f t="shared" si="51"/>
        <v>1</v>
      </c>
      <c r="K346">
        <f t="shared" si="51"/>
        <v>0</v>
      </c>
      <c r="L346">
        <f t="shared" si="51"/>
        <v>0</v>
      </c>
      <c r="M346">
        <f t="shared" si="52"/>
        <v>0</v>
      </c>
      <c r="N346">
        <f t="shared" si="52"/>
        <v>1</v>
      </c>
      <c r="O346">
        <f t="shared" si="52"/>
        <v>0</v>
      </c>
    </row>
    <row r="347" spans="1:15" x14ac:dyDescent="0.3">
      <c r="A347">
        <v>1</v>
      </c>
      <c r="B347">
        <v>2016</v>
      </c>
      <c r="C347">
        <v>5603</v>
      </c>
      <c r="D347">
        <v>200</v>
      </c>
      <c r="E347">
        <v>47</v>
      </c>
      <c r="F347">
        <v>4</v>
      </c>
      <c r="G347">
        <f t="shared" si="51"/>
        <v>0</v>
      </c>
      <c r="H347">
        <f t="shared" si="51"/>
        <v>0</v>
      </c>
      <c r="I347">
        <f t="shared" si="51"/>
        <v>0</v>
      </c>
      <c r="J347">
        <f t="shared" si="51"/>
        <v>0</v>
      </c>
      <c r="K347">
        <f t="shared" si="51"/>
        <v>1</v>
      </c>
      <c r="L347">
        <f t="shared" si="51"/>
        <v>0</v>
      </c>
      <c r="M347">
        <f t="shared" si="52"/>
        <v>1</v>
      </c>
      <c r="N347">
        <f t="shared" si="52"/>
        <v>0</v>
      </c>
      <c r="O347">
        <f t="shared" si="52"/>
        <v>0</v>
      </c>
    </row>
    <row r="348" spans="1:15" x14ac:dyDescent="0.3">
      <c r="A348">
        <v>4</v>
      </c>
      <c r="B348">
        <v>2017</v>
      </c>
      <c r="C348">
        <v>5559</v>
      </c>
      <c r="D348">
        <v>200</v>
      </c>
      <c r="E348">
        <v>21</v>
      </c>
      <c r="F348">
        <v>2</v>
      </c>
      <c r="G348">
        <f t="shared" si="51"/>
        <v>0</v>
      </c>
      <c r="H348">
        <f t="shared" si="51"/>
        <v>0</v>
      </c>
      <c r="I348">
        <f t="shared" si="51"/>
        <v>0</v>
      </c>
      <c r="J348">
        <f t="shared" si="51"/>
        <v>0</v>
      </c>
      <c r="K348">
        <f t="shared" si="51"/>
        <v>0</v>
      </c>
      <c r="L348">
        <f t="shared" si="51"/>
        <v>1</v>
      </c>
      <c r="M348">
        <f t="shared" si="52"/>
        <v>0</v>
      </c>
      <c r="N348">
        <f t="shared" si="52"/>
        <v>0</v>
      </c>
      <c r="O348">
        <f t="shared" si="52"/>
        <v>1</v>
      </c>
    </row>
    <row r="349" spans="1:15" x14ac:dyDescent="0.3">
      <c r="A349">
        <v>4</v>
      </c>
      <c r="B349">
        <v>2012</v>
      </c>
      <c r="C349">
        <v>5549</v>
      </c>
      <c r="D349">
        <v>50</v>
      </c>
      <c r="E349">
        <v>143</v>
      </c>
      <c r="F349">
        <v>15.5</v>
      </c>
      <c r="G349">
        <f t="shared" si="51"/>
        <v>1</v>
      </c>
      <c r="H349">
        <f t="shared" si="51"/>
        <v>0</v>
      </c>
      <c r="I349">
        <f t="shared" si="51"/>
        <v>0</v>
      </c>
      <c r="J349">
        <f t="shared" si="51"/>
        <v>0</v>
      </c>
      <c r="K349">
        <f t="shared" si="51"/>
        <v>0</v>
      </c>
      <c r="L349">
        <f t="shared" si="51"/>
        <v>0</v>
      </c>
      <c r="M349">
        <f t="shared" si="52"/>
        <v>0</v>
      </c>
      <c r="N349">
        <f t="shared" si="52"/>
        <v>0</v>
      </c>
      <c r="O349">
        <f t="shared" si="52"/>
        <v>1</v>
      </c>
    </row>
    <row r="350" spans="1:15" x14ac:dyDescent="0.3">
      <c r="A350">
        <v>4</v>
      </c>
      <c r="B350">
        <v>2014</v>
      </c>
      <c r="C350">
        <v>5547</v>
      </c>
      <c r="D350">
        <v>40</v>
      </c>
      <c r="E350">
        <v>40</v>
      </c>
      <c r="F350">
        <v>3.5</v>
      </c>
      <c r="G350">
        <f t="shared" si="51"/>
        <v>0</v>
      </c>
      <c r="H350">
        <f t="shared" si="51"/>
        <v>0</v>
      </c>
      <c r="I350">
        <f t="shared" si="51"/>
        <v>1</v>
      </c>
      <c r="J350">
        <f t="shared" si="51"/>
        <v>0</v>
      </c>
      <c r="K350">
        <f t="shared" si="51"/>
        <v>0</v>
      </c>
      <c r="L350">
        <f t="shared" si="51"/>
        <v>0</v>
      </c>
      <c r="M350">
        <f t="shared" si="52"/>
        <v>0</v>
      </c>
      <c r="N350">
        <f t="shared" si="52"/>
        <v>0</v>
      </c>
      <c r="O350">
        <f t="shared" si="52"/>
        <v>1</v>
      </c>
    </row>
    <row r="351" spans="1:15" x14ac:dyDescent="0.3">
      <c r="A351">
        <v>4</v>
      </c>
      <c r="B351">
        <v>2017</v>
      </c>
      <c r="C351">
        <v>5542</v>
      </c>
      <c r="D351">
        <v>0</v>
      </c>
      <c r="E351">
        <v>9</v>
      </c>
      <c r="F351">
        <v>1</v>
      </c>
      <c r="G351">
        <f t="shared" si="51"/>
        <v>0</v>
      </c>
      <c r="H351">
        <f t="shared" si="51"/>
        <v>0</v>
      </c>
      <c r="I351">
        <f t="shared" si="51"/>
        <v>0</v>
      </c>
      <c r="J351">
        <f t="shared" si="51"/>
        <v>0</v>
      </c>
      <c r="K351">
        <f t="shared" si="51"/>
        <v>0</v>
      </c>
      <c r="L351">
        <f t="shared" si="51"/>
        <v>1</v>
      </c>
      <c r="M351">
        <f t="shared" si="52"/>
        <v>0</v>
      </c>
      <c r="N351">
        <f t="shared" si="52"/>
        <v>0</v>
      </c>
      <c r="O351">
        <f t="shared" si="52"/>
        <v>1</v>
      </c>
    </row>
    <row r="352" spans="1:15" x14ac:dyDescent="0.3">
      <c r="A352">
        <v>1</v>
      </c>
      <c r="B352">
        <v>2015</v>
      </c>
      <c r="C352">
        <v>5533</v>
      </c>
      <c r="D352">
        <v>0</v>
      </c>
      <c r="E352">
        <v>11</v>
      </c>
      <c r="F352">
        <v>1</v>
      </c>
      <c r="G352">
        <f t="shared" ref="G352:L361" si="53">IF($B352=G$1,1,0)</f>
        <v>0</v>
      </c>
      <c r="H352">
        <f t="shared" si="53"/>
        <v>0</v>
      </c>
      <c r="I352">
        <f t="shared" si="53"/>
        <v>0</v>
      </c>
      <c r="J352">
        <f t="shared" si="53"/>
        <v>1</v>
      </c>
      <c r="K352">
        <f t="shared" si="53"/>
        <v>0</v>
      </c>
      <c r="L352">
        <f t="shared" si="53"/>
        <v>0</v>
      </c>
      <c r="M352">
        <f t="shared" si="52"/>
        <v>1</v>
      </c>
      <c r="N352">
        <f t="shared" si="52"/>
        <v>0</v>
      </c>
      <c r="O352">
        <f t="shared" si="52"/>
        <v>0</v>
      </c>
    </row>
    <row r="353" spans="1:15" x14ac:dyDescent="0.3">
      <c r="A353">
        <v>1</v>
      </c>
      <c r="B353">
        <v>2016</v>
      </c>
      <c r="C353">
        <v>5495</v>
      </c>
      <c r="D353">
        <v>150</v>
      </c>
      <c r="E353">
        <v>18</v>
      </c>
      <c r="F353">
        <v>1.5</v>
      </c>
      <c r="G353">
        <f t="shared" si="53"/>
        <v>0</v>
      </c>
      <c r="H353">
        <f t="shared" si="53"/>
        <v>0</v>
      </c>
      <c r="I353">
        <f t="shared" si="53"/>
        <v>0</v>
      </c>
      <c r="J353">
        <f t="shared" si="53"/>
        <v>0</v>
      </c>
      <c r="K353">
        <f t="shared" si="53"/>
        <v>1</v>
      </c>
      <c r="L353">
        <f t="shared" si="53"/>
        <v>0</v>
      </c>
      <c r="M353">
        <f t="shared" si="52"/>
        <v>1</v>
      </c>
      <c r="N353">
        <f t="shared" si="52"/>
        <v>0</v>
      </c>
      <c r="O353">
        <f t="shared" si="52"/>
        <v>0</v>
      </c>
    </row>
    <row r="354" spans="1:15" x14ac:dyDescent="0.3">
      <c r="A354">
        <v>4</v>
      </c>
      <c r="B354">
        <v>2015</v>
      </c>
      <c r="C354">
        <v>5484</v>
      </c>
      <c r="D354">
        <v>125</v>
      </c>
      <c r="E354">
        <v>92</v>
      </c>
      <c r="F354">
        <v>12.5</v>
      </c>
      <c r="G354">
        <f t="shared" si="53"/>
        <v>0</v>
      </c>
      <c r="H354">
        <f t="shared" si="53"/>
        <v>0</v>
      </c>
      <c r="I354">
        <f t="shared" si="53"/>
        <v>0</v>
      </c>
      <c r="J354">
        <f t="shared" si="53"/>
        <v>1</v>
      </c>
      <c r="K354">
        <f t="shared" si="53"/>
        <v>0</v>
      </c>
      <c r="L354">
        <f t="shared" si="53"/>
        <v>0</v>
      </c>
      <c r="M354">
        <f t="shared" si="52"/>
        <v>0</v>
      </c>
      <c r="N354">
        <f t="shared" si="52"/>
        <v>0</v>
      </c>
      <c r="O354">
        <f t="shared" si="52"/>
        <v>1</v>
      </c>
    </row>
    <row r="355" spans="1:15" x14ac:dyDescent="0.3">
      <c r="A355">
        <v>1</v>
      </c>
      <c r="B355">
        <v>2013</v>
      </c>
      <c r="C355">
        <v>5456</v>
      </c>
      <c r="D355">
        <v>100</v>
      </c>
      <c r="E355">
        <v>25</v>
      </c>
      <c r="F355">
        <v>1</v>
      </c>
      <c r="G355">
        <f t="shared" si="53"/>
        <v>0</v>
      </c>
      <c r="H355">
        <f t="shared" si="53"/>
        <v>1</v>
      </c>
      <c r="I355">
        <f t="shared" si="53"/>
        <v>0</v>
      </c>
      <c r="J355">
        <f t="shared" si="53"/>
        <v>0</v>
      </c>
      <c r="K355">
        <f t="shared" si="53"/>
        <v>0</v>
      </c>
      <c r="L355">
        <f t="shared" si="53"/>
        <v>0</v>
      </c>
      <c r="M355">
        <f t="shared" si="52"/>
        <v>1</v>
      </c>
      <c r="N355">
        <f t="shared" si="52"/>
        <v>0</v>
      </c>
      <c r="O355">
        <f t="shared" si="52"/>
        <v>0</v>
      </c>
    </row>
    <row r="356" spans="1:15" x14ac:dyDescent="0.3">
      <c r="A356">
        <v>1</v>
      </c>
      <c r="B356">
        <v>2017</v>
      </c>
      <c r="C356">
        <v>5439</v>
      </c>
      <c r="D356">
        <v>200</v>
      </c>
      <c r="E356">
        <v>24</v>
      </c>
      <c r="F356">
        <v>4</v>
      </c>
      <c r="G356">
        <f t="shared" si="53"/>
        <v>0</v>
      </c>
      <c r="H356">
        <f t="shared" si="53"/>
        <v>0</v>
      </c>
      <c r="I356">
        <f t="shared" si="53"/>
        <v>0</v>
      </c>
      <c r="J356">
        <f t="shared" si="53"/>
        <v>0</v>
      </c>
      <c r="K356">
        <f t="shared" si="53"/>
        <v>0</v>
      </c>
      <c r="L356">
        <f t="shared" si="53"/>
        <v>1</v>
      </c>
      <c r="M356">
        <f t="shared" si="52"/>
        <v>1</v>
      </c>
      <c r="N356">
        <f t="shared" si="52"/>
        <v>0</v>
      </c>
      <c r="O356">
        <f t="shared" si="52"/>
        <v>0</v>
      </c>
    </row>
    <row r="357" spans="1:15" x14ac:dyDescent="0.3">
      <c r="A357">
        <v>1</v>
      </c>
      <c r="B357">
        <v>2015</v>
      </c>
      <c r="C357">
        <v>5421</v>
      </c>
      <c r="D357">
        <v>0</v>
      </c>
      <c r="E357">
        <v>20</v>
      </c>
      <c r="F357">
        <v>1.5</v>
      </c>
      <c r="G357">
        <f t="shared" si="53"/>
        <v>0</v>
      </c>
      <c r="H357">
        <f t="shared" si="53"/>
        <v>0</v>
      </c>
      <c r="I357">
        <f t="shared" si="53"/>
        <v>0</v>
      </c>
      <c r="J357">
        <f t="shared" si="53"/>
        <v>1</v>
      </c>
      <c r="K357">
        <f t="shared" si="53"/>
        <v>0</v>
      </c>
      <c r="L357">
        <f t="shared" si="53"/>
        <v>0</v>
      </c>
      <c r="M357">
        <f t="shared" si="52"/>
        <v>1</v>
      </c>
      <c r="N357">
        <f t="shared" si="52"/>
        <v>0</v>
      </c>
      <c r="O357">
        <f t="shared" si="52"/>
        <v>0</v>
      </c>
    </row>
    <row r="358" spans="1:15" x14ac:dyDescent="0.3">
      <c r="A358">
        <v>1</v>
      </c>
      <c r="B358">
        <v>2014</v>
      </c>
      <c r="C358">
        <v>5398</v>
      </c>
      <c r="D358">
        <v>50</v>
      </c>
      <c r="E358">
        <v>83</v>
      </c>
      <c r="F358">
        <v>10.5</v>
      </c>
      <c r="G358">
        <f t="shared" si="53"/>
        <v>0</v>
      </c>
      <c r="H358">
        <f t="shared" si="53"/>
        <v>0</v>
      </c>
      <c r="I358">
        <f t="shared" si="53"/>
        <v>1</v>
      </c>
      <c r="J358">
        <f t="shared" si="53"/>
        <v>0</v>
      </c>
      <c r="K358">
        <f t="shared" si="53"/>
        <v>0</v>
      </c>
      <c r="L358">
        <f t="shared" si="53"/>
        <v>0</v>
      </c>
      <c r="M358">
        <f t="shared" si="52"/>
        <v>1</v>
      </c>
      <c r="N358">
        <f t="shared" si="52"/>
        <v>0</v>
      </c>
      <c r="O358">
        <f t="shared" si="52"/>
        <v>0</v>
      </c>
    </row>
    <row r="359" spans="1:15" x14ac:dyDescent="0.3">
      <c r="A359">
        <v>4</v>
      </c>
      <c r="B359">
        <v>2017</v>
      </c>
      <c r="C359">
        <v>5397</v>
      </c>
      <c r="D359">
        <v>0</v>
      </c>
      <c r="E359">
        <v>36</v>
      </c>
      <c r="F359">
        <v>2.5</v>
      </c>
      <c r="G359">
        <f t="shared" si="53"/>
        <v>0</v>
      </c>
      <c r="H359">
        <f t="shared" si="53"/>
        <v>0</v>
      </c>
      <c r="I359">
        <f t="shared" si="53"/>
        <v>0</v>
      </c>
      <c r="J359">
        <f t="shared" si="53"/>
        <v>0</v>
      </c>
      <c r="K359">
        <f t="shared" si="53"/>
        <v>0</v>
      </c>
      <c r="L359">
        <f t="shared" si="53"/>
        <v>1</v>
      </c>
      <c r="M359">
        <f t="shared" si="52"/>
        <v>0</v>
      </c>
      <c r="N359">
        <f t="shared" si="52"/>
        <v>0</v>
      </c>
      <c r="O359">
        <f t="shared" si="52"/>
        <v>1</v>
      </c>
    </row>
    <row r="360" spans="1:15" x14ac:dyDescent="0.3">
      <c r="A360">
        <v>4</v>
      </c>
      <c r="B360">
        <v>2015</v>
      </c>
      <c r="C360">
        <v>5387</v>
      </c>
      <c r="D360">
        <v>40</v>
      </c>
      <c r="E360">
        <v>15</v>
      </c>
      <c r="F360">
        <v>1</v>
      </c>
      <c r="G360">
        <f t="shared" si="53"/>
        <v>0</v>
      </c>
      <c r="H360">
        <f t="shared" si="53"/>
        <v>0</v>
      </c>
      <c r="I360">
        <f t="shared" si="53"/>
        <v>0</v>
      </c>
      <c r="J360">
        <f t="shared" si="53"/>
        <v>1</v>
      </c>
      <c r="K360">
        <f t="shared" si="53"/>
        <v>0</v>
      </c>
      <c r="L360">
        <f t="shared" si="53"/>
        <v>0</v>
      </c>
      <c r="M360">
        <f t="shared" si="52"/>
        <v>0</v>
      </c>
      <c r="N360">
        <f t="shared" si="52"/>
        <v>0</v>
      </c>
      <c r="O360">
        <f t="shared" si="52"/>
        <v>1</v>
      </c>
    </row>
    <row r="361" spans="1:15" x14ac:dyDescent="0.3">
      <c r="A361">
        <v>4</v>
      </c>
      <c r="B361">
        <v>2015</v>
      </c>
      <c r="C361">
        <v>5368</v>
      </c>
      <c r="D361">
        <v>35</v>
      </c>
      <c r="E361">
        <v>20</v>
      </c>
      <c r="F361">
        <v>2</v>
      </c>
      <c r="G361">
        <f t="shared" si="53"/>
        <v>0</v>
      </c>
      <c r="H361">
        <f t="shared" si="53"/>
        <v>0</v>
      </c>
      <c r="I361">
        <f t="shared" si="53"/>
        <v>0</v>
      </c>
      <c r="J361">
        <f t="shared" si="53"/>
        <v>1</v>
      </c>
      <c r="K361">
        <f t="shared" si="53"/>
        <v>0</v>
      </c>
      <c r="L361">
        <f t="shared" si="53"/>
        <v>0</v>
      </c>
      <c r="M361">
        <f t="shared" si="52"/>
        <v>0</v>
      </c>
      <c r="N361">
        <f t="shared" si="52"/>
        <v>0</v>
      </c>
      <c r="O361">
        <f t="shared" si="52"/>
        <v>1</v>
      </c>
    </row>
    <row r="362" spans="1:15" x14ac:dyDescent="0.3">
      <c r="A362">
        <v>2</v>
      </c>
      <c r="B362">
        <v>2016</v>
      </c>
      <c r="C362">
        <v>5351</v>
      </c>
      <c r="D362">
        <v>0</v>
      </c>
      <c r="E362">
        <v>13</v>
      </c>
      <c r="F362">
        <v>1.5</v>
      </c>
      <c r="G362">
        <f t="shared" ref="G362:L371" si="54">IF($B362=G$1,1,0)</f>
        <v>0</v>
      </c>
      <c r="H362">
        <f t="shared" si="54"/>
        <v>0</v>
      </c>
      <c r="I362">
        <f t="shared" si="54"/>
        <v>0</v>
      </c>
      <c r="J362">
        <f t="shared" si="54"/>
        <v>0</v>
      </c>
      <c r="K362">
        <f t="shared" si="54"/>
        <v>1</v>
      </c>
      <c r="L362">
        <f t="shared" si="54"/>
        <v>0</v>
      </c>
      <c r="M362">
        <f t="shared" ref="M362:O381" si="55">IF($A362=M$1,1,0)</f>
        <v>0</v>
      </c>
      <c r="N362">
        <f t="shared" si="55"/>
        <v>1</v>
      </c>
      <c r="O362">
        <f t="shared" si="55"/>
        <v>0</v>
      </c>
    </row>
    <row r="363" spans="1:15" x14ac:dyDescent="0.3">
      <c r="A363">
        <v>4</v>
      </c>
      <c r="B363">
        <v>2016</v>
      </c>
      <c r="C363">
        <v>5335</v>
      </c>
      <c r="D363">
        <v>195</v>
      </c>
      <c r="E363">
        <v>117</v>
      </c>
      <c r="F363">
        <v>14</v>
      </c>
      <c r="G363">
        <f t="shared" si="54"/>
        <v>0</v>
      </c>
      <c r="H363">
        <f t="shared" si="54"/>
        <v>0</v>
      </c>
      <c r="I363">
        <f t="shared" si="54"/>
        <v>0</v>
      </c>
      <c r="J363">
        <f t="shared" si="54"/>
        <v>0</v>
      </c>
      <c r="K363">
        <f t="shared" si="54"/>
        <v>1</v>
      </c>
      <c r="L363">
        <f t="shared" si="54"/>
        <v>0</v>
      </c>
      <c r="M363">
        <f t="shared" si="55"/>
        <v>0</v>
      </c>
      <c r="N363">
        <f t="shared" si="55"/>
        <v>0</v>
      </c>
      <c r="O363">
        <f t="shared" si="55"/>
        <v>1</v>
      </c>
    </row>
    <row r="364" spans="1:15" x14ac:dyDescent="0.3">
      <c r="A364">
        <v>1</v>
      </c>
      <c r="B364">
        <v>2017</v>
      </c>
      <c r="C364">
        <v>5332</v>
      </c>
      <c r="D364">
        <v>190</v>
      </c>
      <c r="E364">
        <v>160</v>
      </c>
      <c r="F364">
        <v>10.5</v>
      </c>
      <c r="G364">
        <f t="shared" si="54"/>
        <v>0</v>
      </c>
      <c r="H364">
        <f t="shared" si="54"/>
        <v>0</v>
      </c>
      <c r="I364">
        <f t="shared" si="54"/>
        <v>0</v>
      </c>
      <c r="J364">
        <f t="shared" si="54"/>
        <v>0</v>
      </c>
      <c r="K364">
        <f t="shared" si="54"/>
        <v>0</v>
      </c>
      <c r="L364">
        <f t="shared" si="54"/>
        <v>1</v>
      </c>
      <c r="M364">
        <f t="shared" si="55"/>
        <v>1</v>
      </c>
      <c r="N364">
        <f t="shared" si="55"/>
        <v>0</v>
      </c>
      <c r="O364">
        <f t="shared" si="55"/>
        <v>0</v>
      </c>
    </row>
    <row r="365" spans="1:15" x14ac:dyDescent="0.3">
      <c r="A365">
        <v>1</v>
      </c>
      <c r="B365">
        <v>2016</v>
      </c>
      <c r="C365">
        <v>5328</v>
      </c>
      <c r="D365">
        <v>20</v>
      </c>
      <c r="E365">
        <v>28</v>
      </c>
      <c r="F365">
        <v>3.5</v>
      </c>
      <c r="G365">
        <f t="shared" si="54"/>
        <v>0</v>
      </c>
      <c r="H365">
        <f t="shared" si="54"/>
        <v>0</v>
      </c>
      <c r="I365">
        <f t="shared" si="54"/>
        <v>0</v>
      </c>
      <c r="J365">
        <f t="shared" si="54"/>
        <v>0</v>
      </c>
      <c r="K365">
        <f t="shared" si="54"/>
        <v>1</v>
      </c>
      <c r="L365">
        <f t="shared" si="54"/>
        <v>0</v>
      </c>
      <c r="M365">
        <f t="shared" si="55"/>
        <v>1</v>
      </c>
      <c r="N365">
        <f t="shared" si="55"/>
        <v>0</v>
      </c>
      <c r="O365">
        <f t="shared" si="55"/>
        <v>0</v>
      </c>
    </row>
    <row r="366" spans="1:15" x14ac:dyDescent="0.3">
      <c r="A366">
        <v>4</v>
      </c>
      <c r="B366">
        <v>2017</v>
      </c>
      <c r="C366">
        <v>5324</v>
      </c>
      <c r="D366">
        <v>30</v>
      </c>
      <c r="E366">
        <v>14</v>
      </c>
      <c r="F366">
        <v>2.5</v>
      </c>
      <c r="G366">
        <f t="shared" si="54"/>
        <v>0</v>
      </c>
      <c r="H366">
        <f t="shared" si="54"/>
        <v>0</v>
      </c>
      <c r="I366">
        <f t="shared" si="54"/>
        <v>0</v>
      </c>
      <c r="J366">
        <f t="shared" si="54"/>
        <v>0</v>
      </c>
      <c r="K366">
        <f t="shared" si="54"/>
        <v>0</v>
      </c>
      <c r="L366">
        <f t="shared" si="54"/>
        <v>1</v>
      </c>
      <c r="M366">
        <f t="shared" si="55"/>
        <v>0</v>
      </c>
      <c r="N366">
        <f t="shared" si="55"/>
        <v>0</v>
      </c>
      <c r="O366">
        <f t="shared" si="55"/>
        <v>1</v>
      </c>
    </row>
    <row r="367" spans="1:15" x14ac:dyDescent="0.3">
      <c r="A367">
        <v>4</v>
      </c>
      <c r="B367">
        <v>2015</v>
      </c>
      <c r="C367">
        <v>5318</v>
      </c>
      <c r="D367">
        <v>20</v>
      </c>
      <c r="E367">
        <v>13</v>
      </c>
      <c r="F367">
        <v>1.5</v>
      </c>
      <c r="G367">
        <f t="shared" si="54"/>
        <v>0</v>
      </c>
      <c r="H367">
        <f t="shared" si="54"/>
        <v>0</v>
      </c>
      <c r="I367">
        <f t="shared" si="54"/>
        <v>0</v>
      </c>
      <c r="J367">
        <f t="shared" si="54"/>
        <v>1</v>
      </c>
      <c r="K367">
        <f t="shared" si="54"/>
        <v>0</v>
      </c>
      <c r="L367">
        <f t="shared" si="54"/>
        <v>0</v>
      </c>
      <c r="M367">
        <f t="shared" si="55"/>
        <v>0</v>
      </c>
      <c r="N367">
        <f t="shared" si="55"/>
        <v>0</v>
      </c>
      <c r="O367">
        <f t="shared" si="55"/>
        <v>1</v>
      </c>
    </row>
    <row r="368" spans="1:15" x14ac:dyDescent="0.3">
      <c r="A368">
        <v>1</v>
      </c>
      <c r="B368">
        <v>2017</v>
      </c>
      <c r="C368">
        <v>5301</v>
      </c>
      <c r="D368">
        <v>0</v>
      </c>
      <c r="E368">
        <v>6</v>
      </c>
      <c r="F368">
        <v>0.5</v>
      </c>
      <c r="G368">
        <f t="shared" si="54"/>
        <v>0</v>
      </c>
      <c r="H368">
        <f t="shared" si="54"/>
        <v>0</v>
      </c>
      <c r="I368">
        <f t="shared" si="54"/>
        <v>0</v>
      </c>
      <c r="J368">
        <f t="shared" si="54"/>
        <v>0</v>
      </c>
      <c r="K368">
        <f t="shared" si="54"/>
        <v>0</v>
      </c>
      <c r="L368">
        <f t="shared" si="54"/>
        <v>1</v>
      </c>
      <c r="M368">
        <f t="shared" si="55"/>
        <v>1</v>
      </c>
      <c r="N368">
        <f t="shared" si="55"/>
        <v>0</v>
      </c>
      <c r="O368">
        <f t="shared" si="55"/>
        <v>0</v>
      </c>
    </row>
    <row r="369" spans="1:15" x14ac:dyDescent="0.3">
      <c r="A369">
        <v>1</v>
      </c>
      <c r="B369">
        <v>2016</v>
      </c>
      <c r="C369">
        <v>5279</v>
      </c>
      <c r="D369">
        <v>50</v>
      </c>
      <c r="E369">
        <v>123</v>
      </c>
      <c r="F369">
        <v>14.5</v>
      </c>
      <c r="G369">
        <f t="shared" si="54"/>
        <v>0</v>
      </c>
      <c r="H369">
        <f t="shared" si="54"/>
        <v>0</v>
      </c>
      <c r="I369">
        <f t="shared" si="54"/>
        <v>0</v>
      </c>
      <c r="J369">
        <f t="shared" si="54"/>
        <v>0</v>
      </c>
      <c r="K369">
        <f t="shared" si="54"/>
        <v>1</v>
      </c>
      <c r="L369">
        <f t="shared" si="54"/>
        <v>0</v>
      </c>
      <c r="M369">
        <f t="shared" si="55"/>
        <v>1</v>
      </c>
      <c r="N369">
        <f t="shared" si="55"/>
        <v>0</v>
      </c>
      <c r="O369">
        <f t="shared" si="55"/>
        <v>0</v>
      </c>
    </row>
    <row r="370" spans="1:15" x14ac:dyDescent="0.3">
      <c r="A370">
        <v>1</v>
      </c>
      <c r="B370">
        <v>2015</v>
      </c>
      <c r="C370">
        <v>5272</v>
      </c>
      <c r="D370">
        <v>20</v>
      </c>
      <c r="E370">
        <v>24</v>
      </c>
      <c r="F370">
        <v>2</v>
      </c>
      <c r="G370">
        <f t="shared" si="54"/>
        <v>0</v>
      </c>
      <c r="H370">
        <f t="shared" si="54"/>
        <v>0</v>
      </c>
      <c r="I370">
        <f t="shared" si="54"/>
        <v>0</v>
      </c>
      <c r="J370">
        <f t="shared" si="54"/>
        <v>1</v>
      </c>
      <c r="K370">
        <f t="shared" si="54"/>
        <v>0</v>
      </c>
      <c r="L370">
        <f t="shared" si="54"/>
        <v>0</v>
      </c>
      <c r="M370">
        <f t="shared" si="55"/>
        <v>1</v>
      </c>
      <c r="N370">
        <f t="shared" si="55"/>
        <v>0</v>
      </c>
      <c r="O370">
        <f t="shared" si="55"/>
        <v>0</v>
      </c>
    </row>
    <row r="371" spans="1:15" x14ac:dyDescent="0.3">
      <c r="A371">
        <v>4</v>
      </c>
      <c r="B371">
        <v>2016</v>
      </c>
      <c r="C371">
        <v>5263</v>
      </c>
      <c r="D371">
        <v>75</v>
      </c>
      <c r="E371">
        <v>29</v>
      </c>
      <c r="F371">
        <v>2</v>
      </c>
      <c r="G371">
        <f t="shared" si="54"/>
        <v>0</v>
      </c>
      <c r="H371">
        <f t="shared" si="54"/>
        <v>0</v>
      </c>
      <c r="I371">
        <f t="shared" si="54"/>
        <v>0</v>
      </c>
      <c r="J371">
        <f t="shared" si="54"/>
        <v>0</v>
      </c>
      <c r="K371">
        <f t="shared" si="54"/>
        <v>1</v>
      </c>
      <c r="L371">
        <f t="shared" si="54"/>
        <v>0</v>
      </c>
      <c r="M371">
        <f t="shared" si="55"/>
        <v>0</v>
      </c>
      <c r="N371">
        <f t="shared" si="55"/>
        <v>0</v>
      </c>
      <c r="O371">
        <f t="shared" si="55"/>
        <v>1</v>
      </c>
    </row>
    <row r="372" spans="1:15" x14ac:dyDescent="0.3">
      <c r="A372">
        <v>4</v>
      </c>
      <c r="B372">
        <v>2015</v>
      </c>
      <c r="C372">
        <v>5228</v>
      </c>
      <c r="D372">
        <v>20</v>
      </c>
      <c r="E372">
        <v>27</v>
      </c>
      <c r="F372">
        <v>2.5</v>
      </c>
      <c r="G372">
        <f t="shared" ref="G372:L381" si="56">IF($B372=G$1,1,0)</f>
        <v>0</v>
      </c>
      <c r="H372">
        <f t="shared" si="56"/>
        <v>0</v>
      </c>
      <c r="I372">
        <f t="shared" si="56"/>
        <v>0</v>
      </c>
      <c r="J372">
        <f t="shared" si="56"/>
        <v>1</v>
      </c>
      <c r="K372">
        <f t="shared" si="56"/>
        <v>0</v>
      </c>
      <c r="L372">
        <f t="shared" si="56"/>
        <v>0</v>
      </c>
      <c r="M372">
        <f t="shared" si="55"/>
        <v>0</v>
      </c>
      <c r="N372">
        <f t="shared" si="55"/>
        <v>0</v>
      </c>
      <c r="O372">
        <f t="shared" si="55"/>
        <v>1</v>
      </c>
    </row>
    <row r="373" spans="1:15" x14ac:dyDescent="0.3">
      <c r="A373">
        <v>4</v>
      </c>
      <c r="B373">
        <v>2016</v>
      </c>
      <c r="C373">
        <v>5211</v>
      </c>
      <c r="D373">
        <v>200</v>
      </c>
      <c r="E373">
        <v>133</v>
      </c>
      <c r="F373">
        <v>19.5</v>
      </c>
      <c r="G373">
        <f t="shared" si="56"/>
        <v>0</v>
      </c>
      <c r="H373">
        <f t="shared" si="56"/>
        <v>0</v>
      </c>
      <c r="I373">
        <f t="shared" si="56"/>
        <v>0</v>
      </c>
      <c r="J373">
        <f t="shared" si="56"/>
        <v>0</v>
      </c>
      <c r="K373">
        <f t="shared" si="56"/>
        <v>1</v>
      </c>
      <c r="L373">
        <f t="shared" si="56"/>
        <v>0</v>
      </c>
      <c r="M373">
        <f t="shared" si="55"/>
        <v>0</v>
      </c>
      <c r="N373">
        <f t="shared" si="55"/>
        <v>0</v>
      </c>
      <c r="O373">
        <f t="shared" si="55"/>
        <v>1</v>
      </c>
    </row>
    <row r="374" spans="1:15" x14ac:dyDescent="0.3">
      <c r="A374">
        <v>1</v>
      </c>
      <c r="B374">
        <v>2017</v>
      </c>
      <c r="C374">
        <v>5181</v>
      </c>
      <c r="D374">
        <v>0</v>
      </c>
      <c r="E374">
        <v>22</v>
      </c>
      <c r="F374">
        <v>2.5</v>
      </c>
      <c r="G374">
        <f t="shared" si="56"/>
        <v>0</v>
      </c>
      <c r="H374">
        <f t="shared" si="56"/>
        <v>0</v>
      </c>
      <c r="I374">
        <f t="shared" si="56"/>
        <v>0</v>
      </c>
      <c r="J374">
        <f t="shared" si="56"/>
        <v>0</v>
      </c>
      <c r="K374">
        <f t="shared" si="56"/>
        <v>0</v>
      </c>
      <c r="L374">
        <f t="shared" si="56"/>
        <v>1</v>
      </c>
      <c r="M374">
        <f t="shared" si="55"/>
        <v>1</v>
      </c>
      <c r="N374">
        <f t="shared" si="55"/>
        <v>0</v>
      </c>
      <c r="O374">
        <f t="shared" si="55"/>
        <v>0</v>
      </c>
    </row>
    <row r="375" spans="1:15" x14ac:dyDescent="0.3">
      <c r="A375">
        <v>1</v>
      </c>
      <c r="B375">
        <v>2015</v>
      </c>
      <c r="C375">
        <v>5177</v>
      </c>
      <c r="D375">
        <v>95</v>
      </c>
      <c r="E375">
        <v>70</v>
      </c>
      <c r="F375">
        <v>13.5</v>
      </c>
      <c r="G375">
        <f t="shared" si="56"/>
        <v>0</v>
      </c>
      <c r="H375">
        <f t="shared" si="56"/>
        <v>0</v>
      </c>
      <c r="I375">
        <f t="shared" si="56"/>
        <v>0</v>
      </c>
      <c r="J375">
        <f t="shared" si="56"/>
        <v>1</v>
      </c>
      <c r="K375">
        <f t="shared" si="56"/>
        <v>0</v>
      </c>
      <c r="L375">
        <f t="shared" si="56"/>
        <v>0</v>
      </c>
      <c r="M375">
        <f t="shared" si="55"/>
        <v>1</v>
      </c>
      <c r="N375">
        <f t="shared" si="55"/>
        <v>0</v>
      </c>
      <c r="O375">
        <f t="shared" si="55"/>
        <v>0</v>
      </c>
    </row>
    <row r="376" spans="1:15" x14ac:dyDescent="0.3">
      <c r="A376">
        <v>4</v>
      </c>
      <c r="B376">
        <v>2016</v>
      </c>
      <c r="C376">
        <v>5151</v>
      </c>
      <c r="D376">
        <v>110</v>
      </c>
      <c r="E376">
        <v>115</v>
      </c>
      <c r="F376">
        <v>12.5</v>
      </c>
      <c r="G376">
        <f t="shared" si="56"/>
        <v>0</v>
      </c>
      <c r="H376">
        <f t="shared" si="56"/>
        <v>0</v>
      </c>
      <c r="I376">
        <f t="shared" si="56"/>
        <v>0</v>
      </c>
      <c r="J376">
        <f t="shared" si="56"/>
        <v>0</v>
      </c>
      <c r="K376">
        <f t="shared" si="56"/>
        <v>1</v>
      </c>
      <c r="L376">
        <f t="shared" si="56"/>
        <v>0</v>
      </c>
      <c r="M376">
        <f t="shared" si="55"/>
        <v>0</v>
      </c>
      <c r="N376">
        <f t="shared" si="55"/>
        <v>0</v>
      </c>
      <c r="O376">
        <f t="shared" si="55"/>
        <v>1</v>
      </c>
    </row>
    <row r="377" spans="1:15" x14ac:dyDescent="0.3">
      <c r="A377">
        <v>1</v>
      </c>
      <c r="B377">
        <v>2016</v>
      </c>
      <c r="C377">
        <v>5143</v>
      </c>
      <c r="D377">
        <v>50</v>
      </c>
      <c r="E377">
        <v>80</v>
      </c>
      <c r="F377">
        <v>12</v>
      </c>
      <c r="G377">
        <f t="shared" si="56"/>
        <v>0</v>
      </c>
      <c r="H377">
        <f t="shared" si="56"/>
        <v>0</v>
      </c>
      <c r="I377">
        <f t="shared" si="56"/>
        <v>0</v>
      </c>
      <c r="J377">
        <f t="shared" si="56"/>
        <v>0</v>
      </c>
      <c r="K377">
        <f t="shared" si="56"/>
        <v>1</v>
      </c>
      <c r="L377">
        <f t="shared" si="56"/>
        <v>0</v>
      </c>
      <c r="M377">
        <f t="shared" si="55"/>
        <v>1</v>
      </c>
      <c r="N377">
        <f t="shared" si="55"/>
        <v>0</v>
      </c>
      <c r="O377">
        <f t="shared" si="55"/>
        <v>0</v>
      </c>
    </row>
    <row r="378" spans="1:15" x14ac:dyDescent="0.3">
      <c r="A378">
        <v>1</v>
      </c>
      <c r="B378">
        <v>2015</v>
      </c>
      <c r="C378">
        <v>5129</v>
      </c>
      <c r="D378">
        <v>200</v>
      </c>
      <c r="E378">
        <v>35</v>
      </c>
      <c r="F378">
        <v>1.5</v>
      </c>
      <c r="G378">
        <f t="shared" si="56"/>
        <v>0</v>
      </c>
      <c r="H378">
        <f t="shared" si="56"/>
        <v>0</v>
      </c>
      <c r="I378">
        <f t="shared" si="56"/>
        <v>0</v>
      </c>
      <c r="J378">
        <f t="shared" si="56"/>
        <v>1</v>
      </c>
      <c r="K378">
        <f t="shared" si="56"/>
        <v>0</v>
      </c>
      <c r="L378">
        <f t="shared" si="56"/>
        <v>0</v>
      </c>
      <c r="M378">
        <f t="shared" si="55"/>
        <v>1</v>
      </c>
      <c r="N378">
        <f t="shared" si="55"/>
        <v>0</v>
      </c>
      <c r="O378">
        <f t="shared" si="55"/>
        <v>0</v>
      </c>
    </row>
    <row r="379" spans="1:15" x14ac:dyDescent="0.3">
      <c r="A379">
        <v>3</v>
      </c>
      <c r="B379">
        <v>2016</v>
      </c>
      <c r="C379">
        <v>5125</v>
      </c>
      <c r="D379">
        <v>20</v>
      </c>
      <c r="E379">
        <v>53</v>
      </c>
      <c r="F379">
        <v>7</v>
      </c>
      <c r="G379">
        <f t="shared" si="56"/>
        <v>0</v>
      </c>
      <c r="H379">
        <f t="shared" si="56"/>
        <v>0</v>
      </c>
      <c r="I379">
        <f t="shared" si="56"/>
        <v>0</v>
      </c>
      <c r="J379">
        <f t="shared" si="56"/>
        <v>0</v>
      </c>
      <c r="K379">
        <f t="shared" si="56"/>
        <v>1</v>
      </c>
      <c r="L379">
        <f t="shared" si="56"/>
        <v>0</v>
      </c>
      <c r="M379">
        <f t="shared" si="55"/>
        <v>0</v>
      </c>
      <c r="N379">
        <f t="shared" si="55"/>
        <v>0</v>
      </c>
      <c r="O379">
        <f t="shared" si="55"/>
        <v>0</v>
      </c>
    </row>
    <row r="380" spans="1:15" x14ac:dyDescent="0.3">
      <c r="A380">
        <v>1</v>
      </c>
      <c r="B380">
        <v>2015</v>
      </c>
      <c r="C380">
        <v>5117</v>
      </c>
      <c r="D380">
        <v>100</v>
      </c>
      <c r="E380">
        <v>138</v>
      </c>
      <c r="F380">
        <v>14.5</v>
      </c>
      <c r="G380">
        <f t="shared" si="56"/>
        <v>0</v>
      </c>
      <c r="H380">
        <f t="shared" si="56"/>
        <v>0</v>
      </c>
      <c r="I380">
        <f t="shared" si="56"/>
        <v>0</v>
      </c>
      <c r="J380">
        <f t="shared" si="56"/>
        <v>1</v>
      </c>
      <c r="K380">
        <f t="shared" si="56"/>
        <v>0</v>
      </c>
      <c r="L380">
        <f t="shared" si="56"/>
        <v>0</v>
      </c>
      <c r="M380">
        <f t="shared" si="55"/>
        <v>1</v>
      </c>
      <c r="N380">
        <f t="shared" si="55"/>
        <v>0</v>
      </c>
      <c r="O380">
        <f t="shared" si="55"/>
        <v>0</v>
      </c>
    </row>
    <row r="381" spans="1:15" x14ac:dyDescent="0.3">
      <c r="A381">
        <v>1</v>
      </c>
      <c r="B381">
        <v>2016</v>
      </c>
      <c r="C381">
        <v>5097</v>
      </c>
      <c r="D381">
        <v>100</v>
      </c>
      <c r="E381">
        <v>37</v>
      </c>
      <c r="F381">
        <v>2</v>
      </c>
      <c r="G381">
        <f t="shared" si="56"/>
        <v>0</v>
      </c>
      <c r="H381">
        <f t="shared" si="56"/>
        <v>0</v>
      </c>
      <c r="I381">
        <f t="shared" si="56"/>
        <v>0</v>
      </c>
      <c r="J381">
        <f t="shared" si="56"/>
        <v>0</v>
      </c>
      <c r="K381">
        <f t="shared" si="56"/>
        <v>1</v>
      </c>
      <c r="L381">
        <f t="shared" si="56"/>
        <v>0</v>
      </c>
      <c r="M381">
        <f t="shared" si="55"/>
        <v>1</v>
      </c>
      <c r="N381">
        <f t="shared" si="55"/>
        <v>0</v>
      </c>
      <c r="O381">
        <f t="shared" si="55"/>
        <v>0</v>
      </c>
    </row>
    <row r="382" spans="1:15" x14ac:dyDescent="0.3">
      <c r="A382">
        <v>4</v>
      </c>
      <c r="B382">
        <v>2015</v>
      </c>
      <c r="C382">
        <v>5089</v>
      </c>
      <c r="D382">
        <v>100</v>
      </c>
      <c r="E382">
        <v>29</v>
      </c>
      <c r="F382">
        <v>3.5</v>
      </c>
      <c r="G382">
        <f t="shared" ref="G382:L391" si="57">IF($B382=G$1,1,0)</f>
        <v>0</v>
      </c>
      <c r="H382">
        <f t="shared" si="57"/>
        <v>0</v>
      </c>
      <c r="I382">
        <f t="shared" si="57"/>
        <v>0</v>
      </c>
      <c r="J382">
        <f t="shared" si="57"/>
        <v>1</v>
      </c>
      <c r="K382">
        <f t="shared" si="57"/>
        <v>0</v>
      </c>
      <c r="L382">
        <f t="shared" si="57"/>
        <v>0</v>
      </c>
      <c r="M382">
        <f t="shared" ref="M382:O401" si="58">IF($A382=M$1,1,0)</f>
        <v>0</v>
      </c>
      <c r="N382">
        <f t="shared" si="58"/>
        <v>0</v>
      </c>
      <c r="O382">
        <f t="shared" si="58"/>
        <v>1</v>
      </c>
    </row>
    <row r="383" spans="1:15" x14ac:dyDescent="0.3">
      <c r="A383">
        <v>4</v>
      </c>
      <c r="B383">
        <v>2014</v>
      </c>
      <c r="C383">
        <v>5085</v>
      </c>
      <c r="D383">
        <v>195</v>
      </c>
      <c r="E383">
        <v>27</v>
      </c>
      <c r="F383">
        <v>6.5</v>
      </c>
      <c r="G383">
        <f t="shared" si="57"/>
        <v>0</v>
      </c>
      <c r="H383">
        <f t="shared" si="57"/>
        <v>0</v>
      </c>
      <c r="I383">
        <f t="shared" si="57"/>
        <v>1</v>
      </c>
      <c r="J383">
        <f t="shared" si="57"/>
        <v>0</v>
      </c>
      <c r="K383">
        <f t="shared" si="57"/>
        <v>0</v>
      </c>
      <c r="L383">
        <f t="shared" si="57"/>
        <v>0</v>
      </c>
      <c r="M383">
        <f t="shared" si="58"/>
        <v>0</v>
      </c>
      <c r="N383">
        <f t="shared" si="58"/>
        <v>0</v>
      </c>
      <c r="O383">
        <f t="shared" si="58"/>
        <v>1</v>
      </c>
    </row>
    <row r="384" spans="1:15" x14ac:dyDescent="0.3">
      <c r="A384">
        <v>4</v>
      </c>
      <c r="B384">
        <v>2015</v>
      </c>
      <c r="C384">
        <v>5077</v>
      </c>
      <c r="D384">
        <v>45</v>
      </c>
      <c r="E384">
        <v>66</v>
      </c>
      <c r="F384">
        <v>3.5</v>
      </c>
      <c r="G384">
        <f t="shared" si="57"/>
        <v>0</v>
      </c>
      <c r="H384">
        <f t="shared" si="57"/>
        <v>0</v>
      </c>
      <c r="I384">
        <f t="shared" si="57"/>
        <v>0</v>
      </c>
      <c r="J384">
        <f t="shared" si="57"/>
        <v>1</v>
      </c>
      <c r="K384">
        <f t="shared" si="57"/>
        <v>0</v>
      </c>
      <c r="L384">
        <f t="shared" si="57"/>
        <v>0</v>
      </c>
      <c r="M384">
        <f t="shared" si="58"/>
        <v>0</v>
      </c>
      <c r="N384">
        <f t="shared" si="58"/>
        <v>0</v>
      </c>
      <c r="O384">
        <f t="shared" si="58"/>
        <v>1</v>
      </c>
    </row>
    <row r="385" spans="1:15" x14ac:dyDescent="0.3">
      <c r="A385">
        <v>4</v>
      </c>
      <c r="B385">
        <v>2015</v>
      </c>
      <c r="C385">
        <v>5065</v>
      </c>
      <c r="D385">
        <v>95</v>
      </c>
      <c r="E385">
        <v>12</v>
      </c>
      <c r="F385">
        <v>0.53333333000000005</v>
      </c>
      <c r="G385">
        <f t="shared" si="57"/>
        <v>0</v>
      </c>
      <c r="H385">
        <f t="shared" si="57"/>
        <v>0</v>
      </c>
      <c r="I385">
        <f t="shared" si="57"/>
        <v>0</v>
      </c>
      <c r="J385">
        <f t="shared" si="57"/>
        <v>1</v>
      </c>
      <c r="K385">
        <f t="shared" si="57"/>
        <v>0</v>
      </c>
      <c r="L385">
        <f t="shared" si="57"/>
        <v>0</v>
      </c>
      <c r="M385">
        <f t="shared" si="58"/>
        <v>0</v>
      </c>
      <c r="N385">
        <f t="shared" si="58"/>
        <v>0</v>
      </c>
      <c r="O385">
        <f t="shared" si="58"/>
        <v>1</v>
      </c>
    </row>
    <row r="386" spans="1:15" x14ac:dyDescent="0.3">
      <c r="A386">
        <v>4</v>
      </c>
      <c r="B386">
        <v>2014</v>
      </c>
      <c r="C386">
        <v>5056</v>
      </c>
      <c r="D386">
        <v>20</v>
      </c>
      <c r="E386">
        <v>11</v>
      </c>
      <c r="F386">
        <v>2</v>
      </c>
      <c r="G386">
        <f t="shared" si="57"/>
        <v>0</v>
      </c>
      <c r="H386">
        <f t="shared" si="57"/>
        <v>0</v>
      </c>
      <c r="I386">
        <f t="shared" si="57"/>
        <v>1</v>
      </c>
      <c r="J386">
        <f t="shared" si="57"/>
        <v>0</v>
      </c>
      <c r="K386">
        <f t="shared" si="57"/>
        <v>0</v>
      </c>
      <c r="L386">
        <f t="shared" si="57"/>
        <v>0</v>
      </c>
      <c r="M386">
        <f t="shared" si="58"/>
        <v>0</v>
      </c>
      <c r="N386">
        <f t="shared" si="58"/>
        <v>0</v>
      </c>
      <c r="O386">
        <f t="shared" si="58"/>
        <v>1</v>
      </c>
    </row>
    <row r="387" spans="1:15" x14ac:dyDescent="0.3">
      <c r="A387">
        <v>2</v>
      </c>
      <c r="B387">
        <v>2014</v>
      </c>
      <c r="C387">
        <v>5052</v>
      </c>
      <c r="D387">
        <v>0</v>
      </c>
      <c r="E387">
        <v>23</v>
      </c>
      <c r="F387">
        <v>1.5</v>
      </c>
      <c r="G387">
        <f t="shared" si="57"/>
        <v>0</v>
      </c>
      <c r="H387">
        <f t="shared" si="57"/>
        <v>0</v>
      </c>
      <c r="I387">
        <f t="shared" si="57"/>
        <v>1</v>
      </c>
      <c r="J387">
        <f t="shared" si="57"/>
        <v>0</v>
      </c>
      <c r="K387">
        <f t="shared" si="57"/>
        <v>0</v>
      </c>
      <c r="L387">
        <f t="shared" si="57"/>
        <v>0</v>
      </c>
      <c r="M387">
        <f t="shared" si="58"/>
        <v>0</v>
      </c>
      <c r="N387">
        <f t="shared" si="58"/>
        <v>1</v>
      </c>
      <c r="O387">
        <f t="shared" si="58"/>
        <v>0</v>
      </c>
    </row>
    <row r="388" spans="1:15" x14ac:dyDescent="0.3">
      <c r="A388">
        <v>2</v>
      </c>
      <c r="B388">
        <v>2017</v>
      </c>
      <c r="C388">
        <v>5026</v>
      </c>
      <c r="D388">
        <v>80</v>
      </c>
      <c r="E388">
        <v>43</v>
      </c>
      <c r="F388">
        <v>3</v>
      </c>
      <c r="G388">
        <f t="shared" si="57"/>
        <v>0</v>
      </c>
      <c r="H388">
        <f t="shared" si="57"/>
        <v>0</v>
      </c>
      <c r="I388">
        <f t="shared" si="57"/>
        <v>0</v>
      </c>
      <c r="J388">
        <f t="shared" si="57"/>
        <v>0</v>
      </c>
      <c r="K388">
        <f t="shared" si="57"/>
        <v>0</v>
      </c>
      <c r="L388">
        <f t="shared" si="57"/>
        <v>1</v>
      </c>
      <c r="M388">
        <f t="shared" si="58"/>
        <v>0</v>
      </c>
      <c r="N388">
        <f t="shared" si="58"/>
        <v>1</v>
      </c>
      <c r="O388">
        <f t="shared" si="58"/>
        <v>0</v>
      </c>
    </row>
    <row r="389" spans="1:15" x14ac:dyDescent="0.3">
      <c r="A389">
        <v>1</v>
      </c>
      <c r="B389">
        <v>2016</v>
      </c>
      <c r="C389">
        <v>5022</v>
      </c>
      <c r="D389">
        <v>75</v>
      </c>
      <c r="E389">
        <v>13</v>
      </c>
      <c r="F389">
        <v>1</v>
      </c>
      <c r="G389">
        <f t="shared" si="57"/>
        <v>0</v>
      </c>
      <c r="H389">
        <f t="shared" si="57"/>
        <v>0</v>
      </c>
      <c r="I389">
        <f t="shared" si="57"/>
        <v>0</v>
      </c>
      <c r="J389">
        <f t="shared" si="57"/>
        <v>0</v>
      </c>
      <c r="K389">
        <f t="shared" si="57"/>
        <v>1</v>
      </c>
      <c r="L389">
        <f t="shared" si="57"/>
        <v>0</v>
      </c>
      <c r="M389">
        <f t="shared" si="58"/>
        <v>1</v>
      </c>
      <c r="N389">
        <f t="shared" si="58"/>
        <v>0</v>
      </c>
      <c r="O389">
        <f t="shared" si="58"/>
        <v>0</v>
      </c>
    </row>
    <row r="390" spans="1:15" x14ac:dyDescent="0.3">
      <c r="A390">
        <v>2</v>
      </c>
      <c r="B390">
        <v>2015</v>
      </c>
      <c r="C390">
        <v>5014</v>
      </c>
      <c r="D390">
        <v>0</v>
      </c>
      <c r="E390">
        <v>32</v>
      </c>
      <c r="F390">
        <v>3</v>
      </c>
      <c r="G390">
        <f t="shared" si="57"/>
        <v>0</v>
      </c>
      <c r="H390">
        <f t="shared" si="57"/>
        <v>0</v>
      </c>
      <c r="I390">
        <f t="shared" si="57"/>
        <v>0</v>
      </c>
      <c r="J390">
        <f t="shared" si="57"/>
        <v>1</v>
      </c>
      <c r="K390">
        <f t="shared" si="57"/>
        <v>0</v>
      </c>
      <c r="L390">
        <f t="shared" si="57"/>
        <v>0</v>
      </c>
      <c r="M390">
        <f t="shared" si="58"/>
        <v>0</v>
      </c>
      <c r="N390">
        <f t="shared" si="58"/>
        <v>1</v>
      </c>
      <c r="O390">
        <f t="shared" si="58"/>
        <v>0</v>
      </c>
    </row>
    <row r="391" spans="1:15" x14ac:dyDescent="0.3">
      <c r="A391">
        <v>4</v>
      </c>
      <c r="B391">
        <v>2015</v>
      </c>
      <c r="C391">
        <v>5004</v>
      </c>
      <c r="D391">
        <v>0</v>
      </c>
      <c r="E391">
        <v>21</v>
      </c>
      <c r="F391">
        <v>3</v>
      </c>
      <c r="G391">
        <f t="shared" si="57"/>
        <v>0</v>
      </c>
      <c r="H391">
        <f t="shared" si="57"/>
        <v>0</v>
      </c>
      <c r="I391">
        <f t="shared" si="57"/>
        <v>0</v>
      </c>
      <c r="J391">
        <f t="shared" si="57"/>
        <v>1</v>
      </c>
      <c r="K391">
        <f t="shared" si="57"/>
        <v>0</v>
      </c>
      <c r="L391">
        <f t="shared" si="57"/>
        <v>0</v>
      </c>
      <c r="M391">
        <f t="shared" si="58"/>
        <v>0</v>
      </c>
      <c r="N391">
        <f t="shared" si="58"/>
        <v>0</v>
      </c>
      <c r="O391">
        <f t="shared" si="58"/>
        <v>1</v>
      </c>
    </row>
    <row r="392" spans="1:15" x14ac:dyDescent="0.3">
      <c r="A392">
        <v>1</v>
      </c>
      <c r="B392">
        <v>2014</v>
      </c>
      <c r="C392">
        <v>4957</v>
      </c>
      <c r="D392">
        <v>90</v>
      </c>
      <c r="E392">
        <v>60</v>
      </c>
      <c r="F392">
        <v>5.5</v>
      </c>
      <c r="G392">
        <f t="shared" ref="G392:L401" si="59">IF($B392=G$1,1,0)</f>
        <v>0</v>
      </c>
      <c r="H392">
        <f t="shared" si="59"/>
        <v>0</v>
      </c>
      <c r="I392">
        <f t="shared" si="59"/>
        <v>1</v>
      </c>
      <c r="J392">
        <f t="shared" si="59"/>
        <v>0</v>
      </c>
      <c r="K392">
        <f t="shared" si="59"/>
        <v>0</v>
      </c>
      <c r="L392">
        <f t="shared" si="59"/>
        <v>0</v>
      </c>
      <c r="M392">
        <f t="shared" si="58"/>
        <v>1</v>
      </c>
      <c r="N392">
        <f t="shared" si="58"/>
        <v>0</v>
      </c>
      <c r="O392">
        <f t="shared" si="58"/>
        <v>0</v>
      </c>
    </row>
    <row r="393" spans="1:15" x14ac:dyDescent="0.3">
      <c r="A393">
        <v>1</v>
      </c>
      <c r="B393">
        <v>2016</v>
      </c>
      <c r="C393">
        <v>4905</v>
      </c>
      <c r="D393">
        <v>0</v>
      </c>
      <c r="E393">
        <v>13</v>
      </c>
      <c r="F393">
        <v>1</v>
      </c>
      <c r="G393">
        <f t="shared" si="59"/>
        <v>0</v>
      </c>
      <c r="H393">
        <f t="shared" si="59"/>
        <v>0</v>
      </c>
      <c r="I393">
        <f t="shared" si="59"/>
        <v>0</v>
      </c>
      <c r="J393">
        <f t="shared" si="59"/>
        <v>0</v>
      </c>
      <c r="K393">
        <f t="shared" si="59"/>
        <v>1</v>
      </c>
      <c r="L393">
        <f t="shared" si="59"/>
        <v>0</v>
      </c>
      <c r="M393">
        <f t="shared" si="58"/>
        <v>1</v>
      </c>
      <c r="N393">
        <f t="shared" si="58"/>
        <v>0</v>
      </c>
      <c r="O393">
        <f t="shared" si="58"/>
        <v>0</v>
      </c>
    </row>
    <row r="394" spans="1:15" x14ac:dyDescent="0.3">
      <c r="A394">
        <v>1</v>
      </c>
      <c r="B394">
        <v>2016</v>
      </c>
      <c r="C394">
        <v>4892</v>
      </c>
      <c r="D394">
        <v>50</v>
      </c>
      <c r="E394">
        <v>32</v>
      </c>
      <c r="F394">
        <v>2</v>
      </c>
      <c r="G394">
        <f t="shared" si="59"/>
        <v>0</v>
      </c>
      <c r="H394">
        <f t="shared" si="59"/>
        <v>0</v>
      </c>
      <c r="I394">
        <f t="shared" si="59"/>
        <v>0</v>
      </c>
      <c r="J394">
        <f t="shared" si="59"/>
        <v>0</v>
      </c>
      <c r="K394">
        <f t="shared" si="59"/>
        <v>1</v>
      </c>
      <c r="L394">
        <f t="shared" si="59"/>
        <v>0</v>
      </c>
      <c r="M394">
        <f t="shared" si="58"/>
        <v>1</v>
      </c>
      <c r="N394">
        <f t="shared" si="58"/>
        <v>0</v>
      </c>
      <c r="O394">
        <f t="shared" si="58"/>
        <v>0</v>
      </c>
    </row>
    <row r="395" spans="1:15" x14ac:dyDescent="0.3">
      <c r="A395">
        <v>4</v>
      </c>
      <c r="B395">
        <v>2017</v>
      </c>
      <c r="C395">
        <v>4872</v>
      </c>
      <c r="D395">
        <v>65</v>
      </c>
      <c r="E395">
        <v>171</v>
      </c>
      <c r="F395">
        <v>19</v>
      </c>
      <c r="G395">
        <f t="shared" si="59"/>
        <v>0</v>
      </c>
      <c r="H395">
        <f t="shared" si="59"/>
        <v>0</v>
      </c>
      <c r="I395">
        <f t="shared" si="59"/>
        <v>0</v>
      </c>
      <c r="J395">
        <f t="shared" si="59"/>
        <v>0</v>
      </c>
      <c r="K395">
        <f t="shared" si="59"/>
        <v>0</v>
      </c>
      <c r="L395">
        <f t="shared" si="59"/>
        <v>1</v>
      </c>
      <c r="M395">
        <f t="shared" si="58"/>
        <v>0</v>
      </c>
      <c r="N395">
        <f t="shared" si="58"/>
        <v>0</v>
      </c>
      <c r="O395">
        <f t="shared" si="58"/>
        <v>1</v>
      </c>
    </row>
    <row r="396" spans="1:15" x14ac:dyDescent="0.3">
      <c r="A396">
        <v>4</v>
      </c>
      <c r="B396">
        <v>2016</v>
      </c>
      <c r="C396">
        <v>4867</v>
      </c>
      <c r="D396">
        <v>20</v>
      </c>
      <c r="E396">
        <v>12</v>
      </c>
      <c r="F396">
        <v>1</v>
      </c>
      <c r="G396">
        <f t="shared" si="59"/>
        <v>0</v>
      </c>
      <c r="H396">
        <f t="shared" si="59"/>
        <v>0</v>
      </c>
      <c r="I396">
        <f t="shared" si="59"/>
        <v>0</v>
      </c>
      <c r="J396">
        <f t="shared" si="59"/>
        <v>0</v>
      </c>
      <c r="K396">
        <f t="shared" si="59"/>
        <v>1</v>
      </c>
      <c r="L396">
        <f t="shared" si="59"/>
        <v>0</v>
      </c>
      <c r="M396">
        <f t="shared" si="58"/>
        <v>0</v>
      </c>
      <c r="N396">
        <f t="shared" si="58"/>
        <v>0</v>
      </c>
      <c r="O396">
        <f t="shared" si="58"/>
        <v>1</v>
      </c>
    </row>
    <row r="397" spans="1:15" x14ac:dyDescent="0.3">
      <c r="A397">
        <v>1</v>
      </c>
      <c r="B397">
        <v>2016</v>
      </c>
      <c r="C397">
        <v>4848</v>
      </c>
      <c r="D397">
        <v>20</v>
      </c>
      <c r="E397">
        <v>17</v>
      </c>
      <c r="F397">
        <v>1.5</v>
      </c>
      <c r="G397">
        <f t="shared" si="59"/>
        <v>0</v>
      </c>
      <c r="H397">
        <f t="shared" si="59"/>
        <v>0</v>
      </c>
      <c r="I397">
        <f t="shared" si="59"/>
        <v>0</v>
      </c>
      <c r="J397">
        <f t="shared" si="59"/>
        <v>0</v>
      </c>
      <c r="K397">
        <f t="shared" si="59"/>
        <v>1</v>
      </c>
      <c r="L397">
        <f t="shared" si="59"/>
        <v>0</v>
      </c>
      <c r="M397">
        <f t="shared" si="58"/>
        <v>1</v>
      </c>
      <c r="N397">
        <f t="shared" si="58"/>
        <v>0</v>
      </c>
      <c r="O397">
        <f t="shared" si="58"/>
        <v>0</v>
      </c>
    </row>
    <row r="398" spans="1:15" x14ac:dyDescent="0.3">
      <c r="A398">
        <v>4</v>
      </c>
      <c r="B398">
        <v>2017</v>
      </c>
      <c r="C398">
        <v>4848</v>
      </c>
      <c r="D398">
        <v>30</v>
      </c>
      <c r="E398">
        <v>123</v>
      </c>
      <c r="F398">
        <v>16.5</v>
      </c>
      <c r="G398">
        <f t="shared" si="59"/>
        <v>0</v>
      </c>
      <c r="H398">
        <f t="shared" si="59"/>
        <v>0</v>
      </c>
      <c r="I398">
        <f t="shared" si="59"/>
        <v>0</v>
      </c>
      <c r="J398">
        <f t="shared" si="59"/>
        <v>0</v>
      </c>
      <c r="K398">
        <f t="shared" si="59"/>
        <v>0</v>
      </c>
      <c r="L398">
        <f t="shared" si="59"/>
        <v>1</v>
      </c>
      <c r="M398">
        <f t="shared" si="58"/>
        <v>0</v>
      </c>
      <c r="N398">
        <f t="shared" si="58"/>
        <v>0</v>
      </c>
      <c r="O398">
        <f t="shared" si="58"/>
        <v>1</v>
      </c>
    </row>
    <row r="399" spans="1:15" x14ac:dyDescent="0.3">
      <c r="A399">
        <v>1</v>
      </c>
      <c r="B399">
        <v>2015</v>
      </c>
      <c r="C399">
        <v>4839</v>
      </c>
      <c r="D399">
        <v>35</v>
      </c>
      <c r="E399">
        <v>84</v>
      </c>
      <c r="F399">
        <v>4</v>
      </c>
      <c r="G399">
        <f t="shared" si="59"/>
        <v>0</v>
      </c>
      <c r="H399">
        <f t="shared" si="59"/>
        <v>0</v>
      </c>
      <c r="I399">
        <f t="shared" si="59"/>
        <v>0</v>
      </c>
      <c r="J399">
        <f t="shared" si="59"/>
        <v>1</v>
      </c>
      <c r="K399">
        <f t="shared" si="59"/>
        <v>0</v>
      </c>
      <c r="L399">
        <f t="shared" si="59"/>
        <v>0</v>
      </c>
      <c r="M399">
        <f t="shared" si="58"/>
        <v>1</v>
      </c>
      <c r="N399">
        <f t="shared" si="58"/>
        <v>0</v>
      </c>
      <c r="O399">
        <f t="shared" si="58"/>
        <v>0</v>
      </c>
    </row>
    <row r="400" spans="1:15" x14ac:dyDescent="0.3">
      <c r="A400">
        <v>1</v>
      </c>
      <c r="B400">
        <v>2015</v>
      </c>
      <c r="C400">
        <v>4830</v>
      </c>
      <c r="D400">
        <v>0</v>
      </c>
      <c r="E400">
        <v>7</v>
      </c>
      <c r="F400">
        <v>0.53333333000000005</v>
      </c>
      <c r="G400">
        <f t="shared" si="59"/>
        <v>0</v>
      </c>
      <c r="H400">
        <f t="shared" si="59"/>
        <v>0</v>
      </c>
      <c r="I400">
        <f t="shared" si="59"/>
        <v>0</v>
      </c>
      <c r="J400">
        <f t="shared" si="59"/>
        <v>1</v>
      </c>
      <c r="K400">
        <f t="shared" si="59"/>
        <v>0</v>
      </c>
      <c r="L400">
        <f t="shared" si="59"/>
        <v>0</v>
      </c>
      <c r="M400">
        <f t="shared" si="58"/>
        <v>1</v>
      </c>
      <c r="N400">
        <f t="shared" si="58"/>
        <v>0</v>
      </c>
      <c r="O400">
        <f t="shared" si="58"/>
        <v>0</v>
      </c>
    </row>
    <row r="401" spans="1:15" x14ac:dyDescent="0.3">
      <c r="A401">
        <v>4</v>
      </c>
      <c r="B401">
        <v>2015</v>
      </c>
      <c r="C401">
        <v>4820</v>
      </c>
      <c r="D401">
        <v>75</v>
      </c>
      <c r="E401">
        <v>53</v>
      </c>
      <c r="F401">
        <v>11.5</v>
      </c>
      <c r="G401">
        <f t="shared" si="59"/>
        <v>0</v>
      </c>
      <c r="H401">
        <f t="shared" si="59"/>
        <v>0</v>
      </c>
      <c r="I401">
        <f t="shared" si="59"/>
        <v>0</v>
      </c>
      <c r="J401">
        <f t="shared" si="59"/>
        <v>1</v>
      </c>
      <c r="K401">
        <f t="shared" si="59"/>
        <v>0</v>
      </c>
      <c r="L401">
        <f t="shared" si="59"/>
        <v>0</v>
      </c>
      <c r="M401">
        <f t="shared" si="58"/>
        <v>0</v>
      </c>
      <c r="N401">
        <f t="shared" si="58"/>
        <v>0</v>
      </c>
      <c r="O401">
        <f t="shared" si="58"/>
        <v>1</v>
      </c>
    </row>
    <row r="402" spans="1:15" x14ac:dyDescent="0.3">
      <c r="A402">
        <v>4</v>
      </c>
      <c r="B402">
        <v>2015</v>
      </c>
      <c r="C402">
        <v>4797</v>
      </c>
      <c r="D402">
        <v>65</v>
      </c>
      <c r="E402">
        <v>11</v>
      </c>
      <c r="F402">
        <v>1</v>
      </c>
      <c r="G402">
        <f t="shared" ref="G402:L411" si="60">IF($B402=G$1,1,0)</f>
        <v>0</v>
      </c>
      <c r="H402">
        <f t="shared" si="60"/>
        <v>0</v>
      </c>
      <c r="I402">
        <f t="shared" si="60"/>
        <v>0</v>
      </c>
      <c r="J402">
        <f t="shared" si="60"/>
        <v>1</v>
      </c>
      <c r="K402">
        <f t="shared" si="60"/>
        <v>0</v>
      </c>
      <c r="L402">
        <f t="shared" si="60"/>
        <v>0</v>
      </c>
      <c r="M402">
        <f t="shared" ref="M402:O421" si="61">IF($A402=M$1,1,0)</f>
        <v>0</v>
      </c>
      <c r="N402">
        <f t="shared" si="61"/>
        <v>0</v>
      </c>
      <c r="O402">
        <f t="shared" si="61"/>
        <v>1</v>
      </c>
    </row>
    <row r="403" spans="1:15" x14ac:dyDescent="0.3">
      <c r="A403">
        <v>4</v>
      </c>
      <c r="B403">
        <v>2017</v>
      </c>
      <c r="C403">
        <v>4783</v>
      </c>
      <c r="D403">
        <v>175</v>
      </c>
      <c r="E403">
        <v>48</v>
      </c>
      <c r="F403">
        <v>7</v>
      </c>
      <c r="G403">
        <f t="shared" si="60"/>
        <v>0</v>
      </c>
      <c r="H403">
        <f t="shared" si="60"/>
        <v>0</v>
      </c>
      <c r="I403">
        <f t="shared" si="60"/>
        <v>0</v>
      </c>
      <c r="J403">
        <f t="shared" si="60"/>
        <v>0</v>
      </c>
      <c r="K403">
        <f t="shared" si="60"/>
        <v>0</v>
      </c>
      <c r="L403">
        <f t="shared" si="60"/>
        <v>1</v>
      </c>
      <c r="M403">
        <f t="shared" si="61"/>
        <v>0</v>
      </c>
      <c r="N403">
        <f t="shared" si="61"/>
        <v>0</v>
      </c>
      <c r="O403">
        <f t="shared" si="61"/>
        <v>1</v>
      </c>
    </row>
    <row r="404" spans="1:15" x14ac:dyDescent="0.3">
      <c r="A404">
        <v>4</v>
      </c>
      <c r="B404">
        <v>2013</v>
      </c>
      <c r="C404">
        <v>4743</v>
      </c>
      <c r="D404">
        <v>75</v>
      </c>
      <c r="E404">
        <v>28</v>
      </c>
      <c r="F404">
        <v>3</v>
      </c>
      <c r="G404">
        <f t="shared" si="60"/>
        <v>0</v>
      </c>
      <c r="H404">
        <f t="shared" si="60"/>
        <v>1</v>
      </c>
      <c r="I404">
        <f t="shared" si="60"/>
        <v>0</v>
      </c>
      <c r="J404">
        <f t="shared" si="60"/>
        <v>0</v>
      </c>
      <c r="K404">
        <f t="shared" si="60"/>
        <v>0</v>
      </c>
      <c r="L404">
        <f t="shared" si="60"/>
        <v>0</v>
      </c>
      <c r="M404">
        <f t="shared" si="61"/>
        <v>0</v>
      </c>
      <c r="N404">
        <f t="shared" si="61"/>
        <v>0</v>
      </c>
      <c r="O404">
        <f t="shared" si="61"/>
        <v>1</v>
      </c>
    </row>
    <row r="405" spans="1:15" x14ac:dyDescent="0.3">
      <c r="A405">
        <v>2</v>
      </c>
      <c r="B405">
        <v>2016</v>
      </c>
      <c r="C405">
        <v>4735</v>
      </c>
      <c r="D405">
        <v>0</v>
      </c>
      <c r="E405">
        <v>69</v>
      </c>
      <c r="F405">
        <v>5</v>
      </c>
      <c r="G405">
        <f t="shared" si="60"/>
        <v>0</v>
      </c>
      <c r="H405">
        <f t="shared" si="60"/>
        <v>0</v>
      </c>
      <c r="I405">
        <f t="shared" si="60"/>
        <v>0</v>
      </c>
      <c r="J405">
        <f t="shared" si="60"/>
        <v>0</v>
      </c>
      <c r="K405">
        <f t="shared" si="60"/>
        <v>1</v>
      </c>
      <c r="L405">
        <f t="shared" si="60"/>
        <v>0</v>
      </c>
      <c r="M405">
        <f t="shared" si="61"/>
        <v>0</v>
      </c>
      <c r="N405">
        <f t="shared" si="61"/>
        <v>1</v>
      </c>
      <c r="O405">
        <f t="shared" si="61"/>
        <v>0</v>
      </c>
    </row>
    <row r="406" spans="1:15" x14ac:dyDescent="0.3">
      <c r="A406">
        <v>4</v>
      </c>
      <c r="B406">
        <v>2015</v>
      </c>
      <c r="C406">
        <v>4732</v>
      </c>
      <c r="D406">
        <v>50</v>
      </c>
      <c r="E406">
        <v>14</v>
      </c>
      <c r="F406">
        <v>2</v>
      </c>
      <c r="G406">
        <f t="shared" si="60"/>
        <v>0</v>
      </c>
      <c r="H406">
        <f t="shared" si="60"/>
        <v>0</v>
      </c>
      <c r="I406">
        <f t="shared" si="60"/>
        <v>0</v>
      </c>
      <c r="J406">
        <f t="shared" si="60"/>
        <v>1</v>
      </c>
      <c r="K406">
        <f t="shared" si="60"/>
        <v>0</v>
      </c>
      <c r="L406">
        <f t="shared" si="60"/>
        <v>0</v>
      </c>
      <c r="M406">
        <f t="shared" si="61"/>
        <v>0</v>
      </c>
      <c r="N406">
        <f t="shared" si="61"/>
        <v>0</v>
      </c>
      <c r="O406">
        <f t="shared" si="61"/>
        <v>1</v>
      </c>
    </row>
    <row r="407" spans="1:15" x14ac:dyDescent="0.3">
      <c r="A407">
        <v>1</v>
      </c>
      <c r="B407">
        <v>2016</v>
      </c>
      <c r="C407">
        <v>4720</v>
      </c>
      <c r="D407">
        <v>110</v>
      </c>
      <c r="E407">
        <v>126</v>
      </c>
      <c r="F407">
        <v>7.5</v>
      </c>
      <c r="G407">
        <f t="shared" si="60"/>
        <v>0</v>
      </c>
      <c r="H407">
        <f t="shared" si="60"/>
        <v>0</v>
      </c>
      <c r="I407">
        <f t="shared" si="60"/>
        <v>0</v>
      </c>
      <c r="J407">
        <f t="shared" si="60"/>
        <v>0</v>
      </c>
      <c r="K407">
        <f t="shared" si="60"/>
        <v>1</v>
      </c>
      <c r="L407">
        <f t="shared" si="60"/>
        <v>0</v>
      </c>
      <c r="M407">
        <f t="shared" si="61"/>
        <v>1</v>
      </c>
      <c r="N407">
        <f t="shared" si="61"/>
        <v>0</v>
      </c>
      <c r="O407">
        <f t="shared" si="61"/>
        <v>0</v>
      </c>
    </row>
    <row r="408" spans="1:15" x14ac:dyDescent="0.3">
      <c r="A408">
        <v>1</v>
      </c>
      <c r="B408">
        <v>2015</v>
      </c>
      <c r="C408">
        <v>4714</v>
      </c>
      <c r="D408">
        <v>200</v>
      </c>
      <c r="E408">
        <v>28</v>
      </c>
      <c r="F408">
        <v>4</v>
      </c>
      <c r="G408">
        <f t="shared" si="60"/>
        <v>0</v>
      </c>
      <c r="H408">
        <f t="shared" si="60"/>
        <v>0</v>
      </c>
      <c r="I408">
        <f t="shared" si="60"/>
        <v>0</v>
      </c>
      <c r="J408">
        <f t="shared" si="60"/>
        <v>1</v>
      </c>
      <c r="K408">
        <f t="shared" si="60"/>
        <v>0</v>
      </c>
      <c r="L408">
        <f t="shared" si="60"/>
        <v>0</v>
      </c>
      <c r="M408">
        <f t="shared" si="61"/>
        <v>1</v>
      </c>
      <c r="N408">
        <f t="shared" si="61"/>
        <v>0</v>
      </c>
      <c r="O408">
        <f t="shared" si="61"/>
        <v>0</v>
      </c>
    </row>
    <row r="409" spans="1:15" x14ac:dyDescent="0.3">
      <c r="A409">
        <v>1</v>
      </c>
      <c r="B409">
        <v>2016</v>
      </c>
      <c r="C409">
        <v>4708</v>
      </c>
      <c r="D409">
        <v>195</v>
      </c>
      <c r="E409">
        <v>18</v>
      </c>
      <c r="F409">
        <v>2.5</v>
      </c>
      <c r="G409">
        <f t="shared" si="60"/>
        <v>0</v>
      </c>
      <c r="H409">
        <f t="shared" si="60"/>
        <v>0</v>
      </c>
      <c r="I409">
        <f t="shared" si="60"/>
        <v>0</v>
      </c>
      <c r="J409">
        <f t="shared" si="60"/>
        <v>0</v>
      </c>
      <c r="K409">
        <f t="shared" si="60"/>
        <v>1</v>
      </c>
      <c r="L409">
        <f t="shared" si="60"/>
        <v>0</v>
      </c>
      <c r="M409">
        <f t="shared" si="61"/>
        <v>1</v>
      </c>
      <c r="N409">
        <f t="shared" si="61"/>
        <v>0</v>
      </c>
      <c r="O409">
        <f t="shared" si="61"/>
        <v>0</v>
      </c>
    </row>
    <row r="410" spans="1:15" x14ac:dyDescent="0.3">
      <c r="A410">
        <v>1</v>
      </c>
      <c r="B410">
        <v>2014</v>
      </c>
      <c r="C410">
        <v>4689</v>
      </c>
      <c r="D410">
        <v>60</v>
      </c>
      <c r="E410">
        <v>54</v>
      </c>
      <c r="F410">
        <v>10</v>
      </c>
      <c r="G410">
        <f t="shared" si="60"/>
        <v>0</v>
      </c>
      <c r="H410">
        <f t="shared" si="60"/>
        <v>0</v>
      </c>
      <c r="I410">
        <f t="shared" si="60"/>
        <v>1</v>
      </c>
      <c r="J410">
        <f t="shared" si="60"/>
        <v>0</v>
      </c>
      <c r="K410">
        <f t="shared" si="60"/>
        <v>0</v>
      </c>
      <c r="L410">
        <f t="shared" si="60"/>
        <v>0</v>
      </c>
      <c r="M410">
        <f t="shared" si="61"/>
        <v>1</v>
      </c>
      <c r="N410">
        <f t="shared" si="61"/>
        <v>0</v>
      </c>
      <c r="O410">
        <f t="shared" si="61"/>
        <v>0</v>
      </c>
    </row>
    <row r="411" spans="1:15" x14ac:dyDescent="0.3">
      <c r="A411">
        <v>4</v>
      </c>
      <c r="B411">
        <v>2017</v>
      </c>
      <c r="C411">
        <v>4687</v>
      </c>
      <c r="D411">
        <v>195</v>
      </c>
      <c r="E411">
        <v>24</v>
      </c>
      <c r="F411">
        <v>4</v>
      </c>
      <c r="G411">
        <f t="shared" si="60"/>
        <v>0</v>
      </c>
      <c r="H411">
        <f t="shared" si="60"/>
        <v>0</v>
      </c>
      <c r="I411">
        <f t="shared" si="60"/>
        <v>0</v>
      </c>
      <c r="J411">
        <f t="shared" si="60"/>
        <v>0</v>
      </c>
      <c r="K411">
        <f t="shared" si="60"/>
        <v>0</v>
      </c>
      <c r="L411">
        <f t="shared" si="60"/>
        <v>1</v>
      </c>
      <c r="M411">
        <f t="shared" si="61"/>
        <v>0</v>
      </c>
      <c r="N411">
        <f t="shared" si="61"/>
        <v>0</v>
      </c>
      <c r="O411">
        <f t="shared" si="61"/>
        <v>1</v>
      </c>
    </row>
    <row r="412" spans="1:15" x14ac:dyDescent="0.3">
      <c r="A412">
        <v>1</v>
      </c>
      <c r="B412">
        <v>2015</v>
      </c>
      <c r="C412">
        <v>4675</v>
      </c>
      <c r="D412">
        <v>95</v>
      </c>
      <c r="E412">
        <v>56</v>
      </c>
      <c r="F412">
        <v>6</v>
      </c>
      <c r="G412">
        <f t="shared" ref="G412:L421" si="62">IF($B412=G$1,1,0)</f>
        <v>0</v>
      </c>
      <c r="H412">
        <f t="shared" si="62"/>
        <v>0</v>
      </c>
      <c r="I412">
        <f t="shared" si="62"/>
        <v>0</v>
      </c>
      <c r="J412">
        <f t="shared" si="62"/>
        <v>1</v>
      </c>
      <c r="K412">
        <f t="shared" si="62"/>
        <v>0</v>
      </c>
      <c r="L412">
        <f t="shared" si="62"/>
        <v>0</v>
      </c>
      <c r="M412">
        <f t="shared" si="61"/>
        <v>1</v>
      </c>
      <c r="N412">
        <f t="shared" si="61"/>
        <v>0</v>
      </c>
      <c r="O412">
        <f t="shared" si="61"/>
        <v>0</v>
      </c>
    </row>
    <row r="413" spans="1:15" x14ac:dyDescent="0.3">
      <c r="A413">
        <v>4</v>
      </c>
      <c r="B413">
        <v>2017</v>
      </c>
      <c r="C413">
        <v>4645</v>
      </c>
      <c r="D413">
        <v>0</v>
      </c>
      <c r="E413">
        <v>19</v>
      </c>
      <c r="F413">
        <v>2</v>
      </c>
      <c r="G413">
        <f t="shared" si="62"/>
        <v>0</v>
      </c>
      <c r="H413">
        <f t="shared" si="62"/>
        <v>0</v>
      </c>
      <c r="I413">
        <f t="shared" si="62"/>
        <v>0</v>
      </c>
      <c r="J413">
        <f t="shared" si="62"/>
        <v>0</v>
      </c>
      <c r="K413">
        <f t="shared" si="62"/>
        <v>0</v>
      </c>
      <c r="L413">
        <f t="shared" si="62"/>
        <v>1</v>
      </c>
      <c r="M413">
        <f t="shared" si="61"/>
        <v>0</v>
      </c>
      <c r="N413">
        <f t="shared" si="61"/>
        <v>0</v>
      </c>
      <c r="O413">
        <f t="shared" si="61"/>
        <v>1</v>
      </c>
    </row>
    <row r="414" spans="1:15" x14ac:dyDescent="0.3">
      <c r="A414">
        <v>2</v>
      </c>
      <c r="B414">
        <v>2015</v>
      </c>
      <c r="C414">
        <v>4628</v>
      </c>
      <c r="D414">
        <v>50</v>
      </c>
      <c r="E414">
        <v>93</v>
      </c>
      <c r="F414">
        <v>12</v>
      </c>
      <c r="G414">
        <f t="shared" si="62"/>
        <v>0</v>
      </c>
      <c r="H414">
        <f t="shared" si="62"/>
        <v>0</v>
      </c>
      <c r="I414">
        <f t="shared" si="62"/>
        <v>0</v>
      </c>
      <c r="J414">
        <f t="shared" si="62"/>
        <v>1</v>
      </c>
      <c r="K414">
        <f t="shared" si="62"/>
        <v>0</v>
      </c>
      <c r="L414">
        <f t="shared" si="62"/>
        <v>0</v>
      </c>
      <c r="M414">
        <f t="shared" si="61"/>
        <v>0</v>
      </c>
      <c r="N414">
        <f t="shared" si="61"/>
        <v>1</v>
      </c>
      <c r="O414">
        <f t="shared" si="61"/>
        <v>0</v>
      </c>
    </row>
    <row r="415" spans="1:15" x14ac:dyDescent="0.3">
      <c r="A415">
        <v>4</v>
      </c>
      <c r="B415">
        <v>2016</v>
      </c>
      <c r="C415">
        <v>4616</v>
      </c>
      <c r="D415">
        <v>80</v>
      </c>
      <c r="E415">
        <v>19</v>
      </c>
      <c r="F415">
        <v>2</v>
      </c>
      <c r="G415">
        <f t="shared" si="62"/>
        <v>0</v>
      </c>
      <c r="H415">
        <f t="shared" si="62"/>
        <v>0</v>
      </c>
      <c r="I415">
        <f t="shared" si="62"/>
        <v>0</v>
      </c>
      <c r="J415">
        <f t="shared" si="62"/>
        <v>0</v>
      </c>
      <c r="K415">
        <f t="shared" si="62"/>
        <v>1</v>
      </c>
      <c r="L415">
        <f t="shared" si="62"/>
        <v>0</v>
      </c>
      <c r="M415">
        <f t="shared" si="61"/>
        <v>0</v>
      </c>
      <c r="N415">
        <f t="shared" si="61"/>
        <v>0</v>
      </c>
      <c r="O415">
        <f t="shared" si="61"/>
        <v>1</v>
      </c>
    </row>
    <row r="416" spans="1:15" x14ac:dyDescent="0.3">
      <c r="A416">
        <v>1</v>
      </c>
      <c r="B416">
        <v>2015</v>
      </c>
      <c r="C416">
        <v>4587</v>
      </c>
      <c r="D416">
        <v>195</v>
      </c>
      <c r="E416">
        <v>49</v>
      </c>
      <c r="F416">
        <v>4</v>
      </c>
      <c r="G416">
        <f t="shared" si="62"/>
        <v>0</v>
      </c>
      <c r="H416">
        <f t="shared" si="62"/>
        <v>0</v>
      </c>
      <c r="I416">
        <f t="shared" si="62"/>
        <v>0</v>
      </c>
      <c r="J416">
        <f t="shared" si="62"/>
        <v>1</v>
      </c>
      <c r="K416">
        <f t="shared" si="62"/>
        <v>0</v>
      </c>
      <c r="L416">
        <f t="shared" si="62"/>
        <v>0</v>
      </c>
      <c r="M416">
        <f t="shared" si="61"/>
        <v>1</v>
      </c>
      <c r="N416">
        <f t="shared" si="61"/>
        <v>0</v>
      </c>
      <c r="O416">
        <f t="shared" si="61"/>
        <v>0</v>
      </c>
    </row>
    <row r="417" spans="1:15" x14ac:dyDescent="0.3">
      <c r="A417">
        <v>4</v>
      </c>
      <c r="B417">
        <v>2017</v>
      </c>
      <c r="C417">
        <v>4569</v>
      </c>
      <c r="D417">
        <v>0</v>
      </c>
      <c r="E417">
        <v>18</v>
      </c>
      <c r="F417">
        <v>1</v>
      </c>
      <c r="G417">
        <f t="shared" si="62"/>
        <v>0</v>
      </c>
      <c r="H417">
        <f t="shared" si="62"/>
        <v>0</v>
      </c>
      <c r="I417">
        <f t="shared" si="62"/>
        <v>0</v>
      </c>
      <c r="J417">
        <f t="shared" si="62"/>
        <v>0</v>
      </c>
      <c r="K417">
        <f t="shared" si="62"/>
        <v>0</v>
      </c>
      <c r="L417">
        <f t="shared" si="62"/>
        <v>1</v>
      </c>
      <c r="M417">
        <f t="shared" si="61"/>
        <v>0</v>
      </c>
      <c r="N417">
        <f t="shared" si="61"/>
        <v>0</v>
      </c>
      <c r="O417">
        <f t="shared" si="61"/>
        <v>1</v>
      </c>
    </row>
    <row r="418" spans="1:15" x14ac:dyDescent="0.3">
      <c r="A418">
        <v>1</v>
      </c>
      <c r="B418">
        <v>2015</v>
      </c>
      <c r="C418">
        <v>4563</v>
      </c>
      <c r="D418">
        <v>100</v>
      </c>
      <c r="E418">
        <v>13</v>
      </c>
      <c r="F418">
        <v>1.5</v>
      </c>
      <c r="G418">
        <f t="shared" si="62"/>
        <v>0</v>
      </c>
      <c r="H418">
        <f t="shared" si="62"/>
        <v>0</v>
      </c>
      <c r="I418">
        <f t="shared" si="62"/>
        <v>0</v>
      </c>
      <c r="J418">
        <f t="shared" si="62"/>
        <v>1</v>
      </c>
      <c r="K418">
        <f t="shared" si="62"/>
        <v>0</v>
      </c>
      <c r="L418">
        <f t="shared" si="62"/>
        <v>0</v>
      </c>
      <c r="M418">
        <f t="shared" si="61"/>
        <v>1</v>
      </c>
      <c r="N418">
        <f t="shared" si="61"/>
        <v>0</v>
      </c>
      <c r="O418">
        <f t="shared" si="61"/>
        <v>0</v>
      </c>
    </row>
    <row r="419" spans="1:15" x14ac:dyDescent="0.3">
      <c r="A419">
        <v>1</v>
      </c>
      <c r="B419">
        <v>2015</v>
      </c>
      <c r="C419">
        <v>4537</v>
      </c>
      <c r="D419">
        <v>100</v>
      </c>
      <c r="E419">
        <v>49</v>
      </c>
      <c r="F419">
        <v>9</v>
      </c>
      <c r="G419">
        <f t="shared" si="62"/>
        <v>0</v>
      </c>
      <c r="H419">
        <f t="shared" si="62"/>
        <v>0</v>
      </c>
      <c r="I419">
        <f t="shared" si="62"/>
        <v>0</v>
      </c>
      <c r="J419">
        <f t="shared" si="62"/>
        <v>1</v>
      </c>
      <c r="K419">
        <f t="shared" si="62"/>
        <v>0</v>
      </c>
      <c r="L419">
        <f t="shared" si="62"/>
        <v>0</v>
      </c>
      <c r="M419">
        <f t="shared" si="61"/>
        <v>1</v>
      </c>
      <c r="N419">
        <f t="shared" si="61"/>
        <v>0</v>
      </c>
      <c r="O419">
        <f t="shared" si="61"/>
        <v>0</v>
      </c>
    </row>
    <row r="420" spans="1:15" x14ac:dyDescent="0.3">
      <c r="A420">
        <v>4</v>
      </c>
      <c r="B420">
        <v>2015</v>
      </c>
      <c r="C420">
        <v>4529</v>
      </c>
      <c r="D420">
        <v>200</v>
      </c>
      <c r="E420">
        <v>29</v>
      </c>
      <c r="F420">
        <v>2</v>
      </c>
      <c r="G420">
        <f t="shared" si="62"/>
        <v>0</v>
      </c>
      <c r="H420">
        <f t="shared" si="62"/>
        <v>0</v>
      </c>
      <c r="I420">
        <f t="shared" si="62"/>
        <v>0</v>
      </c>
      <c r="J420">
        <f t="shared" si="62"/>
        <v>1</v>
      </c>
      <c r="K420">
        <f t="shared" si="62"/>
        <v>0</v>
      </c>
      <c r="L420">
        <f t="shared" si="62"/>
        <v>0</v>
      </c>
      <c r="M420">
        <f t="shared" si="61"/>
        <v>0</v>
      </c>
      <c r="N420">
        <f t="shared" si="61"/>
        <v>0</v>
      </c>
      <c r="O420">
        <f t="shared" si="61"/>
        <v>1</v>
      </c>
    </row>
    <row r="421" spans="1:15" x14ac:dyDescent="0.3">
      <c r="A421">
        <v>4</v>
      </c>
      <c r="B421">
        <v>2016</v>
      </c>
      <c r="C421">
        <v>4503</v>
      </c>
      <c r="D421">
        <v>0</v>
      </c>
      <c r="E421">
        <v>122</v>
      </c>
      <c r="F421">
        <v>21</v>
      </c>
      <c r="G421">
        <f t="shared" si="62"/>
        <v>0</v>
      </c>
      <c r="H421">
        <f t="shared" si="62"/>
        <v>0</v>
      </c>
      <c r="I421">
        <f t="shared" si="62"/>
        <v>0</v>
      </c>
      <c r="J421">
        <f t="shared" si="62"/>
        <v>0</v>
      </c>
      <c r="K421">
        <f t="shared" si="62"/>
        <v>1</v>
      </c>
      <c r="L421">
        <f t="shared" si="62"/>
        <v>0</v>
      </c>
      <c r="M421">
        <f t="shared" si="61"/>
        <v>0</v>
      </c>
      <c r="N421">
        <f t="shared" si="61"/>
        <v>0</v>
      </c>
      <c r="O421">
        <f t="shared" si="61"/>
        <v>1</v>
      </c>
    </row>
    <row r="422" spans="1:15" x14ac:dyDescent="0.3">
      <c r="A422">
        <v>1</v>
      </c>
      <c r="B422">
        <v>2017</v>
      </c>
      <c r="C422">
        <v>4499</v>
      </c>
      <c r="D422">
        <v>0</v>
      </c>
      <c r="E422">
        <v>20</v>
      </c>
      <c r="F422">
        <v>2</v>
      </c>
      <c r="G422">
        <f t="shared" ref="G422:L431" si="63">IF($B422=G$1,1,0)</f>
        <v>0</v>
      </c>
      <c r="H422">
        <f t="shared" si="63"/>
        <v>0</v>
      </c>
      <c r="I422">
        <f t="shared" si="63"/>
        <v>0</v>
      </c>
      <c r="J422">
        <f t="shared" si="63"/>
        <v>0</v>
      </c>
      <c r="K422">
        <f t="shared" si="63"/>
        <v>0</v>
      </c>
      <c r="L422">
        <f t="shared" si="63"/>
        <v>1</v>
      </c>
      <c r="M422">
        <f t="shared" ref="M422:O441" si="64">IF($A422=M$1,1,0)</f>
        <v>1</v>
      </c>
      <c r="N422">
        <f t="shared" si="64"/>
        <v>0</v>
      </c>
      <c r="O422">
        <f t="shared" si="64"/>
        <v>0</v>
      </c>
    </row>
    <row r="423" spans="1:15" x14ac:dyDescent="0.3">
      <c r="A423">
        <v>1</v>
      </c>
      <c r="B423">
        <v>2016</v>
      </c>
      <c r="C423">
        <v>4463</v>
      </c>
      <c r="D423">
        <v>95</v>
      </c>
      <c r="E423">
        <v>36</v>
      </c>
      <c r="F423">
        <v>5.5</v>
      </c>
      <c r="G423">
        <f t="shared" si="63"/>
        <v>0</v>
      </c>
      <c r="H423">
        <f t="shared" si="63"/>
        <v>0</v>
      </c>
      <c r="I423">
        <f t="shared" si="63"/>
        <v>0</v>
      </c>
      <c r="J423">
        <f t="shared" si="63"/>
        <v>0</v>
      </c>
      <c r="K423">
        <f t="shared" si="63"/>
        <v>1</v>
      </c>
      <c r="L423">
        <f t="shared" si="63"/>
        <v>0</v>
      </c>
      <c r="M423">
        <f t="shared" si="64"/>
        <v>1</v>
      </c>
      <c r="N423">
        <f t="shared" si="64"/>
        <v>0</v>
      </c>
      <c r="O423">
        <f t="shared" si="64"/>
        <v>0</v>
      </c>
    </row>
    <row r="424" spans="1:15" x14ac:dyDescent="0.3">
      <c r="A424">
        <v>1</v>
      </c>
      <c r="B424">
        <v>2016</v>
      </c>
      <c r="C424">
        <v>4447</v>
      </c>
      <c r="D424">
        <v>50</v>
      </c>
      <c r="E424">
        <v>24</v>
      </c>
      <c r="F424">
        <v>4</v>
      </c>
      <c r="G424">
        <f t="shared" si="63"/>
        <v>0</v>
      </c>
      <c r="H424">
        <f t="shared" si="63"/>
        <v>0</v>
      </c>
      <c r="I424">
        <f t="shared" si="63"/>
        <v>0</v>
      </c>
      <c r="J424">
        <f t="shared" si="63"/>
        <v>0</v>
      </c>
      <c r="K424">
        <f t="shared" si="63"/>
        <v>1</v>
      </c>
      <c r="L424">
        <f t="shared" si="63"/>
        <v>0</v>
      </c>
      <c r="M424">
        <f t="shared" si="64"/>
        <v>1</v>
      </c>
      <c r="N424">
        <f t="shared" si="64"/>
        <v>0</v>
      </c>
      <c r="O424">
        <f t="shared" si="64"/>
        <v>0</v>
      </c>
    </row>
    <row r="425" spans="1:15" x14ac:dyDescent="0.3">
      <c r="A425">
        <v>1</v>
      </c>
      <c r="B425">
        <v>2016</v>
      </c>
      <c r="C425">
        <v>4442</v>
      </c>
      <c r="D425">
        <v>100</v>
      </c>
      <c r="E425">
        <v>28</v>
      </c>
      <c r="F425">
        <v>2</v>
      </c>
      <c r="G425">
        <f t="shared" si="63"/>
        <v>0</v>
      </c>
      <c r="H425">
        <f t="shared" si="63"/>
        <v>0</v>
      </c>
      <c r="I425">
        <f t="shared" si="63"/>
        <v>0</v>
      </c>
      <c r="J425">
        <f t="shared" si="63"/>
        <v>0</v>
      </c>
      <c r="K425">
        <f t="shared" si="63"/>
        <v>1</v>
      </c>
      <c r="L425">
        <f t="shared" si="63"/>
        <v>0</v>
      </c>
      <c r="M425">
        <f t="shared" si="64"/>
        <v>1</v>
      </c>
      <c r="N425">
        <f t="shared" si="64"/>
        <v>0</v>
      </c>
      <c r="O425">
        <f t="shared" si="64"/>
        <v>0</v>
      </c>
    </row>
    <row r="426" spans="1:15" x14ac:dyDescent="0.3">
      <c r="A426">
        <v>1</v>
      </c>
      <c r="B426">
        <v>2017</v>
      </c>
      <c r="C426">
        <v>4410</v>
      </c>
      <c r="D426">
        <v>0</v>
      </c>
      <c r="E426">
        <v>26</v>
      </c>
      <c r="F426">
        <v>3</v>
      </c>
      <c r="G426">
        <f t="shared" si="63"/>
        <v>0</v>
      </c>
      <c r="H426">
        <f t="shared" si="63"/>
        <v>0</v>
      </c>
      <c r="I426">
        <f t="shared" si="63"/>
        <v>0</v>
      </c>
      <c r="J426">
        <f t="shared" si="63"/>
        <v>0</v>
      </c>
      <c r="K426">
        <f t="shared" si="63"/>
        <v>0</v>
      </c>
      <c r="L426">
        <f t="shared" si="63"/>
        <v>1</v>
      </c>
      <c r="M426">
        <f t="shared" si="64"/>
        <v>1</v>
      </c>
      <c r="N426">
        <f t="shared" si="64"/>
        <v>0</v>
      </c>
      <c r="O426">
        <f t="shared" si="64"/>
        <v>0</v>
      </c>
    </row>
    <row r="427" spans="1:15" x14ac:dyDescent="0.3">
      <c r="A427">
        <v>4</v>
      </c>
      <c r="B427">
        <v>2016</v>
      </c>
      <c r="C427">
        <v>4409</v>
      </c>
      <c r="D427">
        <v>0</v>
      </c>
      <c r="E427">
        <v>100</v>
      </c>
      <c r="F427">
        <v>5</v>
      </c>
      <c r="G427">
        <f t="shared" si="63"/>
        <v>0</v>
      </c>
      <c r="H427">
        <f t="shared" si="63"/>
        <v>0</v>
      </c>
      <c r="I427">
        <f t="shared" si="63"/>
        <v>0</v>
      </c>
      <c r="J427">
        <f t="shared" si="63"/>
        <v>0</v>
      </c>
      <c r="K427">
        <f t="shared" si="63"/>
        <v>1</v>
      </c>
      <c r="L427">
        <f t="shared" si="63"/>
        <v>0</v>
      </c>
      <c r="M427">
        <f t="shared" si="64"/>
        <v>0</v>
      </c>
      <c r="N427">
        <f t="shared" si="64"/>
        <v>0</v>
      </c>
      <c r="O427">
        <f t="shared" si="64"/>
        <v>1</v>
      </c>
    </row>
    <row r="428" spans="1:15" x14ac:dyDescent="0.3">
      <c r="A428">
        <v>4</v>
      </c>
      <c r="B428">
        <v>2015</v>
      </c>
      <c r="C428">
        <v>4407</v>
      </c>
      <c r="D428">
        <v>50</v>
      </c>
      <c r="E428">
        <v>29</v>
      </c>
      <c r="F428">
        <v>2.5</v>
      </c>
      <c r="G428">
        <f t="shared" si="63"/>
        <v>0</v>
      </c>
      <c r="H428">
        <f t="shared" si="63"/>
        <v>0</v>
      </c>
      <c r="I428">
        <f t="shared" si="63"/>
        <v>0</v>
      </c>
      <c r="J428">
        <f t="shared" si="63"/>
        <v>1</v>
      </c>
      <c r="K428">
        <f t="shared" si="63"/>
        <v>0</v>
      </c>
      <c r="L428">
        <f t="shared" si="63"/>
        <v>0</v>
      </c>
      <c r="M428">
        <f t="shared" si="64"/>
        <v>0</v>
      </c>
      <c r="N428">
        <f t="shared" si="64"/>
        <v>0</v>
      </c>
      <c r="O428">
        <f t="shared" si="64"/>
        <v>1</v>
      </c>
    </row>
    <row r="429" spans="1:15" x14ac:dyDescent="0.3">
      <c r="A429">
        <v>1</v>
      </c>
      <c r="B429">
        <v>2017</v>
      </c>
      <c r="C429">
        <v>4405</v>
      </c>
      <c r="D429">
        <v>0</v>
      </c>
      <c r="E429">
        <v>12</v>
      </c>
      <c r="F429">
        <v>1.5</v>
      </c>
      <c r="G429">
        <f t="shared" si="63"/>
        <v>0</v>
      </c>
      <c r="H429">
        <f t="shared" si="63"/>
        <v>0</v>
      </c>
      <c r="I429">
        <f t="shared" si="63"/>
        <v>0</v>
      </c>
      <c r="J429">
        <f t="shared" si="63"/>
        <v>0</v>
      </c>
      <c r="K429">
        <f t="shared" si="63"/>
        <v>0</v>
      </c>
      <c r="L429">
        <f t="shared" si="63"/>
        <v>1</v>
      </c>
      <c r="M429">
        <f t="shared" si="64"/>
        <v>1</v>
      </c>
      <c r="N429">
        <f t="shared" si="64"/>
        <v>0</v>
      </c>
      <c r="O429">
        <f t="shared" si="64"/>
        <v>0</v>
      </c>
    </row>
    <row r="430" spans="1:15" x14ac:dyDescent="0.3">
      <c r="A430">
        <v>1</v>
      </c>
      <c r="B430">
        <v>2016</v>
      </c>
      <c r="C430">
        <v>4375</v>
      </c>
      <c r="D430">
        <v>200</v>
      </c>
      <c r="E430">
        <v>129</v>
      </c>
      <c r="F430">
        <v>15.5</v>
      </c>
      <c r="G430">
        <f t="shared" si="63"/>
        <v>0</v>
      </c>
      <c r="H430">
        <f t="shared" si="63"/>
        <v>0</v>
      </c>
      <c r="I430">
        <f t="shared" si="63"/>
        <v>0</v>
      </c>
      <c r="J430">
        <f t="shared" si="63"/>
        <v>0</v>
      </c>
      <c r="K430">
        <f t="shared" si="63"/>
        <v>1</v>
      </c>
      <c r="L430">
        <f t="shared" si="63"/>
        <v>0</v>
      </c>
      <c r="M430">
        <f t="shared" si="64"/>
        <v>1</v>
      </c>
      <c r="N430">
        <f t="shared" si="64"/>
        <v>0</v>
      </c>
      <c r="O430">
        <f t="shared" si="64"/>
        <v>0</v>
      </c>
    </row>
    <row r="431" spans="1:15" x14ac:dyDescent="0.3">
      <c r="A431">
        <v>4</v>
      </c>
      <c r="B431">
        <v>2014</v>
      </c>
      <c r="C431">
        <v>4333</v>
      </c>
      <c r="D431">
        <v>20</v>
      </c>
      <c r="E431">
        <v>17</v>
      </c>
      <c r="F431">
        <v>1</v>
      </c>
      <c r="G431">
        <f t="shared" si="63"/>
        <v>0</v>
      </c>
      <c r="H431">
        <f t="shared" si="63"/>
        <v>0</v>
      </c>
      <c r="I431">
        <f t="shared" si="63"/>
        <v>1</v>
      </c>
      <c r="J431">
        <f t="shared" si="63"/>
        <v>0</v>
      </c>
      <c r="K431">
        <f t="shared" si="63"/>
        <v>0</v>
      </c>
      <c r="L431">
        <f t="shared" si="63"/>
        <v>0</v>
      </c>
      <c r="M431">
        <f t="shared" si="64"/>
        <v>0</v>
      </c>
      <c r="N431">
        <f t="shared" si="64"/>
        <v>0</v>
      </c>
      <c r="O431">
        <f t="shared" si="64"/>
        <v>1</v>
      </c>
    </row>
    <row r="432" spans="1:15" x14ac:dyDescent="0.3">
      <c r="A432">
        <v>1</v>
      </c>
      <c r="B432">
        <v>2016</v>
      </c>
      <c r="C432">
        <v>4306</v>
      </c>
      <c r="D432">
        <v>0</v>
      </c>
      <c r="E432">
        <v>12</v>
      </c>
      <c r="F432">
        <v>0.51666666999999999</v>
      </c>
      <c r="G432">
        <f t="shared" ref="G432:L441" si="65">IF($B432=G$1,1,0)</f>
        <v>0</v>
      </c>
      <c r="H432">
        <f t="shared" si="65"/>
        <v>0</v>
      </c>
      <c r="I432">
        <f t="shared" si="65"/>
        <v>0</v>
      </c>
      <c r="J432">
        <f t="shared" si="65"/>
        <v>0</v>
      </c>
      <c r="K432">
        <f t="shared" si="65"/>
        <v>1</v>
      </c>
      <c r="L432">
        <f t="shared" si="65"/>
        <v>0</v>
      </c>
      <c r="M432">
        <f t="shared" si="64"/>
        <v>1</v>
      </c>
      <c r="N432">
        <f t="shared" si="64"/>
        <v>0</v>
      </c>
      <c r="O432">
        <f t="shared" si="64"/>
        <v>0</v>
      </c>
    </row>
    <row r="433" spans="1:15" x14ac:dyDescent="0.3">
      <c r="A433">
        <v>4</v>
      </c>
      <c r="B433">
        <v>2015</v>
      </c>
      <c r="C433">
        <v>4290</v>
      </c>
      <c r="D433">
        <v>0</v>
      </c>
      <c r="E433">
        <v>15</v>
      </c>
      <c r="F433">
        <v>0.61666666999999997</v>
      </c>
      <c r="G433">
        <f t="shared" si="65"/>
        <v>0</v>
      </c>
      <c r="H433">
        <f t="shared" si="65"/>
        <v>0</v>
      </c>
      <c r="I433">
        <f t="shared" si="65"/>
        <v>0</v>
      </c>
      <c r="J433">
        <f t="shared" si="65"/>
        <v>1</v>
      </c>
      <c r="K433">
        <f t="shared" si="65"/>
        <v>0</v>
      </c>
      <c r="L433">
        <f t="shared" si="65"/>
        <v>0</v>
      </c>
      <c r="M433">
        <f t="shared" si="64"/>
        <v>0</v>
      </c>
      <c r="N433">
        <f t="shared" si="64"/>
        <v>0</v>
      </c>
      <c r="O433">
        <f t="shared" si="64"/>
        <v>1</v>
      </c>
    </row>
    <row r="434" spans="1:15" x14ac:dyDescent="0.3">
      <c r="A434">
        <v>4</v>
      </c>
      <c r="B434">
        <v>2016</v>
      </c>
      <c r="C434">
        <v>4259</v>
      </c>
      <c r="D434">
        <v>20</v>
      </c>
      <c r="E434">
        <v>11</v>
      </c>
      <c r="F434">
        <v>1</v>
      </c>
      <c r="G434">
        <f t="shared" si="65"/>
        <v>0</v>
      </c>
      <c r="H434">
        <f t="shared" si="65"/>
        <v>0</v>
      </c>
      <c r="I434">
        <f t="shared" si="65"/>
        <v>0</v>
      </c>
      <c r="J434">
        <f t="shared" si="65"/>
        <v>0</v>
      </c>
      <c r="K434">
        <f t="shared" si="65"/>
        <v>1</v>
      </c>
      <c r="L434">
        <f t="shared" si="65"/>
        <v>0</v>
      </c>
      <c r="M434">
        <f t="shared" si="64"/>
        <v>0</v>
      </c>
      <c r="N434">
        <f t="shared" si="64"/>
        <v>0</v>
      </c>
      <c r="O434">
        <f t="shared" si="64"/>
        <v>1</v>
      </c>
    </row>
    <row r="435" spans="1:15" x14ac:dyDescent="0.3">
      <c r="A435">
        <v>4</v>
      </c>
      <c r="B435">
        <v>2013</v>
      </c>
      <c r="C435">
        <v>4198</v>
      </c>
      <c r="D435">
        <v>195</v>
      </c>
      <c r="E435">
        <v>161</v>
      </c>
      <c r="F435">
        <v>26</v>
      </c>
      <c r="G435">
        <f t="shared" si="65"/>
        <v>0</v>
      </c>
      <c r="H435">
        <f t="shared" si="65"/>
        <v>1</v>
      </c>
      <c r="I435">
        <f t="shared" si="65"/>
        <v>0</v>
      </c>
      <c r="J435">
        <f t="shared" si="65"/>
        <v>0</v>
      </c>
      <c r="K435">
        <f t="shared" si="65"/>
        <v>0</v>
      </c>
      <c r="L435">
        <f t="shared" si="65"/>
        <v>0</v>
      </c>
      <c r="M435">
        <f t="shared" si="64"/>
        <v>0</v>
      </c>
      <c r="N435">
        <f t="shared" si="64"/>
        <v>0</v>
      </c>
      <c r="O435">
        <f t="shared" si="64"/>
        <v>1</v>
      </c>
    </row>
    <row r="436" spans="1:15" x14ac:dyDescent="0.3">
      <c r="A436">
        <v>1</v>
      </c>
      <c r="B436">
        <v>2015</v>
      </c>
      <c r="C436">
        <v>4193</v>
      </c>
      <c r="D436">
        <v>20</v>
      </c>
      <c r="E436">
        <v>44</v>
      </c>
      <c r="F436">
        <v>2.5</v>
      </c>
      <c r="G436">
        <f t="shared" si="65"/>
        <v>0</v>
      </c>
      <c r="H436">
        <f t="shared" si="65"/>
        <v>0</v>
      </c>
      <c r="I436">
        <f t="shared" si="65"/>
        <v>0</v>
      </c>
      <c r="J436">
        <f t="shared" si="65"/>
        <v>1</v>
      </c>
      <c r="K436">
        <f t="shared" si="65"/>
        <v>0</v>
      </c>
      <c r="L436">
        <f t="shared" si="65"/>
        <v>0</v>
      </c>
      <c r="M436">
        <f t="shared" si="64"/>
        <v>1</v>
      </c>
      <c r="N436">
        <f t="shared" si="64"/>
        <v>0</v>
      </c>
      <c r="O436">
        <f t="shared" si="64"/>
        <v>0</v>
      </c>
    </row>
    <row r="437" spans="1:15" x14ac:dyDescent="0.3">
      <c r="A437">
        <v>1</v>
      </c>
      <c r="B437">
        <v>2014</v>
      </c>
      <c r="C437">
        <v>4183</v>
      </c>
      <c r="D437">
        <v>35</v>
      </c>
      <c r="E437">
        <v>86</v>
      </c>
      <c r="F437">
        <v>14</v>
      </c>
      <c r="G437">
        <f t="shared" si="65"/>
        <v>0</v>
      </c>
      <c r="H437">
        <f t="shared" si="65"/>
        <v>0</v>
      </c>
      <c r="I437">
        <f t="shared" si="65"/>
        <v>1</v>
      </c>
      <c r="J437">
        <f t="shared" si="65"/>
        <v>0</v>
      </c>
      <c r="K437">
        <f t="shared" si="65"/>
        <v>0</v>
      </c>
      <c r="L437">
        <f t="shared" si="65"/>
        <v>0</v>
      </c>
      <c r="M437">
        <f t="shared" si="64"/>
        <v>1</v>
      </c>
      <c r="N437">
        <f t="shared" si="64"/>
        <v>0</v>
      </c>
      <c r="O437">
        <f t="shared" si="64"/>
        <v>0</v>
      </c>
    </row>
    <row r="438" spans="1:15" x14ac:dyDescent="0.3">
      <c r="A438">
        <v>4</v>
      </c>
      <c r="B438">
        <v>2015</v>
      </c>
      <c r="C438">
        <v>4183</v>
      </c>
      <c r="D438">
        <v>70</v>
      </c>
      <c r="E438">
        <v>38</v>
      </c>
      <c r="F438">
        <v>3.5</v>
      </c>
      <c r="G438">
        <f t="shared" si="65"/>
        <v>0</v>
      </c>
      <c r="H438">
        <f t="shared" si="65"/>
        <v>0</v>
      </c>
      <c r="I438">
        <f t="shared" si="65"/>
        <v>0</v>
      </c>
      <c r="J438">
        <f t="shared" si="65"/>
        <v>1</v>
      </c>
      <c r="K438">
        <f t="shared" si="65"/>
        <v>0</v>
      </c>
      <c r="L438">
        <f t="shared" si="65"/>
        <v>0</v>
      </c>
      <c r="M438">
        <f t="shared" si="64"/>
        <v>0</v>
      </c>
      <c r="N438">
        <f t="shared" si="64"/>
        <v>0</v>
      </c>
      <c r="O438">
        <f t="shared" si="64"/>
        <v>1</v>
      </c>
    </row>
    <row r="439" spans="1:15" x14ac:dyDescent="0.3">
      <c r="A439">
        <v>1</v>
      </c>
      <c r="B439">
        <v>2016</v>
      </c>
      <c r="C439">
        <v>4157</v>
      </c>
      <c r="D439">
        <v>30</v>
      </c>
      <c r="E439">
        <v>80</v>
      </c>
      <c r="F439">
        <v>9.5</v>
      </c>
      <c r="G439">
        <f t="shared" si="65"/>
        <v>0</v>
      </c>
      <c r="H439">
        <f t="shared" si="65"/>
        <v>0</v>
      </c>
      <c r="I439">
        <f t="shared" si="65"/>
        <v>0</v>
      </c>
      <c r="J439">
        <f t="shared" si="65"/>
        <v>0</v>
      </c>
      <c r="K439">
        <f t="shared" si="65"/>
        <v>1</v>
      </c>
      <c r="L439">
        <f t="shared" si="65"/>
        <v>0</v>
      </c>
      <c r="M439">
        <f t="shared" si="64"/>
        <v>1</v>
      </c>
      <c r="N439">
        <f t="shared" si="64"/>
        <v>0</v>
      </c>
      <c r="O439">
        <f t="shared" si="64"/>
        <v>0</v>
      </c>
    </row>
    <row r="440" spans="1:15" x14ac:dyDescent="0.3">
      <c r="A440">
        <v>4</v>
      </c>
      <c r="B440">
        <v>2016</v>
      </c>
      <c r="C440">
        <v>4144</v>
      </c>
      <c r="D440">
        <v>40</v>
      </c>
      <c r="E440">
        <v>43</v>
      </c>
      <c r="F440">
        <v>5.5</v>
      </c>
      <c r="G440">
        <f t="shared" si="65"/>
        <v>0</v>
      </c>
      <c r="H440">
        <f t="shared" si="65"/>
        <v>0</v>
      </c>
      <c r="I440">
        <f t="shared" si="65"/>
        <v>0</v>
      </c>
      <c r="J440">
        <f t="shared" si="65"/>
        <v>0</v>
      </c>
      <c r="K440">
        <f t="shared" si="65"/>
        <v>1</v>
      </c>
      <c r="L440">
        <f t="shared" si="65"/>
        <v>0</v>
      </c>
      <c r="M440">
        <f t="shared" si="64"/>
        <v>0</v>
      </c>
      <c r="N440">
        <f t="shared" si="64"/>
        <v>0</v>
      </c>
      <c r="O440">
        <f t="shared" si="64"/>
        <v>1</v>
      </c>
    </row>
    <row r="441" spans="1:15" x14ac:dyDescent="0.3">
      <c r="A441">
        <v>1</v>
      </c>
      <c r="B441">
        <v>2017</v>
      </c>
      <c r="C441">
        <v>4138</v>
      </c>
      <c r="D441">
        <v>120</v>
      </c>
      <c r="E441">
        <v>107</v>
      </c>
      <c r="F441">
        <v>6</v>
      </c>
      <c r="G441">
        <f t="shared" si="65"/>
        <v>0</v>
      </c>
      <c r="H441">
        <f t="shared" si="65"/>
        <v>0</v>
      </c>
      <c r="I441">
        <f t="shared" si="65"/>
        <v>0</v>
      </c>
      <c r="J441">
        <f t="shared" si="65"/>
        <v>0</v>
      </c>
      <c r="K441">
        <f t="shared" si="65"/>
        <v>0</v>
      </c>
      <c r="L441">
        <f t="shared" si="65"/>
        <v>1</v>
      </c>
      <c r="M441">
        <f t="shared" si="64"/>
        <v>1</v>
      </c>
      <c r="N441">
        <f t="shared" si="64"/>
        <v>0</v>
      </c>
      <c r="O441">
        <f t="shared" si="64"/>
        <v>0</v>
      </c>
    </row>
    <row r="442" spans="1:15" x14ac:dyDescent="0.3">
      <c r="A442">
        <v>1</v>
      </c>
      <c r="B442">
        <v>2015</v>
      </c>
      <c r="C442">
        <v>4128</v>
      </c>
      <c r="D442">
        <v>75</v>
      </c>
      <c r="E442">
        <v>61</v>
      </c>
      <c r="F442">
        <v>6</v>
      </c>
      <c r="G442">
        <f t="shared" ref="G442:L451" si="66">IF($B442=G$1,1,0)</f>
        <v>0</v>
      </c>
      <c r="H442">
        <f t="shared" si="66"/>
        <v>0</v>
      </c>
      <c r="I442">
        <f t="shared" si="66"/>
        <v>0</v>
      </c>
      <c r="J442">
        <f t="shared" si="66"/>
        <v>1</v>
      </c>
      <c r="K442">
        <f t="shared" si="66"/>
        <v>0</v>
      </c>
      <c r="L442">
        <f t="shared" si="66"/>
        <v>0</v>
      </c>
      <c r="M442">
        <f t="shared" ref="M442:O461" si="67">IF($A442=M$1,1,0)</f>
        <v>1</v>
      </c>
      <c r="N442">
        <f t="shared" si="67"/>
        <v>0</v>
      </c>
      <c r="O442">
        <f t="shared" si="67"/>
        <v>0</v>
      </c>
    </row>
    <row r="443" spans="1:15" x14ac:dyDescent="0.3">
      <c r="A443">
        <v>4</v>
      </c>
      <c r="B443">
        <v>2013</v>
      </c>
      <c r="C443">
        <v>4123</v>
      </c>
      <c r="D443">
        <v>50</v>
      </c>
      <c r="E443">
        <v>34</v>
      </c>
      <c r="F443">
        <v>3.5</v>
      </c>
      <c r="G443">
        <f t="shared" si="66"/>
        <v>0</v>
      </c>
      <c r="H443">
        <f t="shared" si="66"/>
        <v>1</v>
      </c>
      <c r="I443">
        <f t="shared" si="66"/>
        <v>0</v>
      </c>
      <c r="J443">
        <f t="shared" si="66"/>
        <v>0</v>
      </c>
      <c r="K443">
        <f t="shared" si="66"/>
        <v>0</v>
      </c>
      <c r="L443">
        <f t="shared" si="66"/>
        <v>0</v>
      </c>
      <c r="M443">
        <f t="shared" si="67"/>
        <v>0</v>
      </c>
      <c r="N443">
        <f t="shared" si="67"/>
        <v>0</v>
      </c>
      <c r="O443">
        <f t="shared" si="67"/>
        <v>1</v>
      </c>
    </row>
    <row r="444" spans="1:15" x14ac:dyDescent="0.3">
      <c r="A444">
        <v>1</v>
      </c>
      <c r="B444">
        <v>2014</v>
      </c>
      <c r="C444">
        <v>4123</v>
      </c>
      <c r="D444">
        <v>50</v>
      </c>
      <c r="E444">
        <v>31</v>
      </c>
      <c r="F444">
        <v>4.5</v>
      </c>
      <c r="G444">
        <f t="shared" si="66"/>
        <v>0</v>
      </c>
      <c r="H444">
        <f t="shared" si="66"/>
        <v>0</v>
      </c>
      <c r="I444">
        <f t="shared" si="66"/>
        <v>1</v>
      </c>
      <c r="J444">
        <f t="shared" si="66"/>
        <v>0</v>
      </c>
      <c r="K444">
        <f t="shared" si="66"/>
        <v>0</v>
      </c>
      <c r="L444">
        <f t="shared" si="66"/>
        <v>0</v>
      </c>
      <c r="M444">
        <f t="shared" si="67"/>
        <v>1</v>
      </c>
      <c r="N444">
        <f t="shared" si="67"/>
        <v>0</v>
      </c>
      <c r="O444">
        <f t="shared" si="67"/>
        <v>0</v>
      </c>
    </row>
    <row r="445" spans="1:15" x14ac:dyDescent="0.3">
      <c r="A445">
        <v>4</v>
      </c>
      <c r="B445">
        <v>2017</v>
      </c>
      <c r="C445">
        <v>4115</v>
      </c>
      <c r="D445">
        <v>0</v>
      </c>
      <c r="E445">
        <v>13</v>
      </c>
      <c r="F445">
        <v>2</v>
      </c>
      <c r="G445">
        <f t="shared" si="66"/>
        <v>0</v>
      </c>
      <c r="H445">
        <f t="shared" si="66"/>
        <v>0</v>
      </c>
      <c r="I445">
        <f t="shared" si="66"/>
        <v>0</v>
      </c>
      <c r="J445">
        <f t="shared" si="66"/>
        <v>0</v>
      </c>
      <c r="K445">
        <f t="shared" si="66"/>
        <v>0</v>
      </c>
      <c r="L445">
        <f t="shared" si="66"/>
        <v>1</v>
      </c>
      <c r="M445">
        <f t="shared" si="67"/>
        <v>0</v>
      </c>
      <c r="N445">
        <f t="shared" si="67"/>
        <v>0</v>
      </c>
      <c r="O445">
        <f t="shared" si="67"/>
        <v>1</v>
      </c>
    </row>
    <row r="446" spans="1:15" x14ac:dyDescent="0.3">
      <c r="A446">
        <v>2</v>
      </c>
      <c r="B446">
        <v>2016</v>
      </c>
      <c r="C446">
        <v>4106</v>
      </c>
      <c r="D446">
        <v>50</v>
      </c>
      <c r="E446">
        <v>15</v>
      </c>
      <c r="F446">
        <v>1</v>
      </c>
      <c r="G446">
        <f t="shared" si="66"/>
        <v>0</v>
      </c>
      <c r="H446">
        <f t="shared" si="66"/>
        <v>0</v>
      </c>
      <c r="I446">
        <f t="shared" si="66"/>
        <v>0</v>
      </c>
      <c r="J446">
        <f t="shared" si="66"/>
        <v>0</v>
      </c>
      <c r="K446">
        <f t="shared" si="66"/>
        <v>1</v>
      </c>
      <c r="L446">
        <f t="shared" si="66"/>
        <v>0</v>
      </c>
      <c r="M446">
        <f t="shared" si="67"/>
        <v>0</v>
      </c>
      <c r="N446">
        <f t="shared" si="67"/>
        <v>1</v>
      </c>
      <c r="O446">
        <f t="shared" si="67"/>
        <v>0</v>
      </c>
    </row>
    <row r="447" spans="1:15" x14ac:dyDescent="0.3">
      <c r="A447">
        <v>4</v>
      </c>
      <c r="B447">
        <v>2016</v>
      </c>
      <c r="C447">
        <v>4090</v>
      </c>
      <c r="D447">
        <v>200</v>
      </c>
      <c r="E447">
        <v>348</v>
      </c>
      <c r="F447">
        <v>19.5</v>
      </c>
      <c r="G447">
        <f t="shared" si="66"/>
        <v>0</v>
      </c>
      <c r="H447">
        <f t="shared" si="66"/>
        <v>0</v>
      </c>
      <c r="I447">
        <f t="shared" si="66"/>
        <v>0</v>
      </c>
      <c r="J447">
        <f t="shared" si="66"/>
        <v>0</v>
      </c>
      <c r="K447">
        <f t="shared" si="66"/>
        <v>1</v>
      </c>
      <c r="L447">
        <f t="shared" si="66"/>
        <v>0</v>
      </c>
      <c r="M447">
        <f t="shared" si="67"/>
        <v>0</v>
      </c>
      <c r="N447">
        <f t="shared" si="67"/>
        <v>0</v>
      </c>
      <c r="O447">
        <f t="shared" si="67"/>
        <v>1</v>
      </c>
    </row>
    <row r="448" spans="1:15" x14ac:dyDescent="0.3">
      <c r="A448">
        <v>1</v>
      </c>
      <c r="B448">
        <v>2014</v>
      </c>
      <c r="C448">
        <v>4076</v>
      </c>
      <c r="D448">
        <v>50</v>
      </c>
      <c r="E448">
        <v>22</v>
      </c>
      <c r="F448">
        <v>3</v>
      </c>
      <c r="G448">
        <f t="shared" si="66"/>
        <v>0</v>
      </c>
      <c r="H448">
        <f t="shared" si="66"/>
        <v>0</v>
      </c>
      <c r="I448">
        <f t="shared" si="66"/>
        <v>1</v>
      </c>
      <c r="J448">
        <f t="shared" si="66"/>
        <v>0</v>
      </c>
      <c r="K448">
        <f t="shared" si="66"/>
        <v>0</v>
      </c>
      <c r="L448">
        <f t="shared" si="66"/>
        <v>0</v>
      </c>
      <c r="M448">
        <f t="shared" si="67"/>
        <v>1</v>
      </c>
      <c r="N448">
        <f t="shared" si="67"/>
        <v>0</v>
      </c>
      <c r="O448">
        <f t="shared" si="67"/>
        <v>0</v>
      </c>
    </row>
    <row r="449" spans="1:15" x14ac:dyDescent="0.3">
      <c r="A449">
        <v>4</v>
      </c>
      <c r="B449">
        <v>2016</v>
      </c>
      <c r="C449">
        <v>4057</v>
      </c>
      <c r="D449">
        <v>150</v>
      </c>
      <c r="E449">
        <v>99</v>
      </c>
      <c r="F449">
        <v>6.5</v>
      </c>
      <c r="G449">
        <f t="shared" si="66"/>
        <v>0</v>
      </c>
      <c r="H449">
        <f t="shared" si="66"/>
        <v>0</v>
      </c>
      <c r="I449">
        <f t="shared" si="66"/>
        <v>0</v>
      </c>
      <c r="J449">
        <f t="shared" si="66"/>
        <v>0</v>
      </c>
      <c r="K449">
        <f t="shared" si="66"/>
        <v>1</v>
      </c>
      <c r="L449">
        <f t="shared" si="66"/>
        <v>0</v>
      </c>
      <c r="M449">
        <f t="shared" si="67"/>
        <v>0</v>
      </c>
      <c r="N449">
        <f t="shared" si="67"/>
        <v>0</v>
      </c>
      <c r="O449">
        <f t="shared" si="67"/>
        <v>1</v>
      </c>
    </row>
    <row r="450" spans="1:15" x14ac:dyDescent="0.3">
      <c r="A450">
        <v>1</v>
      </c>
      <c r="B450">
        <v>2013</v>
      </c>
      <c r="C450">
        <v>4040</v>
      </c>
      <c r="D450">
        <v>200</v>
      </c>
      <c r="E450">
        <v>20</v>
      </c>
      <c r="F450">
        <v>1.5</v>
      </c>
      <c r="G450">
        <f t="shared" si="66"/>
        <v>0</v>
      </c>
      <c r="H450">
        <f t="shared" si="66"/>
        <v>1</v>
      </c>
      <c r="I450">
        <f t="shared" si="66"/>
        <v>0</v>
      </c>
      <c r="J450">
        <f t="shared" si="66"/>
        <v>0</v>
      </c>
      <c r="K450">
        <f t="shared" si="66"/>
        <v>0</v>
      </c>
      <c r="L450">
        <f t="shared" si="66"/>
        <v>0</v>
      </c>
      <c r="M450">
        <f t="shared" si="67"/>
        <v>1</v>
      </c>
      <c r="N450">
        <f t="shared" si="67"/>
        <v>0</v>
      </c>
      <c r="O450">
        <f t="shared" si="67"/>
        <v>0</v>
      </c>
    </row>
    <row r="451" spans="1:15" x14ac:dyDescent="0.3">
      <c r="A451">
        <v>2</v>
      </c>
      <c r="B451">
        <v>2016</v>
      </c>
      <c r="C451">
        <v>4033</v>
      </c>
      <c r="D451">
        <v>200</v>
      </c>
      <c r="E451">
        <v>25</v>
      </c>
      <c r="F451">
        <v>3</v>
      </c>
      <c r="G451">
        <f t="shared" si="66"/>
        <v>0</v>
      </c>
      <c r="H451">
        <f t="shared" si="66"/>
        <v>0</v>
      </c>
      <c r="I451">
        <f t="shared" si="66"/>
        <v>0</v>
      </c>
      <c r="J451">
        <f t="shared" si="66"/>
        <v>0</v>
      </c>
      <c r="K451">
        <f t="shared" si="66"/>
        <v>1</v>
      </c>
      <c r="L451">
        <f t="shared" si="66"/>
        <v>0</v>
      </c>
      <c r="M451">
        <f t="shared" si="67"/>
        <v>0</v>
      </c>
      <c r="N451">
        <f t="shared" si="67"/>
        <v>1</v>
      </c>
      <c r="O451">
        <f t="shared" si="67"/>
        <v>0</v>
      </c>
    </row>
    <row r="452" spans="1:15" x14ac:dyDescent="0.3">
      <c r="A452">
        <v>4</v>
      </c>
      <c r="B452">
        <v>2016</v>
      </c>
      <c r="C452">
        <v>4030</v>
      </c>
      <c r="D452">
        <v>30</v>
      </c>
      <c r="E452">
        <v>46</v>
      </c>
      <c r="F452">
        <v>9</v>
      </c>
      <c r="G452">
        <f t="shared" ref="G452:L461" si="68">IF($B452=G$1,1,0)</f>
        <v>0</v>
      </c>
      <c r="H452">
        <f t="shared" si="68"/>
        <v>0</v>
      </c>
      <c r="I452">
        <f t="shared" si="68"/>
        <v>0</v>
      </c>
      <c r="J452">
        <f t="shared" si="68"/>
        <v>0</v>
      </c>
      <c r="K452">
        <f t="shared" si="68"/>
        <v>1</v>
      </c>
      <c r="L452">
        <f t="shared" si="68"/>
        <v>0</v>
      </c>
      <c r="M452">
        <f t="shared" si="67"/>
        <v>0</v>
      </c>
      <c r="N452">
        <f t="shared" si="67"/>
        <v>0</v>
      </c>
      <c r="O452">
        <f t="shared" si="67"/>
        <v>1</v>
      </c>
    </row>
    <row r="453" spans="1:15" x14ac:dyDescent="0.3">
      <c r="A453">
        <v>2</v>
      </c>
      <c r="B453">
        <v>2016</v>
      </c>
      <c r="C453">
        <v>4028</v>
      </c>
      <c r="D453">
        <v>120</v>
      </c>
      <c r="E453">
        <v>93</v>
      </c>
      <c r="F453">
        <v>9</v>
      </c>
      <c r="G453">
        <f t="shared" si="68"/>
        <v>0</v>
      </c>
      <c r="H453">
        <f t="shared" si="68"/>
        <v>0</v>
      </c>
      <c r="I453">
        <f t="shared" si="68"/>
        <v>0</v>
      </c>
      <c r="J453">
        <f t="shared" si="68"/>
        <v>0</v>
      </c>
      <c r="K453">
        <f t="shared" si="68"/>
        <v>1</v>
      </c>
      <c r="L453">
        <f t="shared" si="68"/>
        <v>0</v>
      </c>
      <c r="M453">
        <f t="shared" si="67"/>
        <v>0</v>
      </c>
      <c r="N453">
        <f t="shared" si="67"/>
        <v>1</v>
      </c>
      <c r="O453">
        <f t="shared" si="67"/>
        <v>0</v>
      </c>
    </row>
    <row r="454" spans="1:15" x14ac:dyDescent="0.3">
      <c r="A454">
        <v>2</v>
      </c>
      <c r="B454">
        <v>2015</v>
      </c>
      <c r="C454">
        <v>4020</v>
      </c>
      <c r="D454">
        <v>145</v>
      </c>
      <c r="E454">
        <v>52</v>
      </c>
      <c r="F454">
        <v>3.5</v>
      </c>
      <c r="G454">
        <f t="shared" si="68"/>
        <v>0</v>
      </c>
      <c r="H454">
        <f t="shared" si="68"/>
        <v>0</v>
      </c>
      <c r="I454">
        <f t="shared" si="68"/>
        <v>0</v>
      </c>
      <c r="J454">
        <f t="shared" si="68"/>
        <v>1</v>
      </c>
      <c r="K454">
        <f t="shared" si="68"/>
        <v>0</v>
      </c>
      <c r="L454">
        <f t="shared" si="68"/>
        <v>0</v>
      </c>
      <c r="M454">
        <f t="shared" si="67"/>
        <v>0</v>
      </c>
      <c r="N454">
        <f t="shared" si="67"/>
        <v>1</v>
      </c>
      <c r="O454">
        <f t="shared" si="67"/>
        <v>0</v>
      </c>
    </row>
    <row r="455" spans="1:15" x14ac:dyDescent="0.3">
      <c r="A455">
        <v>2</v>
      </c>
      <c r="B455">
        <v>2015</v>
      </c>
      <c r="C455">
        <v>4011</v>
      </c>
      <c r="D455">
        <v>20</v>
      </c>
      <c r="E455">
        <v>17</v>
      </c>
      <c r="F455">
        <v>1.5</v>
      </c>
      <c r="G455">
        <f t="shared" si="68"/>
        <v>0</v>
      </c>
      <c r="H455">
        <f t="shared" si="68"/>
        <v>0</v>
      </c>
      <c r="I455">
        <f t="shared" si="68"/>
        <v>0</v>
      </c>
      <c r="J455">
        <f t="shared" si="68"/>
        <v>1</v>
      </c>
      <c r="K455">
        <f t="shared" si="68"/>
        <v>0</v>
      </c>
      <c r="L455">
        <f t="shared" si="68"/>
        <v>0</v>
      </c>
      <c r="M455">
        <f t="shared" si="67"/>
        <v>0</v>
      </c>
      <c r="N455">
        <f t="shared" si="67"/>
        <v>1</v>
      </c>
      <c r="O455">
        <f t="shared" si="67"/>
        <v>0</v>
      </c>
    </row>
    <row r="456" spans="1:15" x14ac:dyDescent="0.3">
      <c r="A456">
        <v>4</v>
      </c>
      <c r="B456">
        <v>2016</v>
      </c>
      <c r="C456">
        <v>4010</v>
      </c>
      <c r="D456">
        <v>25</v>
      </c>
      <c r="E456">
        <v>12</v>
      </c>
      <c r="F456">
        <v>1</v>
      </c>
      <c r="G456">
        <f t="shared" si="68"/>
        <v>0</v>
      </c>
      <c r="H456">
        <f t="shared" si="68"/>
        <v>0</v>
      </c>
      <c r="I456">
        <f t="shared" si="68"/>
        <v>0</v>
      </c>
      <c r="J456">
        <f t="shared" si="68"/>
        <v>0</v>
      </c>
      <c r="K456">
        <f t="shared" si="68"/>
        <v>1</v>
      </c>
      <c r="L456">
        <f t="shared" si="68"/>
        <v>0</v>
      </c>
      <c r="M456">
        <f t="shared" si="67"/>
        <v>0</v>
      </c>
      <c r="N456">
        <f t="shared" si="67"/>
        <v>0</v>
      </c>
      <c r="O456">
        <f t="shared" si="67"/>
        <v>1</v>
      </c>
    </row>
    <row r="457" spans="1:15" x14ac:dyDescent="0.3">
      <c r="A457">
        <v>4</v>
      </c>
      <c r="B457">
        <v>2017</v>
      </c>
      <c r="C457">
        <v>4001</v>
      </c>
      <c r="D457">
        <v>195</v>
      </c>
      <c r="E457">
        <v>37</v>
      </c>
      <c r="F457">
        <v>4</v>
      </c>
      <c r="G457">
        <f t="shared" si="68"/>
        <v>0</v>
      </c>
      <c r="H457">
        <f t="shared" si="68"/>
        <v>0</v>
      </c>
      <c r="I457">
        <f t="shared" si="68"/>
        <v>0</v>
      </c>
      <c r="J457">
        <f t="shared" si="68"/>
        <v>0</v>
      </c>
      <c r="K457">
        <f t="shared" si="68"/>
        <v>0</v>
      </c>
      <c r="L457">
        <f t="shared" si="68"/>
        <v>1</v>
      </c>
      <c r="M457">
        <f t="shared" si="67"/>
        <v>0</v>
      </c>
      <c r="N457">
        <f t="shared" si="67"/>
        <v>0</v>
      </c>
      <c r="O457">
        <f t="shared" si="67"/>
        <v>1</v>
      </c>
    </row>
    <row r="458" spans="1:15" x14ac:dyDescent="0.3">
      <c r="A458">
        <v>1</v>
      </c>
      <c r="B458">
        <v>2016</v>
      </c>
      <c r="C458">
        <v>3960</v>
      </c>
      <c r="D458">
        <v>30</v>
      </c>
      <c r="E458">
        <v>47</v>
      </c>
      <c r="F458">
        <v>4.5</v>
      </c>
      <c r="G458">
        <f t="shared" si="68"/>
        <v>0</v>
      </c>
      <c r="H458">
        <f t="shared" si="68"/>
        <v>0</v>
      </c>
      <c r="I458">
        <f t="shared" si="68"/>
        <v>0</v>
      </c>
      <c r="J458">
        <f t="shared" si="68"/>
        <v>0</v>
      </c>
      <c r="K458">
        <f t="shared" si="68"/>
        <v>1</v>
      </c>
      <c r="L458">
        <f t="shared" si="68"/>
        <v>0</v>
      </c>
      <c r="M458">
        <f t="shared" si="67"/>
        <v>1</v>
      </c>
      <c r="N458">
        <f t="shared" si="67"/>
        <v>0</v>
      </c>
      <c r="O458">
        <f t="shared" si="67"/>
        <v>0</v>
      </c>
    </row>
    <row r="459" spans="1:15" x14ac:dyDescent="0.3">
      <c r="A459">
        <v>4</v>
      </c>
      <c r="B459">
        <v>2017</v>
      </c>
      <c r="C459">
        <v>3933</v>
      </c>
      <c r="D459">
        <v>0</v>
      </c>
      <c r="E459">
        <v>14</v>
      </c>
      <c r="F459">
        <v>3</v>
      </c>
      <c r="G459">
        <f t="shared" si="68"/>
        <v>0</v>
      </c>
      <c r="H459">
        <f t="shared" si="68"/>
        <v>0</v>
      </c>
      <c r="I459">
        <f t="shared" si="68"/>
        <v>0</v>
      </c>
      <c r="J459">
        <f t="shared" si="68"/>
        <v>0</v>
      </c>
      <c r="K459">
        <f t="shared" si="68"/>
        <v>0</v>
      </c>
      <c r="L459">
        <f t="shared" si="68"/>
        <v>1</v>
      </c>
      <c r="M459">
        <f t="shared" si="67"/>
        <v>0</v>
      </c>
      <c r="N459">
        <f t="shared" si="67"/>
        <v>0</v>
      </c>
      <c r="O459">
        <f t="shared" si="67"/>
        <v>1</v>
      </c>
    </row>
    <row r="460" spans="1:15" x14ac:dyDescent="0.3">
      <c r="A460">
        <v>1</v>
      </c>
      <c r="B460">
        <v>2017</v>
      </c>
      <c r="C460">
        <v>3903</v>
      </c>
      <c r="D460">
        <v>20</v>
      </c>
      <c r="E460">
        <v>107</v>
      </c>
      <c r="F460">
        <v>10.5</v>
      </c>
      <c r="G460">
        <f t="shared" si="68"/>
        <v>0</v>
      </c>
      <c r="H460">
        <f t="shared" si="68"/>
        <v>0</v>
      </c>
      <c r="I460">
        <f t="shared" si="68"/>
        <v>0</v>
      </c>
      <c r="J460">
        <f t="shared" si="68"/>
        <v>0</v>
      </c>
      <c r="K460">
        <f t="shared" si="68"/>
        <v>0</v>
      </c>
      <c r="L460">
        <f t="shared" si="68"/>
        <v>1</v>
      </c>
      <c r="M460">
        <f t="shared" si="67"/>
        <v>1</v>
      </c>
      <c r="N460">
        <f t="shared" si="67"/>
        <v>0</v>
      </c>
      <c r="O460">
        <f t="shared" si="67"/>
        <v>0</v>
      </c>
    </row>
    <row r="461" spans="1:15" x14ac:dyDescent="0.3">
      <c r="A461">
        <v>2</v>
      </c>
      <c r="B461">
        <v>2015</v>
      </c>
      <c r="C461">
        <v>3898</v>
      </c>
      <c r="D461">
        <v>20</v>
      </c>
      <c r="E461">
        <v>32</v>
      </c>
      <c r="F461">
        <v>3</v>
      </c>
      <c r="G461">
        <f t="shared" si="68"/>
        <v>0</v>
      </c>
      <c r="H461">
        <f t="shared" si="68"/>
        <v>0</v>
      </c>
      <c r="I461">
        <f t="shared" si="68"/>
        <v>0</v>
      </c>
      <c r="J461">
        <f t="shared" si="68"/>
        <v>1</v>
      </c>
      <c r="K461">
        <f t="shared" si="68"/>
        <v>0</v>
      </c>
      <c r="L461">
        <f t="shared" si="68"/>
        <v>0</v>
      </c>
      <c r="M461">
        <f t="shared" si="67"/>
        <v>0</v>
      </c>
      <c r="N461">
        <f t="shared" si="67"/>
        <v>1</v>
      </c>
      <c r="O461">
        <f t="shared" si="67"/>
        <v>0</v>
      </c>
    </row>
    <row r="462" spans="1:15" x14ac:dyDescent="0.3">
      <c r="A462">
        <v>4</v>
      </c>
      <c r="B462">
        <v>2016</v>
      </c>
      <c r="C462">
        <v>3894</v>
      </c>
      <c r="D462">
        <v>0</v>
      </c>
      <c r="E462">
        <v>29</v>
      </c>
      <c r="F462">
        <v>2</v>
      </c>
      <c r="G462">
        <f t="shared" ref="G462:L471" si="69">IF($B462=G$1,1,0)</f>
        <v>0</v>
      </c>
      <c r="H462">
        <f t="shared" si="69"/>
        <v>0</v>
      </c>
      <c r="I462">
        <f t="shared" si="69"/>
        <v>0</v>
      </c>
      <c r="J462">
        <f t="shared" si="69"/>
        <v>0</v>
      </c>
      <c r="K462">
        <f t="shared" si="69"/>
        <v>1</v>
      </c>
      <c r="L462">
        <f t="shared" si="69"/>
        <v>0</v>
      </c>
      <c r="M462">
        <f t="shared" ref="M462:O481" si="70">IF($A462=M$1,1,0)</f>
        <v>0</v>
      </c>
      <c r="N462">
        <f t="shared" si="70"/>
        <v>0</v>
      </c>
      <c r="O462">
        <f t="shared" si="70"/>
        <v>1</v>
      </c>
    </row>
    <row r="463" spans="1:15" x14ac:dyDescent="0.3">
      <c r="A463">
        <v>4</v>
      </c>
      <c r="B463">
        <v>2015</v>
      </c>
      <c r="C463">
        <v>3887</v>
      </c>
      <c r="D463">
        <v>200</v>
      </c>
      <c r="E463">
        <v>94</v>
      </c>
      <c r="F463">
        <v>8.5</v>
      </c>
      <c r="G463">
        <f t="shared" si="69"/>
        <v>0</v>
      </c>
      <c r="H463">
        <f t="shared" si="69"/>
        <v>0</v>
      </c>
      <c r="I463">
        <f t="shared" si="69"/>
        <v>0</v>
      </c>
      <c r="J463">
        <f t="shared" si="69"/>
        <v>1</v>
      </c>
      <c r="K463">
        <f t="shared" si="69"/>
        <v>0</v>
      </c>
      <c r="L463">
        <f t="shared" si="69"/>
        <v>0</v>
      </c>
      <c r="M463">
        <f t="shared" si="70"/>
        <v>0</v>
      </c>
      <c r="N463">
        <f t="shared" si="70"/>
        <v>0</v>
      </c>
      <c r="O463">
        <f t="shared" si="70"/>
        <v>1</v>
      </c>
    </row>
    <row r="464" spans="1:15" x14ac:dyDescent="0.3">
      <c r="A464">
        <v>1</v>
      </c>
      <c r="B464">
        <v>2016</v>
      </c>
      <c r="C464">
        <v>3883</v>
      </c>
      <c r="D464">
        <v>0</v>
      </c>
      <c r="E464">
        <v>9</v>
      </c>
      <c r="F464">
        <v>1</v>
      </c>
      <c r="G464">
        <f t="shared" si="69"/>
        <v>0</v>
      </c>
      <c r="H464">
        <f t="shared" si="69"/>
        <v>0</v>
      </c>
      <c r="I464">
        <f t="shared" si="69"/>
        <v>0</v>
      </c>
      <c r="J464">
        <f t="shared" si="69"/>
        <v>0</v>
      </c>
      <c r="K464">
        <f t="shared" si="69"/>
        <v>1</v>
      </c>
      <c r="L464">
        <f t="shared" si="69"/>
        <v>0</v>
      </c>
      <c r="M464">
        <f t="shared" si="70"/>
        <v>1</v>
      </c>
      <c r="N464">
        <f t="shared" si="70"/>
        <v>0</v>
      </c>
      <c r="O464">
        <f t="shared" si="70"/>
        <v>0</v>
      </c>
    </row>
    <row r="465" spans="1:15" x14ac:dyDescent="0.3">
      <c r="A465">
        <v>1</v>
      </c>
      <c r="B465">
        <v>2015</v>
      </c>
      <c r="C465">
        <v>3877</v>
      </c>
      <c r="D465">
        <v>20</v>
      </c>
      <c r="E465">
        <v>15</v>
      </c>
      <c r="F465">
        <v>1.5</v>
      </c>
      <c r="G465">
        <f t="shared" si="69"/>
        <v>0</v>
      </c>
      <c r="H465">
        <f t="shared" si="69"/>
        <v>0</v>
      </c>
      <c r="I465">
        <f t="shared" si="69"/>
        <v>0</v>
      </c>
      <c r="J465">
        <f t="shared" si="69"/>
        <v>1</v>
      </c>
      <c r="K465">
        <f t="shared" si="69"/>
        <v>0</v>
      </c>
      <c r="L465">
        <f t="shared" si="69"/>
        <v>0</v>
      </c>
      <c r="M465">
        <f t="shared" si="70"/>
        <v>1</v>
      </c>
      <c r="N465">
        <f t="shared" si="70"/>
        <v>0</v>
      </c>
      <c r="O465">
        <f t="shared" si="70"/>
        <v>0</v>
      </c>
    </row>
    <row r="466" spans="1:15" x14ac:dyDescent="0.3">
      <c r="A466">
        <v>1</v>
      </c>
      <c r="B466">
        <v>2016</v>
      </c>
      <c r="C466">
        <v>3854</v>
      </c>
      <c r="D466">
        <v>60</v>
      </c>
      <c r="E466">
        <v>48</v>
      </c>
      <c r="F466">
        <v>3</v>
      </c>
      <c r="G466">
        <f t="shared" si="69"/>
        <v>0</v>
      </c>
      <c r="H466">
        <f t="shared" si="69"/>
        <v>0</v>
      </c>
      <c r="I466">
        <f t="shared" si="69"/>
        <v>0</v>
      </c>
      <c r="J466">
        <f t="shared" si="69"/>
        <v>0</v>
      </c>
      <c r="K466">
        <f t="shared" si="69"/>
        <v>1</v>
      </c>
      <c r="L466">
        <f t="shared" si="69"/>
        <v>0</v>
      </c>
      <c r="M466">
        <f t="shared" si="70"/>
        <v>1</v>
      </c>
      <c r="N466">
        <f t="shared" si="70"/>
        <v>0</v>
      </c>
      <c r="O466">
        <f t="shared" si="70"/>
        <v>0</v>
      </c>
    </row>
    <row r="467" spans="1:15" x14ac:dyDescent="0.3">
      <c r="A467">
        <v>2</v>
      </c>
      <c r="B467">
        <v>2015</v>
      </c>
      <c r="C467">
        <v>3831</v>
      </c>
      <c r="D467">
        <v>195</v>
      </c>
      <c r="E467">
        <v>25</v>
      </c>
      <c r="F467">
        <v>1.5</v>
      </c>
      <c r="G467">
        <f t="shared" si="69"/>
        <v>0</v>
      </c>
      <c r="H467">
        <f t="shared" si="69"/>
        <v>0</v>
      </c>
      <c r="I467">
        <f t="shared" si="69"/>
        <v>0</v>
      </c>
      <c r="J467">
        <f t="shared" si="69"/>
        <v>1</v>
      </c>
      <c r="K467">
        <f t="shared" si="69"/>
        <v>0</v>
      </c>
      <c r="L467">
        <f t="shared" si="69"/>
        <v>0</v>
      </c>
      <c r="M467">
        <f t="shared" si="70"/>
        <v>0</v>
      </c>
      <c r="N467">
        <f t="shared" si="70"/>
        <v>1</v>
      </c>
      <c r="O467">
        <f t="shared" si="70"/>
        <v>0</v>
      </c>
    </row>
    <row r="468" spans="1:15" x14ac:dyDescent="0.3">
      <c r="A468">
        <v>4</v>
      </c>
      <c r="B468">
        <v>2017</v>
      </c>
      <c r="C468">
        <v>3801</v>
      </c>
      <c r="D468">
        <v>55</v>
      </c>
      <c r="E468">
        <v>12</v>
      </c>
      <c r="F468">
        <v>1</v>
      </c>
      <c r="G468">
        <f t="shared" si="69"/>
        <v>0</v>
      </c>
      <c r="H468">
        <f t="shared" si="69"/>
        <v>0</v>
      </c>
      <c r="I468">
        <f t="shared" si="69"/>
        <v>0</v>
      </c>
      <c r="J468">
        <f t="shared" si="69"/>
        <v>0</v>
      </c>
      <c r="K468">
        <f t="shared" si="69"/>
        <v>0</v>
      </c>
      <c r="L468">
        <f t="shared" si="69"/>
        <v>1</v>
      </c>
      <c r="M468">
        <f t="shared" si="70"/>
        <v>0</v>
      </c>
      <c r="N468">
        <f t="shared" si="70"/>
        <v>0</v>
      </c>
      <c r="O468">
        <f t="shared" si="70"/>
        <v>1</v>
      </c>
    </row>
    <row r="469" spans="1:15" x14ac:dyDescent="0.3">
      <c r="A469">
        <v>2</v>
      </c>
      <c r="B469">
        <v>2017</v>
      </c>
      <c r="C469">
        <v>3784</v>
      </c>
      <c r="D469">
        <v>0</v>
      </c>
      <c r="E469">
        <v>32</v>
      </c>
      <c r="F469">
        <v>2</v>
      </c>
      <c r="G469">
        <f t="shared" si="69"/>
        <v>0</v>
      </c>
      <c r="H469">
        <f t="shared" si="69"/>
        <v>0</v>
      </c>
      <c r="I469">
        <f t="shared" si="69"/>
        <v>0</v>
      </c>
      <c r="J469">
        <f t="shared" si="69"/>
        <v>0</v>
      </c>
      <c r="K469">
        <f t="shared" si="69"/>
        <v>0</v>
      </c>
      <c r="L469">
        <f t="shared" si="69"/>
        <v>1</v>
      </c>
      <c r="M469">
        <f t="shared" si="70"/>
        <v>0</v>
      </c>
      <c r="N469">
        <f t="shared" si="70"/>
        <v>1</v>
      </c>
      <c r="O469">
        <f t="shared" si="70"/>
        <v>0</v>
      </c>
    </row>
    <row r="470" spans="1:15" x14ac:dyDescent="0.3">
      <c r="A470">
        <v>1</v>
      </c>
      <c r="B470">
        <v>2017</v>
      </c>
      <c r="C470">
        <v>3782</v>
      </c>
      <c r="D470">
        <v>0</v>
      </c>
      <c r="E470">
        <v>11</v>
      </c>
      <c r="F470">
        <v>1.5</v>
      </c>
      <c r="G470">
        <f t="shared" si="69"/>
        <v>0</v>
      </c>
      <c r="H470">
        <f t="shared" si="69"/>
        <v>0</v>
      </c>
      <c r="I470">
        <f t="shared" si="69"/>
        <v>0</v>
      </c>
      <c r="J470">
        <f t="shared" si="69"/>
        <v>0</v>
      </c>
      <c r="K470">
        <f t="shared" si="69"/>
        <v>0</v>
      </c>
      <c r="L470">
        <f t="shared" si="69"/>
        <v>1</v>
      </c>
      <c r="M470">
        <f t="shared" si="70"/>
        <v>1</v>
      </c>
      <c r="N470">
        <f t="shared" si="70"/>
        <v>0</v>
      </c>
      <c r="O470">
        <f t="shared" si="70"/>
        <v>0</v>
      </c>
    </row>
    <row r="471" spans="1:15" x14ac:dyDescent="0.3">
      <c r="A471">
        <v>4</v>
      </c>
      <c r="B471">
        <v>2015</v>
      </c>
      <c r="C471">
        <v>3770</v>
      </c>
      <c r="D471">
        <v>50</v>
      </c>
      <c r="E471">
        <v>72</v>
      </c>
      <c r="F471">
        <v>7</v>
      </c>
      <c r="G471">
        <f t="shared" si="69"/>
        <v>0</v>
      </c>
      <c r="H471">
        <f t="shared" si="69"/>
        <v>0</v>
      </c>
      <c r="I471">
        <f t="shared" si="69"/>
        <v>0</v>
      </c>
      <c r="J471">
        <f t="shared" si="69"/>
        <v>1</v>
      </c>
      <c r="K471">
        <f t="shared" si="69"/>
        <v>0</v>
      </c>
      <c r="L471">
        <f t="shared" si="69"/>
        <v>0</v>
      </c>
      <c r="M471">
        <f t="shared" si="70"/>
        <v>0</v>
      </c>
      <c r="N471">
        <f t="shared" si="70"/>
        <v>0</v>
      </c>
      <c r="O471">
        <f t="shared" si="70"/>
        <v>1</v>
      </c>
    </row>
    <row r="472" spans="1:15" x14ac:dyDescent="0.3">
      <c r="A472">
        <v>4</v>
      </c>
      <c r="B472">
        <v>2017</v>
      </c>
      <c r="C472">
        <v>3766</v>
      </c>
      <c r="D472">
        <v>0</v>
      </c>
      <c r="E472">
        <v>14</v>
      </c>
      <c r="F472">
        <v>0.7</v>
      </c>
      <c r="G472">
        <f t="shared" ref="G472:L481" si="71">IF($B472=G$1,1,0)</f>
        <v>0</v>
      </c>
      <c r="H472">
        <f t="shared" si="71"/>
        <v>0</v>
      </c>
      <c r="I472">
        <f t="shared" si="71"/>
        <v>0</v>
      </c>
      <c r="J472">
        <f t="shared" si="71"/>
        <v>0</v>
      </c>
      <c r="K472">
        <f t="shared" si="71"/>
        <v>0</v>
      </c>
      <c r="L472">
        <f t="shared" si="71"/>
        <v>1</v>
      </c>
      <c r="M472">
        <f t="shared" si="70"/>
        <v>0</v>
      </c>
      <c r="N472">
        <f t="shared" si="70"/>
        <v>0</v>
      </c>
      <c r="O472">
        <f t="shared" si="70"/>
        <v>1</v>
      </c>
    </row>
    <row r="473" spans="1:15" x14ac:dyDescent="0.3">
      <c r="A473">
        <v>4</v>
      </c>
      <c r="B473">
        <v>2016</v>
      </c>
      <c r="C473">
        <v>3759</v>
      </c>
      <c r="D473">
        <v>20</v>
      </c>
      <c r="E473">
        <v>25</v>
      </c>
      <c r="F473">
        <v>4</v>
      </c>
      <c r="G473">
        <f t="shared" si="71"/>
        <v>0</v>
      </c>
      <c r="H473">
        <f t="shared" si="71"/>
        <v>0</v>
      </c>
      <c r="I473">
        <f t="shared" si="71"/>
        <v>0</v>
      </c>
      <c r="J473">
        <f t="shared" si="71"/>
        <v>0</v>
      </c>
      <c r="K473">
        <f t="shared" si="71"/>
        <v>1</v>
      </c>
      <c r="L473">
        <f t="shared" si="71"/>
        <v>0</v>
      </c>
      <c r="M473">
        <f t="shared" si="70"/>
        <v>0</v>
      </c>
      <c r="N473">
        <f t="shared" si="70"/>
        <v>0</v>
      </c>
      <c r="O473">
        <f t="shared" si="70"/>
        <v>1</v>
      </c>
    </row>
    <row r="474" spans="1:15" x14ac:dyDescent="0.3">
      <c r="A474">
        <v>1</v>
      </c>
      <c r="B474">
        <v>2015</v>
      </c>
      <c r="C474">
        <v>3757</v>
      </c>
      <c r="D474">
        <v>100</v>
      </c>
      <c r="E474">
        <v>20</v>
      </c>
      <c r="F474">
        <v>1</v>
      </c>
      <c r="G474">
        <f t="shared" si="71"/>
        <v>0</v>
      </c>
      <c r="H474">
        <f t="shared" si="71"/>
        <v>0</v>
      </c>
      <c r="I474">
        <f t="shared" si="71"/>
        <v>0</v>
      </c>
      <c r="J474">
        <f t="shared" si="71"/>
        <v>1</v>
      </c>
      <c r="K474">
        <f t="shared" si="71"/>
        <v>0</v>
      </c>
      <c r="L474">
        <f t="shared" si="71"/>
        <v>0</v>
      </c>
      <c r="M474">
        <f t="shared" si="70"/>
        <v>1</v>
      </c>
      <c r="N474">
        <f t="shared" si="70"/>
        <v>0</v>
      </c>
      <c r="O474">
        <f t="shared" si="70"/>
        <v>0</v>
      </c>
    </row>
    <row r="475" spans="1:15" x14ac:dyDescent="0.3">
      <c r="A475">
        <v>4</v>
      </c>
      <c r="B475">
        <v>2014</v>
      </c>
      <c r="C475">
        <v>3704</v>
      </c>
      <c r="D475">
        <v>50</v>
      </c>
      <c r="E475">
        <v>18</v>
      </c>
      <c r="F475">
        <v>2</v>
      </c>
      <c r="G475">
        <f t="shared" si="71"/>
        <v>0</v>
      </c>
      <c r="H475">
        <f t="shared" si="71"/>
        <v>0</v>
      </c>
      <c r="I475">
        <f t="shared" si="71"/>
        <v>1</v>
      </c>
      <c r="J475">
        <f t="shared" si="71"/>
        <v>0</v>
      </c>
      <c r="K475">
        <f t="shared" si="71"/>
        <v>0</v>
      </c>
      <c r="L475">
        <f t="shared" si="71"/>
        <v>0</v>
      </c>
      <c r="M475">
        <f t="shared" si="70"/>
        <v>0</v>
      </c>
      <c r="N475">
        <f t="shared" si="70"/>
        <v>0</v>
      </c>
      <c r="O475">
        <f t="shared" si="70"/>
        <v>1</v>
      </c>
    </row>
    <row r="476" spans="1:15" x14ac:dyDescent="0.3">
      <c r="A476">
        <v>2</v>
      </c>
      <c r="B476">
        <v>2015</v>
      </c>
      <c r="C476">
        <v>3701</v>
      </c>
      <c r="D476">
        <v>100</v>
      </c>
      <c r="E476">
        <v>125</v>
      </c>
      <c r="F476">
        <v>10.5</v>
      </c>
      <c r="G476">
        <f t="shared" si="71"/>
        <v>0</v>
      </c>
      <c r="H476">
        <f t="shared" si="71"/>
        <v>0</v>
      </c>
      <c r="I476">
        <f t="shared" si="71"/>
        <v>0</v>
      </c>
      <c r="J476">
        <f t="shared" si="71"/>
        <v>1</v>
      </c>
      <c r="K476">
        <f t="shared" si="71"/>
        <v>0</v>
      </c>
      <c r="L476">
        <f t="shared" si="71"/>
        <v>0</v>
      </c>
      <c r="M476">
        <f t="shared" si="70"/>
        <v>0</v>
      </c>
      <c r="N476">
        <f t="shared" si="70"/>
        <v>1</v>
      </c>
      <c r="O476">
        <f t="shared" si="70"/>
        <v>0</v>
      </c>
    </row>
    <row r="477" spans="1:15" x14ac:dyDescent="0.3">
      <c r="A477">
        <v>2</v>
      </c>
      <c r="B477">
        <v>2016</v>
      </c>
      <c r="C477">
        <v>3699</v>
      </c>
      <c r="D477">
        <v>20</v>
      </c>
      <c r="E477">
        <v>11</v>
      </c>
      <c r="F477">
        <v>1</v>
      </c>
      <c r="G477">
        <f t="shared" si="71"/>
        <v>0</v>
      </c>
      <c r="H477">
        <f t="shared" si="71"/>
        <v>0</v>
      </c>
      <c r="I477">
        <f t="shared" si="71"/>
        <v>0</v>
      </c>
      <c r="J477">
        <f t="shared" si="71"/>
        <v>0</v>
      </c>
      <c r="K477">
        <f t="shared" si="71"/>
        <v>1</v>
      </c>
      <c r="L477">
        <f t="shared" si="71"/>
        <v>0</v>
      </c>
      <c r="M477">
        <f t="shared" si="70"/>
        <v>0</v>
      </c>
      <c r="N477">
        <f t="shared" si="70"/>
        <v>1</v>
      </c>
      <c r="O477">
        <f t="shared" si="70"/>
        <v>0</v>
      </c>
    </row>
    <row r="478" spans="1:15" x14ac:dyDescent="0.3">
      <c r="A478">
        <v>4</v>
      </c>
      <c r="B478">
        <v>2011</v>
      </c>
      <c r="C478">
        <v>3697</v>
      </c>
      <c r="D478">
        <v>20</v>
      </c>
      <c r="E478">
        <v>48</v>
      </c>
      <c r="F478">
        <v>3</v>
      </c>
      <c r="G478">
        <f t="shared" si="71"/>
        <v>0</v>
      </c>
      <c r="H478">
        <f t="shared" si="71"/>
        <v>0</v>
      </c>
      <c r="I478">
        <f t="shared" si="71"/>
        <v>0</v>
      </c>
      <c r="J478">
        <f t="shared" si="71"/>
        <v>0</v>
      </c>
      <c r="K478">
        <f t="shared" si="71"/>
        <v>0</v>
      </c>
      <c r="L478">
        <f t="shared" si="71"/>
        <v>0</v>
      </c>
      <c r="M478">
        <f t="shared" si="70"/>
        <v>0</v>
      </c>
      <c r="N478">
        <f t="shared" si="70"/>
        <v>0</v>
      </c>
      <c r="O478">
        <f t="shared" si="70"/>
        <v>1</v>
      </c>
    </row>
    <row r="479" spans="1:15" x14ac:dyDescent="0.3">
      <c r="A479">
        <v>1</v>
      </c>
      <c r="B479">
        <v>2015</v>
      </c>
      <c r="C479">
        <v>3694</v>
      </c>
      <c r="D479">
        <v>20</v>
      </c>
      <c r="E479">
        <v>39</v>
      </c>
      <c r="F479">
        <v>4</v>
      </c>
      <c r="G479">
        <f t="shared" si="71"/>
        <v>0</v>
      </c>
      <c r="H479">
        <f t="shared" si="71"/>
        <v>0</v>
      </c>
      <c r="I479">
        <f t="shared" si="71"/>
        <v>0</v>
      </c>
      <c r="J479">
        <f t="shared" si="71"/>
        <v>1</v>
      </c>
      <c r="K479">
        <f t="shared" si="71"/>
        <v>0</v>
      </c>
      <c r="L479">
        <f t="shared" si="71"/>
        <v>0</v>
      </c>
      <c r="M479">
        <f t="shared" si="70"/>
        <v>1</v>
      </c>
      <c r="N479">
        <f t="shared" si="70"/>
        <v>0</v>
      </c>
      <c r="O479">
        <f t="shared" si="70"/>
        <v>0</v>
      </c>
    </row>
    <row r="480" spans="1:15" x14ac:dyDescent="0.3">
      <c r="A480">
        <v>4</v>
      </c>
      <c r="B480">
        <v>2017</v>
      </c>
      <c r="C480">
        <v>3688</v>
      </c>
      <c r="D480">
        <v>50</v>
      </c>
      <c r="E480">
        <v>11</v>
      </c>
      <c r="F480">
        <v>1</v>
      </c>
      <c r="G480">
        <f t="shared" si="71"/>
        <v>0</v>
      </c>
      <c r="H480">
        <f t="shared" si="71"/>
        <v>0</v>
      </c>
      <c r="I480">
        <f t="shared" si="71"/>
        <v>0</v>
      </c>
      <c r="J480">
        <f t="shared" si="71"/>
        <v>0</v>
      </c>
      <c r="K480">
        <f t="shared" si="71"/>
        <v>0</v>
      </c>
      <c r="L480">
        <f t="shared" si="71"/>
        <v>1</v>
      </c>
      <c r="M480">
        <f t="shared" si="70"/>
        <v>0</v>
      </c>
      <c r="N480">
        <f t="shared" si="70"/>
        <v>0</v>
      </c>
      <c r="O480">
        <f t="shared" si="70"/>
        <v>1</v>
      </c>
    </row>
    <row r="481" spans="1:15" x14ac:dyDescent="0.3">
      <c r="A481">
        <v>1</v>
      </c>
      <c r="B481">
        <v>2017</v>
      </c>
      <c r="C481">
        <v>3655</v>
      </c>
      <c r="D481">
        <v>0</v>
      </c>
      <c r="E481">
        <v>44</v>
      </c>
      <c r="F481">
        <v>2</v>
      </c>
      <c r="G481">
        <f t="shared" si="71"/>
        <v>0</v>
      </c>
      <c r="H481">
        <f t="shared" si="71"/>
        <v>0</v>
      </c>
      <c r="I481">
        <f t="shared" si="71"/>
        <v>0</v>
      </c>
      <c r="J481">
        <f t="shared" si="71"/>
        <v>0</v>
      </c>
      <c r="K481">
        <f t="shared" si="71"/>
        <v>0</v>
      </c>
      <c r="L481">
        <f t="shared" si="71"/>
        <v>1</v>
      </c>
      <c r="M481">
        <f t="shared" si="70"/>
        <v>1</v>
      </c>
      <c r="N481">
        <f t="shared" si="70"/>
        <v>0</v>
      </c>
      <c r="O481">
        <f t="shared" si="70"/>
        <v>0</v>
      </c>
    </row>
    <row r="482" spans="1:15" x14ac:dyDescent="0.3">
      <c r="A482">
        <v>4</v>
      </c>
      <c r="B482">
        <v>2016</v>
      </c>
      <c r="C482">
        <v>3652</v>
      </c>
      <c r="D482">
        <v>30</v>
      </c>
      <c r="E482">
        <v>7</v>
      </c>
      <c r="F482">
        <v>0.66666667000000002</v>
      </c>
      <c r="G482">
        <f t="shared" ref="G482:L491" si="72">IF($B482=G$1,1,0)</f>
        <v>0</v>
      </c>
      <c r="H482">
        <f t="shared" si="72"/>
        <v>0</v>
      </c>
      <c r="I482">
        <f t="shared" si="72"/>
        <v>0</v>
      </c>
      <c r="J482">
        <f t="shared" si="72"/>
        <v>0</v>
      </c>
      <c r="K482">
        <f t="shared" si="72"/>
        <v>1</v>
      </c>
      <c r="L482">
        <f t="shared" si="72"/>
        <v>0</v>
      </c>
      <c r="M482">
        <f t="shared" ref="M482:O501" si="73">IF($A482=M$1,1,0)</f>
        <v>0</v>
      </c>
      <c r="N482">
        <f t="shared" si="73"/>
        <v>0</v>
      </c>
      <c r="O482">
        <f t="shared" si="73"/>
        <v>1</v>
      </c>
    </row>
    <row r="483" spans="1:15" x14ac:dyDescent="0.3">
      <c r="A483">
        <v>1</v>
      </c>
      <c r="B483">
        <v>2016</v>
      </c>
      <c r="C483">
        <v>3632</v>
      </c>
      <c r="D483">
        <v>200</v>
      </c>
      <c r="E483">
        <v>31</v>
      </c>
      <c r="F483">
        <v>2</v>
      </c>
      <c r="G483">
        <f t="shared" si="72"/>
        <v>0</v>
      </c>
      <c r="H483">
        <f t="shared" si="72"/>
        <v>0</v>
      </c>
      <c r="I483">
        <f t="shared" si="72"/>
        <v>0</v>
      </c>
      <c r="J483">
        <f t="shared" si="72"/>
        <v>0</v>
      </c>
      <c r="K483">
        <f t="shared" si="72"/>
        <v>1</v>
      </c>
      <c r="L483">
        <f t="shared" si="72"/>
        <v>0</v>
      </c>
      <c r="M483">
        <f t="shared" si="73"/>
        <v>1</v>
      </c>
      <c r="N483">
        <f t="shared" si="73"/>
        <v>0</v>
      </c>
      <c r="O483">
        <f t="shared" si="73"/>
        <v>0</v>
      </c>
    </row>
    <row r="484" spans="1:15" x14ac:dyDescent="0.3">
      <c r="A484">
        <v>1</v>
      </c>
      <c r="B484">
        <v>2016</v>
      </c>
      <c r="C484">
        <v>3619</v>
      </c>
      <c r="D484">
        <v>95</v>
      </c>
      <c r="E484">
        <v>19</v>
      </c>
      <c r="F484">
        <v>1</v>
      </c>
      <c r="G484">
        <f t="shared" si="72"/>
        <v>0</v>
      </c>
      <c r="H484">
        <f t="shared" si="72"/>
        <v>0</v>
      </c>
      <c r="I484">
        <f t="shared" si="72"/>
        <v>0</v>
      </c>
      <c r="J484">
        <f t="shared" si="72"/>
        <v>0</v>
      </c>
      <c r="K484">
        <f t="shared" si="72"/>
        <v>1</v>
      </c>
      <c r="L484">
        <f t="shared" si="72"/>
        <v>0</v>
      </c>
      <c r="M484">
        <f t="shared" si="73"/>
        <v>1</v>
      </c>
      <c r="N484">
        <f t="shared" si="73"/>
        <v>0</v>
      </c>
      <c r="O484">
        <f t="shared" si="73"/>
        <v>0</v>
      </c>
    </row>
    <row r="485" spans="1:15" x14ac:dyDescent="0.3">
      <c r="A485">
        <v>4</v>
      </c>
      <c r="B485">
        <v>2016</v>
      </c>
      <c r="C485">
        <v>3601</v>
      </c>
      <c r="D485">
        <v>50</v>
      </c>
      <c r="E485">
        <v>22</v>
      </c>
      <c r="F485">
        <v>2</v>
      </c>
      <c r="G485">
        <f t="shared" si="72"/>
        <v>0</v>
      </c>
      <c r="H485">
        <f t="shared" si="72"/>
        <v>0</v>
      </c>
      <c r="I485">
        <f t="shared" si="72"/>
        <v>0</v>
      </c>
      <c r="J485">
        <f t="shared" si="72"/>
        <v>0</v>
      </c>
      <c r="K485">
        <f t="shared" si="72"/>
        <v>1</v>
      </c>
      <c r="L485">
        <f t="shared" si="72"/>
        <v>0</v>
      </c>
      <c r="M485">
        <f t="shared" si="73"/>
        <v>0</v>
      </c>
      <c r="N485">
        <f t="shared" si="73"/>
        <v>0</v>
      </c>
      <c r="O485">
        <f t="shared" si="73"/>
        <v>1</v>
      </c>
    </row>
    <row r="486" spans="1:15" x14ac:dyDescent="0.3">
      <c r="A486">
        <v>2</v>
      </c>
      <c r="B486">
        <v>2016</v>
      </c>
      <c r="C486">
        <v>3590</v>
      </c>
      <c r="D486">
        <v>110</v>
      </c>
      <c r="E486">
        <v>104</v>
      </c>
      <c r="F486">
        <v>14</v>
      </c>
      <c r="G486">
        <f t="shared" si="72"/>
        <v>0</v>
      </c>
      <c r="H486">
        <f t="shared" si="72"/>
        <v>0</v>
      </c>
      <c r="I486">
        <f t="shared" si="72"/>
        <v>0</v>
      </c>
      <c r="J486">
        <f t="shared" si="72"/>
        <v>0</v>
      </c>
      <c r="K486">
        <f t="shared" si="72"/>
        <v>1</v>
      </c>
      <c r="L486">
        <f t="shared" si="72"/>
        <v>0</v>
      </c>
      <c r="M486">
        <f t="shared" si="73"/>
        <v>0</v>
      </c>
      <c r="N486">
        <f t="shared" si="73"/>
        <v>1</v>
      </c>
      <c r="O486">
        <f t="shared" si="73"/>
        <v>0</v>
      </c>
    </row>
    <row r="487" spans="1:15" x14ac:dyDescent="0.3">
      <c r="A487">
        <v>1</v>
      </c>
      <c r="B487">
        <v>2017</v>
      </c>
      <c r="C487">
        <v>3571</v>
      </c>
      <c r="D487">
        <v>0</v>
      </c>
      <c r="E487">
        <v>8</v>
      </c>
      <c r="F487">
        <v>1</v>
      </c>
      <c r="G487">
        <f t="shared" si="72"/>
        <v>0</v>
      </c>
      <c r="H487">
        <f t="shared" si="72"/>
        <v>0</v>
      </c>
      <c r="I487">
        <f t="shared" si="72"/>
        <v>0</v>
      </c>
      <c r="J487">
        <f t="shared" si="72"/>
        <v>0</v>
      </c>
      <c r="K487">
        <f t="shared" si="72"/>
        <v>0</v>
      </c>
      <c r="L487">
        <f t="shared" si="72"/>
        <v>1</v>
      </c>
      <c r="M487">
        <f t="shared" si="73"/>
        <v>1</v>
      </c>
      <c r="N487">
        <f t="shared" si="73"/>
        <v>0</v>
      </c>
      <c r="O487">
        <f t="shared" si="73"/>
        <v>0</v>
      </c>
    </row>
    <row r="488" spans="1:15" x14ac:dyDescent="0.3">
      <c r="A488">
        <v>2</v>
      </c>
      <c r="B488">
        <v>2017</v>
      </c>
      <c r="C488">
        <v>3559</v>
      </c>
      <c r="D488">
        <v>100</v>
      </c>
      <c r="E488">
        <v>18</v>
      </c>
      <c r="F488">
        <v>1</v>
      </c>
      <c r="G488">
        <f t="shared" si="72"/>
        <v>0</v>
      </c>
      <c r="H488">
        <f t="shared" si="72"/>
        <v>0</v>
      </c>
      <c r="I488">
        <f t="shared" si="72"/>
        <v>0</v>
      </c>
      <c r="J488">
        <f t="shared" si="72"/>
        <v>0</v>
      </c>
      <c r="K488">
        <f t="shared" si="72"/>
        <v>0</v>
      </c>
      <c r="L488">
        <f t="shared" si="72"/>
        <v>1</v>
      </c>
      <c r="M488">
        <f t="shared" si="73"/>
        <v>0</v>
      </c>
      <c r="N488">
        <f t="shared" si="73"/>
        <v>1</v>
      </c>
      <c r="O488">
        <f t="shared" si="73"/>
        <v>0</v>
      </c>
    </row>
    <row r="489" spans="1:15" x14ac:dyDescent="0.3">
      <c r="A489">
        <v>1</v>
      </c>
      <c r="B489">
        <v>2017</v>
      </c>
      <c r="C489">
        <v>3541</v>
      </c>
      <c r="D489">
        <v>40</v>
      </c>
      <c r="E489">
        <v>37</v>
      </c>
      <c r="F489">
        <v>4</v>
      </c>
      <c r="G489">
        <f t="shared" si="72"/>
        <v>0</v>
      </c>
      <c r="H489">
        <f t="shared" si="72"/>
        <v>0</v>
      </c>
      <c r="I489">
        <f t="shared" si="72"/>
        <v>0</v>
      </c>
      <c r="J489">
        <f t="shared" si="72"/>
        <v>0</v>
      </c>
      <c r="K489">
        <f t="shared" si="72"/>
        <v>0</v>
      </c>
      <c r="L489">
        <f t="shared" si="72"/>
        <v>1</v>
      </c>
      <c r="M489">
        <f t="shared" si="73"/>
        <v>1</v>
      </c>
      <c r="N489">
        <f t="shared" si="73"/>
        <v>0</v>
      </c>
      <c r="O489">
        <f t="shared" si="73"/>
        <v>0</v>
      </c>
    </row>
    <row r="490" spans="1:15" x14ac:dyDescent="0.3">
      <c r="A490">
        <v>4</v>
      </c>
      <c r="B490">
        <v>2017</v>
      </c>
      <c r="C490">
        <v>3539</v>
      </c>
      <c r="D490">
        <v>35</v>
      </c>
      <c r="E490">
        <v>20</v>
      </c>
      <c r="F490">
        <v>1</v>
      </c>
      <c r="G490">
        <f t="shared" si="72"/>
        <v>0</v>
      </c>
      <c r="H490">
        <f t="shared" si="72"/>
        <v>0</v>
      </c>
      <c r="I490">
        <f t="shared" si="72"/>
        <v>0</v>
      </c>
      <c r="J490">
        <f t="shared" si="72"/>
        <v>0</v>
      </c>
      <c r="K490">
        <f t="shared" si="72"/>
        <v>0</v>
      </c>
      <c r="L490">
        <f t="shared" si="72"/>
        <v>1</v>
      </c>
      <c r="M490">
        <f t="shared" si="73"/>
        <v>0</v>
      </c>
      <c r="N490">
        <f t="shared" si="73"/>
        <v>0</v>
      </c>
      <c r="O490">
        <f t="shared" si="73"/>
        <v>1</v>
      </c>
    </row>
    <row r="491" spans="1:15" x14ac:dyDescent="0.3">
      <c r="A491">
        <v>4</v>
      </c>
      <c r="B491">
        <v>2016</v>
      </c>
      <c r="C491">
        <v>3503</v>
      </c>
      <c r="D491">
        <v>30</v>
      </c>
      <c r="E491">
        <v>41</v>
      </c>
      <c r="F491">
        <v>4</v>
      </c>
      <c r="G491">
        <f t="shared" si="72"/>
        <v>0</v>
      </c>
      <c r="H491">
        <f t="shared" si="72"/>
        <v>0</v>
      </c>
      <c r="I491">
        <f t="shared" si="72"/>
        <v>0</v>
      </c>
      <c r="J491">
        <f t="shared" si="72"/>
        <v>0</v>
      </c>
      <c r="K491">
        <f t="shared" si="72"/>
        <v>1</v>
      </c>
      <c r="L491">
        <f t="shared" si="72"/>
        <v>0</v>
      </c>
      <c r="M491">
        <f t="shared" si="73"/>
        <v>0</v>
      </c>
      <c r="N491">
        <f t="shared" si="73"/>
        <v>0</v>
      </c>
      <c r="O491">
        <f t="shared" si="73"/>
        <v>1</v>
      </c>
    </row>
    <row r="492" spans="1:15" x14ac:dyDescent="0.3">
      <c r="A492">
        <v>2</v>
      </c>
      <c r="B492">
        <v>2017</v>
      </c>
      <c r="C492">
        <v>3493</v>
      </c>
      <c r="D492">
        <v>0</v>
      </c>
      <c r="E492">
        <v>26</v>
      </c>
      <c r="F492">
        <v>4.5</v>
      </c>
      <c r="G492">
        <f t="shared" ref="G492:L501" si="74">IF($B492=G$1,1,0)</f>
        <v>0</v>
      </c>
      <c r="H492">
        <f t="shared" si="74"/>
        <v>0</v>
      </c>
      <c r="I492">
        <f t="shared" si="74"/>
        <v>0</v>
      </c>
      <c r="J492">
        <f t="shared" si="74"/>
        <v>0</v>
      </c>
      <c r="K492">
        <f t="shared" si="74"/>
        <v>0</v>
      </c>
      <c r="L492">
        <f t="shared" si="74"/>
        <v>1</v>
      </c>
      <c r="M492">
        <f t="shared" si="73"/>
        <v>0</v>
      </c>
      <c r="N492">
        <f t="shared" si="73"/>
        <v>1</v>
      </c>
      <c r="O492">
        <f t="shared" si="73"/>
        <v>0</v>
      </c>
    </row>
    <row r="493" spans="1:15" x14ac:dyDescent="0.3">
      <c r="A493">
        <v>4</v>
      </c>
      <c r="B493">
        <v>2016</v>
      </c>
      <c r="C493">
        <v>3492</v>
      </c>
      <c r="D493">
        <v>25</v>
      </c>
      <c r="E493">
        <v>12</v>
      </c>
      <c r="F493">
        <v>1.5</v>
      </c>
      <c r="G493">
        <f t="shared" si="74"/>
        <v>0</v>
      </c>
      <c r="H493">
        <f t="shared" si="74"/>
        <v>0</v>
      </c>
      <c r="I493">
        <f t="shared" si="74"/>
        <v>0</v>
      </c>
      <c r="J493">
        <f t="shared" si="74"/>
        <v>0</v>
      </c>
      <c r="K493">
        <f t="shared" si="74"/>
        <v>1</v>
      </c>
      <c r="L493">
        <f t="shared" si="74"/>
        <v>0</v>
      </c>
      <c r="M493">
        <f t="shared" si="73"/>
        <v>0</v>
      </c>
      <c r="N493">
        <f t="shared" si="73"/>
        <v>0</v>
      </c>
      <c r="O493">
        <f t="shared" si="73"/>
        <v>1</v>
      </c>
    </row>
    <row r="494" spans="1:15" x14ac:dyDescent="0.3">
      <c r="A494">
        <v>2</v>
      </c>
      <c r="B494">
        <v>2015</v>
      </c>
      <c r="C494">
        <v>3485</v>
      </c>
      <c r="D494">
        <v>35</v>
      </c>
      <c r="E494">
        <v>19</v>
      </c>
      <c r="F494">
        <v>2</v>
      </c>
      <c r="G494">
        <f t="shared" si="74"/>
        <v>0</v>
      </c>
      <c r="H494">
        <f t="shared" si="74"/>
        <v>0</v>
      </c>
      <c r="I494">
        <f t="shared" si="74"/>
        <v>0</v>
      </c>
      <c r="J494">
        <f t="shared" si="74"/>
        <v>1</v>
      </c>
      <c r="K494">
        <f t="shared" si="74"/>
        <v>0</v>
      </c>
      <c r="L494">
        <f t="shared" si="74"/>
        <v>0</v>
      </c>
      <c r="M494">
        <f t="shared" si="73"/>
        <v>0</v>
      </c>
      <c r="N494">
        <f t="shared" si="73"/>
        <v>1</v>
      </c>
      <c r="O494">
        <f t="shared" si="73"/>
        <v>0</v>
      </c>
    </row>
    <row r="495" spans="1:15" x14ac:dyDescent="0.3">
      <c r="A495">
        <v>4</v>
      </c>
      <c r="B495">
        <v>2015</v>
      </c>
      <c r="C495">
        <v>3461</v>
      </c>
      <c r="D495">
        <v>20</v>
      </c>
      <c r="E495">
        <v>23</v>
      </c>
      <c r="F495">
        <v>1.5</v>
      </c>
      <c r="G495">
        <f t="shared" si="74"/>
        <v>0</v>
      </c>
      <c r="H495">
        <f t="shared" si="74"/>
        <v>0</v>
      </c>
      <c r="I495">
        <f t="shared" si="74"/>
        <v>0</v>
      </c>
      <c r="J495">
        <f t="shared" si="74"/>
        <v>1</v>
      </c>
      <c r="K495">
        <f t="shared" si="74"/>
        <v>0</v>
      </c>
      <c r="L495">
        <f t="shared" si="74"/>
        <v>0</v>
      </c>
      <c r="M495">
        <f t="shared" si="73"/>
        <v>0</v>
      </c>
      <c r="N495">
        <f t="shared" si="73"/>
        <v>0</v>
      </c>
      <c r="O495">
        <f t="shared" si="73"/>
        <v>1</v>
      </c>
    </row>
    <row r="496" spans="1:15" x14ac:dyDescent="0.3">
      <c r="A496">
        <v>4</v>
      </c>
      <c r="B496">
        <v>2017</v>
      </c>
      <c r="C496">
        <v>3444</v>
      </c>
      <c r="D496">
        <v>20</v>
      </c>
      <c r="E496">
        <v>16</v>
      </c>
      <c r="F496">
        <v>3</v>
      </c>
      <c r="G496">
        <f t="shared" si="74"/>
        <v>0</v>
      </c>
      <c r="H496">
        <f t="shared" si="74"/>
        <v>0</v>
      </c>
      <c r="I496">
        <f t="shared" si="74"/>
        <v>0</v>
      </c>
      <c r="J496">
        <f t="shared" si="74"/>
        <v>0</v>
      </c>
      <c r="K496">
        <f t="shared" si="74"/>
        <v>0</v>
      </c>
      <c r="L496">
        <f t="shared" si="74"/>
        <v>1</v>
      </c>
      <c r="M496">
        <f t="shared" si="73"/>
        <v>0</v>
      </c>
      <c r="N496">
        <f t="shared" si="73"/>
        <v>0</v>
      </c>
      <c r="O496">
        <f t="shared" si="73"/>
        <v>1</v>
      </c>
    </row>
    <row r="497" spans="1:15" x14ac:dyDescent="0.3">
      <c r="A497">
        <v>4</v>
      </c>
      <c r="B497">
        <v>2015</v>
      </c>
      <c r="C497">
        <v>3420</v>
      </c>
      <c r="D497">
        <v>120</v>
      </c>
      <c r="E497">
        <v>102</v>
      </c>
      <c r="F497">
        <v>14.5</v>
      </c>
      <c r="G497">
        <f t="shared" si="74"/>
        <v>0</v>
      </c>
      <c r="H497">
        <f t="shared" si="74"/>
        <v>0</v>
      </c>
      <c r="I497">
        <f t="shared" si="74"/>
        <v>0</v>
      </c>
      <c r="J497">
        <f t="shared" si="74"/>
        <v>1</v>
      </c>
      <c r="K497">
        <f t="shared" si="74"/>
        <v>0</v>
      </c>
      <c r="L497">
        <f t="shared" si="74"/>
        <v>0</v>
      </c>
      <c r="M497">
        <f t="shared" si="73"/>
        <v>0</v>
      </c>
      <c r="N497">
        <f t="shared" si="73"/>
        <v>0</v>
      </c>
      <c r="O497">
        <f t="shared" si="73"/>
        <v>1</v>
      </c>
    </row>
    <row r="498" spans="1:15" x14ac:dyDescent="0.3">
      <c r="A498">
        <v>4</v>
      </c>
      <c r="B498">
        <v>2016</v>
      </c>
      <c r="C498">
        <v>3415</v>
      </c>
      <c r="D498">
        <v>150</v>
      </c>
      <c r="E498">
        <v>160</v>
      </c>
      <c r="F498">
        <v>25</v>
      </c>
      <c r="G498">
        <f t="shared" si="74"/>
        <v>0</v>
      </c>
      <c r="H498">
        <f t="shared" si="74"/>
        <v>0</v>
      </c>
      <c r="I498">
        <f t="shared" si="74"/>
        <v>0</v>
      </c>
      <c r="J498">
        <f t="shared" si="74"/>
        <v>0</v>
      </c>
      <c r="K498">
        <f t="shared" si="74"/>
        <v>1</v>
      </c>
      <c r="L498">
        <f t="shared" si="74"/>
        <v>0</v>
      </c>
      <c r="M498">
        <f t="shared" si="73"/>
        <v>0</v>
      </c>
      <c r="N498">
        <f t="shared" si="73"/>
        <v>0</v>
      </c>
      <c r="O498">
        <f t="shared" si="73"/>
        <v>1</v>
      </c>
    </row>
    <row r="499" spans="1:15" x14ac:dyDescent="0.3">
      <c r="A499">
        <v>2</v>
      </c>
      <c r="B499">
        <v>2013</v>
      </c>
      <c r="C499">
        <v>3411</v>
      </c>
      <c r="D499">
        <v>50</v>
      </c>
      <c r="E499">
        <v>22</v>
      </c>
      <c r="F499">
        <v>1</v>
      </c>
      <c r="G499">
        <f t="shared" si="74"/>
        <v>0</v>
      </c>
      <c r="H499">
        <f t="shared" si="74"/>
        <v>1</v>
      </c>
      <c r="I499">
        <f t="shared" si="74"/>
        <v>0</v>
      </c>
      <c r="J499">
        <f t="shared" si="74"/>
        <v>0</v>
      </c>
      <c r="K499">
        <f t="shared" si="74"/>
        <v>0</v>
      </c>
      <c r="L499">
        <f t="shared" si="74"/>
        <v>0</v>
      </c>
      <c r="M499">
        <f t="shared" si="73"/>
        <v>0</v>
      </c>
      <c r="N499">
        <f t="shared" si="73"/>
        <v>1</v>
      </c>
      <c r="O499">
        <f t="shared" si="73"/>
        <v>0</v>
      </c>
    </row>
    <row r="500" spans="1:15" x14ac:dyDescent="0.3">
      <c r="A500">
        <v>4</v>
      </c>
      <c r="B500">
        <v>2015</v>
      </c>
      <c r="C500">
        <v>3399</v>
      </c>
      <c r="D500">
        <v>200</v>
      </c>
      <c r="E500">
        <v>15</v>
      </c>
      <c r="F500">
        <v>1.5</v>
      </c>
      <c r="G500">
        <f t="shared" si="74"/>
        <v>0</v>
      </c>
      <c r="H500">
        <f t="shared" si="74"/>
        <v>0</v>
      </c>
      <c r="I500">
        <f t="shared" si="74"/>
        <v>0</v>
      </c>
      <c r="J500">
        <f t="shared" si="74"/>
        <v>1</v>
      </c>
      <c r="K500">
        <f t="shared" si="74"/>
        <v>0</v>
      </c>
      <c r="L500">
        <f t="shared" si="74"/>
        <v>0</v>
      </c>
      <c r="M500">
        <f t="shared" si="73"/>
        <v>0</v>
      </c>
      <c r="N500">
        <f t="shared" si="73"/>
        <v>0</v>
      </c>
      <c r="O500">
        <f t="shared" si="73"/>
        <v>1</v>
      </c>
    </row>
    <row r="501" spans="1:15" x14ac:dyDescent="0.3">
      <c r="A501">
        <v>4</v>
      </c>
      <c r="B501">
        <v>2015</v>
      </c>
      <c r="C501">
        <v>3397</v>
      </c>
      <c r="D501">
        <v>200</v>
      </c>
      <c r="E501">
        <v>85</v>
      </c>
      <c r="F501">
        <v>8</v>
      </c>
      <c r="G501">
        <f t="shared" si="74"/>
        <v>0</v>
      </c>
      <c r="H501">
        <f t="shared" si="74"/>
        <v>0</v>
      </c>
      <c r="I501">
        <f t="shared" si="74"/>
        <v>0</v>
      </c>
      <c r="J501">
        <f t="shared" si="74"/>
        <v>1</v>
      </c>
      <c r="K501">
        <f t="shared" si="74"/>
        <v>0</v>
      </c>
      <c r="L501">
        <f t="shared" si="74"/>
        <v>0</v>
      </c>
      <c r="M501">
        <f t="shared" si="73"/>
        <v>0</v>
      </c>
      <c r="N501">
        <f t="shared" si="73"/>
        <v>0</v>
      </c>
      <c r="O501">
        <f t="shared" si="73"/>
        <v>1</v>
      </c>
    </row>
    <row r="502" spans="1:15" x14ac:dyDescent="0.3">
      <c r="A502">
        <v>4</v>
      </c>
      <c r="B502">
        <v>2016</v>
      </c>
      <c r="C502">
        <v>3392</v>
      </c>
      <c r="D502">
        <v>200</v>
      </c>
      <c r="E502">
        <v>19</v>
      </c>
      <c r="F502">
        <v>1.5</v>
      </c>
      <c r="G502">
        <f t="shared" ref="G502:L511" si="75">IF($B502=G$1,1,0)</f>
        <v>0</v>
      </c>
      <c r="H502">
        <f t="shared" si="75"/>
        <v>0</v>
      </c>
      <c r="I502">
        <f t="shared" si="75"/>
        <v>0</v>
      </c>
      <c r="J502">
        <f t="shared" si="75"/>
        <v>0</v>
      </c>
      <c r="K502">
        <f t="shared" si="75"/>
        <v>1</v>
      </c>
      <c r="L502">
        <f t="shared" si="75"/>
        <v>0</v>
      </c>
      <c r="M502">
        <f t="shared" ref="M502:O521" si="76">IF($A502=M$1,1,0)</f>
        <v>0</v>
      </c>
      <c r="N502">
        <f t="shared" si="76"/>
        <v>0</v>
      </c>
      <c r="O502">
        <f t="shared" si="76"/>
        <v>1</v>
      </c>
    </row>
    <row r="503" spans="1:15" x14ac:dyDescent="0.3">
      <c r="A503">
        <v>1</v>
      </c>
      <c r="B503">
        <v>2016</v>
      </c>
      <c r="C503">
        <v>3388</v>
      </c>
      <c r="D503">
        <v>150</v>
      </c>
      <c r="E503">
        <v>39</v>
      </c>
      <c r="F503">
        <v>3</v>
      </c>
      <c r="G503">
        <f t="shared" si="75"/>
        <v>0</v>
      </c>
      <c r="H503">
        <f t="shared" si="75"/>
        <v>0</v>
      </c>
      <c r="I503">
        <f t="shared" si="75"/>
        <v>0</v>
      </c>
      <c r="J503">
        <f t="shared" si="75"/>
        <v>0</v>
      </c>
      <c r="K503">
        <f t="shared" si="75"/>
        <v>1</v>
      </c>
      <c r="L503">
        <f t="shared" si="75"/>
        <v>0</v>
      </c>
      <c r="M503">
        <f t="shared" si="76"/>
        <v>1</v>
      </c>
      <c r="N503">
        <f t="shared" si="76"/>
        <v>0</v>
      </c>
      <c r="O503">
        <f t="shared" si="76"/>
        <v>0</v>
      </c>
    </row>
    <row r="504" spans="1:15" x14ac:dyDescent="0.3">
      <c r="A504">
        <v>1</v>
      </c>
      <c r="B504">
        <v>2015</v>
      </c>
      <c r="C504">
        <v>3380</v>
      </c>
      <c r="D504">
        <v>65</v>
      </c>
      <c r="E504">
        <v>16</v>
      </c>
      <c r="F504">
        <v>2</v>
      </c>
      <c r="G504">
        <f t="shared" si="75"/>
        <v>0</v>
      </c>
      <c r="H504">
        <f t="shared" si="75"/>
        <v>0</v>
      </c>
      <c r="I504">
        <f t="shared" si="75"/>
        <v>0</v>
      </c>
      <c r="J504">
        <f t="shared" si="75"/>
        <v>1</v>
      </c>
      <c r="K504">
        <f t="shared" si="75"/>
        <v>0</v>
      </c>
      <c r="L504">
        <f t="shared" si="75"/>
        <v>0</v>
      </c>
      <c r="M504">
        <f t="shared" si="76"/>
        <v>1</v>
      </c>
      <c r="N504">
        <f t="shared" si="76"/>
        <v>0</v>
      </c>
      <c r="O504">
        <f t="shared" si="76"/>
        <v>0</v>
      </c>
    </row>
    <row r="505" spans="1:15" x14ac:dyDescent="0.3">
      <c r="A505">
        <v>2</v>
      </c>
      <c r="B505">
        <v>2014</v>
      </c>
      <c r="C505">
        <v>3357</v>
      </c>
      <c r="D505">
        <v>20</v>
      </c>
      <c r="E505">
        <v>48</v>
      </c>
      <c r="F505">
        <v>12.5</v>
      </c>
      <c r="G505">
        <f t="shared" si="75"/>
        <v>0</v>
      </c>
      <c r="H505">
        <f t="shared" si="75"/>
        <v>0</v>
      </c>
      <c r="I505">
        <f t="shared" si="75"/>
        <v>1</v>
      </c>
      <c r="J505">
        <f t="shared" si="75"/>
        <v>0</v>
      </c>
      <c r="K505">
        <f t="shared" si="75"/>
        <v>0</v>
      </c>
      <c r="L505">
        <f t="shared" si="75"/>
        <v>0</v>
      </c>
      <c r="M505">
        <f t="shared" si="76"/>
        <v>0</v>
      </c>
      <c r="N505">
        <f t="shared" si="76"/>
        <v>1</v>
      </c>
      <c r="O505">
        <f t="shared" si="76"/>
        <v>0</v>
      </c>
    </row>
    <row r="506" spans="1:15" x14ac:dyDescent="0.3">
      <c r="A506">
        <v>4</v>
      </c>
      <c r="B506">
        <v>2017</v>
      </c>
      <c r="C506">
        <v>3357</v>
      </c>
      <c r="D506">
        <v>0</v>
      </c>
      <c r="E506">
        <v>13</v>
      </c>
      <c r="F506">
        <v>0.61666666999999997</v>
      </c>
      <c r="G506">
        <f t="shared" si="75"/>
        <v>0</v>
      </c>
      <c r="H506">
        <f t="shared" si="75"/>
        <v>0</v>
      </c>
      <c r="I506">
        <f t="shared" si="75"/>
        <v>0</v>
      </c>
      <c r="J506">
        <f t="shared" si="75"/>
        <v>0</v>
      </c>
      <c r="K506">
        <f t="shared" si="75"/>
        <v>0</v>
      </c>
      <c r="L506">
        <f t="shared" si="75"/>
        <v>1</v>
      </c>
      <c r="M506">
        <f t="shared" si="76"/>
        <v>0</v>
      </c>
      <c r="N506">
        <f t="shared" si="76"/>
        <v>0</v>
      </c>
      <c r="O506">
        <f t="shared" si="76"/>
        <v>1</v>
      </c>
    </row>
    <row r="507" spans="1:15" x14ac:dyDescent="0.3">
      <c r="A507">
        <v>1</v>
      </c>
      <c r="B507">
        <v>2017</v>
      </c>
      <c r="C507">
        <v>3324</v>
      </c>
      <c r="D507">
        <v>0</v>
      </c>
      <c r="E507">
        <v>19</v>
      </c>
      <c r="F507">
        <v>5</v>
      </c>
      <c r="G507">
        <f t="shared" si="75"/>
        <v>0</v>
      </c>
      <c r="H507">
        <f t="shared" si="75"/>
        <v>0</v>
      </c>
      <c r="I507">
        <f t="shared" si="75"/>
        <v>0</v>
      </c>
      <c r="J507">
        <f t="shared" si="75"/>
        <v>0</v>
      </c>
      <c r="K507">
        <f t="shared" si="75"/>
        <v>0</v>
      </c>
      <c r="L507">
        <f t="shared" si="75"/>
        <v>1</v>
      </c>
      <c r="M507">
        <f t="shared" si="76"/>
        <v>1</v>
      </c>
      <c r="N507">
        <f t="shared" si="76"/>
        <v>0</v>
      </c>
      <c r="O507">
        <f t="shared" si="76"/>
        <v>0</v>
      </c>
    </row>
    <row r="508" spans="1:15" x14ac:dyDescent="0.3">
      <c r="A508">
        <v>1</v>
      </c>
      <c r="B508">
        <v>2017</v>
      </c>
      <c r="C508">
        <v>3323</v>
      </c>
      <c r="D508">
        <v>45</v>
      </c>
      <c r="E508">
        <v>7</v>
      </c>
      <c r="F508">
        <v>0.63333333000000003</v>
      </c>
      <c r="G508">
        <f t="shared" si="75"/>
        <v>0</v>
      </c>
      <c r="H508">
        <f t="shared" si="75"/>
        <v>0</v>
      </c>
      <c r="I508">
        <f t="shared" si="75"/>
        <v>0</v>
      </c>
      <c r="J508">
        <f t="shared" si="75"/>
        <v>0</v>
      </c>
      <c r="K508">
        <f t="shared" si="75"/>
        <v>0</v>
      </c>
      <c r="L508">
        <f t="shared" si="75"/>
        <v>1</v>
      </c>
      <c r="M508">
        <f t="shared" si="76"/>
        <v>1</v>
      </c>
      <c r="N508">
        <f t="shared" si="76"/>
        <v>0</v>
      </c>
      <c r="O508">
        <f t="shared" si="76"/>
        <v>0</v>
      </c>
    </row>
    <row r="509" spans="1:15" x14ac:dyDescent="0.3">
      <c r="A509">
        <v>1</v>
      </c>
      <c r="B509">
        <v>2015</v>
      </c>
      <c r="C509">
        <v>3299</v>
      </c>
      <c r="D509">
        <v>20</v>
      </c>
      <c r="E509">
        <v>34</v>
      </c>
      <c r="F509">
        <v>4</v>
      </c>
      <c r="G509">
        <f t="shared" si="75"/>
        <v>0</v>
      </c>
      <c r="H509">
        <f t="shared" si="75"/>
        <v>0</v>
      </c>
      <c r="I509">
        <f t="shared" si="75"/>
        <v>0</v>
      </c>
      <c r="J509">
        <f t="shared" si="75"/>
        <v>1</v>
      </c>
      <c r="K509">
        <f t="shared" si="75"/>
        <v>0</v>
      </c>
      <c r="L509">
        <f t="shared" si="75"/>
        <v>0</v>
      </c>
      <c r="M509">
        <f t="shared" si="76"/>
        <v>1</v>
      </c>
      <c r="N509">
        <f t="shared" si="76"/>
        <v>0</v>
      </c>
      <c r="O509">
        <f t="shared" si="76"/>
        <v>0</v>
      </c>
    </row>
    <row r="510" spans="1:15" x14ac:dyDescent="0.3">
      <c r="A510">
        <v>1</v>
      </c>
      <c r="B510">
        <v>2016</v>
      </c>
      <c r="C510">
        <v>3295</v>
      </c>
      <c r="D510">
        <v>85</v>
      </c>
      <c r="E510">
        <v>162</v>
      </c>
      <c r="F510">
        <v>31.5</v>
      </c>
      <c r="G510">
        <f t="shared" si="75"/>
        <v>0</v>
      </c>
      <c r="H510">
        <f t="shared" si="75"/>
        <v>0</v>
      </c>
      <c r="I510">
        <f t="shared" si="75"/>
        <v>0</v>
      </c>
      <c r="J510">
        <f t="shared" si="75"/>
        <v>0</v>
      </c>
      <c r="K510">
        <f t="shared" si="75"/>
        <v>1</v>
      </c>
      <c r="L510">
        <f t="shared" si="75"/>
        <v>0</v>
      </c>
      <c r="M510">
        <f t="shared" si="76"/>
        <v>1</v>
      </c>
      <c r="N510">
        <f t="shared" si="76"/>
        <v>0</v>
      </c>
      <c r="O510">
        <f t="shared" si="76"/>
        <v>0</v>
      </c>
    </row>
    <row r="511" spans="1:15" x14ac:dyDescent="0.3">
      <c r="A511">
        <v>1</v>
      </c>
      <c r="B511">
        <v>2015</v>
      </c>
      <c r="C511">
        <v>3271</v>
      </c>
      <c r="D511">
        <v>20</v>
      </c>
      <c r="E511">
        <v>54</v>
      </c>
      <c r="F511">
        <v>2.5</v>
      </c>
      <c r="G511">
        <f t="shared" si="75"/>
        <v>0</v>
      </c>
      <c r="H511">
        <f t="shared" si="75"/>
        <v>0</v>
      </c>
      <c r="I511">
        <f t="shared" si="75"/>
        <v>0</v>
      </c>
      <c r="J511">
        <f t="shared" si="75"/>
        <v>1</v>
      </c>
      <c r="K511">
        <f t="shared" si="75"/>
        <v>0</v>
      </c>
      <c r="L511">
        <f t="shared" si="75"/>
        <v>0</v>
      </c>
      <c r="M511">
        <f t="shared" si="76"/>
        <v>1</v>
      </c>
      <c r="N511">
        <f t="shared" si="76"/>
        <v>0</v>
      </c>
      <c r="O511">
        <f t="shared" si="76"/>
        <v>0</v>
      </c>
    </row>
    <row r="512" spans="1:15" x14ac:dyDescent="0.3">
      <c r="A512">
        <v>3</v>
      </c>
      <c r="B512">
        <v>2016</v>
      </c>
      <c r="C512">
        <v>3258</v>
      </c>
      <c r="D512">
        <v>20</v>
      </c>
      <c r="E512">
        <v>16</v>
      </c>
      <c r="F512">
        <v>2</v>
      </c>
      <c r="G512">
        <f t="shared" ref="G512:L521" si="77">IF($B512=G$1,1,0)</f>
        <v>0</v>
      </c>
      <c r="H512">
        <f t="shared" si="77"/>
        <v>0</v>
      </c>
      <c r="I512">
        <f t="shared" si="77"/>
        <v>0</v>
      </c>
      <c r="J512">
        <f t="shared" si="77"/>
        <v>0</v>
      </c>
      <c r="K512">
        <f t="shared" si="77"/>
        <v>1</v>
      </c>
      <c r="L512">
        <f t="shared" si="77"/>
        <v>0</v>
      </c>
      <c r="M512">
        <f t="shared" si="76"/>
        <v>0</v>
      </c>
      <c r="N512">
        <f t="shared" si="76"/>
        <v>0</v>
      </c>
      <c r="O512">
        <f t="shared" si="76"/>
        <v>0</v>
      </c>
    </row>
    <row r="513" spans="1:15" x14ac:dyDescent="0.3">
      <c r="A513">
        <v>1</v>
      </c>
      <c r="B513">
        <v>2016</v>
      </c>
      <c r="C513">
        <v>3254</v>
      </c>
      <c r="D513">
        <v>40</v>
      </c>
      <c r="E513">
        <v>16</v>
      </c>
      <c r="F513">
        <v>1.5</v>
      </c>
      <c r="G513">
        <f t="shared" si="77"/>
        <v>0</v>
      </c>
      <c r="H513">
        <f t="shared" si="77"/>
        <v>0</v>
      </c>
      <c r="I513">
        <f t="shared" si="77"/>
        <v>0</v>
      </c>
      <c r="J513">
        <f t="shared" si="77"/>
        <v>0</v>
      </c>
      <c r="K513">
        <f t="shared" si="77"/>
        <v>1</v>
      </c>
      <c r="L513">
        <f t="shared" si="77"/>
        <v>0</v>
      </c>
      <c r="M513">
        <f t="shared" si="76"/>
        <v>1</v>
      </c>
      <c r="N513">
        <f t="shared" si="76"/>
        <v>0</v>
      </c>
      <c r="O513">
        <f t="shared" si="76"/>
        <v>0</v>
      </c>
    </row>
    <row r="514" spans="1:15" x14ac:dyDescent="0.3">
      <c r="A514">
        <v>2</v>
      </c>
      <c r="B514">
        <v>2016</v>
      </c>
      <c r="C514">
        <v>3252</v>
      </c>
      <c r="D514">
        <v>150</v>
      </c>
      <c r="E514">
        <v>62</v>
      </c>
      <c r="F514">
        <v>12.5</v>
      </c>
      <c r="G514">
        <f t="shared" si="77"/>
        <v>0</v>
      </c>
      <c r="H514">
        <f t="shared" si="77"/>
        <v>0</v>
      </c>
      <c r="I514">
        <f t="shared" si="77"/>
        <v>0</v>
      </c>
      <c r="J514">
        <f t="shared" si="77"/>
        <v>0</v>
      </c>
      <c r="K514">
        <f t="shared" si="77"/>
        <v>1</v>
      </c>
      <c r="L514">
        <f t="shared" si="77"/>
        <v>0</v>
      </c>
      <c r="M514">
        <f t="shared" si="76"/>
        <v>0</v>
      </c>
      <c r="N514">
        <f t="shared" si="76"/>
        <v>1</v>
      </c>
      <c r="O514">
        <f t="shared" si="76"/>
        <v>0</v>
      </c>
    </row>
    <row r="515" spans="1:15" x14ac:dyDescent="0.3">
      <c r="A515">
        <v>4</v>
      </c>
      <c r="B515">
        <v>2015</v>
      </c>
      <c r="C515">
        <v>3249</v>
      </c>
      <c r="D515">
        <v>25</v>
      </c>
      <c r="E515">
        <v>60</v>
      </c>
      <c r="F515">
        <v>6.5</v>
      </c>
      <c r="G515">
        <f t="shared" si="77"/>
        <v>0</v>
      </c>
      <c r="H515">
        <f t="shared" si="77"/>
        <v>0</v>
      </c>
      <c r="I515">
        <f t="shared" si="77"/>
        <v>0</v>
      </c>
      <c r="J515">
        <f t="shared" si="77"/>
        <v>1</v>
      </c>
      <c r="K515">
        <f t="shared" si="77"/>
        <v>0</v>
      </c>
      <c r="L515">
        <f t="shared" si="77"/>
        <v>0</v>
      </c>
      <c r="M515">
        <f t="shared" si="76"/>
        <v>0</v>
      </c>
      <c r="N515">
        <f t="shared" si="76"/>
        <v>0</v>
      </c>
      <c r="O515">
        <f t="shared" si="76"/>
        <v>1</v>
      </c>
    </row>
    <row r="516" spans="1:15" x14ac:dyDescent="0.3">
      <c r="A516">
        <v>4</v>
      </c>
      <c r="B516">
        <v>2017</v>
      </c>
      <c r="C516">
        <v>3227</v>
      </c>
      <c r="D516">
        <v>0</v>
      </c>
      <c r="E516">
        <v>21</v>
      </c>
      <c r="F516">
        <v>2</v>
      </c>
      <c r="G516">
        <f t="shared" si="77"/>
        <v>0</v>
      </c>
      <c r="H516">
        <f t="shared" si="77"/>
        <v>0</v>
      </c>
      <c r="I516">
        <f t="shared" si="77"/>
        <v>0</v>
      </c>
      <c r="J516">
        <f t="shared" si="77"/>
        <v>0</v>
      </c>
      <c r="K516">
        <f t="shared" si="77"/>
        <v>0</v>
      </c>
      <c r="L516">
        <f t="shared" si="77"/>
        <v>1</v>
      </c>
      <c r="M516">
        <f t="shared" si="76"/>
        <v>0</v>
      </c>
      <c r="N516">
        <f t="shared" si="76"/>
        <v>0</v>
      </c>
      <c r="O516">
        <f t="shared" si="76"/>
        <v>1</v>
      </c>
    </row>
    <row r="517" spans="1:15" x14ac:dyDescent="0.3">
      <c r="A517">
        <v>4</v>
      </c>
      <c r="B517">
        <v>2016</v>
      </c>
      <c r="C517">
        <v>3209</v>
      </c>
      <c r="D517">
        <v>195</v>
      </c>
      <c r="E517">
        <v>96</v>
      </c>
      <c r="F517">
        <v>12.5</v>
      </c>
      <c r="G517">
        <f t="shared" si="77"/>
        <v>0</v>
      </c>
      <c r="H517">
        <f t="shared" si="77"/>
        <v>0</v>
      </c>
      <c r="I517">
        <f t="shared" si="77"/>
        <v>0</v>
      </c>
      <c r="J517">
        <f t="shared" si="77"/>
        <v>0</v>
      </c>
      <c r="K517">
        <f t="shared" si="77"/>
        <v>1</v>
      </c>
      <c r="L517">
        <f t="shared" si="77"/>
        <v>0</v>
      </c>
      <c r="M517">
        <f t="shared" si="76"/>
        <v>0</v>
      </c>
      <c r="N517">
        <f t="shared" si="76"/>
        <v>0</v>
      </c>
      <c r="O517">
        <f t="shared" si="76"/>
        <v>1</v>
      </c>
    </row>
    <row r="518" spans="1:15" x14ac:dyDescent="0.3">
      <c r="A518">
        <v>1</v>
      </c>
      <c r="B518">
        <v>2017</v>
      </c>
      <c r="C518">
        <v>3193</v>
      </c>
      <c r="D518">
        <v>200</v>
      </c>
      <c r="E518">
        <v>23</v>
      </c>
      <c r="F518">
        <v>1.5</v>
      </c>
      <c r="G518">
        <f t="shared" si="77"/>
        <v>0</v>
      </c>
      <c r="H518">
        <f t="shared" si="77"/>
        <v>0</v>
      </c>
      <c r="I518">
        <f t="shared" si="77"/>
        <v>0</v>
      </c>
      <c r="J518">
        <f t="shared" si="77"/>
        <v>0</v>
      </c>
      <c r="K518">
        <f t="shared" si="77"/>
        <v>0</v>
      </c>
      <c r="L518">
        <f t="shared" si="77"/>
        <v>1</v>
      </c>
      <c r="M518">
        <f t="shared" si="76"/>
        <v>1</v>
      </c>
      <c r="N518">
        <f t="shared" si="76"/>
        <v>0</v>
      </c>
      <c r="O518">
        <f t="shared" si="76"/>
        <v>0</v>
      </c>
    </row>
    <row r="519" spans="1:15" x14ac:dyDescent="0.3">
      <c r="A519">
        <v>1</v>
      </c>
      <c r="B519">
        <v>2015</v>
      </c>
      <c r="C519">
        <v>3185</v>
      </c>
      <c r="D519">
        <v>20</v>
      </c>
      <c r="E519">
        <v>94</v>
      </c>
      <c r="F519">
        <v>8</v>
      </c>
      <c r="G519">
        <f t="shared" si="77"/>
        <v>0</v>
      </c>
      <c r="H519">
        <f t="shared" si="77"/>
        <v>0</v>
      </c>
      <c r="I519">
        <f t="shared" si="77"/>
        <v>0</v>
      </c>
      <c r="J519">
        <f t="shared" si="77"/>
        <v>1</v>
      </c>
      <c r="K519">
        <f t="shared" si="77"/>
        <v>0</v>
      </c>
      <c r="L519">
        <f t="shared" si="77"/>
        <v>0</v>
      </c>
      <c r="M519">
        <f t="shared" si="76"/>
        <v>1</v>
      </c>
      <c r="N519">
        <f t="shared" si="76"/>
        <v>0</v>
      </c>
      <c r="O519">
        <f t="shared" si="76"/>
        <v>0</v>
      </c>
    </row>
    <row r="520" spans="1:15" x14ac:dyDescent="0.3">
      <c r="A520">
        <v>4</v>
      </c>
      <c r="B520">
        <v>2017</v>
      </c>
      <c r="C520">
        <v>3179</v>
      </c>
      <c r="D520">
        <v>200</v>
      </c>
      <c r="E520">
        <v>174</v>
      </c>
      <c r="F520">
        <v>20.5</v>
      </c>
      <c r="G520">
        <f t="shared" si="77"/>
        <v>0</v>
      </c>
      <c r="H520">
        <f t="shared" si="77"/>
        <v>0</v>
      </c>
      <c r="I520">
        <f t="shared" si="77"/>
        <v>0</v>
      </c>
      <c r="J520">
        <f t="shared" si="77"/>
        <v>0</v>
      </c>
      <c r="K520">
        <f t="shared" si="77"/>
        <v>0</v>
      </c>
      <c r="L520">
        <f t="shared" si="77"/>
        <v>1</v>
      </c>
      <c r="M520">
        <f t="shared" si="76"/>
        <v>0</v>
      </c>
      <c r="N520">
        <f t="shared" si="76"/>
        <v>0</v>
      </c>
      <c r="O520">
        <f t="shared" si="76"/>
        <v>1</v>
      </c>
    </row>
    <row r="521" spans="1:15" x14ac:dyDescent="0.3">
      <c r="A521">
        <v>1</v>
      </c>
      <c r="B521">
        <v>2016</v>
      </c>
      <c r="C521">
        <v>3169</v>
      </c>
      <c r="D521">
        <v>195</v>
      </c>
      <c r="E521">
        <v>38</v>
      </c>
      <c r="F521">
        <v>3.5</v>
      </c>
      <c r="G521">
        <f t="shared" si="77"/>
        <v>0</v>
      </c>
      <c r="H521">
        <f t="shared" si="77"/>
        <v>0</v>
      </c>
      <c r="I521">
        <f t="shared" si="77"/>
        <v>0</v>
      </c>
      <c r="J521">
        <f t="shared" si="77"/>
        <v>0</v>
      </c>
      <c r="K521">
        <f t="shared" si="77"/>
        <v>1</v>
      </c>
      <c r="L521">
        <f t="shared" si="77"/>
        <v>0</v>
      </c>
      <c r="M521">
        <f t="shared" si="76"/>
        <v>1</v>
      </c>
      <c r="N521">
        <f t="shared" si="76"/>
        <v>0</v>
      </c>
      <c r="O521">
        <f t="shared" si="76"/>
        <v>0</v>
      </c>
    </row>
    <row r="522" spans="1:15" x14ac:dyDescent="0.3">
      <c r="A522">
        <v>4</v>
      </c>
      <c r="B522">
        <v>2015</v>
      </c>
      <c r="C522">
        <v>3150</v>
      </c>
      <c r="D522">
        <v>20</v>
      </c>
      <c r="E522">
        <v>49</v>
      </c>
      <c r="F522">
        <v>3.5</v>
      </c>
      <c r="G522">
        <f t="shared" ref="G522:L531" si="78">IF($B522=G$1,1,0)</f>
        <v>0</v>
      </c>
      <c r="H522">
        <f t="shared" si="78"/>
        <v>0</v>
      </c>
      <c r="I522">
        <f t="shared" si="78"/>
        <v>0</v>
      </c>
      <c r="J522">
        <f t="shared" si="78"/>
        <v>1</v>
      </c>
      <c r="K522">
        <f t="shared" si="78"/>
        <v>0</v>
      </c>
      <c r="L522">
        <f t="shared" si="78"/>
        <v>0</v>
      </c>
      <c r="M522">
        <f t="shared" ref="M522:O541" si="79">IF($A522=M$1,1,0)</f>
        <v>0</v>
      </c>
      <c r="N522">
        <f t="shared" si="79"/>
        <v>0</v>
      </c>
      <c r="O522">
        <f t="shared" si="79"/>
        <v>1</v>
      </c>
    </row>
    <row r="523" spans="1:15" x14ac:dyDescent="0.3">
      <c r="A523">
        <v>1</v>
      </c>
      <c r="B523">
        <v>2016</v>
      </c>
      <c r="C523">
        <v>3142</v>
      </c>
      <c r="D523">
        <v>0</v>
      </c>
      <c r="E523">
        <v>20</v>
      </c>
      <c r="F523">
        <v>0.61666666999999997</v>
      </c>
      <c r="G523">
        <f t="shared" si="78"/>
        <v>0</v>
      </c>
      <c r="H523">
        <f t="shared" si="78"/>
        <v>0</v>
      </c>
      <c r="I523">
        <f t="shared" si="78"/>
        <v>0</v>
      </c>
      <c r="J523">
        <f t="shared" si="78"/>
        <v>0</v>
      </c>
      <c r="K523">
        <f t="shared" si="78"/>
        <v>1</v>
      </c>
      <c r="L523">
        <f t="shared" si="78"/>
        <v>0</v>
      </c>
      <c r="M523">
        <f t="shared" si="79"/>
        <v>1</v>
      </c>
      <c r="N523">
        <f t="shared" si="79"/>
        <v>0</v>
      </c>
      <c r="O523">
        <f t="shared" si="79"/>
        <v>0</v>
      </c>
    </row>
    <row r="524" spans="1:15" x14ac:dyDescent="0.3">
      <c r="A524">
        <v>4</v>
      </c>
      <c r="B524">
        <v>2016</v>
      </c>
      <c r="C524">
        <v>3133</v>
      </c>
      <c r="D524">
        <v>25</v>
      </c>
      <c r="E524">
        <v>63</v>
      </c>
      <c r="F524">
        <v>6</v>
      </c>
      <c r="G524">
        <f t="shared" si="78"/>
        <v>0</v>
      </c>
      <c r="H524">
        <f t="shared" si="78"/>
        <v>0</v>
      </c>
      <c r="I524">
        <f t="shared" si="78"/>
        <v>0</v>
      </c>
      <c r="J524">
        <f t="shared" si="78"/>
        <v>0</v>
      </c>
      <c r="K524">
        <f t="shared" si="78"/>
        <v>1</v>
      </c>
      <c r="L524">
        <f t="shared" si="78"/>
        <v>0</v>
      </c>
      <c r="M524">
        <f t="shared" si="79"/>
        <v>0</v>
      </c>
      <c r="N524">
        <f t="shared" si="79"/>
        <v>0</v>
      </c>
      <c r="O524">
        <f t="shared" si="79"/>
        <v>1</v>
      </c>
    </row>
    <row r="525" spans="1:15" x14ac:dyDescent="0.3">
      <c r="A525">
        <v>4</v>
      </c>
      <c r="B525">
        <v>2016</v>
      </c>
      <c r="C525">
        <v>3119</v>
      </c>
      <c r="D525">
        <v>60</v>
      </c>
      <c r="E525">
        <v>207</v>
      </c>
      <c r="F525">
        <v>33</v>
      </c>
      <c r="G525">
        <f t="shared" si="78"/>
        <v>0</v>
      </c>
      <c r="H525">
        <f t="shared" si="78"/>
        <v>0</v>
      </c>
      <c r="I525">
        <f t="shared" si="78"/>
        <v>0</v>
      </c>
      <c r="J525">
        <f t="shared" si="78"/>
        <v>0</v>
      </c>
      <c r="K525">
        <f t="shared" si="78"/>
        <v>1</v>
      </c>
      <c r="L525">
        <f t="shared" si="78"/>
        <v>0</v>
      </c>
      <c r="M525">
        <f t="shared" si="79"/>
        <v>0</v>
      </c>
      <c r="N525">
        <f t="shared" si="79"/>
        <v>0</v>
      </c>
      <c r="O525">
        <f t="shared" si="79"/>
        <v>1</v>
      </c>
    </row>
    <row r="526" spans="1:15" x14ac:dyDescent="0.3">
      <c r="A526">
        <v>4</v>
      </c>
      <c r="B526">
        <v>2016</v>
      </c>
      <c r="C526">
        <v>3118</v>
      </c>
      <c r="D526">
        <v>0</v>
      </c>
      <c r="E526">
        <v>33</v>
      </c>
      <c r="F526">
        <v>1.5</v>
      </c>
      <c r="G526">
        <f t="shared" si="78"/>
        <v>0</v>
      </c>
      <c r="H526">
        <f t="shared" si="78"/>
        <v>0</v>
      </c>
      <c r="I526">
        <f t="shared" si="78"/>
        <v>0</v>
      </c>
      <c r="J526">
        <f t="shared" si="78"/>
        <v>0</v>
      </c>
      <c r="K526">
        <f t="shared" si="78"/>
        <v>1</v>
      </c>
      <c r="L526">
        <f t="shared" si="78"/>
        <v>0</v>
      </c>
      <c r="M526">
        <f t="shared" si="79"/>
        <v>0</v>
      </c>
      <c r="N526">
        <f t="shared" si="79"/>
        <v>0</v>
      </c>
      <c r="O526">
        <f t="shared" si="79"/>
        <v>1</v>
      </c>
    </row>
    <row r="527" spans="1:15" x14ac:dyDescent="0.3">
      <c r="A527">
        <v>4</v>
      </c>
      <c r="B527">
        <v>2017</v>
      </c>
      <c r="C527">
        <v>3106</v>
      </c>
      <c r="D527">
        <v>20</v>
      </c>
      <c r="E527">
        <v>13</v>
      </c>
      <c r="F527">
        <v>1</v>
      </c>
      <c r="G527">
        <f t="shared" si="78"/>
        <v>0</v>
      </c>
      <c r="H527">
        <f t="shared" si="78"/>
        <v>0</v>
      </c>
      <c r="I527">
        <f t="shared" si="78"/>
        <v>0</v>
      </c>
      <c r="J527">
        <f t="shared" si="78"/>
        <v>0</v>
      </c>
      <c r="K527">
        <f t="shared" si="78"/>
        <v>0</v>
      </c>
      <c r="L527">
        <f t="shared" si="78"/>
        <v>1</v>
      </c>
      <c r="M527">
        <f t="shared" si="79"/>
        <v>0</v>
      </c>
      <c r="N527">
        <f t="shared" si="79"/>
        <v>0</v>
      </c>
      <c r="O527">
        <f t="shared" si="79"/>
        <v>1</v>
      </c>
    </row>
    <row r="528" spans="1:15" x14ac:dyDescent="0.3">
      <c r="A528">
        <v>4</v>
      </c>
      <c r="B528">
        <v>2017</v>
      </c>
      <c r="C528">
        <v>3086</v>
      </c>
      <c r="D528">
        <v>20</v>
      </c>
      <c r="E528">
        <v>73</v>
      </c>
      <c r="F528">
        <v>7.5</v>
      </c>
      <c r="G528">
        <f t="shared" si="78"/>
        <v>0</v>
      </c>
      <c r="H528">
        <f t="shared" si="78"/>
        <v>0</v>
      </c>
      <c r="I528">
        <f t="shared" si="78"/>
        <v>0</v>
      </c>
      <c r="J528">
        <f t="shared" si="78"/>
        <v>0</v>
      </c>
      <c r="K528">
        <f t="shared" si="78"/>
        <v>0</v>
      </c>
      <c r="L528">
        <f t="shared" si="78"/>
        <v>1</v>
      </c>
      <c r="M528">
        <f t="shared" si="79"/>
        <v>0</v>
      </c>
      <c r="N528">
        <f t="shared" si="79"/>
        <v>0</v>
      </c>
      <c r="O528">
        <f t="shared" si="79"/>
        <v>1</v>
      </c>
    </row>
    <row r="529" spans="1:15" x14ac:dyDescent="0.3">
      <c r="A529">
        <v>2</v>
      </c>
      <c r="B529">
        <v>2017</v>
      </c>
      <c r="C529">
        <v>3073</v>
      </c>
      <c r="D529">
        <v>90</v>
      </c>
      <c r="E529">
        <v>13</v>
      </c>
      <c r="F529">
        <v>1.5</v>
      </c>
      <c r="G529">
        <f t="shared" si="78"/>
        <v>0</v>
      </c>
      <c r="H529">
        <f t="shared" si="78"/>
        <v>0</v>
      </c>
      <c r="I529">
        <f t="shared" si="78"/>
        <v>0</v>
      </c>
      <c r="J529">
        <f t="shared" si="78"/>
        <v>0</v>
      </c>
      <c r="K529">
        <f t="shared" si="78"/>
        <v>0</v>
      </c>
      <c r="L529">
        <f t="shared" si="78"/>
        <v>1</v>
      </c>
      <c r="M529">
        <f t="shared" si="79"/>
        <v>0</v>
      </c>
      <c r="N529">
        <f t="shared" si="79"/>
        <v>1</v>
      </c>
      <c r="O529">
        <f t="shared" si="79"/>
        <v>0</v>
      </c>
    </row>
    <row r="530" spans="1:15" x14ac:dyDescent="0.3">
      <c r="A530">
        <v>1</v>
      </c>
      <c r="B530">
        <v>2016</v>
      </c>
      <c r="C530">
        <v>3033</v>
      </c>
      <c r="D530">
        <v>0</v>
      </c>
      <c r="E530">
        <v>9</v>
      </c>
      <c r="F530">
        <v>1</v>
      </c>
      <c r="G530">
        <f t="shared" si="78"/>
        <v>0</v>
      </c>
      <c r="H530">
        <f t="shared" si="78"/>
        <v>0</v>
      </c>
      <c r="I530">
        <f t="shared" si="78"/>
        <v>0</v>
      </c>
      <c r="J530">
        <f t="shared" si="78"/>
        <v>0</v>
      </c>
      <c r="K530">
        <f t="shared" si="78"/>
        <v>1</v>
      </c>
      <c r="L530">
        <f t="shared" si="78"/>
        <v>0</v>
      </c>
      <c r="M530">
        <f t="shared" si="79"/>
        <v>1</v>
      </c>
      <c r="N530">
        <f t="shared" si="79"/>
        <v>0</v>
      </c>
      <c r="O530">
        <f t="shared" si="79"/>
        <v>0</v>
      </c>
    </row>
    <row r="531" spans="1:15" x14ac:dyDescent="0.3">
      <c r="A531">
        <v>4</v>
      </c>
      <c r="B531">
        <v>2012</v>
      </c>
      <c r="C531">
        <v>3026</v>
      </c>
      <c r="D531">
        <v>50</v>
      </c>
      <c r="E531">
        <v>67</v>
      </c>
      <c r="F531">
        <v>7</v>
      </c>
      <c r="G531">
        <f t="shared" si="78"/>
        <v>1</v>
      </c>
      <c r="H531">
        <f t="shared" si="78"/>
        <v>0</v>
      </c>
      <c r="I531">
        <f t="shared" si="78"/>
        <v>0</v>
      </c>
      <c r="J531">
        <f t="shared" si="78"/>
        <v>0</v>
      </c>
      <c r="K531">
        <f t="shared" si="78"/>
        <v>0</v>
      </c>
      <c r="L531">
        <f t="shared" si="78"/>
        <v>0</v>
      </c>
      <c r="M531">
        <f t="shared" si="79"/>
        <v>0</v>
      </c>
      <c r="N531">
        <f t="shared" si="79"/>
        <v>0</v>
      </c>
      <c r="O531">
        <f t="shared" si="79"/>
        <v>1</v>
      </c>
    </row>
    <row r="532" spans="1:15" x14ac:dyDescent="0.3">
      <c r="A532">
        <v>4</v>
      </c>
      <c r="B532">
        <v>2015</v>
      </c>
      <c r="C532">
        <v>3015</v>
      </c>
      <c r="D532">
        <v>195</v>
      </c>
      <c r="E532">
        <v>19</v>
      </c>
      <c r="F532">
        <v>2.5</v>
      </c>
      <c r="G532">
        <f t="shared" ref="G532:L541" si="80">IF($B532=G$1,1,0)</f>
        <v>0</v>
      </c>
      <c r="H532">
        <f t="shared" si="80"/>
        <v>0</v>
      </c>
      <c r="I532">
        <f t="shared" si="80"/>
        <v>0</v>
      </c>
      <c r="J532">
        <f t="shared" si="80"/>
        <v>1</v>
      </c>
      <c r="K532">
        <f t="shared" si="80"/>
        <v>0</v>
      </c>
      <c r="L532">
        <f t="shared" si="80"/>
        <v>0</v>
      </c>
      <c r="M532">
        <f t="shared" si="79"/>
        <v>0</v>
      </c>
      <c r="N532">
        <f t="shared" si="79"/>
        <v>0</v>
      </c>
      <c r="O532">
        <f t="shared" si="79"/>
        <v>1</v>
      </c>
    </row>
    <row r="533" spans="1:15" x14ac:dyDescent="0.3">
      <c r="A533">
        <v>4</v>
      </c>
      <c r="B533">
        <v>2016</v>
      </c>
      <c r="C533">
        <v>3012</v>
      </c>
      <c r="D533">
        <v>65</v>
      </c>
      <c r="E533">
        <v>330</v>
      </c>
      <c r="F533">
        <v>32.5</v>
      </c>
      <c r="G533">
        <f t="shared" si="80"/>
        <v>0</v>
      </c>
      <c r="H533">
        <f t="shared" si="80"/>
        <v>0</v>
      </c>
      <c r="I533">
        <f t="shared" si="80"/>
        <v>0</v>
      </c>
      <c r="J533">
        <f t="shared" si="80"/>
        <v>0</v>
      </c>
      <c r="K533">
        <f t="shared" si="80"/>
        <v>1</v>
      </c>
      <c r="L533">
        <f t="shared" si="80"/>
        <v>0</v>
      </c>
      <c r="M533">
        <f t="shared" si="79"/>
        <v>0</v>
      </c>
      <c r="N533">
        <f t="shared" si="79"/>
        <v>0</v>
      </c>
      <c r="O533">
        <f t="shared" si="79"/>
        <v>1</v>
      </c>
    </row>
    <row r="534" spans="1:15" x14ac:dyDescent="0.3">
      <c r="A534">
        <v>4</v>
      </c>
      <c r="B534">
        <v>2015</v>
      </c>
      <c r="C534">
        <v>3011</v>
      </c>
      <c r="D534">
        <v>50</v>
      </c>
      <c r="E534">
        <v>10</v>
      </c>
      <c r="F534">
        <v>1</v>
      </c>
      <c r="G534">
        <f t="shared" si="80"/>
        <v>0</v>
      </c>
      <c r="H534">
        <f t="shared" si="80"/>
        <v>0</v>
      </c>
      <c r="I534">
        <f t="shared" si="80"/>
        <v>0</v>
      </c>
      <c r="J534">
        <f t="shared" si="80"/>
        <v>1</v>
      </c>
      <c r="K534">
        <f t="shared" si="80"/>
        <v>0</v>
      </c>
      <c r="L534">
        <f t="shared" si="80"/>
        <v>0</v>
      </c>
      <c r="M534">
        <f t="shared" si="79"/>
        <v>0</v>
      </c>
      <c r="N534">
        <f t="shared" si="79"/>
        <v>0</v>
      </c>
      <c r="O534">
        <f t="shared" si="79"/>
        <v>1</v>
      </c>
    </row>
    <row r="535" spans="1:15" x14ac:dyDescent="0.3">
      <c r="A535">
        <v>4</v>
      </c>
      <c r="B535">
        <v>2016</v>
      </c>
      <c r="C535">
        <v>2985</v>
      </c>
      <c r="D535">
        <v>20</v>
      </c>
      <c r="E535">
        <v>27</v>
      </c>
      <c r="F535">
        <v>1.5</v>
      </c>
      <c r="G535">
        <f t="shared" si="80"/>
        <v>0</v>
      </c>
      <c r="H535">
        <f t="shared" si="80"/>
        <v>0</v>
      </c>
      <c r="I535">
        <f t="shared" si="80"/>
        <v>0</v>
      </c>
      <c r="J535">
        <f t="shared" si="80"/>
        <v>0</v>
      </c>
      <c r="K535">
        <f t="shared" si="80"/>
        <v>1</v>
      </c>
      <c r="L535">
        <f t="shared" si="80"/>
        <v>0</v>
      </c>
      <c r="M535">
        <f t="shared" si="79"/>
        <v>0</v>
      </c>
      <c r="N535">
        <f t="shared" si="79"/>
        <v>0</v>
      </c>
      <c r="O535">
        <f t="shared" si="79"/>
        <v>1</v>
      </c>
    </row>
    <row r="536" spans="1:15" x14ac:dyDescent="0.3">
      <c r="A536">
        <v>2</v>
      </c>
      <c r="B536">
        <v>2015</v>
      </c>
      <c r="C536">
        <v>2971</v>
      </c>
      <c r="D536">
        <v>100</v>
      </c>
      <c r="E536">
        <v>28</v>
      </c>
      <c r="F536">
        <v>3</v>
      </c>
      <c r="G536">
        <f t="shared" si="80"/>
        <v>0</v>
      </c>
      <c r="H536">
        <f t="shared" si="80"/>
        <v>0</v>
      </c>
      <c r="I536">
        <f t="shared" si="80"/>
        <v>0</v>
      </c>
      <c r="J536">
        <f t="shared" si="80"/>
        <v>1</v>
      </c>
      <c r="K536">
        <f t="shared" si="80"/>
        <v>0</v>
      </c>
      <c r="L536">
        <f t="shared" si="80"/>
        <v>0</v>
      </c>
      <c r="M536">
        <f t="shared" si="79"/>
        <v>0</v>
      </c>
      <c r="N536">
        <f t="shared" si="79"/>
        <v>1</v>
      </c>
      <c r="O536">
        <f t="shared" si="79"/>
        <v>0</v>
      </c>
    </row>
    <row r="537" spans="1:15" x14ac:dyDescent="0.3">
      <c r="A537">
        <v>1</v>
      </c>
      <c r="B537">
        <v>2017</v>
      </c>
      <c r="C537">
        <v>2965</v>
      </c>
      <c r="D537">
        <v>40</v>
      </c>
      <c r="E537">
        <v>30</v>
      </c>
      <c r="F537">
        <v>2</v>
      </c>
      <c r="G537">
        <f t="shared" si="80"/>
        <v>0</v>
      </c>
      <c r="H537">
        <f t="shared" si="80"/>
        <v>0</v>
      </c>
      <c r="I537">
        <f t="shared" si="80"/>
        <v>0</v>
      </c>
      <c r="J537">
        <f t="shared" si="80"/>
        <v>0</v>
      </c>
      <c r="K537">
        <f t="shared" si="80"/>
        <v>0</v>
      </c>
      <c r="L537">
        <f t="shared" si="80"/>
        <v>1</v>
      </c>
      <c r="M537">
        <f t="shared" si="79"/>
        <v>1</v>
      </c>
      <c r="N537">
        <f t="shared" si="79"/>
        <v>0</v>
      </c>
      <c r="O537">
        <f t="shared" si="79"/>
        <v>0</v>
      </c>
    </row>
    <row r="538" spans="1:15" x14ac:dyDescent="0.3">
      <c r="A538">
        <v>4</v>
      </c>
      <c r="B538">
        <v>2016</v>
      </c>
      <c r="C538">
        <v>2964</v>
      </c>
      <c r="D538">
        <v>20</v>
      </c>
      <c r="E538">
        <v>9</v>
      </c>
      <c r="F538">
        <v>1.5</v>
      </c>
      <c r="G538">
        <f t="shared" si="80"/>
        <v>0</v>
      </c>
      <c r="H538">
        <f t="shared" si="80"/>
        <v>0</v>
      </c>
      <c r="I538">
        <f t="shared" si="80"/>
        <v>0</v>
      </c>
      <c r="J538">
        <f t="shared" si="80"/>
        <v>0</v>
      </c>
      <c r="K538">
        <f t="shared" si="80"/>
        <v>1</v>
      </c>
      <c r="L538">
        <f t="shared" si="80"/>
        <v>0</v>
      </c>
      <c r="M538">
        <f t="shared" si="79"/>
        <v>0</v>
      </c>
      <c r="N538">
        <f t="shared" si="79"/>
        <v>0</v>
      </c>
      <c r="O538">
        <f t="shared" si="79"/>
        <v>1</v>
      </c>
    </row>
    <row r="539" spans="1:15" x14ac:dyDescent="0.3">
      <c r="A539">
        <v>4</v>
      </c>
      <c r="B539">
        <v>2015</v>
      </c>
      <c r="C539">
        <v>2919</v>
      </c>
      <c r="D539">
        <v>30</v>
      </c>
      <c r="E539">
        <v>70</v>
      </c>
      <c r="F539">
        <v>7</v>
      </c>
      <c r="G539">
        <f t="shared" si="80"/>
        <v>0</v>
      </c>
      <c r="H539">
        <f t="shared" si="80"/>
        <v>0</v>
      </c>
      <c r="I539">
        <f t="shared" si="80"/>
        <v>0</v>
      </c>
      <c r="J539">
        <f t="shared" si="80"/>
        <v>1</v>
      </c>
      <c r="K539">
        <f t="shared" si="80"/>
        <v>0</v>
      </c>
      <c r="L539">
        <f t="shared" si="80"/>
        <v>0</v>
      </c>
      <c r="M539">
        <f t="shared" si="79"/>
        <v>0</v>
      </c>
      <c r="N539">
        <f t="shared" si="79"/>
        <v>0</v>
      </c>
      <c r="O539">
        <f t="shared" si="79"/>
        <v>1</v>
      </c>
    </row>
    <row r="540" spans="1:15" x14ac:dyDescent="0.3">
      <c r="A540">
        <v>1</v>
      </c>
      <c r="B540">
        <v>2016</v>
      </c>
      <c r="C540">
        <v>2918</v>
      </c>
      <c r="D540">
        <v>200</v>
      </c>
      <c r="E540">
        <v>17</v>
      </c>
      <c r="F540">
        <v>1</v>
      </c>
      <c r="G540">
        <f t="shared" si="80"/>
        <v>0</v>
      </c>
      <c r="H540">
        <f t="shared" si="80"/>
        <v>0</v>
      </c>
      <c r="I540">
        <f t="shared" si="80"/>
        <v>0</v>
      </c>
      <c r="J540">
        <f t="shared" si="80"/>
        <v>0</v>
      </c>
      <c r="K540">
        <f t="shared" si="80"/>
        <v>1</v>
      </c>
      <c r="L540">
        <f t="shared" si="80"/>
        <v>0</v>
      </c>
      <c r="M540">
        <f t="shared" si="79"/>
        <v>1</v>
      </c>
      <c r="N540">
        <f t="shared" si="79"/>
        <v>0</v>
      </c>
      <c r="O540">
        <f t="shared" si="79"/>
        <v>0</v>
      </c>
    </row>
    <row r="541" spans="1:15" x14ac:dyDescent="0.3">
      <c r="A541">
        <v>4</v>
      </c>
      <c r="B541">
        <v>2015</v>
      </c>
      <c r="C541">
        <v>2912</v>
      </c>
      <c r="D541">
        <v>100</v>
      </c>
      <c r="E541">
        <v>85</v>
      </c>
      <c r="F541">
        <v>6</v>
      </c>
      <c r="G541">
        <f t="shared" si="80"/>
        <v>0</v>
      </c>
      <c r="H541">
        <f t="shared" si="80"/>
        <v>0</v>
      </c>
      <c r="I541">
        <f t="shared" si="80"/>
        <v>0</v>
      </c>
      <c r="J541">
        <f t="shared" si="80"/>
        <v>1</v>
      </c>
      <c r="K541">
        <f t="shared" si="80"/>
        <v>0</v>
      </c>
      <c r="L541">
        <f t="shared" si="80"/>
        <v>0</v>
      </c>
      <c r="M541">
        <f t="shared" si="79"/>
        <v>0</v>
      </c>
      <c r="N541">
        <f t="shared" si="79"/>
        <v>0</v>
      </c>
      <c r="O541">
        <f t="shared" si="79"/>
        <v>1</v>
      </c>
    </row>
    <row r="542" spans="1:15" x14ac:dyDescent="0.3">
      <c r="A542">
        <v>4</v>
      </c>
      <c r="B542">
        <v>2015</v>
      </c>
      <c r="C542">
        <v>2888</v>
      </c>
      <c r="D542">
        <v>95</v>
      </c>
      <c r="E542">
        <v>24</v>
      </c>
      <c r="F542">
        <v>2.5</v>
      </c>
      <c r="G542">
        <f t="shared" ref="G542:L551" si="81">IF($B542=G$1,1,0)</f>
        <v>0</v>
      </c>
      <c r="H542">
        <f t="shared" si="81"/>
        <v>0</v>
      </c>
      <c r="I542">
        <f t="shared" si="81"/>
        <v>0</v>
      </c>
      <c r="J542">
        <f t="shared" si="81"/>
        <v>1</v>
      </c>
      <c r="K542">
        <f t="shared" si="81"/>
        <v>0</v>
      </c>
      <c r="L542">
        <f t="shared" si="81"/>
        <v>0</v>
      </c>
      <c r="M542">
        <f t="shared" ref="M542:O561" si="82">IF($A542=M$1,1,0)</f>
        <v>0</v>
      </c>
      <c r="N542">
        <f t="shared" si="82"/>
        <v>0</v>
      </c>
      <c r="O542">
        <f t="shared" si="82"/>
        <v>1</v>
      </c>
    </row>
    <row r="543" spans="1:15" x14ac:dyDescent="0.3">
      <c r="A543">
        <v>1</v>
      </c>
      <c r="B543">
        <v>2015</v>
      </c>
      <c r="C543">
        <v>2875</v>
      </c>
      <c r="D543">
        <v>195</v>
      </c>
      <c r="E543">
        <v>36</v>
      </c>
      <c r="F543">
        <v>4.5</v>
      </c>
      <c r="G543">
        <f t="shared" si="81"/>
        <v>0</v>
      </c>
      <c r="H543">
        <f t="shared" si="81"/>
        <v>0</v>
      </c>
      <c r="I543">
        <f t="shared" si="81"/>
        <v>0</v>
      </c>
      <c r="J543">
        <f t="shared" si="81"/>
        <v>1</v>
      </c>
      <c r="K543">
        <f t="shared" si="81"/>
        <v>0</v>
      </c>
      <c r="L543">
        <f t="shared" si="81"/>
        <v>0</v>
      </c>
      <c r="M543">
        <f t="shared" si="82"/>
        <v>1</v>
      </c>
      <c r="N543">
        <f t="shared" si="82"/>
        <v>0</v>
      </c>
      <c r="O543">
        <f t="shared" si="82"/>
        <v>0</v>
      </c>
    </row>
    <row r="544" spans="1:15" x14ac:dyDescent="0.3">
      <c r="A544">
        <v>1</v>
      </c>
      <c r="B544">
        <v>2017</v>
      </c>
      <c r="C544">
        <v>2865</v>
      </c>
      <c r="D544">
        <v>40</v>
      </c>
      <c r="E544">
        <v>32</v>
      </c>
      <c r="F544">
        <v>4</v>
      </c>
      <c r="G544">
        <f t="shared" si="81"/>
        <v>0</v>
      </c>
      <c r="H544">
        <f t="shared" si="81"/>
        <v>0</v>
      </c>
      <c r="I544">
        <f t="shared" si="81"/>
        <v>0</v>
      </c>
      <c r="J544">
        <f t="shared" si="81"/>
        <v>0</v>
      </c>
      <c r="K544">
        <f t="shared" si="81"/>
        <v>0</v>
      </c>
      <c r="L544">
        <f t="shared" si="81"/>
        <v>1</v>
      </c>
      <c r="M544">
        <f t="shared" si="82"/>
        <v>1</v>
      </c>
      <c r="N544">
        <f t="shared" si="82"/>
        <v>0</v>
      </c>
      <c r="O544">
        <f t="shared" si="82"/>
        <v>0</v>
      </c>
    </row>
    <row r="545" spans="1:15" x14ac:dyDescent="0.3">
      <c r="A545">
        <v>4</v>
      </c>
      <c r="B545">
        <v>2016</v>
      </c>
      <c r="C545">
        <v>2859</v>
      </c>
      <c r="D545">
        <v>0</v>
      </c>
      <c r="E545">
        <v>17</v>
      </c>
      <c r="F545">
        <v>0.73333333000000001</v>
      </c>
      <c r="G545">
        <f t="shared" si="81"/>
        <v>0</v>
      </c>
      <c r="H545">
        <f t="shared" si="81"/>
        <v>0</v>
      </c>
      <c r="I545">
        <f t="shared" si="81"/>
        <v>0</v>
      </c>
      <c r="J545">
        <f t="shared" si="81"/>
        <v>0</v>
      </c>
      <c r="K545">
        <f t="shared" si="81"/>
        <v>1</v>
      </c>
      <c r="L545">
        <f t="shared" si="81"/>
        <v>0</v>
      </c>
      <c r="M545">
        <f t="shared" si="82"/>
        <v>0</v>
      </c>
      <c r="N545">
        <f t="shared" si="82"/>
        <v>0</v>
      </c>
      <c r="O545">
        <f t="shared" si="82"/>
        <v>1</v>
      </c>
    </row>
    <row r="546" spans="1:15" x14ac:dyDescent="0.3">
      <c r="A546">
        <v>4</v>
      </c>
      <c r="B546">
        <v>2017</v>
      </c>
      <c r="C546">
        <v>2853</v>
      </c>
      <c r="D546">
        <v>20</v>
      </c>
      <c r="E546">
        <v>16</v>
      </c>
      <c r="F546">
        <v>1.5</v>
      </c>
      <c r="G546">
        <f t="shared" si="81"/>
        <v>0</v>
      </c>
      <c r="H546">
        <f t="shared" si="81"/>
        <v>0</v>
      </c>
      <c r="I546">
        <f t="shared" si="81"/>
        <v>0</v>
      </c>
      <c r="J546">
        <f t="shared" si="81"/>
        <v>0</v>
      </c>
      <c r="K546">
        <f t="shared" si="81"/>
        <v>0</v>
      </c>
      <c r="L546">
        <f t="shared" si="81"/>
        <v>1</v>
      </c>
      <c r="M546">
        <f t="shared" si="82"/>
        <v>0</v>
      </c>
      <c r="N546">
        <f t="shared" si="82"/>
        <v>0</v>
      </c>
      <c r="O546">
        <f t="shared" si="82"/>
        <v>1</v>
      </c>
    </row>
    <row r="547" spans="1:15" x14ac:dyDescent="0.3">
      <c r="A547">
        <v>4</v>
      </c>
      <c r="B547">
        <v>2013</v>
      </c>
      <c r="C547">
        <v>2837</v>
      </c>
      <c r="D547">
        <v>120</v>
      </c>
      <c r="E547">
        <v>49</v>
      </c>
      <c r="F547">
        <v>7</v>
      </c>
      <c r="G547">
        <f t="shared" si="81"/>
        <v>0</v>
      </c>
      <c r="H547">
        <f t="shared" si="81"/>
        <v>1</v>
      </c>
      <c r="I547">
        <f t="shared" si="81"/>
        <v>0</v>
      </c>
      <c r="J547">
        <f t="shared" si="81"/>
        <v>0</v>
      </c>
      <c r="K547">
        <f t="shared" si="81"/>
        <v>0</v>
      </c>
      <c r="L547">
        <f t="shared" si="81"/>
        <v>0</v>
      </c>
      <c r="M547">
        <f t="shared" si="82"/>
        <v>0</v>
      </c>
      <c r="N547">
        <f t="shared" si="82"/>
        <v>0</v>
      </c>
      <c r="O547">
        <f t="shared" si="82"/>
        <v>1</v>
      </c>
    </row>
    <row r="548" spans="1:15" x14ac:dyDescent="0.3">
      <c r="A548">
        <v>4</v>
      </c>
      <c r="B548">
        <v>2014</v>
      </c>
      <c r="C548">
        <v>2814</v>
      </c>
      <c r="D548">
        <v>95</v>
      </c>
      <c r="E548">
        <v>39</v>
      </c>
      <c r="F548">
        <v>2</v>
      </c>
      <c r="G548">
        <f t="shared" si="81"/>
        <v>0</v>
      </c>
      <c r="H548">
        <f t="shared" si="81"/>
        <v>0</v>
      </c>
      <c r="I548">
        <f t="shared" si="81"/>
        <v>1</v>
      </c>
      <c r="J548">
        <f t="shared" si="81"/>
        <v>0</v>
      </c>
      <c r="K548">
        <f t="shared" si="81"/>
        <v>0</v>
      </c>
      <c r="L548">
        <f t="shared" si="81"/>
        <v>0</v>
      </c>
      <c r="M548">
        <f t="shared" si="82"/>
        <v>0</v>
      </c>
      <c r="N548">
        <f t="shared" si="82"/>
        <v>0</v>
      </c>
      <c r="O548">
        <f t="shared" si="82"/>
        <v>1</v>
      </c>
    </row>
    <row r="549" spans="1:15" x14ac:dyDescent="0.3">
      <c r="A549">
        <v>2</v>
      </c>
      <c r="B549">
        <v>2016</v>
      </c>
      <c r="C549">
        <v>2814</v>
      </c>
      <c r="D549">
        <v>140</v>
      </c>
      <c r="E549">
        <v>35</v>
      </c>
      <c r="F549">
        <v>2</v>
      </c>
      <c r="G549">
        <f t="shared" si="81"/>
        <v>0</v>
      </c>
      <c r="H549">
        <f t="shared" si="81"/>
        <v>0</v>
      </c>
      <c r="I549">
        <f t="shared" si="81"/>
        <v>0</v>
      </c>
      <c r="J549">
        <f t="shared" si="81"/>
        <v>0</v>
      </c>
      <c r="K549">
        <f t="shared" si="81"/>
        <v>1</v>
      </c>
      <c r="L549">
        <f t="shared" si="81"/>
        <v>0</v>
      </c>
      <c r="M549">
        <f t="shared" si="82"/>
        <v>0</v>
      </c>
      <c r="N549">
        <f t="shared" si="82"/>
        <v>1</v>
      </c>
      <c r="O549">
        <f t="shared" si="82"/>
        <v>0</v>
      </c>
    </row>
    <row r="550" spans="1:15" x14ac:dyDescent="0.3">
      <c r="A550">
        <v>4</v>
      </c>
      <c r="B550">
        <v>2017</v>
      </c>
      <c r="C550">
        <v>2804</v>
      </c>
      <c r="D550">
        <v>195</v>
      </c>
      <c r="E550">
        <v>212</v>
      </c>
      <c r="F550">
        <v>37.5</v>
      </c>
      <c r="G550">
        <f t="shared" si="81"/>
        <v>0</v>
      </c>
      <c r="H550">
        <f t="shared" si="81"/>
        <v>0</v>
      </c>
      <c r="I550">
        <f t="shared" si="81"/>
        <v>0</v>
      </c>
      <c r="J550">
        <f t="shared" si="81"/>
        <v>0</v>
      </c>
      <c r="K550">
        <f t="shared" si="81"/>
        <v>0</v>
      </c>
      <c r="L550">
        <f t="shared" si="81"/>
        <v>1</v>
      </c>
      <c r="M550">
        <f t="shared" si="82"/>
        <v>0</v>
      </c>
      <c r="N550">
        <f t="shared" si="82"/>
        <v>0</v>
      </c>
      <c r="O550">
        <f t="shared" si="82"/>
        <v>1</v>
      </c>
    </row>
    <row r="551" spans="1:15" x14ac:dyDescent="0.3">
      <c r="A551">
        <v>1</v>
      </c>
      <c r="B551">
        <v>2014</v>
      </c>
      <c r="C551">
        <v>2797</v>
      </c>
      <c r="D551">
        <v>35</v>
      </c>
      <c r="E551">
        <v>10</v>
      </c>
      <c r="F551">
        <v>1</v>
      </c>
      <c r="G551">
        <f t="shared" si="81"/>
        <v>0</v>
      </c>
      <c r="H551">
        <f t="shared" si="81"/>
        <v>0</v>
      </c>
      <c r="I551">
        <f t="shared" si="81"/>
        <v>1</v>
      </c>
      <c r="J551">
        <f t="shared" si="81"/>
        <v>0</v>
      </c>
      <c r="K551">
        <f t="shared" si="81"/>
        <v>0</v>
      </c>
      <c r="L551">
        <f t="shared" si="81"/>
        <v>0</v>
      </c>
      <c r="M551">
        <f t="shared" si="82"/>
        <v>1</v>
      </c>
      <c r="N551">
        <f t="shared" si="82"/>
        <v>0</v>
      </c>
      <c r="O551">
        <f t="shared" si="82"/>
        <v>0</v>
      </c>
    </row>
    <row r="552" spans="1:15" x14ac:dyDescent="0.3">
      <c r="A552">
        <v>1</v>
      </c>
      <c r="B552">
        <v>2015</v>
      </c>
      <c r="C552">
        <v>2789</v>
      </c>
      <c r="D552">
        <v>95</v>
      </c>
      <c r="E552">
        <v>26</v>
      </c>
      <c r="F552">
        <v>3.5</v>
      </c>
      <c r="G552">
        <f t="shared" ref="G552:L561" si="83">IF($B552=G$1,1,0)</f>
        <v>0</v>
      </c>
      <c r="H552">
        <f t="shared" si="83"/>
        <v>0</v>
      </c>
      <c r="I552">
        <f t="shared" si="83"/>
        <v>0</v>
      </c>
      <c r="J552">
        <f t="shared" si="83"/>
        <v>1</v>
      </c>
      <c r="K552">
        <f t="shared" si="83"/>
        <v>0</v>
      </c>
      <c r="L552">
        <f t="shared" si="83"/>
        <v>0</v>
      </c>
      <c r="M552">
        <f t="shared" si="82"/>
        <v>1</v>
      </c>
      <c r="N552">
        <f t="shared" si="82"/>
        <v>0</v>
      </c>
      <c r="O552">
        <f t="shared" si="82"/>
        <v>0</v>
      </c>
    </row>
    <row r="553" spans="1:15" x14ac:dyDescent="0.3">
      <c r="A553">
        <v>2</v>
      </c>
      <c r="B553">
        <v>2017</v>
      </c>
      <c r="C553">
        <v>2786</v>
      </c>
      <c r="D553">
        <v>200</v>
      </c>
      <c r="E553">
        <v>20</v>
      </c>
      <c r="F553">
        <v>3</v>
      </c>
      <c r="G553">
        <f t="shared" si="83"/>
        <v>0</v>
      </c>
      <c r="H553">
        <f t="shared" si="83"/>
        <v>0</v>
      </c>
      <c r="I553">
        <f t="shared" si="83"/>
        <v>0</v>
      </c>
      <c r="J553">
        <f t="shared" si="83"/>
        <v>0</v>
      </c>
      <c r="K553">
        <f t="shared" si="83"/>
        <v>0</v>
      </c>
      <c r="L553">
        <f t="shared" si="83"/>
        <v>1</v>
      </c>
      <c r="M553">
        <f t="shared" si="82"/>
        <v>0</v>
      </c>
      <c r="N553">
        <f t="shared" si="82"/>
        <v>1</v>
      </c>
      <c r="O553">
        <f t="shared" si="82"/>
        <v>0</v>
      </c>
    </row>
    <row r="554" spans="1:15" x14ac:dyDescent="0.3">
      <c r="A554">
        <v>2</v>
      </c>
      <c r="B554">
        <v>2015</v>
      </c>
      <c r="C554">
        <v>2784</v>
      </c>
      <c r="D554">
        <v>50</v>
      </c>
      <c r="E554">
        <v>79</v>
      </c>
      <c r="F554">
        <v>15</v>
      </c>
      <c r="G554">
        <f t="shared" si="83"/>
        <v>0</v>
      </c>
      <c r="H554">
        <f t="shared" si="83"/>
        <v>0</v>
      </c>
      <c r="I554">
        <f t="shared" si="83"/>
        <v>0</v>
      </c>
      <c r="J554">
        <f t="shared" si="83"/>
        <v>1</v>
      </c>
      <c r="K554">
        <f t="shared" si="83"/>
        <v>0</v>
      </c>
      <c r="L554">
        <f t="shared" si="83"/>
        <v>0</v>
      </c>
      <c r="M554">
        <f t="shared" si="82"/>
        <v>0</v>
      </c>
      <c r="N554">
        <f t="shared" si="82"/>
        <v>1</v>
      </c>
      <c r="O554">
        <f t="shared" si="82"/>
        <v>0</v>
      </c>
    </row>
    <row r="555" spans="1:15" x14ac:dyDescent="0.3">
      <c r="A555">
        <v>4</v>
      </c>
      <c r="B555">
        <v>2014</v>
      </c>
      <c r="C555">
        <v>2784</v>
      </c>
      <c r="D555">
        <v>20</v>
      </c>
      <c r="E555">
        <v>29</v>
      </c>
      <c r="F555">
        <v>3.5</v>
      </c>
      <c r="G555">
        <f t="shared" si="83"/>
        <v>0</v>
      </c>
      <c r="H555">
        <f t="shared" si="83"/>
        <v>0</v>
      </c>
      <c r="I555">
        <f t="shared" si="83"/>
        <v>1</v>
      </c>
      <c r="J555">
        <f t="shared" si="83"/>
        <v>0</v>
      </c>
      <c r="K555">
        <f t="shared" si="83"/>
        <v>0</v>
      </c>
      <c r="L555">
        <f t="shared" si="83"/>
        <v>0</v>
      </c>
      <c r="M555">
        <f t="shared" si="82"/>
        <v>0</v>
      </c>
      <c r="N555">
        <f t="shared" si="82"/>
        <v>0</v>
      </c>
      <c r="O555">
        <f t="shared" si="82"/>
        <v>1</v>
      </c>
    </row>
    <row r="556" spans="1:15" x14ac:dyDescent="0.3">
      <c r="A556">
        <v>1</v>
      </c>
      <c r="B556">
        <v>2016</v>
      </c>
      <c r="C556">
        <v>2783</v>
      </c>
      <c r="D556">
        <v>200</v>
      </c>
      <c r="E556">
        <v>21</v>
      </c>
      <c r="F556">
        <v>1.5</v>
      </c>
      <c r="G556">
        <f t="shared" si="83"/>
        <v>0</v>
      </c>
      <c r="H556">
        <f t="shared" si="83"/>
        <v>0</v>
      </c>
      <c r="I556">
        <f t="shared" si="83"/>
        <v>0</v>
      </c>
      <c r="J556">
        <f t="shared" si="83"/>
        <v>0</v>
      </c>
      <c r="K556">
        <f t="shared" si="83"/>
        <v>1</v>
      </c>
      <c r="L556">
        <f t="shared" si="83"/>
        <v>0</v>
      </c>
      <c r="M556">
        <f t="shared" si="82"/>
        <v>1</v>
      </c>
      <c r="N556">
        <f t="shared" si="82"/>
        <v>0</v>
      </c>
      <c r="O556">
        <f t="shared" si="82"/>
        <v>0</v>
      </c>
    </row>
    <row r="557" spans="1:15" x14ac:dyDescent="0.3">
      <c r="A557">
        <v>4</v>
      </c>
      <c r="B557">
        <v>2017</v>
      </c>
      <c r="C557">
        <v>2780</v>
      </c>
      <c r="D557">
        <v>40</v>
      </c>
      <c r="E557">
        <v>29</v>
      </c>
      <c r="F557">
        <v>3</v>
      </c>
      <c r="G557">
        <f t="shared" si="83"/>
        <v>0</v>
      </c>
      <c r="H557">
        <f t="shared" si="83"/>
        <v>0</v>
      </c>
      <c r="I557">
        <f t="shared" si="83"/>
        <v>0</v>
      </c>
      <c r="J557">
        <f t="shared" si="83"/>
        <v>0</v>
      </c>
      <c r="K557">
        <f t="shared" si="83"/>
        <v>0</v>
      </c>
      <c r="L557">
        <f t="shared" si="83"/>
        <v>1</v>
      </c>
      <c r="M557">
        <f t="shared" si="82"/>
        <v>0</v>
      </c>
      <c r="N557">
        <f t="shared" si="82"/>
        <v>0</v>
      </c>
      <c r="O557">
        <f t="shared" si="82"/>
        <v>1</v>
      </c>
    </row>
    <row r="558" spans="1:15" x14ac:dyDescent="0.3">
      <c r="A558">
        <v>4</v>
      </c>
      <c r="B558">
        <v>2015</v>
      </c>
      <c r="C558">
        <v>2760</v>
      </c>
      <c r="D558">
        <v>100</v>
      </c>
      <c r="E558">
        <v>26</v>
      </c>
      <c r="F558">
        <v>3.5</v>
      </c>
      <c r="G558">
        <f t="shared" si="83"/>
        <v>0</v>
      </c>
      <c r="H558">
        <f t="shared" si="83"/>
        <v>0</v>
      </c>
      <c r="I558">
        <f t="shared" si="83"/>
        <v>0</v>
      </c>
      <c r="J558">
        <f t="shared" si="83"/>
        <v>1</v>
      </c>
      <c r="K558">
        <f t="shared" si="83"/>
        <v>0</v>
      </c>
      <c r="L558">
        <f t="shared" si="83"/>
        <v>0</v>
      </c>
      <c r="M558">
        <f t="shared" si="82"/>
        <v>0</v>
      </c>
      <c r="N558">
        <f t="shared" si="82"/>
        <v>0</v>
      </c>
      <c r="O558">
        <f t="shared" si="82"/>
        <v>1</v>
      </c>
    </row>
    <row r="559" spans="1:15" x14ac:dyDescent="0.3">
      <c r="A559">
        <v>4</v>
      </c>
      <c r="B559">
        <v>2017</v>
      </c>
      <c r="C559">
        <v>2760</v>
      </c>
      <c r="D559">
        <v>20</v>
      </c>
      <c r="E559">
        <v>34</v>
      </c>
      <c r="F559">
        <v>1</v>
      </c>
      <c r="G559">
        <f t="shared" si="83"/>
        <v>0</v>
      </c>
      <c r="H559">
        <f t="shared" si="83"/>
        <v>0</v>
      </c>
      <c r="I559">
        <f t="shared" si="83"/>
        <v>0</v>
      </c>
      <c r="J559">
        <f t="shared" si="83"/>
        <v>0</v>
      </c>
      <c r="K559">
        <f t="shared" si="83"/>
        <v>0</v>
      </c>
      <c r="L559">
        <f t="shared" si="83"/>
        <v>1</v>
      </c>
      <c r="M559">
        <f t="shared" si="82"/>
        <v>0</v>
      </c>
      <c r="N559">
        <f t="shared" si="82"/>
        <v>0</v>
      </c>
      <c r="O559">
        <f t="shared" si="82"/>
        <v>1</v>
      </c>
    </row>
    <row r="560" spans="1:15" x14ac:dyDescent="0.3">
      <c r="A560">
        <v>1</v>
      </c>
      <c r="B560">
        <v>2016</v>
      </c>
      <c r="C560">
        <v>2755</v>
      </c>
      <c r="D560">
        <v>35</v>
      </c>
      <c r="E560">
        <v>179</v>
      </c>
      <c r="F560">
        <v>17.5</v>
      </c>
      <c r="G560">
        <f t="shared" si="83"/>
        <v>0</v>
      </c>
      <c r="H560">
        <f t="shared" si="83"/>
        <v>0</v>
      </c>
      <c r="I560">
        <f t="shared" si="83"/>
        <v>0</v>
      </c>
      <c r="J560">
        <f t="shared" si="83"/>
        <v>0</v>
      </c>
      <c r="K560">
        <f t="shared" si="83"/>
        <v>1</v>
      </c>
      <c r="L560">
        <f t="shared" si="83"/>
        <v>0</v>
      </c>
      <c r="M560">
        <f t="shared" si="82"/>
        <v>1</v>
      </c>
      <c r="N560">
        <f t="shared" si="82"/>
        <v>0</v>
      </c>
      <c r="O560">
        <f t="shared" si="82"/>
        <v>0</v>
      </c>
    </row>
    <row r="561" spans="1:15" x14ac:dyDescent="0.3">
      <c r="A561">
        <v>1</v>
      </c>
      <c r="B561">
        <v>2015</v>
      </c>
      <c r="C561">
        <v>2753</v>
      </c>
      <c r="D561">
        <v>25</v>
      </c>
      <c r="E561">
        <v>18</v>
      </c>
      <c r="F561">
        <v>2</v>
      </c>
      <c r="G561">
        <f t="shared" si="83"/>
        <v>0</v>
      </c>
      <c r="H561">
        <f t="shared" si="83"/>
        <v>0</v>
      </c>
      <c r="I561">
        <f t="shared" si="83"/>
        <v>0</v>
      </c>
      <c r="J561">
        <f t="shared" si="83"/>
        <v>1</v>
      </c>
      <c r="K561">
        <f t="shared" si="83"/>
        <v>0</v>
      </c>
      <c r="L561">
        <f t="shared" si="83"/>
        <v>0</v>
      </c>
      <c r="M561">
        <f t="shared" si="82"/>
        <v>1</v>
      </c>
      <c r="N561">
        <f t="shared" si="82"/>
        <v>0</v>
      </c>
      <c r="O561">
        <f t="shared" si="82"/>
        <v>0</v>
      </c>
    </row>
    <row r="562" spans="1:15" x14ac:dyDescent="0.3">
      <c r="A562">
        <v>2</v>
      </c>
      <c r="B562">
        <v>2015</v>
      </c>
      <c r="C562">
        <v>2749</v>
      </c>
      <c r="D562">
        <v>20</v>
      </c>
      <c r="E562">
        <v>7</v>
      </c>
      <c r="F562">
        <v>0.68333332999999996</v>
      </c>
      <c r="G562">
        <f t="shared" ref="G562:L571" si="84">IF($B562=G$1,1,0)</f>
        <v>0</v>
      </c>
      <c r="H562">
        <f t="shared" si="84"/>
        <v>0</v>
      </c>
      <c r="I562">
        <f t="shared" si="84"/>
        <v>0</v>
      </c>
      <c r="J562">
        <f t="shared" si="84"/>
        <v>1</v>
      </c>
      <c r="K562">
        <f t="shared" si="84"/>
        <v>0</v>
      </c>
      <c r="L562">
        <f t="shared" si="84"/>
        <v>0</v>
      </c>
      <c r="M562">
        <f t="shared" ref="M562:O581" si="85">IF($A562=M$1,1,0)</f>
        <v>0</v>
      </c>
      <c r="N562">
        <f t="shared" si="85"/>
        <v>1</v>
      </c>
      <c r="O562">
        <f t="shared" si="85"/>
        <v>0</v>
      </c>
    </row>
    <row r="563" spans="1:15" x14ac:dyDescent="0.3">
      <c r="A563">
        <v>4</v>
      </c>
      <c r="B563">
        <v>2016</v>
      </c>
      <c r="C563">
        <v>2743</v>
      </c>
      <c r="D563">
        <v>95</v>
      </c>
      <c r="E563">
        <v>61</v>
      </c>
      <c r="F563">
        <v>14.5</v>
      </c>
      <c r="G563">
        <f t="shared" si="84"/>
        <v>0</v>
      </c>
      <c r="H563">
        <f t="shared" si="84"/>
        <v>0</v>
      </c>
      <c r="I563">
        <f t="shared" si="84"/>
        <v>0</v>
      </c>
      <c r="J563">
        <f t="shared" si="84"/>
        <v>0</v>
      </c>
      <c r="K563">
        <f t="shared" si="84"/>
        <v>1</v>
      </c>
      <c r="L563">
        <f t="shared" si="84"/>
        <v>0</v>
      </c>
      <c r="M563">
        <f t="shared" si="85"/>
        <v>0</v>
      </c>
      <c r="N563">
        <f t="shared" si="85"/>
        <v>0</v>
      </c>
      <c r="O563">
        <f t="shared" si="85"/>
        <v>1</v>
      </c>
    </row>
    <row r="564" spans="1:15" x14ac:dyDescent="0.3">
      <c r="A564">
        <v>2</v>
      </c>
      <c r="B564">
        <v>2013</v>
      </c>
      <c r="C564">
        <v>2721</v>
      </c>
      <c r="D564">
        <v>75</v>
      </c>
      <c r="E564">
        <v>44</v>
      </c>
      <c r="F564">
        <v>5.5</v>
      </c>
      <c r="G564">
        <f t="shared" si="84"/>
        <v>0</v>
      </c>
      <c r="H564">
        <f t="shared" si="84"/>
        <v>1</v>
      </c>
      <c r="I564">
        <f t="shared" si="84"/>
        <v>0</v>
      </c>
      <c r="J564">
        <f t="shared" si="84"/>
        <v>0</v>
      </c>
      <c r="K564">
        <f t="shared" si="84"/>
        <v>0</v>
      </c>
      <c r="L564">
        <f t="shared" si="84"/>
        <v>0</v>
      </c>
      <c r="M564">
        <f t="shared" si="85"/>
        <v>0</v>
      </c>
      <c r="N564">
        <f t="shared" si="85"/>
        <v>1</v>
      </c>
      <c r="O564">
        <f t="shared" si="85"/>
        <v>0</v>
      </c>
    </row>
    <row r="565" spans="1:15" x14ac:dyDescent="0.3">
      <c r="A565">
        <v>1</v>
      </c>
      <c r="B565">
        <v>2015</v>
      </c>
      <c r="C565">
        <v>2706</v>
      </c>
      <c r="D565">
        <v>175</v>
      </c>
      <c r="E565">
        <v>103</v>
      </c>
      <c r="F565">
        <v>13</v>
      </c>
      <c r="G565">
        <f t="shared" si="84"/>
        <v>0</v>
      </c>
      <c r="H565">
        <f t="shared" si="84"/>
        <v>0</v>
      </c>
      <c r="I565">
        <f t="shared" si="84"/>
        <v>0</v>
      </c>
      <c r="J565">
        <f t="shared" si="84"/>
        <v>1</v>
      </c>
      <c r="K565">
        <f t="shared" si="84"/>
        <v>0</v>
      </c>
      <c r="L565">
        <f t="shared" si="84"/>
        <v>0</v>
      </c>
      <c r="M565">
        <f t="shared" si="85"/>
        <v>1</v>
      </c>
      <c r="N565">
        <f t="shared" si="85"/>
        <v>0</v>
      </c>
      <c r="O565">
        <f t="shared" si="85"/>
        <v>0</v>
      </c>
    </row>
    <row r="566" spans="1:15" x14ac:dyDescent="0.3">
      <c r="A566">
        <v>4</v>
      </c>
      <c r="B566">
        <v>2013</v>
      </c>
      <c r="C566">
        <v>2698</v>
      </c>
      <c r="D566">
        <v>200</v>
      </c>
      <c r="E566">
        <v>57</v>
      </c>
      <c r="F566">
        <v>8</v>
      </c>
      <c r="G566">
        <f t="shared" si="84"/>
        <v>0</v>
      </c>
      <c r="H566">
        <f t="shared" si="84"/>
        <v>1</v>
      </c>
      <c r="I566">
        <f t="shared" si="84"/>
        <v>0</v>
      </c>
      <c r="J566">
        <f t="shared" si="84"/>
        <v>0</v>
      </c>
      <c r="K566">
        <f t="shared" si="84"/>
        <v>0</v>
      </c>
      <c r="L566">
        <f t="shared" si="84"/>
        <v>0</v>
      </c>
      <c r="M566">
        <f t="shared" si="85"/>
        <v>0</v>
      </c>
      <c r="N566">
        <f t="shared" si="85"/>
        <v>0</v>
      </c>
      <c r="O566">
        <f t="shared" si="85"/>
        <v>1</v>
      </c>
    </row>
    <row r="567" spans="1:15" x14ac:dyDescent="0.3">
      <c r="A567">
        <v>4</v>
      </c>
      <c r="B567">
        <v>2013</v>
      </c>
      <c r="C567">
        <v>2697</v>
      </c>
      <c r="D567">
        <v>75</v>
      </c>
      <c r="E567">
        <v>82</v>
      </c>
      <c r="F567">
        <v>11.5</v>
      </c>
      <c r="G567">
        <f t="shared" si="84"/>
        <v>0</v>
      </c>
      <c r="H567">
        <f t="shared" si="84"/>
        <v>1</v>
      </c>
      <c r="I567">
        <f t="shared" si="84"/>
        <v>0</v>
      </c>
      <c r="J567">
        <f t="shared" si="84"/>
        <v>0</v>
      </c>
      <c r="K567">
        <f t="shared" si="84"/>
        <v>0</v>
      </c>
      <c r="L567">
        <f t="shared" si="84"/>
        <v>0</v>
      </c>
      <c r="M567">
        <f t="shared" si="85"/>
        <v>0</v>
      </c>
      <c r="N567">
        <f t="shared" si="85"/>
        <v>0</v>
      </c>
      <c r="O567">
        <f t="shared" si="85"/>
        <v>1</v>
      </c>
    </row>
    <row r="568" spans="1:15" x14ac:dyDescent="0.3">
      <c r="A568">
        <v>1</v>
      </c>
      <c r="B568">
        <v>2017</v>
      </c>
      <c r="C568">
        <v>2687</v>
      </c>
      <c r="D568">
        <v>200</v>
      </c>
      <c r="E568">
        <v>138</v>
      </c>
      <c r="F568">
        <v>25.5</v>
      </c>
      <c r="G568">
        <f t="shared" si="84"/>
        <v>0</v>
      </c>
      <c r="H568">
        <f t="shared" si="84"/>
        <v>0</v>
      </c>
      <c r="I568">
        <f t="shared" si="84"/>
        <v>0</v>
      </c>
      <c r="J568">
        <f t="shared" si="84"/>
        <v>0</v>
      </c>
      <c r="K568">
        <f t="shared" si="84"/>
        <v>0</v>
      </c>
      <c r="L568">
        <f t="shared" si="84"/>
        <v>1</v>
      </c>
      <c r="M568">
        <f t="shared" si="85"/>
        <v>1</v>
      </c>
      <c r="N568">
        <f t="shared" si="85"/>
        <v>0</v>
      </c>
      <c r="O568">
        <f t="shared" si="85"/>
        <v>0</v>
      </c>
    </row>
    <row r="569" spans="1:15" x14ac:dyDescent="0.3">
      <c r="A569">
        <v>1</v>
      </c>
      <c r="B569">
        <v>2017</v>
      </c>
      <c r="C569">
        <v>2669</v>
      </c>
      <c r="D569">
        <v>50</v>
      </c>
      <c r="E569">
        <v>72</v>
      </c>
      <c r="F569">
        <v>5.5</v>
      </c>
      <c r="G569">
        <f t="shared" si="84"/>
        <v>0</v>
      </c>
      <c r="H569">
        <f t="shared" si="84"/>
        <v>0</v>
      </c>
      <c r="I569">
        <f t="shared" si="84"/>
        <v>0</v>
      </c>
      <c r="J569">
        <f t="shared" si="84"/>
        <v>0</v>
      </c>
      <c r="K569">
        <f t="shared" si="84"/>
        <v>0</v>
      </c>
      <c r="L569">
        <f t="shared" si="84"/>
        <v>1</v>
      </c>
      <c r="M569">
        <f t="shared" si="85"/>
        <v>1</v>
      </c>
      <c r="N569">
        <f t="shared" si="85"/>
        <v>0</v>
      </c>
      <c r="O569">
        <f t="shared" si="85"/>
        <v>0</v>
      </c>
    </row>
    <row r="570" spans="1:15" x14ac:dyDescent="0.3">
      <c r="A570">
        <v>1</v>
      </c>
      <c r="B570">
        <v>2016</v>
      </c>
      <c r="C570">
        <v>2660</v>
      </c>
      <c r="D570">
        <v>20</v>
      </c>
      <c r="E570">
        <v>16</v>
      </c>
      <c r="F570">
        <v>1.5</v>
      </c>
      <c r="G570">
        <f t="shared" si="84"/>
        <v>0</v>
      </c>
      <c r="H570">
        <f t="shared" si="84"/>
        <v>0</v>
      </c>
      <c r="I570">
        <f t="shared" si="84"/>
        <v>0</v>
      </c>
      <c r="J570">
        <f t="shared" si="84"/>
        <v>0</v>
      </c>
      <c r="K570">
        <f t="shared" si="84"/>
        <v>1</v>
      </c>
      <c r="L570">
        <f t="shared" si="84"/>
        <v>0</v>
      </c>
      <c r="M570">
        <f t="shared" si="85"/>
        <v>1</v>
      </c>
      <c r="N570">
        <f t="shared" si="85"/>
        <v>0</v>
      </c>
      <c r="O570">
        <f t="shared" si="85"/>
        <v>0</v>
      </c>
    </row>
    <row r="571" spans="1:15" x14ac:dyDescent="0.3">
      <c r="A571">
        <v>4</v>
      </c>
      <c r="B571">
        <v>2016</v>
      </c>
      <c r="C571">
        <v>2652</v>
      </c>
      <c r="D571">
        <v>120</v>
      </c>
      <c r="E571">
        <v>40</v>
      </c>
      <c r="F571">
        <v>3.5</v>
      </c>
      <c r="G571">
        <f t="shared" si="84"/>
        <v>0</v>
      </c>
      <c r="H571">
        <f t="shared" si="84"/>
        <v>0</v>
      </c>
      <c r="I571">
        <f t="shared" si="84"/>
        <v>0</v>
      </c>
      <c r="J571">
        <f t="shared" si="84"/>
        <v>0</v>
      </c>
      <c r="K571">
        <f t="shared" si="84"/>
        <v>1</v>
      </c>
      <c r="L571">
        <f t="shared" si="84"/>
        <v>0</v>
      </c>
      <c r="M571">
        <f t="shared" si="85"/>
        <v>0</v>
      </c>
      <c r="N571">
        <f t="shared" si="85"/>
        <v>0</v>
      </c>
      <c r="O571">
        <f t="shared" si="85"/>
        <v>1</v>
      </c>
    </row>
    <row r="572" spans="1:15" x14ac:dyDescent="0.3">
      <c r="A572">
        <v>1</v>
      </c>
      <c r="B572">
        <v>2015</v>
      </c>
      <c r="C572">
        <v>2650</v>
      </c>
      <c r="D572">
        <v>40</v>
      </c>
      <c r="E572">
        <v>39</v>
      </c>
      <c r="F572">
        <v>2</v>
      </c>
      <c r="G572">
        <f t="shared" ref="G572:L581" si="86">IF($B572=G$1,1,0)</f>
        <v>0</v>
      </c>
      <c r="H572">
        <f t="shared" si="86"/>
        <v>0</v>
      </c>
      <c r="I572">
        <f t="shared" si="86"/>
        <v>0</v>
      </c>
      <c r="J572">
        <f t="shared" si="86"/>
        <v>1</v>
      </c>
      <c r="K572">
        <f t="shared" si="86"/>
        <v>0</v>
      </c>
      <c r="L572">
        <f t="shared" si="86"/>
        <v>0</v>
      </c>
      <c r="M572">
        <f t="shared" si="85"/>
        <v>1</v>
      </c>
      <c r="N572">
        <f t="shared" si="85"/>
        <v>0</v>
      </c>
      <c r="O572">
        <f t="shared" si="85"/>
        <v>0</v>
      </c>
    </row>
    <row r="573" spans="1:15" x14ac:dyDescent="0.3">
      <c r="A573">
        <v>4</v>
      </c>
      <c r="B573">
        <v>2015</v>
      </c>
      <c r="C573">
        <v>2650</v>
      </c>
      <c r="D573">
        <v>20</v>
      </c>
      <c r="E573">
        <v>304</v>
      </c>
      <c r="F573">
        <v>15.5</v>
      </c>
      <c r="G573">
        <f t="shared" si="86"/>
        <v>0</v>
      </c>
      <c r="H573">
        <f t="shared" si="86"/>
        <v>0</v>
      </c>
      <c r="I573">
        <f t="shared" si="86"/>
        <v>0</v>
      </c>
      <c r="J573">
        <f t="shared" si="86"/>
        <v>1</v>
      </c>
      <c r="K573">
        <f t="shared" si="86"/>
        <v>0</v>
      </c>
      <c r="L573">
        <f t="shared" si="86"/>
        <v>0</v>
      </c>
      <c r="M573">
        <f t="shared" si="85"/>
        <v>0</v>
      </c>
      <c r="N573">
        <f t="shared" si="85"/>
        <v>0</v>
      </c>
      <c r="O573">
        <f t="shared" si="85"/>
        <v>1</v>
      </c>
    </row>
    <row r="574" spans="1:15" x14ac:dyDescent="0.3">
      <c r="A574">
        <v>4</v>
      </c>
      <c r="B574">
        <v>2017</v>
      </c>
      <c r="C574">
        <v>2649</v>
      </c>
      <c r="D574">
        <v>0</v>
      </c>
      <c r="E574">
        <v>7</v>
      </c>
      <c r="F574">
        <v>0.58333332999999998</v>
      </c>
      <c r="G574">
        <f t="shared" si="86"/>
        <v>0</v>
      </c>
      <c r="H574">
        <f t="shared" si="86"/>
        <v>0</v>
      </c>
      <c r="I574">
        <f t="shared" si="86"/>
        <v>0</v>
      </c>
      <c r="J574">
        <f t="shared" si="86"/>
        <v>0</v>
      </c>
      <c r="K574">
        <f t="shared" si="86"/>
        <v>0</v>
      </c>
      <c r="L574">
        <f t="shared" si="86"/>
        <v>1</v>
      </c>
      <c r="M574">
        <f t="shared" si="85"/>
        <v>0</v>
      </c>
      <c r="N574">
        <f t="shared" si="85"/>
        <v>0</v>
      </c>
      <c r="O574">
        <f t="shared" si="85"/>
        <v>1</v>
      </c>
    </row>
    <row r="575" spans="1:15" x14ac:dyDescent="0.3">
      <c r="A575">
        <v>4</v>
      </c>
      <c r="B575">
        <v>2016</v>
      </c>
      <c r="C575">
        <v>2643</v>
      </c>
      <c r="D575">
        <v>20</v>
      </c>
      <c r="E575">
        <v>83</v>
      </c>
      <c r="F575">
        <v>9</v>
      </c>
      <c r="G575">
        <f t="shared" si="86"/>
        <v>0</v>
      </c>
      <c r="H575">
        <f t="shared" si="86"/>
        <v>0</v>
      </c>
      <c r="I575">
        <f t="shared" si="86"/>
        <v>0</v>
      </c>
      <c r="J575">
        <f t="shared" si="86"/>
        <v>0</v>
      </c>
      <c r="K575">
        <f t="shared" si="86"/>
        <v>1</v>
      </c>
      <c r="L575">
        <f t="shared" si="86"/>
        <v>0</v>
      </c>
      <c r="M575">
        <f t="shared" si="85"/>
        <v>0</v>
      </c>
      <c r="N575">
        <f t="shared" si="85"/>
        <v>0</v>
      </c>
      <c r="O575">
        <f t="shared" si="85"/>
        <v>1</v>
      </c>
    </row>
    <row r="576" spans="1:15" x14ac:dyDescent="0.3">
      <c r="A576">
        <v>4</v>
      </c>
      <c r="B576">
        <v>2016</v>
      </c>
      <c r="C576">
        <v>2643</v>
      </c>
      <c r="D576">
        <v>50</v>
      </c>
      <c r="E576">
        <v>24</v>
      </c>
      <c r="F576">
        <v>3.5</v>
      </c>
      <c r="G576">
        <f t="shared" si="86"/>
        <v>0</v>
      </c>
      <c r="H576">
        <f t="shared" si="86"/>
        <v>0</v>
      </c>
      <c r="I576">
        <f t="shared" si="86"/>
        <v>0</v>
      </c>
      <c r="J576">
        <f t="shared" si="86"/>
        <v>0</v>
      </c>
      <c r="K576">
        <f t="shared" si="86"/>
        <v>1</v>
      </c>
      <c r="L576">
        <f t="shared" si="86"/>
        <v>0</v>
      </c>
      <c r="M576">
        <f t="shared" si="85"/>
        <v>0</v>
      </c>
      <c r="N576">
        <f t="shared" si="85"/>
        <v>0</v>
      </c>
      <c r="O576">
        <f t="shared" si="85"/>
        <v>1</v>
      </c>
    </row>
    <row r="577" spans="1:15" x14ac:dyDescent="0.3">
      <c r="A577">
        <v>2</v>
      </c>
      <c r="B577">
        <v>2017</v>
      </c>
      <c r="C577">
        <v>2641</v>
      </c>
      <c r="D577">
        <v>150</v>
      </c>
      <c r="E577">
        <v>15</v>
      </c>
      <c r="F577">
        <v>0.65</v>
      </c>
      <c r="G577">
        <f t="shared" si="86"/>
        <v>0</v>
      </c>
      <c r="H577">
        <f t="shared" si="86"/>
        <v>0</v>
      </c>
      <c r="I577">
        <f t="shared" si="86"/>
        <v>0</v>
      </c>
      <c r="J577">
        <f t="shared" si="86"/>
        <v>0</v>
      </c>
      <c r="K577">
        <f t="shared" si="86"/>
        <v>0</v>
      </c>
      <c r="L577">
        <f t="shared" si="86"/>
        <v>1</v>
      </c>
      <c r="M577">
        <f t="shared" si="85"/>
        <v>0</v>
      </c>
      <c r="N577">
        <f t="shared" si="85"/>
        <v>1</v>
      </c>
      <c r="O577">
        <f t="shared" si="85"/>
        <v>0</v>
      </c>
    </row>
    <row r="578" spans="1:15" x14ac:dyDescent="0.3">
      <c r="A578">
        <v>4</v>
      </c>
      <c r="B578">
        <v>2016</v>
      </c>
      <c r="C578">
        <v>2635</v>
      </c>
      <c r="D578">
        <v>95</v>
      </c>
      <c r="E578">
        <v>30</v>
      </c>
      <c r="F578">
        <v>2</v>
      </c>
      <c r="G578">
        <f t="shared" si="86"/>
        <v>0</v>
      </c>
      <c r="H578">
        <f t="shared" si="86"/>
        <v>0</v>
      </c>
      <c r="I578">
        <f t="shared" si="86"/>
        <v>0</v>
      </c>
      <c r="J578">
        <f t="shared" si="86"/>
        <v>0</v>
      </c>
      <c r="K578">
        <f t="shared" si="86"/>
        <v>1</v>
      </c>
      <c r="L578">
        <f t="shared" si="86"/>
        <v>0</v>
      </c>
      <c r="M578">
        <f t="shared" si="85"/>
        <v>0</v>
      </c>
      <c r="N578">
        <f t="shared" si="85"/>
        <v>0</v>
      </c>
      <c r="O578">
        <f t="shared" si="85"/>
        <v>1</v>
      </c>
    </row>
    <row r="579" spans="1:15" x14ac:dyDescent="0.3">
      <c r="A579">
        <v>1</v>
      </c>
      <c r="B579">
        <v>2015</v>
      </c>
      <c r="C579">
        <v>2626</v>
      </c>
      <c r="D579">
        <v>40</v>
      </c>
      <c r="E579">
        <v>135</v>
      </c>
      <c r="F579">
        <v>6</v>
      </c>
      <c r="G579">
        <f t="shared" si="86"/>
        <v>0</v>
      </c>
      <c r="H579">
        <f t="shared" si="86"/>
        <v>0</v>
      </c>
      <c r="I579">
        <f t="shared" si="86"/>
        <v>0</v>
      </c>
      <c r="J579">
        <f t="shared" si="86"/>
        <v>1</v>
      </c>
      <c r="K579">
        <f t="shared" si="86"/>
        <v>0</v>
      </c>
      <c r="L579">
        <f t="shared" si="86"/>
        <v>0</v>
      </c>
      <c r="M579">
        <f t="shared" si="85"/>
        <v>1</v>
      </c>
      <c r="N579">
        <f t="shared" si="85"/>
        <v>0</v>
      </c>
      <c r="O579">
        <f t="shared" si="85"/>
        <v>0</v>
      </c>
    </row>
    <row r="580" spans="1:15" x14ac:dyDescent="0.3">
      <c r="A580">
        <v>1</v>
      </c>
      <c r="B580">
        <v>2015</v>
      </c>
      <c r="C580">
        <v>2607</v>
      </c>
      <c r="D580">
        <v>100</v>
      </c>
      <c r="E580">
        <v>49</v>
      </c>
      <c r="F580">
        <v>5</v>
      </c>
      <c r="G580">
        <f t="shared" si="86"/>
        <v>0</v>
      </c>
      <c r="H580">
        <f t="shared" si="86"/>
        <v>0</v>
      </c>
      <c r="I580">
        <f t="shared" si="86"/>
        <v>0</v>
      </c>
      <c r="J580">
        <f t="shared" si="86"/>
        <v>1</v>
      </c>
      <c r="K580">
        <f t="shared" si="86"/>
        <v>0</v>
      </c>
      <c r="L580">
        <f t="shared" si="86"/>
        <v>0</v>
      </c>
      <c r="M580">
        <f t="shared" si="85"/>
        <v>1</v>
      </c>
      <c r="N580">
        <f t="shared" si="85"/>
        <v>0</v>
      </c>
      <c r="O580">
        <f t="shared" si="85"/>
        <v>0</v>
      </c>
    </row>
    <row r="581" spans="1:15" x14ac:dyDescent="0.3">
      <c r="A581">
        <v>4</v>
      </c>
      <c r="B581">
        <v>2017</v>
      </c>
      <c r="C581">
        <v>2606</v>
      </c>
      <c r="D581">
        <v>50</v>
      </c>
      <c r="E581">
        <v>77</v>
      </c>
      <c r="F581">
        <v>8</v>
      </c>
      <c r="G581">
        <f t="shared" si="86"/>
        <v>0</v>
      </c>
      <c r="H581">
        <f t="shared" si="86"/>
        <v>0</v>
      </c>
      <c r="I581">
        <f t="shared" si="86"/>
        <v>0</v>
      </c>
      <c r="J581">
        <f t="shared" si="86"/>
        <v>0</v>
      </c>
      <c r="K581">
        <f t="shared" si="86"/>
        <v>0</v>
      </c>
      <c r="L581">
        <f t="shared" si="86"/>
        <v>1</v>
      </c>
      <c r="M581">
        <f t="shared" si="85"/>
        <v>0</v>
      </c>
      <c r="N581">
        <f t="shared" si="85"/>
        <v>0</v>
      </c>
      <c r="O581">
        <f t="shared" si="85"/>
        <v>1</v>
      </c>
    </row>
    <row r="582" spans="1:15" x14ac:dyDescent="0.3">
      <c r="A582">
        <v>4</v>
      </c>
      <c r="B582">
        <v>2015</v>
      </c>
      <c r="C582">
        <v>2596</v>
      </c>
      <c r="D582">
        <v>30</v>
      </c>
      <c r="E582">
        <v>39</v>
      </c>
      <c r="F582">
        <v>4</v>
      </c>
      <c r="G582">
        <f t="shared" ref="G582:L591" si="87">IF($B582=G$1,1,0)</f>
        <v>0</v>
      </c>
      <c r="H582">
        <f t="shared" si="87"/>
        <v>0</v>
      </c>
      <c r="I582">
        <f t="shared" si="87"/>
        <v>0</v>
      </c>
      <c r="J582">
        <f t="shared" si="87"/>
        <v>1</v>
      </c>
      <c r="K582">
        <f t="shared" si="87"/>
        <v>0</v>
      </c>
      <c r="L582">
        <f t="shared" si="87"/>
        <v>0</v>
      </c>
      <c r="M582">
        <f t="shared" ref="M582:O601" si="88">IF($A582=M$1,1,0)</f>
        <v>0</v>
      </c>
      <c r="N582">
        <f t="shared" si="88"/>
        <v>0</v>
      </c>
      <c r="O582">
        <f t="shared" si="88"/>
        <v>1</v>
      </c>
    </row>
    <row r="583" spans="1:15" x14ac:dyDescent="0.3">
      <c r="A583">
        <v>1</v>
      </c>
      <c r="B583">
        <v>2017</v>
      </c>
      <c r="C583">
        <v>2578</v>
      </c>
      <c r="D583">
        <v>40</v>
      </c>
      <c r="E583">
        <v>39</v>
      </c>
      <c r="F583">
        <v>5.5</v>
      </c>
      <c r="G583">
        <f t="shared" si="87"/>
        <v>0</v>
      </c>
      <c r="H583">
        <f t="shared" si="87"/>
        <v>0</v>
      </c>
      <c r="I583">
        <f t="shared" si="87"/>
        <v>0</v>
      </c>
      <c r="J583">
        <f t="shared" si="87"/>
        <v>0</v>
      </c>
      <c r="K583">
        <f t="shared" si="87"/>
        <v>0</v>
      </c>
      <c r="L583">
        <f t="shared" si="87"/>
        <v>1</v>
      </c>
      <c r="M583">
        <f t="shared" si="88"/>
        <v>1</v>
      </c>
      <c r="N583">
        <f t="shared" si="88"/>
        <v>0</v>
      </c>
      <c r="O583">
        <f t="shared" si="88"/>
        <v>0</v>
      </c>
    </row>
    <row r="584" spans="1:15" x14ac:dyDescent="0.3">
      <c r="A584">
        <v>4</v>
      </c>
      <c r="B584">
        <v>2016</v>
      </c>
      <c r="C584">
        <v>2577</v>
      </c>
      <c r="D584">
        <v>50</v>
      </c>
      <c r="E584">
        <v>64</v>
      </c>
      <c r="F584">
        <v>4.5</v>
      </c>
      <c r="G584">
        <f t="shared" si="87"/>
        <v>0</v>
      </c>
      <c r="H584">
        <f t="shared" si="87"/>
        <v>0</v>
      </c>
      <c r="I584">
        <f t="shared" si="87"/>
        <v>0</v>
      </c>
      <c r="J584">
        <f t="shared" si="87"/>
        <v>0</v>
      </c>
      <c r="K584">
        <f t="shared" si="87"/>
        <v>1</v>
      </c>
      <c r="L584">
        <f t="shared" si="87"/>
        <v>0</v>
      </c>
      <c r="M584">
        <f t="shared" si="88"/>
        <v>0</v>
      </c>
      <c r="N584">
        <f t="shared" si="88"/>
        <v>0</v>
      </c>
      <c r="O584">
        <f t="shared" si="88"/>
        <v>1</v>
      </c>
    </row>
    <row r="585" spans="1:15" x14ac:dyDescent="0.3">
      <c r="A585">
        <v>2</v>
      </c>
      <c r="B585">
        <v>2015</v>
      </c>
      <c r="C585">
        <v>2573</v>
      </c>
      <c r="D585">
        <v>45</v>
      </c>
      <c r="E585">
        <v>46</v>
      </c>
      <c r="F585">
        <v>5.5</v>
      </c>
      <c r="G585">
        <f t="shared" si="87"/>
        <v>0</v>
      </c>
      <c r="H585">
        <f t="shared" si="87"/>
        <v>0</v>
      </c>
      <c r="I585">
        <f t="shared" si="87"/>
        <v>0</v>
      </c>
      <c r="J585">
        <f t="shared" si="87"/>
        <v>1</v>
      </c>
      <c r="K585">
        <f t="shared" si="87"/>
        <v>0</v>
      </c>
      <c r="L585">
        <f t="shared" si="87"/>
        <v>0</v>
      </c>
      <c r="M585">
        <f t="shared" si="88"/>
        <v>0</v>
      </c>
      <c r="N585">
        <f t="shared" si="88"/>
        <v>1</v>
      </c>
      <c r="O585">
        <f t="shared" si="88"/>
        <v>0</v>
      </c>
    </row>
    <row r="586" spans="1:15" x14ac:dyDescent="0.3">
      <c r="A586">
        <v>4</v>
      </c>
      <c r="B586">
        <v>2017</v>
      </c>
      <c r="C586">
        <v>2570</v>
      </c>
      <c r="D586">
        <v>65</v>
      </c>
      <c r="E586">
        <v>87</v>
      </c>
      <c r="F586">
        <v>5</v>
      </c>
      <c r="G586">
        <f t="shared" si="87"/>
        <v>0</v>
      </c>
      <c r="H586">
        <f t="shared" si="87"/>
        <v>0</v>
      </c>
      <c r="I586">
        <f t="shared" si="87"/>
        <v>0</v>
      </c>
      <c r="J586">
        <f t="shared" si="87"/>
        <v>0</v>
      </c>
      <c r="K586">
        <f t="shared" si="87"/>
        <v>0</v>
      </c>
      <c r="L586">
        <f t="shared" si="87"/>
        <v>1</v>
      </c>
      <c r="M586">
        <f t="shared" si="88"/>
        <v>0</v>
      </c>
      <c r="N586">
        <f t="shared" si="88"/>
        <v>0</v>
      </c>
      <c r="O586">
        <f t="shared" si="88"/>
        <v>1</v>
      </c>
    </row>
    <row r="587" spans="1:15" x14ac:dyDescent="0.3">
      <c r="A587">
        <v>4</v>
      </c>
      <c r="B587">
        <v>2014</v>
      </c>
      <c r="C587">
        <v>2565</v>
      </c>
      <c r="D587">
        <v>55</v>
      </c>
      <c r="E587">
        <v>41</v>
      </c>
      <c r="F587">
        <v>3</v>
      </c>
      <c r="G587">
        <f t="shared" si="87"/>
        <v>0</v>
      </c>
      <c r="H587">
        <f t="shared" si="87"/>
        <v>0</v>
      </c>
      <c r="I587">
        <f t="shared" si="87"/>
        <v>1</v>
      </c>
      <c r="J587">
        <f t="shared" si="87"/>
        <v>0</v>
      </c>
      <c r="K587">
        <f t="shared" si="87"/>
        <v>0</v>
      </c>
      <c r="L587">
        <f t="shared" si="87"/>
        <v>0</v>
      </c>
      <c r="M587">
        <f t="shared" si="88"/>
        <v>0</v>
      </c>
      <c r="N587">
        <f t="shared" si="88"/>
        <v>0</v>
      </c>
      <c r="O587">
        <f t="shared" si="88"/>
        <v>1</v>
      </c>
    </row>
    <row r="588" spans="1:15" x14ac:dyDescent="0.3">
      <c r="A588">
        <v>1</v>
      </c>
      <c r="B588">
        <v>2016</v>
      </c>
      <c r="C588">
        <v>2558</v>
      </c>
      <c r="D588">
        <v>100</v>
      </c>
      <c r="E588">
        <v>36</v>
      </c>
      <c r="F588">
        <v>3</v>
      </c>
      <c r="G588">
        <f t="shared" si="87"/>
        <v>0</v>
      </c>
      <c r="H588">
        <f t="shared" si="87"/>
        <v>0</v>
      </c>
      <c r="I588">
        <f t="shared" si="87"/>
        <v>0</v>
      </c>
      <c r="J588">
        <f t="shared" si="87"/>
        <v>0</v>
      </c>
      <c r="K588">
        <f t="shared" si="87"/>
        <v>1</v>
      </c>
      <c r="L588">
        <f t="shared" si="87"/>
        <v>0</v>
      </c>
      <c r="M588">
        <f t="shared" si="88"/>
        <v>1</v>
      </c>
      <c r="N588">
        <f t="shared" si="88"/>
        <v>0</v>
      </c>
      <c r="O588">
        <f t="shared" si="88"/>
        <v>0</v>
      </c>
    </row>
    <row r="589" spans="1:15" x14ac:dyDescent="0.3">
      <c r="A589">
        <v>4</v>
      </c>
      <c r="B589">
        <v>2016</v>
      </c>
      <c r="C589">
        <v>2547</v>
      </c>
      <c r="D589">
        <v>195</v>
      </c>
      <c r="E589">
        <v>18</v>
      </c>
      <c r="F589">
        <v>1</v>
      </c>
      <c r="G589">
        <f t="shared" si="87"/>
        <v>0</v>
      </c>
      <c r="H589">
        <f t="shared" si="87"/>
        <v>0</v>
      </c>
      <c r="I589">
        <f t="shared" si="87"/>
        <v>0</v>
      </c>
      <c r="J589">
        <f t="shared" si="87"/>
        <v>0</v>
      </c>
      <c r="K589">
        <f t="shared" si="87"/>
        <v>1</v>
      </c>
      <c r="L589">
        <f t="shared" si="87"/>
        <v>0</v>
      </c>
      <c r="M589">
        <f t="shared" si="88"/>
        <v>0</v>
      </c>
      <c r="N589">
        <f t="shared" si="88"/>
        <v>0</v>
      </c>
      <c r="O589">
        <f t="shared" si="88"/>
        <v>1</v>
      </c>
    </row>
    <row r="590" spans="1:15" x14ac:dyDescent="0.3">
      <c r="A590">
        <v>4</v>
      </c>
      <c r="B590">
        <v>2016</v>
      </c>
      <c r="C590">
        <v>2532</v>
      </c>
      <c r="D590">
        <v>20</v>
      </c>
      <c r="E590">
        <v>30</v>
      </c>
      <c r="F590">
        <v>1</v>
      </c>
      <c r="G590">
        <f t="shared" si="87"/>
        <v>0</v>
      </c>
      <c r="H590">
        <f t="shared" si="87"/>
        <v>0</v>
      </c>
      <c r="I590">
        <f t="shared" si="87"/>
        <v>0</v>
      </c>
      <c r="J590">
        <f t="shared" si="87"/>
        <v>0</v>
      </c>
      <c r="K590">
        <f t="shared" si="87"/>
        <v>1</v>
      </c>
      <c r="L590">
        <f t="shared" si="87"/>
        <v>0</v>
      </c>
      <c r="M590">
        <f t="shared" si="88"/>
        <v>0</v>
      </c>
      <c r="N590">
        <f t="shared" si="88"/>
        <v>0</v>
      </c>
      <c r="O590">
        <f t="shared" si="88"/>
        <v>1</v>
      </c>
    </row>
    <row r="591" spans="1:15" x14ac:dyDescent="0.3">
      <c r="A591">
        <v>4</v>
      </c>
      <c r="B591">
        <v>2014</v>
      </c>
      <c r="C591">
        <v>2528</v>
      </c>
      <c r="D591">
        <v>20</v>
      </c>
      <c r="E591">
        <v>30</v>
      </c>
      <c r="F591">
        <v>2</v>
      </c>
      <c r="G591">
        <f t="shared" si="87"/>
        <v>0</v>
      </c>
      <c r="H591">
        <f t="shared" si="87"/>
        <v>0</v>
      </c>
      <c r="I591">
        <f t="shared" si="87"/>
        <v>1</v>
      </c>
      <c r="J591">
        <f t="shared" si="87"/>
        <v>0</v>
      </c>
      <c r="K591">
        <f t="shared" si="87"/>
        <v>0</v>
      </c>
      <c r="L591">
        <f t="shared" si="87"/>
        <v>0</v>
      </c>
      <c r="M591">
        <f t="shared" si="88"/>
        <v>0</v>
      </c>
      <c r="N591">
        <f t="shared" si="88"/>
        <v>0</v>
      </c>
      <c r="O591">
        <f t="shared" si="88"/>
        <v>1</v>
      </c>
    </row>
    <row r="592" spans="1:15" x14ac:dyDescent="0.3">
      <c r="A592">
        <v>2</v>
      </c>
      <c r="B592">
        <v>2014</v>
      </c>
      <c r="C592">
        <v>2526</v>
      </c>
      <c r="D592">
        <v>195</v>
      </c>
      <c r="E592">
        <v>24</v>
      </c>
      <c r="F592">
        <v>5</v>
      </c>
      <c r="G592">
        <f t="shared" ref="G592:L601" si="89">IF($B592=G$1,1,0)</f>
        <v>0</v>
      </c>
      <c r="H592">
        <f t="shared" si="89"/>
        <v>0</v>
      </c>
      <c r="I592">
        <f t="shared" si="89"/>
        <v>1</v>
      </c>
      <c r="J592">
        <f t="shared" si="89"/>
        <v>0</v>
      </c>
      <c r="K592">
        <f t="shared" si="89"/>
        <v>0</v>
      </c>
      <c r="L592">
        <f t="shared" si="89"/>
        <v>0</v>
      </c>
      <c r="M592">
        <f t="shared" si="88"/>
        <v>0</v>
      </c>
      <c r="N592">
        <f t="shared" si="88"/>
        <v>1</v>
      </c>
      <c r="O592">
        <f t="shared" si="88"/>
        <v>0</v>
      </c>
    </row>
    <row r="593" spans="1:15" x14ac:dyDescent="0.3">
      <c r="A593">
        <v>4</v>
      </c>
      <c r="B593">
        <v>2013</v>
      </c>
      <c r="C593">
        <v>2520</v>
      </c>
      <c r="D593">
        <v>20</v>
      </c>
      <c r="E593">
        <v>34</v>
      </c>
      <c r="F593">
        <v>1.5</v>
      </c>
      <c r="G593">
        <f t="shared" si="89"/>
        <v>0</v>
      </c>
      <c r="H593">
        <f t="shared" si="89"/>
        <v>1</v>
      </c>
      <c r="I593">
        <f t="shared" si="89"/>
        <v>0</v>
      </c>
      <c r="J593">
        <f t="shared" si="89"/>
        <v>0</v>
      </c>
      <c r="K593">
        <f t="shared" si="89"/>
        <v>0</v>
      </c>
      <c r="L593">
        <f t="shared" si="89"/>
        <v>0</v>
      </c>
      <c r="M593">
        <f t="shared" si="88"/>
        <v>0</v>
      </c>
      <c r="N593">
        <f t="shared" si="88"/>
        <v>0</v>
      </c>
      <c r="O593">
        <f t="shared" si="88"/>
        <v>1</v>
      </c>
    </row>
    <row r="594" spans="1:15" x14ac:dyDescent="0.3">
      <c r="A594">
        <v>4</v>
      </c>
      <c r="B594">
        <v>2017</v>
      </c>
      <c r="C594">
        <v>2510</v>
      </c>
      <c r="D594">
        <v>20</v>
      </c>
      <c r="E594">
        <v>23</v>
      </c>
      <c r="F594">
        <v>1.5</v>
      </c>
      <c r="G594">
        <f t="shared" si="89"/>
        <v>0</v>
      </c>
      <c r="H594">
        <f t="shared" si="89"/>
        <v>0</v>
      </c>
      <c r="I594">
        <f t="shared" si="89"/>
        <v>0</v>
      </c>
      <c r="J594">
        <f t="shared" si="89"/>
        <v>0</v>
      </c>
      <c r="K594">
        <f t="shared" si="89"/>
        <v>0</v>
      </c>
      <c r="L594">
        <f t="shared" si="89"/>
        <v>1</v>
      </c>
      <c r="M594">
        <f t="shared" si="88"/>
        <v>0</v>
      </c>
      <c r="N594">
        <f t="shared" si="88"/>
        <v>0</v>
      </c>
      <c r="O594">
        <f t="shared" si="88"/>
        <v>1</v>
      </c>
    </row>
    <row r="595" spans="1:15" x14ac:dyDescent="0.3">
      <c r="A595">
        <v>2</v>
      </c>
      <c r="B595">
        <v>2014</v>
      </c>
      <c r="C595">
        <v>2497</v>
      </c>
      <c r="D595">
        <v>195</v>
      </c>
      <c r="E595">
        <v>154</v>
      </c>
      <c r="F595">
        <v>26</v>
      </c>
      <c r="G595">
        <f t="shared" si="89"/>
        <v>0</v>
      </c>
      <c r="H595">
        <f t="shared" si="89"/>
        <v>0</v>
      </c>
      <c r="I595">
        <f t="shared" si="89"/>
        <v>1</v>
      </c>
      <c r="J595">
        <f t="shared" si="89"/>
        <v>0</v>
      </c>
      <c r="K595">
        <f t="shared" si="89"/>
        <v>0</v>
      </c>
      <c r="L595">
        <f t="shared" si="89"/>
        <v>0</v>
      </c>
      <c r="M595">
        <f t="shared" si="88"/>
        <v>0</v>
      </c>
      <c r="N595">
        <f t="shared" si="88"/>
        <v>1</v>
      </c>
      <c r="O595">
        <f t="shared" si="88"/>
        <v>0</v>
      </c>
    </row>
    <row r="596" spans="1:15" x14ac:dyDescent="0.3">
      <c r="A596">
        <v>4</v>
      </c>
      <c r="B596">
        <v>2016</v>
      </c>
      <c r="C596">
        <v>2494</v>
      </c>
      <c r="D596">
        <v>50</v>
      </c>
      <c r="E596">
        <v>40</v>
      </c>
      <c r="F596">
        <v>4.5</v>
      </c>
      <c r="G596">
        <f t="shared" si="89"/>
        <v>0</v>
      </c>
      <c r="H596">
        <f t="shared" si="89"/>
        <v>0</v>
      </c>
      <c r="I596">
        <f t="shared" si="89"/>
        <v>0</v>
      </c>
      <c r="J596">
        <f t="shared" si="89"/>
        <v>0</v>
      </c>
      <c r="K596">
        <f t="shared" si="89"/>
        <v>1</v>
      </c>
      <c r="L596">
        <f t="shared" si="89"/>
        <v>0</v>
      </c>
      <c r="M596">
        <f t="shared" si="88"/>
        <v>0</v>
      </c>
      <c r="N596">
        <f t="shared" si="88"/>
        <v>0</v>
      </c>
      <c r="O596">
        <f t="shared" si="88"/>
        <v>1</v>
      </c>
    </row>
    <row r="597" spans="1:15" x14ac:dyDescent="0.3">
      <c r="A597">
        <v>2</v>
      </c>
      <c r="B597">
        <v>2015</v>
      </c>
      <c r="C597">
        <v>2472</v>
      </c>
      <c r="D597">
        <v>40</v>
      </c>
      <c r="E597">
        <v>31</v>
      </c>
      <c r="F597">
        <v>4</v>
      </c>
      <c r="G597">
        <f t="shared" si="89"/>
        <v>0</v>
      </c>
      <c r="H597">
        <f t="shared" si="89"/>
        <v>0</v>
      </c>
      <c r="I597">
        <f t="shared" si="89"/>
        <v>0</v>
      </c>
      <c r="J597">
        <f t="shared" si="89"/>
        <v>1</v>
      </c>
      <c r="K597">
        <f t="shared" si="89"/>
        <v>0</v>
      </c>
      <c r="L597">
        <f t="shared" si="89"/>
        <v>0</v>
      </c>
      <c r="M597">
        <f t="shared" si="88"/>
        <v>0</v>
      </c>
      <c r="N597">
        <f t="shared" si="88"/>
        <v>1</v>
      </c>
      <c r="O597">
        <f t="shared" si="88"/>
        <v>0</v>
      </c>
    </row>
    <row r="598" spans="1:15" x14ac:dyDescent="0.3">
      <c r="A598">
        <v>2</v>
      </c>
      <c r="B598">
        <v>2015</v>
      </c>
      <c r="C598">
        <v>2472</v>
      </c>
      <c r="D598">
        <v>45</v>
      </c>
      <c r="E598">
        <v>8</v>
      </c>
      <c r="F598">
        <v>1</v>
      </c>
      <c r="G598">
        <f t="shared" si="89"/>
        <v>0</v>
      </c>
      <c r="H598">
        <f t="shared" si="89"/>
        <v>0</v>
      </c>
      <c r="I598">
        <f t="shared" si="89"/>
        <v>0</v>
      </c>
      <c r="J598">
        <f t="shared" si="89"/>
        <v>1</v>
      </c>
      <c r="K598">
        <f t="shared" si="89"/>
        <v>0</v>
      </c>
      <c r="L598">
        <f t="shared" si="89"/>
        <v>0</v>
      </c>
      <c r="M598">
        <f t="shared" si="88"/>
        <v>0</v>
      </c>
      <c r="N598">
        <f t="shared" si="88"/>
        <v>1</v>
      </c>
      <c r="O598">
        <f t="shared" si="88"/>
        <v>0</v>
      </c>
    </row>
    <row r="599" spans="1:15" x14ac:dyDescent="0.3">
      <c r="A599">
        <v>4</v>
      </c>
      <c r="B599">
        <v>2015</v>
      </c>
      <c r="C599">
        <v>2470</v>
      </c>
      <c r="D599">
        <v>35</v>
      </c>
      <c r="E599">
        <v>19</v>
      </c>
      <c r="F599">
        <v>2.5</v>
      </c>
      <c r="G599">
        <f t="shared" si="89"/>
        <v>0</v>
      </c>
      <c r="H599">
        <f t="shared" si="89"/>
        <v>0</v>
      </c>
      <c r="I599">
        <f t="shared" si="89"/>
        <v>0</v>
      </c>
      <c r="J599">
        <f t="shared" si="89"/>
        <v>1</v>
      </c>
      <c r="K599">
        <f t="shared" si="89"/>
        <v>0</v>
      </c>
      <c r="L599">
        <f t="shared" si="89"/>
        <v>0</v>
      </c>
      <c r="M599">
        <f t="shared" si="88"/>
        <v>0</v>
      </c>
      <c r="N599">
        <f t="shared" si="88"/>
        <v>0</v>
      </c>
      <c r="O599">
        <f t="shared" si="88"/>
        <v>1</v>
      </c>
    </row>
    <row r="600" spans="1:15" x14ac:dyDescent="0.3">
      <c r="A600">
        <v>4</v>
      </c>
      <c r="B600">
        <v>2017</v>
      </c>
      <c r="C600">
        <v>2464</v>
      </c>
      <c r="D600">
        <v>0</v>
      </c>
      <c r="E600">
        <v>9</v>
      </c>
      <c r="F600">
        <v>0.73333333000000001</v>
      </c>
      <c r="G600">
        <f t="shared" si="89"/>
        <v>0</v>
      </c>
      <c r="H600">
        <f t="shared" si="89"/>
        <v>0</v>
      </c>
      <c r="I600">
        <f t="shared" si="89"/>
        <v>0</v>
      </c>
      <c r="J600">
        <f t="shared" si="89"/>
        <v>0</v>
      </c>
      <c r="K600">
        <f t="shared" si="89"/>
        <v>0</v>
      </c>
      <c r="L600">
        <f t="shared" si="89"/>
        <v>1</v>
      </c>
      <c r="M600">
        <f t="shared" si="88"/>
        <v>0</v>
      </c>
      <c r="N600">
        <f t="shared" si="88"/>
        <v>0</v>
      </c>
      <c r="O600">
        <f t="shared" si="88"/>
        <v>1</v>
      </c>
    </row>
    <row r="601" spans="1:15" x14ac:dyDescent="0.3">
      <c r="A601">
        <v>4</v>
      </c>
      <c r="B601">
        <v>2012</v>
      </c>
      <c r="C601">
        <v>2459</v>
      </c>
      <c r="D601">
        <v>50</v>
      </c>
      <c r="E601">
        <v>101</v>
      </c>
      <c r="F601">
        <v>8</v>
      </c>
      <c r="G601">
        <f t="shared" si="89"/>
        <v>1</v>
      </c>
      <c r="H601">
        <f t="shared" si="89"/>
        <v>0</v>
      </c>
      <c r="I601">
        <f t="shared" si="89"/>
        <v>0</v>
      </c>
      <c r="J601">
        <f t="shared" si="89"/>
        <v>0</v>
      </c>
      <c r="K601">
        <f t="shared" si="89"/>
        <v>0</v>
      </c>
      <c r="L601">
        <f t="shared" si="89"/>
        <v>0</v>
      </c>
      <c r="M601">
        <f t="shared" si="88"/>
        <v>0</v>
      </c>
      <c r="N601">
        <f t="shared" si="88"/>
        <v>0</v>
      </c>
      <c r="O601">
        <f t="shared" si="88"/>
        <v>1</v>
      </c>
    </row>
    <row r="602" spans="1:15" x14ac:dyDescent="0.3">
      <c r="A602">
        <v>1</v>
      </c>
      <c r="B602">
        <v>2016</v>
      </c>
      <c r="C602">
        <v>2437</v>
      </c>
      <c r="D602">
        <v>0</v>
      </c>
      <c r="E602">
        <v>10</v>
      </c>
      <c r="F602">
        <v>0.56666667000000004</v>
      </c>
      <c r="G602">
        <f t="shared" ref="G602:L611" si="90">IF($B602=G$1,1,0)</f>
        <v>0</v>
      </c>
      <c r="H602">
        <f t="shared" si="90"/>
        <v>0</v>
      </c>
      <c r="I602">
        <f t="shared" si="90"/>
        <v>0</v>
      </c>
      <c r="J602">
        <f t="shared" si="90"/>
        <v>0</v>
      </c>
      <c r="K602">
        <f t="shared" si="90"/>
        <v>1</v>
      </c>
      <c r="L602">
        <f t="shared" si="90"/>
        <v>0</v>
      </c>
      <c r="M602">
        <f t="shared" ref="M602:O621" si="91">IF($A602=M$1,1,0)</f>
        <v>1</v>
      </c>
      <c r="N602">
        <f t="shared" si="91"/>
        <v>0</v>
      </c>
      <c r="O602">
        <f t="shared" si="91"/>
        <v>0</v>
      </c>
    </row>
    <row r="603" spans="1:15" x14ac:dyDescent="0.3">
      <c r="A603">
        <v>4</v>
      </c>
      <c r="B603">
        <v>2016</v>
      </c>
      <c r="C603">
        <v>2430</v>
      </c>
      <c r="D603">
        <v>95</v>
      </c>
      <c r="E603">
        <v>36</v>
      </c>
      <c r="F603">
        <v>2</v>
      </c>
      <c r="G603">
        <f t="shared" si="90"/>
        <v>0</v>
      </c>
      <c r="H603">
        <f t="shared" si="90"/>
        <v>0</v>
      </c>
      <c r="I603">
        <f t="shared" si="90"/>
        <v>0</v>
      </c>
      <c r="J603">
        <f t="shared" si="90"/>
        <v>0</v>
      </c>
      <c r="K603">
        <f t="shared" si="90"/>
        <v>1</v>
      </c>
      <c r="L603">
        <f t="shared" si="90"/>
        <v>0</v>
      </c>
      <c r="M603">
        <f t="shared" si="91"/>
        <v>0</v>
      </c>
      <c r="N603">
        <f t="shared" si="91"/>
        <v>0</v>
      </c>
      <c r="O603">
        <f t="shared" si="91"/>
        <v>1</v>
      </c>
    </row>
    <row r="604" spans="1:15" x14ac:dyDescent="0.3">
      <c r="A604">
        <v>1</v>
      </c>
      <c r="B604">
        <v>2015</v>
      </c>
      <c r="C604">
        <v>2421</v>
      </c>
      <c r="D604">
        <v>200</v>
      </c>
      <c r="E604">
        <v>28</v>
      </c>
      <c r="F604">
        <v>3</v>
      </c>
      <c r="G604">
        <f t="shared" si="90"/>
        <v>0</v>
      </c>
      <c r="H604">
        <f t="shared" si="90"/>
        <v>0</v>
      </c>
      <c r="I604">
        <f t="shared" si="90"/>
        <v>0</v>
      </c>
      <c r="J604">
        <f t="shared" si="90"/>
        <v>1</v>
      </c>
      <c r="K604">
        <f t="shared" si="90"/>
        <v>0</v>
      </c>
      <c r="L604">
        <f t="shared" si="90"/>
        <v>0</v>
      </c>
      <c r="M604">
        <f t="shared" si="91"/>
        <v>1</v>
      </c>
      <c r="N604">
        <f t="shared" si="91"/>
        <v>0</v>
      </c>
      <c r="O604">
        <f t="shared" si="91"/>
        <v>0</v>
      </c>
    </row>
    <row r="605" spans="1:15" x14ac:dyDescent="0.3">
      <c r="A605">
        <v>4</v>
      </c>
      <c r="B605">
        <v>2016</v>
      </c>
      <c r="C605">
        <v>2412</v>
      </c>
      <c r="D605">
        <v>100</v>
      </c>
      <c r="E605">
        <v>28</v>
      </c>
      <c r="F605">
        <v>2.5</v>
      </c>
      <c r="G605">
        <f t="shared" si="90"/>
        <v>0</v>
      </c>
      <c r="H605">
        <f t="shared" si="90"/>
        <v>0</v>
      </c>
      <c r="I605">
        <f t="shared" si="90"/>
        <v>0</v>
      </c>
      <c r="J605">
        <f t="shared" si="90"/>
        <v>0</v>
      </c>
      <c r="K605">
        <f t="shared" si="90"/>
        <v>1</v>
      </c>
      <c r="L605">
        <f t="shared" si="90"/>
        <v>0</v>
      </c>
      <c r="M605">
        <f t="shared" si="91"/>
        <v>0</v>
      </c>
      <c r="N605">
        <f t="shared" si="91"/>
        <v>0</v>
      </c>
      <c r="O605">
        <f t="shared" si="91"/>
        <v>1</v>
      </c>
    </row>
    <row r="606" spans="1:15" x14ac:dyDescent="0.3">
      <c r="A606">
        <v>4</v>
      </c>
      <c r="B606">
        <v>2015</v>
      </c>
      <c r="C606">
        <v>2409</v>
      </c>
      <c r="D606">
        <v>45</v>
      </c>
      <c r="E606">
        <v>19</v>
      </c>
      <c r="F606">
        <v>2.5</v>
      </c>
      <c r="G606">
        <f t="shared" si="90"/>
        <v>0</v>
      </c>
      <c r="H606">
        <f t="shared" si="90"/>
        <v>0</v>
      </c>
      <c r="I606">
        <f t="shared" si="90"/>
        <v>0</v>
      </c>
      <c r="J606">
        <f t="shared" si="90"/>
        <v>1</v>
      </c>
      <c r="K606">
        <f t="shared" si="90"/>
        <v>0</v>
      </c>
      <c r="L606">
        <f t="shared" si="90"/>
        <v>0</v>
      </c>
      <c r="M606">
        <f t="shared" si="91"/>
        <v>0</v>
      </c>
      <c r="N606">
        <f t="shared" si="91"/>
        <v>0</v>
      </c>
      <c r="O606">
        <f t="shared" si="91"/>
        <v>1</v>
      </c>
    </row>
    <row r="607" spans="1:15" x14ac:dyDescent="0.3">
      <c r="A607">
        <v>1</v>
      </c>
      <c r="B607">
        <v>2014</v>
      </c>
      <c r="C607">
        <v>2402</v>
      </c>
      <c r="D607">
        <v>20</v>
      </c>
      <c r="E607">
        <v>23</v>
      </c>
      <c r="F607">
        <v>2</v>
      </c>
      <c r="G607">
        <f t="shared" si="90"/>
        <v>0</v>
      </c>
      <c r="H607">
        <f t="shared" si="90"/>
        <v>0</v>
      </c>
      <c r="I607">
        <f t="shared" si="90"/>
        <v>1</v>
      </c>
      <c r="J607">
        <f t="shared" si="90"/>
        <v>0</v>
      </c>
      <c r="K607">
        <f t="shared" si="90"/>
        <v>0</v>
      </c>
      <c r="L607">
        <f t="shared" si="90"/>
        <v>0</v>
      </c>
      <c r="M607">
        <f t="shared" si="91"/>
        <v>1</v>
      </c>
      <c r="N607">
        <f t="shared" si="91"/>
        <v>0</v>
      </c>
      <c r="O607">
        <f t="shared" si="91"/>
        <v>0</v>
      </c>
    </row>
    <row r="608" spans="1:15" x14ac:dyDescent="0.3">
      <c r="A608">
        <v>1</v>
      </c>
      <c r="B608">
        <v>2017</v>
      </c>
      <c r="C608">
        <v>2401</v>
      </c>
      <c r="D608">
        <v>20</v>
      </c>
      <c r="E608">
        <v>27</v>
      </c>
      <c r="F608">
        <v>3</v>
      </c>
      <c r="G608">
        <f t="shared" si="90"/>
        <v>0</v>
      </c>
      <c r="H608">
        <f t="shared" si="90"/>
        <v>0</v>
      </c>
      <c r="I608">
        <f t="shared" si="90"/>
        <v>0</v>
      </c>
      <c r="J608">
        <f t="shared" si="90"/>
        <v>0</v>
      </c>
      <c r="K608">
        <f t="shared" si="90"/>
        <v>0</v>
      </c>
      <c r="L608">
        <f t="shared" si="90"/>
        <v>1</v>
      </c>
      <c r="M608">
        <f t="shared" si="91"/>
        <v>1</v>
      </c>
      <c r="N608">
        <f t="shared" si="91"/>
        <v>0</v>
      </c>
      <c r="O608">
        <f t="shared" si="91"/>
        <v>0</v>
      </c>
    </row>
    <row r="609" spans="1:15" x14ac:dyDescent="0.3">
      <c r="A609">
        <v>4</v>
      </c>
      <c r="B609">
        <v>2016</v>
      </c>
      <c r="C609">
        <v>2390</v>
      </c>
      <c r="D609">
        <v>200</v>
      </c>
      <c r="E609">
        <v>82</v>
      </c>
      <c r="F609">
        <v>9</v>
      </c>
      <c r="G609">
        <f t="shared" si="90"/>
        <v>0</v>
      </c>
      <c r="H609">
        <f t="shared" si="90"/>
        <v>0</v>
      </c>
      <c r="I609">
        <f t="shared" si="90"/>
        <v>0</v>
      </c>
      <c r="J609">
        <f t="shared" si="90"/>
        <v>0</v>
      </c>
      <c r="K609">
        <f t="shared" si="90"/>
        <v>1</v>
      </c>
      <c r="L609">
        <f t="shared" si="90"/>
        <v>0</v>
      </c>
      <c r="M609">
        <f t="shared" si="91"/>
        <v>0</v>
      </c>
      <c r="N609">
        <f t="shared" si="91"/>
        <v>0</v>
      </c>
      <c r="O609">
        <f t="shared" si="91"/>
        <v>1</v>
      </c>
    </row>
    <row r="610" spans="1:15" x14ac:dyDescent="0.3">
      <c r="A610">
        <v>4</v>
      </c>
      <c r="B610">
        <v>2015</v>
      </c>
      <c r="C610">
        <v>2389</v>
      </c>
      <c r="D610">
        <v>20</v>
      </c>
      <c r="E610">
        <v>20</v>
      </c>
      <c r="F610">
        <v>2</v>
      </c>
      <c r="G610">
        <f t="shared" si="90"/>
        <v>0</v>
      </c>
      <c r="H610">
        <f t="shared" si="90"/>
        <v>0</v>
      </c>
      <c r="I610">
        <f t="shared" si="90"/>
        <v>0</v>
      </c>
      <c r="J610">
        <f t="shared" si="90"/>
        <v>1</v>
      </c>
      <c r="K610">
        <f t="shared" si="90"/>
        <v>0</v>
      </c>
      <c r="L610">
        <f t="shared" si="90"/>
        <v>0</v>
      </c>
      <c r="M610">
        <f t="shared" si="91"/>
        <v>0</v>
      </c>
      <c r="N610">
        <f t="shared" si="91"/>
        <v>0</v>
      </c>
      <c r="O610">
        <f t="shared" si="91"/>
        <v>1</v>
      </c>
    </row>
    <row r="611" spans="1:15" x14ac:dyDescent="0.3">
      <c r="A611">
        <v>1</v>
      </c>
      <c r="B611">
        <v>2013</v>
      </c>
      <c r="C611">
        <v>2388</v>
      </c>
      <c r="D611">
        <v>20</v>
      </c>
      <c r="E611">
        <v>12</v>
      </c>
      <c r="F611">
        <v>1</v>
      </c>
      <c r="G611">
        <f t="shared" si="90"/>
        <v>0</v>
      </c>
      <c r="H611">
        <f t="shared" si="90"/>
        <v>1</v>
      </c>
      <c r="I611">
        <f t="shared" si="90"/>
        <v>0</v>
      </c>
      <c r="J611">
        <f t="shared" si="90"/>
        <v>0</v>
      </c>
      <c r="K611">
        <f t="shared" si="90"/>
        <v>0</v>
      </c>
      <c r="L611">
        <f t="shared" si="90"/>
        <v>0</v>
      </c>
      <c r="M611">
        <f t="shared" si="91"/>
        <v>1</v>
      </c>
      <c r="N611">
        <f t="shared" si="91"/>
        <v>0</v>
      </c>
      <c r="O611">
        <f t="shared" si="91"/>
        <v>0</v>
      </c>
    </row>
    <row r="612" spans="1:15" x14ac:dyDescent="0.3">
      <c r="A612">
        <v>4</v>
      </c>
      <c r="B612">
        <v>2015</v>
      </c>
      <c r="C612">
        <v>2382</v>
      </c>
      <c r="D612">
        <v>20</v>
      </c>
      <c r="E612">
        <v>16</v>
      </c>
      <c r="F612">
        <v>1.5</v>
      </c>
      <c r="G612">
        <f t="shared" ref="G612:L621" si="92">IF($B612=G$1,1,0)</f>
        <v>0</v>
      </c>
      <c r="H612">
        <f t="shared" si="92"/>
        <v>0</v>
      </c>
      <c r="I612">
        <f t="shared" si="92"/>
        <v>0</v>
      </c>
      <c r="J612">
        <f t="shared" si="92"/>
        <v>1</v>
      </c>
      <c r="K612">
        <f t="shared" si="92"/>
        <v>0</v>
      </c>
      <c r="L612">
        <f t="shared" si="92"/>
        <v>0</v>
      </c>
      <c r="M612">
        <f t="shared" si="91"/>
        <v>0</v>
      </c>
      <c r="N612">
        <f t="shared" si="91"/>
        <v>0</v>
      </c>
      <c r="O612">
        <f t="shared" si="91"/>
        <v>1</v>
      </c>
    </row>
    <row r="613" spans="1:15" x14ac:dyDescent="0.3">
      <c r="A613">
        <v>1</v>
      </c>
      <c r="B613">
        <v>2016</v>
      </c>
      <c r="C613">
        <v>2371</v>
      </c>
      <c r="D613">
        <v>25</v>
      </c>
      <c r="E613">
        <v>12</v>
      </c>
      <c r="F613">
        <v>1</v>
      </c>
      <c r="G613">
        <f t="shared" si="92"/>
        <v>0</v>
      </c>
      <c r="H613">
        <f t="shared" si="92"/>
        <v>0</v>
      </c>
      <c r="I613">
        <f t="shared" si="92"/>
        <v>0</v>
      </c>
      <c r="J613">
        <f t="shared" si="92"/>
        <v>0</v>
      </c>
      <c r="K613">
        <f t="shared" si="92"/>
        <v>1</v>
      </c>
      <c r="L613">
        <f t="shared" si="92"/>
        <v>0</v>
      </c>
      <c r="M613">
        <f t="shared" si="91"/>
        <v>1</v>
      </c>
      <c r="N613">
        <f t="shared" si="91"/>
        <v>0</v>
      </c>
      <c r="O613">
        <f t="shared" si="91"/>
        <v>0</v>
      </c>
    </row>
    <row r="614" spans="1:15" x14ac:dyDescent="0.3">
      <c r="A614">
        <v>4</v>
      </c>
      <c r="B614">
        <v>2017</v>
      </c>
      <c r="C614">
        <v>2362</v>
      </c>
      <c r="D614">
        <v>95</v>
      </c>
      <c r="E614">
        <v>13</v>
      </c>
      <c r="F614">
        <v>1</v>
      </c>
      <c r="G614">
        <f t="shared" si="92"/>
        <v>0</v>
      </c>
      <c r="H614">
        <f t="shared" si="92"/>
        <v>0</v>
      </c>
      <c r="I614">
        <f t="shared" si="92"/>
        <v>0</v>
      </c>
      <c r="J614">
        <f t="shared" si="92"/>
        <v>0</v>
      </c>
      <c r="K614">
        <f t="shared" si="92"/>
        <v>0</v>
      </c>
      <c r="L614">
        <f t="shared" si="92"/>
        <v>1</v>
      </c>
      <c r="M614">
        <f t="shared" si="91"/>
        <v>0</v>
      </c>
      <c r="N614">
        <f t="shared" si="91"/>
        <v>0</v>
      </c>
      <c r="O614">
        <f t="shared" si="91"/>
        <v>1</v>
      </c>
    </row>
    <row r="615" spans="1:15" x14ac:dyDescent="0.3">
      <c r="A615">
        <v>2</v>
      </c>
      <c r="B615">
        <v>2016</v>
      </c>
      <c r="C615">
        <v>2360</v>
      </c>
      <c r="D615">
        <v>100</v>
      </c>
      <c r="E615">
        <v>49</v>
      </c>
      <c r="F615">
        <v>3.5</v>
      </c>
      <c r="G615">
        <f t="shared" si="92"/>
        <v>0</v>
      </c>
      <c r="H615">
        <f t="shared" si="92"/>
        <v>0</v>
      </c>
      <c r="I615">
        <f t="shared" si="92"/>
        <v>0</v>
      </c>
      <c r="J615">
        <f t="shared" si="92"/>
        <v>0</v>
      </c>
      <c r="K615">
        <f t="shared" si="92"/>
        <v>1</v>
      </c>
      <c r="L615">
        <f t="shared" si="92"/>
        <v>0</v>
      </c>
      <c r="M615">
        <f t="shared" si="91"/>
        <v>0</v>
      </c>
      <c r="N615">
        <f t="shared" si="91"/>
        <v>1</v>
      </c>
      <c r="O615">
        <f t="shared" si="91"/>
        <v>0</v>
      </c>
    </row>
    <row r="616" spans="1:15" x14ac:dyDescent="0.3">
      <c r="A616">
        <v>4</v>
      </c>
      <c r="B616">
        <v>2012</v>
      </c>
      <c r="C616">
        <v>2355</v>
      </c>
      <c r="D616">
        <v>200</v>
      </c>
      <c r="E616">
        <v>215</v>
      </c>
      <c r="F616">
        <v>7</v>
      </c>
      <c r="G616">
        <f t="shared" si="92"/>
        <v>1</v>
      </c>
      <c r="H616">
        <f t="shared" si="92"/>
        <v>0</v>
      </c>
      <c r="I616">
        <f t="shared" si="92"/>
        <v>0</v>
      </c>
      <c r="J616">
        <f t="shared" si="92"/>
        <v>0</v>
      </c>
      <c r="K616">
        <f t="shared" si="92"/>
        <v>0</v>
      </c>
      <c r="L616">
        <f t="shared" si="92"/>
        <v>0</v>
      </c>
      <c r="M616">
        <f t="shared" si="91"/>
        <v>0</v>
      </c>
      <c r="N616">
        <f t="shared" si="91"/>
        <v>0</v>
      </c>
      <c r="O616">
        <f t="shared" si="91"/>
        <v>1</v>
      </c>
    </row>
    <row r="617" spans="1:15" x14ac:dyDescent="0.3">
      <c r="A617">
        <v>4</v>
      </c>
      <c r="B617">
        <v>2016</v>
      </c>
      <c r="C617">
        <v>2354</v>
      </c>
      <c r="D617">
        <v>195</v>
      </c>
      <c r="E617">
        <v>45</v>
      </c>
      <c r="F617">
        <v>4</v>
      </c>
      <c r="G617">
        <f t="shared" si="92"/>
        <v>0</v>
      </c>
      <c r="H617">
        <f t="shared" si="92"/>
        <v>0</v>
      </c>
      <c r="I617">
        <f t="shared" si="92"/>
        <v>0</v>
      </c>
      <c r="J617">
        <f t="shared" si="92"/>
        <v>0</v>
      </c>
      <c r="K617">
        <f t="shared" si="92"/>
        <v>1</v>
      </c>
      <c r="L617">
        <f t="shared" si="92"/>
        <v>0</v>
      </c>
      <c r="M617">
        <f t="shared" si="91"/>
        <v>0</v>
      </c>
      <c r="N617">
        <f t="shared" si="91"/>
        <v>0</v>
      </c>
      <c r="O617">
        <f t="shared" si="91"/>
        <v>1</v>
      </c>
    </row>
    <row r="618" spans="1:15" x14ac:dyDescent="0.3">
      <c r="A618">
        <v>4</v>
      </c>
      <c r="B618">
        <v>2015</v>
      </c>
      <c r="C618">
        <v>2353</v>
      </c>
      <c r="D618">
        <v>200</v>
      </c>
      <c r="E618">
        <v>91</v>
      </c>
      <c r="F618">
        <v>10</v>
      </c>
      <c r="G618">
        <f t="shared" si="92"/>
        <v>0</v>
      </c>
      <c r="H618">
        <f t="shared" si="92"/>
        <v>0</v>
      </c>
      <c r="I618">
        <f t="shared" si="92"/>
        <v>0</v>
      </c>
      <c r="J618">
        <f t="shared" si="92"/>
        <v>1</v>
      </c>
      <c r="K618">
        <f t="shared" si="92"/>
        <v>0</v>
      </c>
      <c r="L618">
        <f t="shared" si="92"/>
        <v>0</v>
      </c>
      <c r="M618">
        <f t="shared" si="91"/>
        <v>0</v>
      </c>
      <c r="N618">
        <f t="shared" si="91"/>
        <v>0</v>
      </c>
      <c r="O618">
        <f t="shared" si="91"/>
        <v>1</v>
      </c>
    </row>
    <row r="619" spans="1:15" x14ac:dyDescent="0.3">
      <c r="A619">
        <v>4</v>
      </c>
      <c r="B619">
        <v>2015</v>
      </c>
      <c r="C619">
        <v>2351</v>
      </c>
      <c r="D619">
        <v>50</v>
      </c>
      <c r="E619">
        <v>16</v>
      </c>
      <c r="F619">
        <v>2.5</v>
      </c>
      <c r="G619">
        <f t="shared" si="92"/>
        <v>0</v>
      </c>
      <c r="H619">
        <f t="shared" si="92"/>
        <v>0</v>
      </c>
      <c r="I619">
        <f t="shared" si="92"/>
        <v>0</v>
      </c>
      <c r="J619">
        <f t="shared" si="92"/>
        <v>1</v>
      </c>
      <c r="K619">
        <f t="shared" si="92"/>
        <v>0</v>
      </c>
      <c r="L619">
        <f t="shared" si="92"/>
        <v>0</v>
      </c>
      <c r="M619">
        <f t="shared" si="91"/>
        <v>0</v>
      </c>
      <c r="N619">
        <f t="shared" si="91"/>
        <v>0</v>
      </c>
      <c r="O619">
        <f t="shared" si="91"/>
        <v>1</v>
      </c>
    </row>
    <row r="620" spans="1:15" x14ac:dyDescent="0.3">
      <c r="A620">
        <v>4</v>
      </c>
      <c r="B620">
        <v>2016</v>
      </c>
      <c r="C620">
        <v>2346</v>
      </c>
      <c r="D620">
        <v>150</v>
      </c>
      <c r="E620">
        <v>65</v>
      </c>
      <c r="F620">
        <v>4.5</v>
      </c>
      <c r="G620">
        <f t="shared" si="92"/>
        <v>0</v>
      </c>
      <c r="H620">
        <f t="shared" si="92"/>
        <v>0</v>
      </c>
      <c r="I620">
        <f t="shared" si="92"/>
        <v>0</v>
      </c>
      <c r="J620">
        <f t="shared" si="92"/>
        <v>0</v>
      </c>
      <c r="K620">
        <f t="shared" si="92"/>
        <v>1</v>
      </c>
      <c r="L620">
        <f t="shared" si="92"/>
        <v>0</v>
      </c>
      <c r="M620">
        <f t="shared" si="91"/>
        <v>0</v>
      </c>
      <c r="N620">
        <f t="shared" si="91"/>
        <v>0</v>
      </c>
      <c r="O620">
        <f t="shared" si="91"/>
        <v>1</v>
      </c>
    </row>
    <row r="621" spans="1:15" x14ac:dyDescent="0.3">
      <c r="A621">
        <v>4</v>
      </c>
      <c r="B621">
        <v>2016</v>
      </c>
      <c r="C621">
        <v>2342</v>
      </c>
      <c r="D621">
        <v>30</v>
      </c>
      <c r="E621">
        <v>19</v>
      </c>
      <c r="F621">
        <v>4.5</v>
      </c>
      <c r="G621">
        <f t="shared" si="92"/>
        <v>0</v>
      </c>
      <c r="H621">
        <f t="shared" si="92"/>
        <v>0</v>
      </c>
      <c r="I621">
        <f t="shared" si="92"/>
        <v>0</v>
      </c>
      <c r="J621">
        <f t="shared" si="92"/>
        <v>0</v>
      </c>
      <c r="K621">
        <f t="shared" si="92"/>
        <v>1</v>
      </c>
      <c r="L621">
        <f t="shared" si="92"/>
        <v>0</v>
      </c>
      <c r="M621">
        <f t="shared" si="91"/>
        <v>0</v>
      </c>
      <c r="N621">
        <f t="shared" si="91"/>
        <v>0</v>
      </c>
      <c r="O621">
        <f t="shared" si="91"/>
        <v>1</v>
      </c>
    </row>
    <row r="622" spans="1:15" x14ac:dyDescent="0.3">
      <c r="A622">
        <v>2</v>
      </c>
      <c r="B622">
        <v>2015</v>
      </c>
      <c r="C622">
        <v>2335</v>
      </c>
      <c r="D622">
        <v>20</v>
      </c>
      <c r="E622">
        <v>18</v>
      </c>
      <c r="F622">
        <v>1</v>
      </c>
      <c r="G622">
        <f t="shared" ref="G622:L631" si="93">IF($B622=G$1,1,0)</f>
        <v>0</v>
      </c>
      <c r="H622">
        <f t="shared" si="93"/>
        <v>0</v>
      </c>
      <c r="I622">
        <f t="shared" si="93"/>
        <v>0</v>
      </c>
      <c r="J622">
        <f t="shared" si="93"/>
        <v>1</v>
      </c>
      <c r="K622">
        <f t="shared" si="93"/>
        <v>0</v>
      </c>
      <c r="L622">
        <f t="shared" si="93"/>
        <v>0</v>
      </c>
      <c r="M622">
        <f t="shared" ref="M622:O641" si="94">IF($A622=M$1,1,0)</f>
        <v>0</v>
      </c>
      <c r="N622">
        <f t="shared" si="94"/>
        <v>1</v>
      </c>
      <c r="O622">
        <f t="shared" si="94"/>
        <v>0</v>
      </c>
    </row>
    <row r="623" spans="1:15" x14ac:dyDescent="0.3">
      <c r="A623">
        <v>4</v>
      </c>
      <c r="B623">
        <v>2014</v>
      </c>
      <c r="C623">
        <v>2320</v>
      </c>
      <c r="D623">
        <v>20</v>
      </c>
      <c r="E623">
        <v>43</v>
      </c>
      <c r="F623">
        <v>6</v>
      </c>
      <c r="G623">
        <f t="shared" si="93"/>
        <v>0</v>
      </c>
      <c r="H623">
        <f t="shared" si="93"/>
        <v>0</v>
      </c>
      <c r="I623">
        <f t="shared" si="93"/>
        <v>1</v>
      </c>
      <c r="J623">
        <f t="shared" si="93"/>
        <v>0</v>
      </c>
      <c r="K623">
        <f t="shared" si="93"/>
        <v>0</v>
      </c>
      <c r="L623">
        <f t="shared" si="93"/>
        <v>0</v>
      </c>
      <c r="M623">
        <f t="shared" si="94"/>
        <v>0</v>
      </c>
      <c r="N623">
        <f t="shared" si="94"/>
        <v>0</v>
      </c>
      <c r="O623">
        <f t="shared" si="94"/>
        <v>1</v>
      </c>
    </row>
    <row r="624" spans="1:15" x14ac:dyDescent="0.3">
      <c r="A624">
        <v>1</v>
      </c>
      <c r="B624">
        <v>2016</v>
      </c>
      <c r="C624">
        <v>2314</v>
      </c>
      <c r="D624">
        <v>20</v>
      </c>
      <c r="E624">
        <v>25</v>
      </c>
      <c r="F624">
        <v>2</v>
      </c>
      <c r="G624">
        <f t="shared" si="93"/>
        <v>0</v>
      </c>
      <c r="H624">
        <f t="shared" si="93"/>
        <v>0</v>
      </c>
      <c r="I624">
        <f t="shared" si="93"/>
        <v>0</v>
      </c>
      <c r="J624">
        <f t="shared" si="93"/>
        <v>0</v>
      </c>
      <c r="K624">
        <f t="shared" si="93"/>
        <v>1</v>
      </c>
      <c r="L624">
        <f t="shared" si="93"/>
        <v>0</v>
      </c>
      <c r="M624">
        <f t="shared" si="94"/>
        <v>1</v>
      </c>
      <c r="N624">
        <f t="shared" si="94"/>
        <v>0</v>
      </c>
      <c r="O624">
        <f t="shared" si="94"/>
        <v>0</v>
      </c>
    </row>
    <row r="625" spans="1:15" x14ac:dyDescent="0.3">
      <c r="A625">
        <v>4</v>
      </c>
      <c r="B625">
        <v>2014</v>
      </c>
      <c r="C625">
        <v>2311</v>
      </c>
      <c r="D625">
        <v>200</v>
      </c>
      <c r="E625">
        <v>44</v>
      </c>
      <c r="F625">
        <v>1.5</v>
      </c>
      <c r="G625">
        <f t="shared" si="93"/>
        <v>0</v>
      </c>
      <c r="H625">
        <f t="shared" si="93"/>
        <v>0</v>
      </c>
      <c r="I625">
        <f t="shared" si="93"/>
        <v>1</v>
      </c>
      <c r="J625">
        <f t="shared" si="93"/>
        <v>0</v>
      </c>
      <c r="K625">
        <f t="shared" si="93"/>
        <v>0</v>
      </c>
      <c r="L625">
        <f t="shared" si="93"/>
        <v>0</v>
      </c>
      <c r="M625">
        <f t="shared" si="94"/>
        <v>0</v>
      </c>
      <c r="N625">
        <f t="shared" si="94"/>
        <v>0</v>
      </c>
      <c r="O625">
        <f t="shared" si="94"/>
        <v>1</v>
      </c>
    </row>
    <row r="626" spans="1:15" x14ac:dyDescent="0.3">
      <c r="A626">
        <v>4</v>
      </c>
      <c r="B626">
        <v>2015</v>
      </c>
      <c r="C626">
        <v>2306</v>
      </c>
      <c r="D626">
        <v>20</v>
      </c>
      <c r="E626">
        <v>24</v>
      </c>
      <c r="F626">
        <v>1</v>
      </c>
      <c r="G626">
        <f t="shared" si="93"/>
        <v>0</v>
      </c>
      <c r="H626">
        <f t="shared" si="93"/>
        <v>0</v>
      </c>
      <c r="I626">
        <f t="shared" si="93"/>
        <v>0</v>
      </c>
      <c r="J626">
        <f t="shared" si="93"/>
        <v>1</v>
      </c>
      <c r="K626">
        <f t="shared" si="93"/>
        <v>0</v>
      </c>
      <c r="L626">
        <f t="shared" si="93"/>
        <v>0</v>
      </c>
      <c r="M626">
        <f t="shared" si="94"/>
        <v>0</v>
      </c>
      <c r="N626">
        <f t="shared" si="94"/>
        <v>0</v>
      </c>
      <c r="O626">
        <f t="shared" si="94"/>
        <v>1</v>
      </c>
    </row>
    <row r="627" spans="1:15" x14ac:dyDescent="0.3">
      <c r="A627">
        <v>1</v>
      </c>
      <c r="B627">
        <v>2015</v>
      </c>
      <c r="C627">
        <v>2299</v>
      </c>
      <c r="D627">
        <v>20</v>
      </c>
      <c r="E627">
        <v>22</v>
      </c>
      <c r="F627">
        <v>2</v>
      </c>
      <c r="G627">
        <f t="shared" si="93"/>
        <v>0</v>
      </c>
      <c r="H627">
        <f t="shared" si="93"/>
        <v>0</v>
      </c>
      <c r="I627">
        <f t="shared" si="93"/>
        <v>0</v>
      </c>
      <c r="J627">
        <f t="shared" si="93"/>
        <v>1</v>
      </c>
      <c r="K627">
        <f t="shared" si="93"/>
        <v>0</v>
      </c>
      <c r="L627">
        <f t="shared" si="93"/>
        <v>0</v>
      </c>
      <c r="M627">
        <f t="shared" si="94"/>
        <v>1</v>
      </c>
      <c r="N627">
        <f t="shared" si="94"/>
        <v>0</v>
      </c>
      <c r="O627">
        <f t="shared" si="94"/>
        <v>0</v>
      </c>
    </row>
    <row r="628" spans="1:15" x14ac:dyDescent="0.3">
      <c r="A628">
        <v>4</v>
      </c>
      <c r="B628">
        <v>2016</v>
      </c>
      <c r="C628">
        <v>2296</v>
      </c>
      <c r="D628">
        <v>40</v>
      </c>
      <c r="E628">
        <v>14</v>
      </c>
      <c r="F628">
        <v>1.5</v>
      </c>
      <c r="G628">
        <f t="shared" si="93"/>
        <v>0</v>
      </c>
      <c r="H628">
        <f t="shared" si="93"/>
        <v>0</v>
      </c>
      <c r="I628">
        <f t="shared" si="93"/>
        <v>0</v>
      </c>
      <c r="J628">
        <f t="shared" si="93"/>
        <v>0</v>
      </c>
      <c r="K628">
        <f t="shared" si="93"/>
        <v>1</v>
      </c>
      <c r="L628">
        <f t="shared" si="93"/>
        <v>0</v>
      </c>
      <c r="M628">
        <f t="shared" si="94"/>
        <v>0</v>
      </c>
      <c r="N628">
        <f t="shared" si="94"/>
        <v>0</v>
      </c>
      <c r="O628">
        <f t="shared" si="94"/>
        <v>1</v>
      </c>
    </row>
    <row r="629" spans="1:15" x14ac:dyDescent="0.3">
      <c r="A629">
        <v>4</v>
      </c>
      <c r="B629">
        <v>2015</v>
      </c>
      <c r="C629">
        <v>2281</v>
      </c>
      <c r="D629">
        <v>20</v>
      </c>
      <c r="E629">
        <v>21</v>
      </c>
      <c r="F629">
        <v>1.5</v>
      </c>
      <c r="G629">
        <f t="shared" si="93"/>
        <v>0</v>
      </c>
      <c r="H629">
        <f t="shared" si="93"/>
        <v>0</v>
      </c>
      <c r="I629">
        <f t="shared" si="93"/>
        <v>0</v>
      </c>
      <c r="J629">
        <f t="shared" si="93"/>
        <v>1</v>
      </c>
      <c r="K629">
        <f t="shared" si="93"/>
        <v>0</v>
      </c>
      <c r="L629">
        <f t="shared" si="93"/>
        <v>0</v>
      </c>
      <c r="M629">
        <f t="shared" si="94"/>
        <v>0</v>
      </c>
      <c r="N629">
        <f t="shared" si="94"/>
        <v>0</v>
      </c>
      <c r="O629">
        <f t="shared" si="94"/>
        <v>1</v>
      </c>
    </row>
    <row r="630" spans="1:15" x14ac:dyDescent="0.3">
      <c r="A630">
        <v>1</v>
      </c>
      <c r="B630">
        <v>2017</v>
      </c>
      <c r="C630">
        <v>2273</v>
      </c>
      <c r="D630">
        <v>160</v>
      </c>
      <c r="E630">
        <v>142</v>
      </c>
      <c r="F630">
        <v>8</v>
      </c>
      <c r="G630">
        <f t="shared" si="93"/>
        <v>0</v>
      </c>
      <c r="H630">
        <f t="shared" si="93"/>
        <v>0</v>
      </c>
      <c r="I630">
        <f t="shared" si="93"/>
        <v>0</v>
      </c>
      <c r="J630">
        <f t="shared" si="93"/>
        <v>0</v>
      </c>
      <c r="K630">
        <f t="shared" si="93"/>
        <v>0</v>
      </c>
      <c r="L630">
        <f t="shared" si="93"/>
        <v>1</v>
      </c>
      <c r="M630">
        <f t="shared" si="94"/>
        <v>1</v>
      </c>
      <c r="N630">
        <f t="shared" si="94"/>
        <v>0</v>
      </c>
      <c r="O630">
        <f t="shared" si="94"/>
        <v>0</v>
      </c>
    </row>
    <row r="631" spans="1:15" x14ac:dyDescent="0.3">
      <c r="A631">
        <v>4</v>
      </c>
      <c r="B631">
        <v>2016</v>
      </c>
      <c r="C631">
        <v>2273</v>
      </c>
      <c r="D631">
        <v>60</v>
      </c>
      <c r="E631">
        <v>91</v>
      </c>
      <c r="F631">
        <v>16.5</v>
      </c>
      <c r="G631">
        <f t="shared" si="93"/>
        <v>0</v>
      </c>
      <c r="H631">
        <f t="shared" si="93"/>
        <v>0</v>
      </c>
      <c r="I631">
        <f t="shared" si="93"/>
        <v>0</v>
      </c>
      <c r="J631">
        <f t="shared" si="93"/>
        <v>0</v>
      </c>
      <c r="K631">
        <f t="shared" si="93"/>
        <v>1</v>
      </c>
      <c r="L631">
        <f t="shared" si="93"/>
        <v>0</v>
      </c>
      <c r="M631">
        <f t="shared" si="94"/>
        <v>0</v>
      </c>
      <c r="N631">
        <f t="shared" si="94"/>
        <v>0</v>
      </c>
      <c r="O631">
        <f t="shared" si="94"/>
        <v>1</v>
      </c>
    </row>
    <row r="632" spans="1:15" x14ac:dyDescent="0.3">
      <c r="A632">
        <v>4</v>
      </c>
      <c r="B632">
        <v>2015</v>
      </c>
      <c r="C632">
        <v>2267</v>
      </c>
      <c r="D632">
        <v>60</v>
      </c>
      <c r="E632">
        <v>29</v>
      </c>
      <c r="F632">
        <v>1.5</v>
      </c>
      <c r="G632">
        <f t="shared" ref="G632:L641" si="95">IF($B632=G$1,1,0)</f>
        <v>0</v>
      </c>
      <c r="H632">
        <f t="shared" si="95"/>
        <v>0</v>
      </c>
      <c r="I632">
        <f t="shared" si="95"/>
        <v>0</v>
      </c>
      <c r="J632">
        <f t="shared" si="95"/>
        <v>1</v>
      </c>
      <c r="K632">
        <f t="shared" si="95"/>
        <v>0</v>
      </c>
      <c r="L632">
        <f t="shared" si="95"/>
        <v>0</v>
      </c>
      <c r="M632">
        <f t="shared" si="94"/>
        <v>0</v>
      </c>
      <c r="N632">
        <f t="shared" si="94"/>
        <v>0</v>
      </c>
      <c r="O632">
        <f t="shared" si="94"/>
        <v>1</v>
      </c>
    </row>
    <row r="633" spans="1:15" x14ac:dyDescent="0.3">
      <c r="A633">
        <v>2</v>
      </c>
      <c r="B633">
        <v>2016</v>
      </c>
      <c r="C633">
        <v>2244</v>
      </c>
      <c r="D633">
        <v>40</v>
      </c>
      <c r="E633">
        <v>168</v>
      </c>
      <c r="F633">
        <v>10</v>
      </c>
      <c r="G633">
        <f t="shared" si="95"/>
        <v>0</v>
      </c>
      <c r="H633">
        <f t="shared" si="95"/>
        <v>0</v>
      </c>
      <c r="I633">
        <f t="shared" si="95"/>
        <v>0</v>
      </c>
      <c r="J633">
        <f t="shared" si="95"/>
        <v>0</v>
      </c>
      <c r="K633">
        <f t="shared" si="95"/>
        <v>1</v>
      </c>
      <c r="L633">
        <f t="shared" si="95"/>
        <v>0</v>
      </c>
      <c r="M633">
        <f t="shared" si="94"/>
        <v>0</v>
      </c>
      <c r="N633">
        <f t="shared" si="94"/>
        <v>1</v>
      </c>
      <c r="O633">
        <f t="shared" si="94"/>
        <v>0</v>
      </c>
    </row>
    <row r="634" spans="1:15" x14ac:dyDescent="0.3">
      <c r="A634">
        <v>4</v>
      </c>
      <c r="B634">
        <v>2016</v>
      </c>
      <c r="C634">
        <v>2243</v>
      </c>
      <c r="D634">
        <v>20</v>
      </c>
      <c r="E634">
        <v>97</v>
      </c>
      <c r="F634">
        <v>7</v>
      </c>
      <c r="G634">
        <f t="shared" si="95"/>
        <v>0</v>
      </c>
      <c r="H634">
        <f t="shared" si="95"/>
        <v>0</v>
      </c>
      <c r="I634">
        <f t="shared" si="95"/>
        <v>0</v>
      </c>
      <c r="J634">
        <f t="shared" si="95"/>
        <v>0</v>
      </c>
      <c r="K634">
        <f t="shared" si="95"/>
        <v>1</v>
      </c>
      <c r="L634">
        <f t="shared" si="95"/>
        <v>0</v>
      </c>
      <c r="M634">
        <f t="shared" si="94"/>
        <v>0</v>
      </c>
      <c r="N634">
        <f t="shared" si="94"/>
        <v>0</v>
      </c>
      <c r="O634">
        <f t="shared" si="94"/>
        <v>1</v>
      </c>
    </row>
    <row r="635" spans="1:15" x14ac:dyDescent="0.3">
      <c r="A635">
        <v>4</v>
      </c>
      <c r="B635">
        <v>2015</v>
      </c>
      <c r="C635">
        <v>2238</v>
      </c>
      <c r="D635">
        <v>20</v>
      </c>
      <c r="E635">
        <v>12</v>
      </c>
      <c r="F635">
        <v>1</v>
      </c>
      <c r="G635">
        <f t="shared" si="95"/>
        <v>0</v>
      </c>
      <c r="H635">
        <f t="shared" si="95"/>
        <v>0</v>
      </c>
      <c r="I635">
        <f t="shared" si="95"/>
        <v>0</v>
      </c>
      <c r="J635">
        <f t="shared" si="95"/>
        <v>1</v>
      </c>
      <c r="K635">
        <f t="shared" si="95"/>
        <v>0</v>
      </c>
      <c r="L635">
        <f t="shared" si="95"/>
        <v>0</v>
      </c>
      <c r="M635">
        <f t="shared" si="94"/>
        <v>0</v>
      </c>
      <c r="N635">
        <f t="shared" si="94"/>
        <v>0</v>
      </c>
      <c r="O635">
        <f t="shared" si="94"/>
        <v>1</v>
      </c>
    </row>
    <row r="636" spans="1:15" x14ac:dyDescent="0.3">
      <c r="A636">
        <v>4</v>
      </c>
      <c r="B636">
        <v>2016</v>
      </c>
      <c r="C636">
        <v>2234</v>
      </c>
      <c r="D636">
        <v>100</v>
      </c>
      <c r="E636">
        <v>115</v>
      </c>
      <c r="F636">
        <v>11.5</v>
      </c>
      <c r="G636">
        <f t="shared" si="95"/>
        <v>0</v>
      </c>
      <c r="H636">
        <f t="shared" si="95"/>
        <v>0</v>
      </c>
      <c r="I636">
        <f t="shared" si="95"/>
        <v>0</v>
      </c>
      <c r="J636">
        <f t="shared" si="95"/>
        <v>0</v>
      </c>
      <c r="K636">
        <f t="shared" si="95"/>
        <v>1</v>
      </c>
      <c r="L636">
        <f t="shared" si="95"/>
        <v>0</v>
      </c>
      <c r="M636">
        <f t="shared" si="94"/>
        <v>0</v>
      </c>
      <c r="N636">
        <f t="shared" si="94"/>
        <v>0</v>
      </c>
      <c r="O636">
        <f t="shared" si="94"/>
        <v>1</v>
      </c>
    </row>
    <row r="637" spans="1:15" x14ac:dyDescent="0.3">
      <c r="A637">
        <v>4</v>
      </c>
      <c r="B637">
        <v>2016</v>
      </c>
      <c r="C637">
        <v>2227</v>
      </c>
      <c r="D637">
        <v>20</v>
      </c>
      <c r="E637">
        <v>26</v>
      </c>
      <c r="F637">
        <v>1.5</v>
      </c>
      <c r="G637">
        <f t="shared" si="95"/>
        <v>0</v>
      </c>
      <c r="H637">
        <f t="shared" si="95"/>
        <v>0</v>
      </c>
      <c r="I637">
        <f t="shared" si="95"/>
        <v>0</v>
      </c>
      <c r="J637">
        <f t="shared" si="95"/>
        <v>0</v>
      </c>
      <c r="K637">
        <f t="shared" si="95"/>
        <v>1</v>
      </c>
      <c r="L637">
        <f t="shared" si="95"/>
        <v>0</v>
      </c>
      <c r="M637">
        <f t="shared" si="94"/>
        <v>0</v>
      </c>
      <c r="N637">
        <f t="shared" si="94"/>
        <v>0</v>
      </c>
      <c r="O637">
        <f t="shared" si="94"/>
        <v>1</v>
      </c>
    </row>
    <row r="638" spans="1:15" x14ac:dyDescent="0.3">
      <c r="A638">
        <v>4</v>
      </c>
      <c r="B638">
        <v>2017</v>
      </c>
      <c r="C638">
        <v>2225</v>
      </c>
      <c r="D638">
        <v>195</v>
      </c>
      <c r="E638">
        <v>64</v>
      </c>
      <c r="F638">
        <v>6.5</v>
      </c>
      <c r="G638">
        <f t="shared" si="95"/>
        <v>0</v>
      </c>
      <c r="H638">
        <f t="shared" si="95"/>
        <v>0</v>
      </c>
      <c r="I638">
        <f t="shared" si="95"/>
        <v>0</v>
      </c>
      <c r="J638">
        <f t="shared" si="95"/>
        <v>0</v>
      </c>
      <c r="K638">
        <f t="shared" si="95"/>
        <v>0</v>
      </c>
      <c r="L638">
        <f t="shared" si="95"/>
        <v>1</v>
      </c>
      <c r="M638">
        <f t="shared" si="94"/>
        <v>0</v>
      </c>
      <c r="N638">
        <f t="shared" si="94"/>
        <v>0</v>
      </c>
      <c r="O638">
        <f t="shared" si="94"/>
        <v>1</v>
      </c>
    </row>
    <row r="639" spans="1:15" x14ac:dyDescent="0.3">
      <c r="A639">
        <v>4</v>
      </c>
      <c r="B639">
        <v>2016</v>
      </c>
      <c r="C639">
        <v>2215</v>
      </c>
      <c r="D639">
        <v>55</v>
      </c>
      <c r="E639">
        <v>74</v>
      </c>
      <c r="F639">
        <v>5</v>
      </c>
      <c r="G639">
        <f t="shared" si="95"/>
        <v>0</v>
      </c>
      <c r="H639">
        <f t="shared" si="95"/>
        <v>0</v>
      </c>
      <c r="I639">
        <f t="shared" si="95"/>
        <v>0</v>
      </c>
      <c r="J639">
        <f t="shared" si="95"/>
        <v>0</v>
      </c>
      <c r="K639">
        <f t="shared" si="95"/>
        <v>1</v>
      </c>
      <c r="L639">
        <f t="shared" si="95"/>
        <v>0</v>
      </c>
      <c r="M639">
        <f t="shared" si="94"/>
        <v>0</v>
      </c>
      <c r="N639">
        <f t="shared" si="94"/>
        <v>0</v>
      </c>
      <c r="O639">
        <f t="shared" si="94"/>
        <v>1</v>
      </c>
    </row>
    <row r="640" spans="1:15" x14ac:dyDescent="0.3">
      <c r="A640">
        <v>4</v>
      </c>
      <c r="B640">
        <v>2017</v>
      </c>
      <c r="C640">
        <v>2214</v>
      </c>
      <c r="D640">
        <v>0</v>
      </c>
      <c r="E640">
        <v>23</v>
      </c>
      <c r="F640">
        <v>2</v>
      </c>
      <c r="G640">
        <f t="shared" si="95"/>
        <v>0</v>
      </c>
      <c r="H640">
        <f t="shared" si="95"/>
        <v>0</v>
      </c>
      <c r="I640">
        <f t="shared" si="95"/>
        <v>0</v>
      </c>
      <c r="J640">
        <f t="shared" si="95"/>
        <v>0</v>
      </c>
      <c r="K640">
        <f t="shared" si="95"/>
        <v>0</v>
      </c>
      <c r="L640">
        <f t="shared" si="95"/>
        <v>1</v>
      </c>
      <c r="M640">
        <f t="shared" si="94"/>
        <v>0</v>
      </c>
      <c r="N640">
        <f t="shared" si="94"/>
        <v>0</v>
      </c>
      <c r="O640">
        <f t="shared" si="94"/>
        <v>1</v>
      </c>
    </row>
    <row r="641" spans="1:15" x14ac:dyDescent="0.3">
      <c r="A641">
        <v>4</v>
      </c>
      <c r="B641">
        <v>2017</v>
      </c>
      <c r="C641">
        <v>2204</v>
      </c>
      <c r="D641">
        <v>20</v>
      </c>
      <c r="E641">
        <v>97</v>
      </c>
      <c r="F641">
        <v>9</v>
      </c>
      <c r="G641">
        <f t="shared" si="95"/>
        <v>0</v>
      </c>
      <c r="H641">
        <f t="shared" si="95"/>
        <v>0</v>
      </c>
      <c r="I641">
        <f t="shared" si="95"/>
        <v>0</v>
      </c>
      <c r="J641">
        <f t="shared" si="95"/>
        <v>0</v>
      </c>
      <c r="K641">
        <f t="shared" si="95"/>
        <v>0</v>
      </c>
      <c r="L641">
        <f t="shared" si="95"/>
        <v>1</v>
      </c>
      <c r="M641">
        <f t="shared" si="94"/>
        <v>0</v>
      </c>
      <c r="N641">
        <f t="shared" si="94"/>
        <v>0</v>
      </c>
      <c r="O641">
        <f t="shared" si="94"/>
        <v>1</v>
      </c>
    </row>
    <row r="642" spans="1:15" x14ac:dyDescent="0.3">
      <c r="A642">
        <v>4</v>
      </c>
      <c r="B642">
        <v>2016</v>
      </c>
      <c r="C642">
        <v>2200</v>
      </c>
      <c r="D642">
        <v>30</v>
      </c>
      <c r="E642">
        <v>12</v>
      </c>
      <c r="F642">
        <v>1</v>
      </c>
      <c r="G642">
        <f t="shared" ref="G642:L651" si="96">IF($B642=G$1,1,0)</f>
        <v>0</v>
      </c>
      <c r="H642">
        <f t="shared" si="96"/>
        <v>0</v>
      </c>
      <c r="I642">
        <f t="shared" si="96"/>
        <v>0</v>
      </c>
      <c r="J642">
        <f t="shared" si="96"/>
        <v>0</v>
      </c>
      <c r="K642">
        <f t="shared" si="96"/>
        <v>1</v>
      </c>
      <c r="L642">
        <f t="shared" si="96"/>
        <v>0</v>
      </c>
      <c r="M642">
        <f t="shared" ref="M642:O661" si="97">IF($A642=M$1,1,0)</f>
        <v>0</v>
      </c>
      <c r="N642">
        <f t="shared" si="97"/>
        <v>0</v>
      </c>
      <c r="O642">
        <f t="shared" si="97"/>
        <v>1</v>
      </c>
    </row>
    <row r="643" spans="1:15" x14ac:dyDescent="0.3">
      <c r="A643">
        <v>1</v>
      </c>
      <c r="B643">
        <v>2016</v>
      </c>
      <c r="C643">
        <v>2197</v>
      </c>
      <c r="D643">
        <v>25</v>
      </c>
      <c r="E643">
        <v>12</v>
      </c>
      <c r="F643">
        <v>1.5</v>
      </c>
      <c r="G643">
        <f t="shared" si="96"/>
        <v>0</v>
      </c>
      <c r="H643">
        <f t="shared" si="96"/>
        <v>0</v>
      </c>
      <c r="I643">
        <f t="shared" si="96"/>
        <v>0</v>
      </c>
      <c r="J643">
        <f t="shared" si="96"/>
        <v>0</v>
      </c>
      <c r="K643">
        <f t="shared" si="96"/>
        <v>1</v>
      </c>
      <c r="L643">
        <f t="shared" si="96"/>
        <v>0</v>
      </c>
      <c r="M643">
        <f t="shared" si="97"/>
        <v>1</v>
      </c>
      <c r="N643">
        <f t="shared" si="97"/>
        <v>0</v>
      </c>
      <c r="O643">
        <f t="shared" si="97"/>
        <v>0</v>
      </c>
    </row>
    <row r="644" spans="1:15" x14ac:dyDescent="0.3">
      <c r="A644">
        <v>4</v>
      </c>
      <c r="B644">
        <v>2016</v>
      </c>
      <c r="C644">
        <v>2195</v>
      </c>
      <c r="D644">
        <v>100</v>
      </c>
      <c r="E644">
        <v>35</v>
      </c>
      <c r="F644">
        <v>3.5</v>
      </c>
      <c r="G644">
        <f t="shared" si="96"/>
        <v>0</v>
      </c>
      <c r="H644">
        <f t="shared" si="96"/>
        <v>0</v>
      </c>
      <c r="I644">
        <f t="shared" si="96"/>
        <v>0</v>
      </c>
      <c r="J644">
        <f t="shared" si="96"/>
        <v>0</v>
      </c>
      <c r="K644">
        <f t="shared" si="96"/>
        <v>1</v>
      </c>
      <c r="L644">
        <f t="shared" si="96"/>
        <v>0</v>
      </c>
      <c r="M644">
        <f t="shared" si="97"/>
        <v>0</v>
      </c>
      <c r="N644">
        <f t="shared" si="97"/>
        <v>0</v>
      </c>
      <c r="O644">
        <f t="shared" si="97"/>
        <v>1</v>
      </c>
    </row>
    <row r="645" spans="1:15" x14ac:dyDescent="0.3">
      <c r="A645">
        <v>4</v>
      </c>
      <c r="B645">
        <v>2015</v>
      </c>
      <c r="C645">
        <v>2185</v>
      </c>
      <c r="D645">
        <v>95</v>
      </c>
      <c r="E645">
        <v>45</v>
      </c>
      <c r="F645">
        <v>3.5</v>
      </c>
      <c r="G645">
        <f t="shared" si="96"/>
        <v>0</v>
      </c>
      <c r="H645">
        <f t="shared" si="96"/>
        <v>0</v>
      </c>
      <c r="I645">
        <f t="shared" si="96"/>
        <v>0</v>
      </c>
      <c r="J645">
        <f t="shared" si="96"/>
        <v>1</v>
      </c>
      <c r="K645">
        <f t="shared" si="96"/>
        <v>0</v>
      </c>
      <c r="L645">
        <f t="shared" si="96"/>
        <v>0</v>
      </c>
      <c r="M645">
        <f t="shared" si="97"/>
        <v>0</v>
      </c>
      <c r="N645">
        <f t="shared" si="97"/>
        <v>0</v>
      </c>
      <c r="O645">
        <f t="shared" si="97"/>
        <v>1</v>
      </c>
    </row>
    <row r="646" spans="1:15" x14ac:dyDescent="0.3">
      <c r="A646">
        <v>2</v>
      </c>
      <c r="B646">
        <v>2017</v>
      </c>
      <c r="C646">
        <v>2184</v>
      </c>
      <c r="D646">
        <v>80</v>
      </c>
      <c r="E646">
        <v>24</v>
      </c>
      <c r="F646">
        <v>3</v>
      </c>
      <c r="G646">
        <f t="shared" si="96"/>
        <v>0</v>
      </c>
      <c r="H646">
        <f t="shared" si="96"/>
        <v>0</v>
      </c>
      <c r="I646">
        <f t="shared" si="96"/>
        <v>0</v>
      </c>
      <c r="J646">
        <f t="shared" si="96"/>
        <v>0</v>
      </c>
      <c r="K646">
        <f t="shared" si="96"/>
        <v>0</v>
      </c>
      <c r="L646">
        <f t="shared" si="96"/>
        <v>1</v>
      </c>
      <c r="M646">
        <f t="shared" si="97"/>
        <v>0</v>
      </c>
      <c r="N646">
        <f t="shared" si="97"/>
        <v>1</v>
      </c>
      <c r="O646">
        <f t="shared" si="97"/>
        <v>0</v>
      </c>
    </row>
    <row r="647" spans="1:15" x14ac:dyDescent="0.3">
      <c r="A647">
        <v>4</v>
      </c>
      <c r="B647">
        <v>2016</v>
      </c>
      <c r="C647">
        <v>2178</v>
      </c>
      <c r="D647">
        <v>25</v>
      </c>
      <c r="E647">
        <v>19</v>
      </c>
      <c r="F647">
        <v>1.5</v>
      </c>
      <c r="G647">
        <f t="shared" si="96"/>
        <v>0</v>
      </c>
      <c r="H647">
        <f t="shared" si="96"/>
        <v>0</v>
      </c>
      <c r="I647">
        <f t="shared" si="96"/>
        <v>0</v>
      </c>
      <c r="J647">
        <f t="shared" si="96"/>
        <v>0</v>
      </c>
      <c r="K647">
        <f t="shared" si="96"/>
        <v>1</v>
      </c>
      <c r="L647">
        <f t="shared" si="96"/>
        <v>0</v>
      </c>
      <c r="M647">
        <f t="shared" si="97"/>
        <v>0</v>
      </c>
      <c r="N647">
        <f t="shared" si="97"/>
        <v>0</v>
      </c>
      <c r="O647">
        <f t="shared" si="97"/>
        <v>1</v>
      </c>
    </row>
    <row r="648" spans="1:15" x14ac:dyDescent="0.3">
      <c r="A648">
        <v>4</v>
      </c>
      <c r="B648">
        <v>2015</v>
      </c>
      <c r="C648">
        <v>2177</v>
      </c>
      <c r="D648">
        <v>20</v>
      </c>
      <c r="E648">
        <v>43</v>
      </c>
      <c r="F648">
        <v>4</v>
      </c>
      <c r="G648">
        <f t="shared" si="96"/>
        <v>0</v>
      </c>
      <c r="H648">
        <f t="shared" si="96"/>
        <v>0</v>
      </c>
      <c r="I648">
        <f t="shared" si="96"/>
        <v>0</v>
      </c>
      <c r="J648">
        <f t="shared" si="96"/>
        <v>1</v>
      </c>
      <c r="K648">
        <f t="shared" si="96"/>
        <v>0</v>
      </c>
      <c r="L648">
        <f t="shared" si="96"/>
        <v>0</v>
      </c>
      <c r="M648">
        <f t="shared" si="97"/>
        <v>0</v>
      </c>
      <c r="N648">
        <f t="shared" si="97"/>
        <v>0</v>
      </c>
      <c r="O648">
        <f t="shared" si="97"/>
        <v>1</v>
      </c>
    </row>
    <row r="649" spans="1:15" x14ac:dyDescent="0.3">
      <c r="A649">
        <v>4</v>
      </c>
      <c r="B649">
        <v>2016</v>
      </c>
      <c r="C649">
        <v>2164</v>
      </c>
      <c r="D649">
        <v>20</v>
      </c>
      <c r="E649">
        <v>70</v>
      </c>
      <c r="F649">
        <v>8.5</v>
      </c>
      <c r="G649">
        <f t="shared" si="96"/>
        <v>0</v>
      </c>
      <c r="H649">
        <f t="shared" si="96"/>
        <v>0</v>
      </c>
      <c r="I649">
        <f t="shared" si="96"/>
        <v>0</v>
      </c>
      <c r="J649">
        <f t="shared" si="96"/>
        <v>0</v>
      </c>
      <c r="K649">
        <f t="shared" si="96"/>
        <v>1</v>
      </c>
      <c r="L649">
        <f t="shared" si="96"/>
        <v>0</v>
      </c>
      <c r="M649">
        <f t="shared" si="97"/>
        <v>0</v>
      </c>
      <c r="N649">
        <f t="shared" si="97"/>
        <v>0</v>
      </c>
      <c r="O649">
        <f t="shared" si="97"/>
        <v>1</v>
      </c>
    </row>
    <row r="650" spans="1:15" x14ac:dyDescent="0.3">
      <c r="A650">
        <v>1</v>
      </c>
      <c r="B650">
        <v>2016</v>
      </c>
      <c r="C650">
        <v>2160</v>
      </c>
      <c r="D650">
        <v>20</v>
      </c>
      <c r="E650">
        <v>28</v>
      </c>
      <c r="F650">
        <v>4</v>
      </c>
      <c r="G650">
        <f t="shared" si="96"/>
        <v>0</v>
      </c>
      <c r="H650">
        <f t="shared" si="96"/>
        <v>0</v>
      </c>
      <c r="I650">
        <f t="shared" si="96"/>
        <v>0</v>
      </c>
      <c r="J650">
        <f t="shared" si="96"/>
        <v>0</v>
      </c>
      <c r="K650">
        <f t="shared" si="96"/>
        <v>1</v>
      </c>
      <c r="L650">
        <f t="shared" si="96"/>
        <v>0</v>
      </c>
      <c r="M650">
        <f t="shared" si="97"/>
        <v>1</v>
      </c>
      <c r="N650">
        <f t="shared" si="97"/>
        <v>0</v>
      </c>
      <c r="O650">
        <f t="shared" si="97"/>
        <v>0</v>
      </c>
    </row>
    <row r="651" spans="1:15" x14ac:dyDescent="0.3">
      <c r="A651">
        <v>1</v>
      </c>
      <c r="B651">
        <v>2015</v>
      </c>
      <c r="C651">
        <v>2152</v>
      </c>
      <c r="D651">
        <v>50</v>
      </c>
      <c r="E651">
        <v>15</v>
      </c>
      <c r="F651">
        <v>2.5</v>
      </c>
      <c r="G651">
        <f t="shared" si="96"/>
        <v>0</v>
      </c>
      <c r="H651">
        <f t="shared" si="96"/>
        <v>0</v>
      </c>
      <c r="I651">
        <f t="shared" si="96"/>
        <v>0</v>
      </c>
      <c r="J651">
        <f t="shared" si="96"/>
        <v>1</v>
      </c>
      <c r="K651">
        <f t="shared" si="96"/>
        <v>0</v>
      </c>
      <c r="L651">
        <f t="shared" si="96"/>
        <v>0</v>
      </c>
      <c r="M651">
        <f t="shared" si="97"/>
        <v>1</v>
      </c>
      <c r="N651">
        <f t="shared" si="97"/>
        <v>0</v>
      </c>
      <c r="O651">
        <f t="shared" si="97"/>
        <v>0</v>
      </c>
    </row>
    <row r="652" spans="1:15" x14ac:dyDescent="0.3">
      <c r="A652">
        <v>1</v>
      </c>
      <c r="B652">
        <v>2017</v>
      </c>
      <c r="C652">
        <v>2145</v>
      </c>
      <c r="D652">
        <v>145</v>
      </c>
      <c r="E652">
        <v>136</v>
      </c>
      <c r="F652">
        <v>8</v>
      </c>
      <c r="G652">
        <f t="shared" ref="G652:L661" si="98">IF($B652=G$1,1,0)</f>
        <v>0</v>
      </c>
      <c r="H652">
        <f t="shared" si="98"/>
        <v>0</v>
      </c>
      <c r="I652">
        <f t="shared" si="98"/>
        <v>0</v>
      </c>
      <c r="J652">
        <f t="shared" si="98"/>
        <v>0</v>
      </c>
      <c r="K652">
        <f t="shared" si="98"/>
        <v>0</v>
      </c>
      <c r="L652">
        <f t="shared" si="98"/>
        <v>1</v>
      </c>
      <c r="M652">
        <f t="shared" si="97"/>
        <v>1</v>
      </c>
      <c r="N652">
        <f t="shared" si="97"/>
        <v>0</v>
      </c>
      <c r="O652">
        <f t="shared" si="97"/>
        <v>0</v>
      </c>
    </row>
    <row r="653" spans="1:15" x14ac:dyDescent="0.3">
      <c r="A653">
        <v>4</v>
      </c>
      <c r="B653">
        <v>2016</v>
      </c>
      <c r="C653">
        <v>2142</v>
      </c>
      <c r="D653">
        <v>120</v>
      </c>
      <c r="E653">
        <v>71</v>
      </c>
      <c r="F653">
        <v>12</v>
      </c>
      <c r="G653">
        <f t="shared" si="98"/>
        <v>0</v>
      </c>
      <c r="H653">
        <f t="shared" si="98"/>
        <v>0</v>
      </c>
      <c r="I653">
        <f t="shared" si="98"/>
        <v>0</v>
      </c>
      <c r="J653">
        <f t="shared" si="98"/>
        <v>0</v>
      </c>
      <c r="K653">
        <f t="shared" si="98"/>
        <v>1</v>
      </c>
      <c r="L653">
        <f t="shared" si="98"/>
        <v>0</v>
      </c>
      <c r="M653">
        <f t="shared" si="97"/>
        <v>0</v>
      </c>
      <c r="N653">
        <f t="shared" si="97"/>
        <v>0</v>
      </c>
      <c r="O653">
        <f t="shared" si="97"/>
        <v>1</v>
      </c>
    </row>
    <row r="654" spans="1:15" x14ac:dyDescent="0.3">
      <c r="A654">
        <v>2</v>
      </c>
      <c r="B654">
        <v>2015</v>
      </c>
      <c r="C654">
        <v>2134</v>
      </c>
      <c r="D654">
        <v>175</v>
      </c>
      <c r="E654">
        <v>55</v>
      </c>
      <c r="F654">
        <v>7</v>
      </c>
      <c r="G654">
        <f t="shared" si="98"/>
        <v>0</v>
      </c>
      <c r="H654">
        <f t="shared" si="98"/>
        <v>0</v>
      </c>
      <c r="I654">
        <f t="shared" si="98"/>
        <v>0</v>
      </c>
      <c r="J654">
        <f t="shared" si="98"/>
        <v>1</v>
      </c>
      <c r="K654">
        <f t="shared" si="98"/>
        <v>0</v>
      </c>
      <c r="L654">
        <f t="shared" si="98"/>
        <v>0</v>
      </c>
      <c r="M654">
        <f t="shared" si="97"/>
        <v>0</v>
      </c>
      <c r="N654">
        <f t="shared" si="97"/>
        <v>1</v>
      </c>
      <c r="O654">
        <f t="shared" si="97"/>
        <v>0</v>
      </c>
    </row>
    <row r="655" spans="1:15" x14ac:dyDescent="0.3">
      <c r="A655">
        <v>1</v>
      </c>
      <c r="B655">
        <v>2017</v>
      </c>
      <c r="C655">
        <v>2104</v>
      </c>
      <c r="D655">
        <v>20</v>
      </c>
      <c r="E655">
        <v>14</v>
      </c>
      <c r="F655">
        <v>1</v>
      </c>
      <c r="G655">
        <f t="shared" si="98"/>
        <v>0</v>
      </c>
      <c r="H655">
        <f t="shared" si="98"/>
        <v>0</v>
      </c>
      <c r="I655">
        <f t="shared" si="98"/>
        <v>0</v>
      </c>
      <c r="J655">
        <f t="shared" si="98"/>
        <v>0</v>
      </c>
      <c r="K655">
        <f t="shared" si="98"/>
        <v>0</v>
      </c>
      <c r="L655">
        <f t="shared" si="98"/>
        <v>1</v>
      </c>
      <c r="M655">
        <f t="shared" si="97"/>
        <v>1</v>
      </c>
      <c r="N655">
        <f t="shared" si="97"/>
        <v>0</v>
      </c>
      <c r="O655">
        <f t="shared" si="97"/>
        <v>0</v>
      </c>
    </row>
    <row r="656" spans="1:15" x14ac:dyDescent="0.3">
      <c r="A656">
        <v>1</v>
      </c>
      <c r="B656">
        <v>2016</v>
      </c>
      <c r="C656">
        <v>2097</v>
      </c>
      <c r="D656">
        <v>60</v>
      </c>
      <c r="E656">
        <v>28</v>
      </c>
      <c r="F656">
        <v>5.5</v>
      </c>
      <c r="G656">
        <f t="shared" si="98"/>
        <v>0</v>
      </c>
      <c r="H656">
        <f t="shared" si="98"/>
        <v>0</v>
      </c>
      <c r="I656">
        <f t="shared" si="98"/>
        <v>0</v>
      </c>
      <c r="J656">
        <f t="shared" si="98"/>
        <v>0</v>
      </c>
      <c r="K656">
        <f t="shared" si="98"/>
        <v>1</v>
      </c>
      <c r="L656">
        <f t="shared" si="98"/>
        <v>0</v>
      </c>
      <c r="M656">
        <f t="shared" si="97"/>
        <v>1</v>
      </c>
      <c r="N656">
        <f t="shared" si="97"/>
        <v>0</v>
      </c>
      <c r="O656">
        <f t="shared" si="97"/>
        <v>0</v>
      </c>
    </row>
    <row r="657" spans="1:15" x14ac:dyDescent="0.3">
      <c r="A657">
        <v>4</v>
      </c>
      <c r="B657">
        <v>2017</v>
      </c>
      <c r="C657">
        <v>2097</v>
      </c>
      <c r="D657">
        <v>0</v>
      </c>
      <c r="E657">
        <v>10</v>
      </c>
      <c r="F657">
        <v>2</v>
      </c>
      <c r="G657">
        <f t="shared" si="98"/>
        <v>0</v>
      </c>
      <c r="H657">
        <f t="shared" si="98"/>
        <v>0</v>
      </c>
      <c r="I657">
        <f t="shared" si="98"/>
        <v>0</v>
      </c>
      <c r="J657">
        <f t="shared" si="98"/>
        <v>0</v>
      </c>
      <c r="K657">
        <f t="shared" si="98"/>
        <v>0</v>
      </c>
      <c r="L657">
        <f t="shared" si="98"/>
        <v>1</v>
      </c>
      <c r="M657">
        <f t="shared" si="97"/>
        <v>0</v>
      </c>
      <c r="N657">
        <f t="shared" si="97"/>
        <v>0</v>
      </c>
      <c r="O657">
        <f t="shared" si="97"/>
        <v>1</v>
      </c>
    </row>
    <row r="658" spans="1:15" x14ac:dyDescent="0.3">
      <c r="A658">
        <v>2</v>
      </c>
      <c r="B658">
        <v>2016</v>
      </c>
      <c r="C658">
        <v>2091</v>
      </c>
      <c r="D658">
        <v>45</v>
      </c>
      <c r="E658">
        <v>29</v>
      </c>
      <c r="F658">
        <v>2.5</v>
      </c>
      <c r="G658">
        <f t="shared" si="98"/>
        <v>0</v>
      </c>
      <c r="H658">
        <f t="shared" si="98"/>
        <v>0</v>
      </c>
      <c r="I658">
        <f t="shared" si="98"/>
        <v>0</v>
      </c>
      <c r="J658">
        <f t="shared" si="98"/>
        <v>0</v>
      </c>
      <c r="K658">
        <f t="shared" si="98"/>
        <v>1</v>
      </c>
      <c r="L658">
        <f t="shared" si="98"/>
        <v>0</v>
      </c>
      <c r="M658">
        <f t="shared" si="97"/>
        <v>0</v>
      </c>
      <c r="N658">
        <f t="shared" si="97"/>
        <v>1</v>
      </c>
      <c r="O658">
        <f t="shared" si="97"/>
        <v>0</v>
      </c>
    </row>
    <row r="659" spans="1:15" x14ac:dyDescent="0.3">
      <c r="A659">
        <v>4</v>
      </c>
      <c r="B659">
        <v>2016</v>
      </c>
      <c r="C659">
        <v>2086</v>
      </c>
      <c r="D659">
        <v>95</v>
      </c>
      <c r="E659">
        <v>22</v>
      </c>
      <c r="F659">
        <v>1</v>
      </c>
      <c r="G659">
        <f t="shared" si="98"/>
        <v>0</v>
      </c>
      <c r="H659">
        <f t="shared" si="98"/>
        <v>0</v>
      </c>
      <c r="I659">
        <f t="shared" si="98"/>
        <v>0</v>
      </c>
      <c r="J659">
        <f t="shared" si="98"/>
        <v>0</v>
      </c>
      <c r="K659">
        <f t="shared" si="98"/>
        <v>1</v>
      </c>
      <c r="L659">
        <f t="shared" si="98"/>
        <v>0</v>
      </c>
      <c r="M659">
        <f t="shared" si="97"/>
        <v>0</v>
      </c>
      <c r="N659">
        <f t="shared" si="97"/>
        <v>0</v>
      </c>
      <c r="O659">
        <f t="shared" si="97"/>
        <v>1</v>
      </c>
    </row>
    <row r="660" spans="1:15" x14ac:dyDescent="0.3">
      <c r="A660">
        <v>4</v>
      </c>
      <c r="B660">
        <v>2016</v>
      </c>
      <c r="C660">
        <v>2083</v>
      </c>
      <c r="D660">
        <v>25</v>
      </c>
      <c r="E660">
        <v>23</v>
      </c>
      <c r="F660">
        <v>2.5</v>
      </c>
      <c r="G660">
        <f t="shared" si="98"/>
        <v>0</v>
      </c>
      <c r="H660">
        <f t="shared" si="98"/>
        <v>0</v>
      </c>
      <c r="I660">
        <f t="shared" si="98"/>
        <v>0</v>
      </c>
      <c r="J660">
        <f t="shared" si="98"/>
        <v>0</v>
      </c>
      <c r="K660">
        <f t="shared" si="98"/>
        <v>1</v>
      </c>
      <c r="L660">
        <f t="shared" si="98"/>
        <v>0</v>
      </c>
      <c r="M660">
        <f t="shared" si="97"/>
        <v>0</v>
      </c>
      <c r="N660">
        <f t="shared" si="97"/>
        <v>0</v>
      </c>
      <c r="O660">
        <f t="shared" si="97"/>
        <v>1</v>
      </c>
    </row>
    <row r="661" spans="1:15" x14ac:dyDescent="0.3">
      <c r="A661">
        <v>2</v>
      </c>
      <c r="B661">
        <v>2016</v>
      </c>
      <c r="C661">
        <v>2076</v>
      </c>
      <c r="D661">
        <v>200</v>
      </c>
      <c r="E661">
        <v>56</v>
      </c>
      <c r="F661">
        <v>11</v>
      </c>
      <c r="G661">
        <f t="shared" si="98"/>
        <v>0</v>
      </c>
      <c r="H661">
        <f t="shared" si="98"/>
        <v>0</v>
      </c>
      <c r="I661">
        <f t="shared" si="98"/>
        <v>0</v>
      </c>
      <c r="J661">
        <f t="shared" si="98"/>
        <v>0</v>
      </c>
      <c r="K661">
        <f t="shared" si="98"/>
        <v>1</v>
      </c>
      <c r="L661">
        <f t="shared" si="98"/>
        <v>0</v>
      </c>
      <c r="M661">
        <f t="shared" si="97"/>
        <v>0</v>
      </c>
      <c r="N661">
        <f t="shared" si="97"/>
        <v>1</v>
      </c>
      <c r="O661">
        <f t="shared" si="97"/>
        <v>0</v>
      </c>
    </row>
    <row r="662" spans="1:15" x14ac:dyDescent="0.3">
      <c r="A662">
        <v>1</v>
      </c>
      <c r="B662">
        <v>2017</v>
      </c>
      <c r="C662">
        <v>2076</v>
      </c>
      <c r="D662">
        <v>20</v>
      </c>
      <c r="E662">
        <v>20</v>
      </c>
      <c r="F662">
        <v>2</v>
      </c>
      <c r="G662">
        <f t="shared" ref="G662:L671" si="99">IF($B662=G$1,1,0)</f>
        <v>0</v>
      </c>
      <c r="H662">
        <f t="shared" si="99"/>
        <v>0</v>
      </c>
      <c r="I662">
        <f t="shared" si="99"/>
        <v>0</v>
      </c>
      <c r="J662">
        <f t="shared" si="99"/>
        <v>0</v>
      </c>
      <c r="K662">
        <f t="shared" si="99"/>
        <v>0</v>
      </c>
      <c r="L662">
        <f t="shared" si="99"/>
        <v>1</v>
      </c>
      <c r="M662">
        <f t="shared" ref="M662:O681" si="100">IF($A662=M$1,1,0)</f>
        <v>1</v>
      </c>
      <c r="N662">
        <f t="shared" si="100"/>
        <v>0</v>
      </c>
      <c r="O662">
        <f t="shared" si="100"/>
        <v>0</v>
      </c>
    </row>
    <row r="663" spans="1:15" x14ac:dyDescent="0.3">
      <c r="A663">
        <v>4</v>
      </c>
      <c r="B663">
        <v>2017</v>
      </c>
      <c r="C663">
        <v>2074</v>
      </c>
      <c r="D663">
        <v>20</v>
      </c>
      <c r="E663">
        <v>22</v>
      </c>
      <c r="F663">
        <v>1.5</v>
      </c>
      <c r="G663">
        <f t="shared" si="99"/>
        <v>0</v>
      </c>
      <c r="H663">
        <f t="shared" si="99"/>
        <v>0</v>
      </c>
      <c r="I663">
        <f t="shared" si="99"/>
        <v>0</v>
      </c>
      <c r="J663">
        <f t="shared" si="99"/>
        <v>0</v>
      </c>
      <c r="K663">
        <f t="shared" si="99"/>
        <v>0</v>
      </c>
      <c r="L663">
        <f t="shared" si="99"/>
        <v>1</v>
      </c>
      <c r="M663">
        <f t="shared" si="100"/>
        <v>0</v>
      </c>
      <c r="N663">
        <f t="shared" si="100"/>
        <v>0</v>
      </c>
      <c r="O663">
        <f t="shared" si="100"/>
        <v>1</v>
      </c>
    </row>
    <row r="664" spans="1:15" x14ac:dyDescent="0.3">
      <c r="A664">
        <v>1</v>
      </c>
      <c r="B664">
        <v>2015</v>
      </c>
      <c r="C664">
        <v>2073</v>
      </c>
      <c r="D664">
        <v>95</v>
      </c>
      <c r="E664">
        <v>16</v>
      </c>
      <c r="F664">
        <v>2</v>
      </c>
      <c r="G664">
        <f t="shared" si="99"/>
        <v>0</v>
      </c>
      <c r="H664">
        <f t="shared" si="99"/>
        <v>0</v>
      </c>
      <c r="I664">
        <f t="shared" si="99"/>
        <v>0</v>
      </c>
      <c r="J664">
        <f t="shared" si="99"/>
        <v>1</v>
      </c>
      <c r="K664">
        <f t="shared" si="99"/>
        <v>0</v>
      </c>
      <c r="L664">
        <f t="shared" si="99"/>
        <v>0</v>
      </c>
      <c r="M664">
        <f t="shared" si="100"/>
        <v>1</v>
      </c>
      <c r="N664">
        <f t="shared" si="100"/>
        <v>0</v>
      </c>
      <c r="O664">
        <f t="shared" si="100"/>
        <v>0</v>
      </c>
    </row>
    <row r="665" spans="1:15" x14ac:dyDescent="0.3">
      <c r="A665">
        <v>4</v>
      </c>
      <c r="B665">
        <v>2015</v>
      </c>
      <c r="C665">
        <v>2071</v>
      </c>
      <c r="D665">
        <v>75</v>
      </c>
      <c r="E665">
        <v>14</v>
      </c>
      <c r="F665">
        <v>1.5</v>
      </c>
      <c r="G665">
        <f t="shared" si="99"/>
        <v>0</v>
      </c>
      <c r="H665">
        <f t="shared" si="99"/>
        <v>0</v>
      </c>
      <c r="I665">
        <f t="shared" si="99"/>
        <v>0</v>
      </c>
      <c r="J665">
        <f t="shared" si="99"/>
        <v>1</v>
      </c>
      <c r="K665">
        <f t="shared" si="99"/>
        <v>0</v>
      </c>
      <c r="L665">
        <f t="shared" si="99"/>
        <v>0</v>
      </c>
      <c r="M665">
        <f t="shared" si="100"/>
        <v>0</v>
      </c>
      <c r="N665">
        <f t="shared" si="100"/>
        <v>0</v>
      </c>
      <c r="O665">
        <f t="shared" si="100"/>
        <v>1</v>
      </c>
    </row>
    <row r="666" spans="1:15" x14ac:dyDescent="0.3">
      <c r="A666">
        <v>2</v>
      </c>
      <c r="B666">
        <v>2017</v>
      </c>
      <c r="C666">
        <v>2063</v>
      </c>
      <c r="D666">
        <v>150</v>
      </c>
      <c r="E666">
        <v>12</v>
      </c>
      <c r="F666">
        <v>1</v>
      </c>
      <c r="G666">
        <f t="shared" si="99"/>
        <v>0</v>
      </c>
      <c r="H666">
        <f t="shared" si="99"/>
        <v>0</v>
      </c>
      <c r="I666">
        <f t="shared" si="99"/>
        <v>0</v>
      </c>
      <c r="J666">
        <f t="shared" si="99"/>
        <v>0</v>
      </c>
      <c r="K666">
        <f t="shared" si="99"/>
        <v>0</v>
      </c>
      <c r="L666">
        <f t="shared" si="99"/>
        <v>1</v>
      </c>
      <c r="M666">
        <f t="shared" si="100"/>
        <v>0</v>
      </c>
      <c r="N666">
        <f t="shared" si="100"/>
        <v>1</v>
      </c>
      <c r="O666">
        <f t="shared" si="100"/>
        <v>0</v>
      </c>
    </row>
    <row r="667" spans="1:15" x14ac:dyDescent="0.3">
      <c r="A667">
        <v>1</v>
      </c>
      <c r="B667">
        <v>2016</v>
      </c>
      <c r="C667">
        <v>2052</v>
      </c>
      <c r="D667">
        <v>45</v>
      </c>
      <c r="E667">
        <v>8</v>
      </c>
      <c r="F667">
        <v>0.55000000000000004</v>
      </c>
      <c r="G667">
        <f t="shared" si="99"/>
        <v>0</v>
      </c>
      <c r="H667">
        <f t="shared" si="99"/>
        <v>0</v>
      </c>
      <c r="I667">
        <f t="shared" si="99"/>
        <v>0</v>
      </c>
      <c r="J667">
        <f t="shared" si="99"/>
        <v>0</v>
      </c>
      <c r="K667">
        <f t="shared" si="99"/>
        <v>1</v>
      </c>
      <c r="L667">
        <f t="shared" si="99"/>
        <v>0</v>
      </c>
      <c r="M667">
        <f t="shared" si="100"/>
        <v>1</v>
      </c>
      <c r="N667">
        <f t="shared" si="100"/>
        <v>0</v>
      </c>
      <c r="O667">
        <f t="shared" si="100"/>
        <v>0</v>
      </c>
    </row>
    <row r="668" spans="1:15" x14ac:dyDescent="0.3">
      <c r="A668">
        <v>1</v>
      </c>
      <c r="B668">
        <v>2013</v>
      </c>
      <c r="C668">
        <v>2051</v>
      </c>
      <c r="D668">
        <v>150</v>
      </c>
      <c r="E668">
        <v>76</v>
      </c>
      <c r="F668">
        <v>13</v>
      </c>
      <c r="G668">
        <f t="shared" si="99"/>
        <v>0</v>
      </c>
      <c r="H668">
        <f t="shared" si="99"/>
        <v>1</v>
      </c>
      <c r="I668">
        <f t="shared" si="99"/>
        <v>0</v>
      </c>
      <c r="J668">
        <f t="shared" si="99"/>
        <v>0</v>
      </c>
      <c r="K668">
        <f t="shared" si="99"/>
        <v>0</v>
      </c>
      <c r="L668">
        <f t="shared" si="99"/>
        <v>0</v>
      </c>
      <c r="M668">
        <f t="shared" si="100"/>
        <v>1</v>
      </c>
      <c r="N668">
        <f t="shared" si="100"/>
        <v>0</v>
      </c>
      <c r="O668">
        <f t="shared" si="100"/>
        <v>0</v>
      </c>
    </row>
    <row r="669" spans="1:15" x14ac:dyDescent="0.3">
      <c r="A669">
        <v>4</v>
      </c>
      <c r="B669">
        <v>2015</v>
      </c>
      <c r="C669">
        <v>2039</v>
      </c>
      <c r="D669">
        <v>115</v>
      </c>
      <c r="E669">
        <v>19</v>
      </c>
      <c r="F669">
        <v>1</v>
      </c>
      <c r="G669">
        <f t="shared" si="99"/>
        <v>0</v>
      </c>
      <c r="H669">
        <f t="shared" si="99"/>
        <v>0</v>
      </c>
      <c r="I669">
        <f t="shared" si="99"/>
        <v>0</v>
      </c>
      <c r="J669">
        <f t="shared" si="99"/>
        <v>1</v>
      </c>
      <c r="K669">
        <f t="shared" si="99"/>
        <v>0</v>
      </c>
      <c r="L669">
        <f t="shared" si="99"/>
        <v>0</v>
      </c>
      <c r="M669">
        <f t="shared" si="100"/>
        <v>0</v>
      </c>
      <c r="N669">
        <f t="shared" si="100"/>
        <v>0</v>
      </c>
      <c r="O669">
        <f t="shared" si="100"/>
        <v>1</v>
      </c>
    </row>
    <row r="670" spans="1:15" x14ac:dyDescent="0.3">
      <c r="A670">
        <v>4</v>
      </c>
      <c r="B670">
        <v>2016</v>
      </c>
      <c r="C670">
        <v>2025</v>
      </c>
      <c r="D670">
        <v>20</v>
      </c>
      <c r="E670">
        <v>38</v>
      </c>
      <c r="F670">
        <v>2</v>
      </c>
      <c r="G670">
        <f t="shared" si="99"/>
        <v>0</v>
      </c>
      <c r="H670">
        <f t="shared" si="99"/>
        <v>0</v>
      </c>
      <c r="I670">
        <f t="shared" si="99"/>
        <v>0</v>
      </c>
      <c r="J670">
        <f t="shared" si="99"/>
        <v>0</v>
      </c>
      <c r="K670">
        <f t="shared" si="99"/>
        <v>1</v>
      </c>
      <c r="L670">
        <f t="shared" si="99"/>
        <v>0</v>
      </c>
      <c r="M670">
        <f t="shared" si="100"/>
        <v>0</v>
      </c>
      <c r="N670">
        <f t="shared" si="100"/>
        <v>0</v>
      </c>
      <c r="O670">
        <f t="shared" si="100"/>
        <v>1</v>
      </c>
    </row>
    <row r="671" spans="1:15" x14ac:dyDescent="0.3">
      <c r="A671">
        <v>4</v>
      </c>
      <c r="B671">
        <v>2015</v>
      </c>
      <c r="C671">
        <v>2023</v>
      </c>
      <c r="D671">
        <v>75</v>
      </c>
      <c r="E671">
        <v>25</v>
      </c>
      <c r="F671">
        <v>2</v>
      </c>
      <c r="G671">
        <f t="shared" si="99"/>
        <v>0</v>
      </c>
      <c r="H671">
        <f t="shared" si="99"/>
        <v>0</v>
      </c>
      <c r="I671">
        <f t="shared" si="99"/>
        <v>0</v>
      </c>
      <c r="J671">
        <f t="shared" si="99"/>
        <v>1</v>
      </c>
      <c r="K671">
        <f t="shared" si="99"/>
        <v>0</v>
      </c>
      <c r="L671">
        <f t="shared" si="99"/>
        <v>0</v>
      </c>
      <c r="M671">
        <f t="shared" si="100"/>
        <v>0</v>
      </c>
      <c r="N671">
        <f t="shared" si="100"/>
        <v>0</v>
      </c>
      <c r="O671">
        <f t="shared" si="100"/>
        <v>1</v>
      </c>
    </row>
    <row r="672" spans="1:15" x14ac:dyDescent="0.3">
      <c r="A672">
        <v>1</v>
      </c>
      <c r="B672">
        <v>2017</v>
      </c>
      <c r="C672">
        <v>2012</v>
      </c>
      <c r="D672">
        <v>55</v>
      </c>
      <c r="E672">
        <v>59</v>
      </c>
      <c r="F672">
        <v>3.5</v>
      </c>
      <c r="G672">
        <f t="shared" ref="G672:L681" si="101">IF($B672=G$1,1,0)</f>
        <v>0</v>
      </c>
      <c r="H672">
        <f t="shared" si="101"/>
        <v>0</v>
      </c>
      <c r="I672">
        <f t="shared" si="101"/>
        <v>0</v>
      </c>
      <c r="J672">
        <f t="shared" si="101"/>
        <v>0</v>
      </c>
      <c r="K672">
        <f t="shared" si="101"/>
        <v>0</v>
      </c>
      <c r="L672">
        <f t="shared" si="101"/>
        <v>1</v>
      </c>
      <c r="M672">
        <f t="shared" si="100"/>
        <v>1</v>
      </c>
      <c r="N672">
        <f t="shared" si="100"/>
        <v>0</v>
      </c>
      <c r="O672">
        <f t="shared" si="100"/>
        <v>0</v>
      </c>
    </row>
    <row r="673" spans="1:15" x14ac:dyDescent="0.3">
      <c r="A673">
        <v>4</v>
      </c>
      <c r="B673">
        <v>2016</v>
      </c>
      <c r="C673">
        <v>2007</v>
      </c>
      <c r="D673">
        <v>80</v>
      </c>
      <c r="E673">
        <v>113</v>
      </c>
      <c r="F673">
        <v>5.5</v>
      </c>
      <c r="G673">
        <f t="shared" si="101"/>
        <v>0</v>
      </c>
      <c r="H673">
        <f t="shared" si="101"/>
        <v>0</v>
      </c>
      <c r="I673">
        <f t="shared" si="101"/>
        <v>0</v>
      </c>
      <c r="J673">
        <f t="shared" si="101"/>
        <v>0</v>
      </c>
      <c r="K673">
        <f t="shared" si="101"/>
        <v>1</v>
      </c>
      <c r="L673">
        <f t="shared" si="101"/>
        <v>0</v>
      </c>
      <c r="M673">
        <f t="shared" si="100"/>
        <v>0</v>
      </c>
      <c r="N673">
        <f t="shared" si="100"/>
        <v>0</v>
      </c>
      <c r="O673">
        <f t="shared" si="100"/>
        <v>1</v>
      </c>
    </row>
    <row r="674" spans="1:15" x14ac:dyDescent="0.3">
      <c r="A674">
        <v>2</v>
      </c>
      <c r="B674">
        <v>2015</v>
      </c>
      <c r="C674">
        <v>2002</v>
      </c>
      <c r="D674">
        <v>20</v>
      </c>
      <c r="E674">
        <v>31</v>
      </c>
      <c r="F674">
        <v>0.66666667000000002</v>
      </c>
      <c r="G674">
        <f t="shared" si="101"/>
        <v>0</v>
      </c>
      <c r="H674">
        <f t="shared" si="101"/>
        <v>0</v>
      </c>
      <c r="I674">
        <f t="shared" si="101"/>
        <v>0</v>
      </c>
      <c r="J674">
        <f t="shared" si="101"/>
        <v>1</v>
      </c>
      <c r="K674">
        <f t="shared" si="101"/>
        <v>0</v>
      </c>
      <c r="L674">
        <f t="shared" si="101"/>
        <v>0</v>
      </c>
      <c r="M674">
        <f t="shared" si="100"/>
        <v>0</v>
      </c>
      <c r="N674">
        <f t="shared" si="100"/>
        <v>1</v>
      </c>
      <c r="O674">
        <f t="shared" si="100"/>
        <v>0</v>
      </c>
    </row>
    <row r="675" spans="1:15" x14ac:dyDescent="0.3">
      <c r="A675">
        <v>2</v>
      </c>
      <c r="B675">
        <v>2016</v>
      </c>
      <c r="C675">
        <v>1995</v>
      </c>
      <c r="D675">
        <v>195</v>
      </c>
      <c r="E675">
        <v>45</v>
      </c>
      <c r="F675">
        <v>6.5</v>
      </c>
      <c r="G675">
        <f t="shared" si="101"/>
        <v>0</v>
      </c>
      <c r="H675">
        <f t="shared" si="101"/>
        <v>0</v>
      </c>
      <c r="I675">
        <f t="shared" si="101"/>
        <v>0</v>
      </c>
      <c r="J675">
        <f t="shared" si="101"/>
        <v>0</v>
      </c>
      <c r="K675">
        <f t="shared" si="101"/>
        <v>1</v>
      </c>
      <c r="L675">
        <f t="shared" si="101"/>
        <v>0</v>
      </c>
      <c r="M675">
        <f t="shared" si="100"/>
        <v>0</v>
      </c>
      <c r="N675">
        <f t="shared" si="100"/>
        <v>1</v>
      </c>
      <c r="O675">
        <f t="shared" si="100"/>
        <v>0</v>
      </c>
    </row>
    <row r="676" spans="1:15" x14ac:dyDescent="0.3">
      <c r="A676">
        <v>1</v>
      </c>
      <c r="B676">
        <v>2016</v>
      </c>
      <c r="C676">
        <v>1993</v>
      </c>
      <c r="D676">
        <v>55</v>
      </c>
      <c r="E676">
        <v>26</v>
      </c>
      <c r="F676">
        <v>4</v>
      </c>
      <c r="G676">
        <f t="shared" si="101"/>
        <v>0</v>
      </c>
      <c r="H676">
        <f t="shared" si="101"/>
        <v>0</v>
      </c>
      <c r="I676">
        <f t="shared" si="101"/>
        <v>0</v>
      </c>
      <c r="J676">
        <f t="shared" si="101"/>
        <v>0</v>
      </c>
      <c r="K676">
        <f t="shared" si="101"/>
        <v>1</v>
      </c>
      <c r="L676">
        <f t="shared" si="101"/>
        <v>0</v>
      </c>
      <c r="M676">
        <f t="shared" si="100"/>
        <v>1</v>
      </c>
      <c r="N676">
        <f t="shared" si="100"/>
        <v>0</v>
      </c>
      <c r="O676">
        <f t="shared" si="100"/>
        <v>0</v>
      </c>
    </row>
    <row r="677" spans="1:15" x14ac:dyDescent="0.3">
      <c r="A677">
        <v>4</v>
      </c>
      <c r="B677">
        <v>2017</v>
      </c>
      <c r="C677">
        <v>1975</v>
      </c>
      <c r="D677">
        <v>100</v>
      </c>
      <c r="E677">
        <v>36</v>
      </c>
      <c r="F677">
        <v>3</v>
      </c>
      <c r="G677">
        <f t="shared" si="101"/>
        <v>0</v>
      </c>
      <c r="H677">
        <f t="shared" si="101"/>
        <v>0</v>
      </c>
      <c r="I677">
        <f t="shared" si="101"/>
        <v>0</v>
      </c>
      <c r="J677">
        <f t="shared" si="101"/>
        <v>0</v>
      </c>
      <c r="K677">
        <f t="shared" si="101"/>
        <v>0</v>
      </c>
      <c r="L677">
        <f t="shared" si="101"/>
        <v>1</v>
      </c>
      <c r="M677">
        <f t="shared" si="100"/>
        <v>0</v>
      </c>
      <c r="N677">
        <f t="shared" si="100"/>
        <v>0</v>
      </c>
      <c r="O677">
        <f t="shared" si="100"/>
        <v>1</v>
      </c>
    </row>
    <row r="678" spans="1:15" x14ac:dyDescent="0.3">
      <c r="A678">
        <v>4</v>
      </c>
      <c r="B678">
        <v>2016</v>
      </c>
      <c r="C678">
        <v>1967</v>
      </c>
      <c r="D678">
        <v>150</v>
      </c>
      <c r="E678">
        <v>60</v>
      </c>
      <c r="F678">
        <v>9</v>
      </c>
      <c r="G678">
        <f t="shared" si="101"/>
        <v>0</v>
      </c>
      <c r="H678">
        <f t="shared" si="101"/>
        <v>0</v>
      </c>
      <c r="I678">
        <f t="shared" si="101"/>
        <v>0</v>
      </c>
      <c r="J678">
        <f t="shared" si="101"/>
        <v>0</v>
      </c>
      <c r="K678">
        <f t="shared" si="101"/>
        <v>1</v>
      </c>
      <c r="L678">
        <f t="shared" si="101"/>
        <v>0</v>
      </c>
      <c r="M678">
        <f t="shared" si="100"/>
        <v>0</v>
      </c>
      <c r="N678">
        <f t="shared" si="100"/>
        <v>0</v>
      </c>
      <c r="O678">
        <f t="shared" si="100"/>
        <v>1</v>
      </c>
    </row>
    <row r="679" spans="1:15" x14ac:dyDescent="0.3">
      <c r="A679">
        <v>4</v>
      </c>
      <c r="B679">
        <v>2016</v>
      </c>
      <c r="C679">
        <v>1966</v>
      </c>
      <c r="D679">
        <v>150</v>
      </c>
      <c r="E679">
        <v>65</v>
      </c>
      <c r="F679">
        <v>5</v>
      </c>
      <c r="G679">
        <f t="shared" si="101"/>
        <v>0</v>
      </c>
      <c r="H679">
        <f t="shared" si="101"/>
        <v>0</v>
      </c>
      <c r="I679">
        <f t="shared" si="101"/>
        <v>0</v>
      </c>
      <c r="J679">
        <f t="shared" si="101"/>
        <v>0</v>
      </c>
      <c r="K679">
        <f t="shared" si="101"/>
        <v>1</v>
      </c>
      <c r="L679">
        <f t="shared" si="101"/>
        <v>0</v>
      </c>
      <c r="M679">
        <f t="shared" si="100"/>
        <v>0</v>
      </c>
      <c r="N679">
        <f t="shared" si="100"/>
        <v>0</v>
      </c>
      <c r="O679">
        <f t="shared" si="100"/>
        <v>1</v>
      </c>
    </row>
    <row r="680" spans="1:15" x14ac:dyDescent="0.3">
      <c r="A680">
        <v>4</v>
      </c>
      <c r="B680">
        <v>2016</v>
      </c>
      <c r="C680">
        <v>1950</v>
      </c>
      <c r="D680">
        <v>40</v>
      </c>
      <c r="E680">
        <v>16</v>
      </c>
      <c r="F680">
        <v>1</v>
      </c>
      <c r="G680">
        <f t="shared" si="101"/>
        <v>0</v>
      </c>
      <c r="H680">
        <f t="shared" si="101"/>
        <v>0</v>
      </c>
      <c r="I680">
        <f t="shared" si="101"/>
        <v>0</v>
      </c>
      <c r="J680">
        <f t="shared" si="101"/>
        <v>0</v>
      </c>
      <c r="K680">
        <f t="shared" si="101"/>
        <v>1</v>
      </c>
      <c r="L680">
        <f t="shared" si="101"/>
        <v>0</v>
      </c>
      <c r="M680">
        <f t="shared" si="100"/>
        <v>0</v>
      </c>
      <c r="N680">
        <f t="shared" si="100"/>
        <v>0</v>
      </c>
      <c r="O680">
        <f t="shared" si="100"/>
        <v>1</v>
      </c>
    </row>
    <row r="681" spans="1:15" x14ac:dyDescent="0.3">
      <c r="A681">
        <v>4</v>
      </c>
      <c r="B681">
        <v>2015</v>
      </c>
      <c r="C681">
        <v>1949</v>
      </c>
      <c r="D681">
        <v>50</v>
      </c>
      <c r="E681">
        <v>102</v>
      </c>
      <c r="F681">
        <v>15.5</v>
      </c>
      <c r="G681">
        <f t="shared" si="101"/>
        <v>0</v>
      </c>
      <c r="H681">
        <f t="shared" si="101"/>
        <v>0</v>
      </c>
      <c r="I681">
        <f t="shared" si="101"/>
        <v>0</v>
      </c>
      <c r="J681">
        <f t="shared" si="101"/>
        <v>1</v>
      </c>
      <c r="K681">
        <f t="shared" si="101"/>
        <v>0</v>
      </c>
      <c r="L681">
        <f t="shared" si="101"/>
        <v>0</v>
      </c>
      <c r="M681">
        <f t="shared" si="100"/>
        <v>0</v>
      </c>
      <c r="N681">
        <f t="shared" si="100"/>
        <v>0</v>
      </c>
      <c r="O681">
        <f t="shared" si="100"/>
        <v>1</v>
      </c>
    </row>
    <row r="682" spans="1:15" x14ac:dyDescent="0.3">
      <c r="A682">
        <v>4</v>
      </c>
      <c r="B682">
        <v>2015</v>
      </c>
      <c r="C682">
        <v>1948</v>
      </c>
      <c r="D682">
        <v>20</v>
      </c>
      <c r="E682">
        <v>45</v>
      </c>
      <c r="F682">
        <v>5</v>
      </c>
      <c r="G682">
        <f t="shared" ref="G682:L691" si="102">IF($B682=G$1,1,0)</f>
        <v>0</v>
      </c>
      <c r="H682">
        <f t="shared" si="102"/>
        <v>0</v>
      </c>
      <c r="I682">
        <f t="shared" si="102"/>
        <v>0</v>
      </c>
      <c r="J682">
        <f t="shared" si="102"/>
        <v>1</v>
      </c>
      <c r="K682">
        <f t="shared" si="102"/>
        <v>0</v>
      </c>
      <c r="L682">
        <f t="shared" si="102"/>
        <v>0</v>
      </c>
      <c r="M682">
        <f t="shared" ref="M682:O701" si="103">IF($A682=M$1,1,0)</f>
        <v>0</v>
      </c>
      <c r="N682">
        <f t="shared" si="103"/>
        <v>0</v>
      </c>
      <c r="O682">
        <f t="shared" si="103"/>
        <v>1</v>
      </c>
    </row>
    <row r="683" spans="1:15" x14ac:dyDescent="0.3">
      <c r="A683">
        <v>4</v>
      </c>
      <c r="B683">
        <v>2015</v>
      </c>
      <c r="C683">
        <v>1945</v>
      </c>
      <c r="D683">
        <v>75</v>
      </c>
      <c r="E683">
        <v>10</v>
      </c>
      <c r="F683">
        <v>1</v>
      </c>
      <c r="G683">
        <f t="shared" si="102"/>
        <v>0</v>
      </c>
      <c r="H683">
        <f t="shared" si="102"/>
        <v>0</v>
      </c>
      <c r="I683">
        <f t="shared" si="102"/>
        <v>0</v>
      </c>
      <c r="J683">
        <f t="shared" si="102"/>
        <v>1</v>
      </c>
      <c r="K683">
        <f t="shared" si="102"/>
        <v>0</v>
      </c>
      <c r="L683">
        <f t="shared" si="102"/>
        <v>0</v>
      </c>
      <c r="M683">
        <f t="shared" si="103"/>
        <v>0</v>
      </c>
      <c r="N683">
        <f t="shared" si="103"/>
        <v>0</v>
      </c>
      <c r="O683">
        <f t="shared" si="103"/>
        <v>1</v>
      </c>
    </row>
    <row r="684" spans="1:15" x14ac:dyDescent="0.3">
      <c r="A684">
        <v>1</v>
      </c>
      <c r="B684">
        <v>2017</v>
      </c>
      <c r="C684">
        <v>1942</v>
      </c>
      <c r="D684">
        <v>0</v>
      </c>
      <c r="E684">
        <v>48</v>
      </c>
      <c r="F684">
        <v>4.5</v>
      </c>
      <c r="G684">
        <f t="shared" si="102"/>
        <v>0</v>
      </c>
      <c r="H684">
        <f t="shared" si="102"/>
        <v>0</v>
      </c>
      <c r="I684">
        <f t="shared" si="102"/>
        <v>0</v>
      </c>
      <c r="J684">
        <f t="shared" si="102"/>
        <v>0</v>
      </c>
      <c r="K684">
        <f t="shared" si="102"/>
        <v>0</v>
      </c>
      <c r="L684">
        <f t="shared" si="102"/>
        <v>1</v>
      </c>
      <c r="M684">
        <f t="shared" si="103"/>
        <v>1</v>
      </c>
      <c r="N684">
        <f t="shared" si="103"/>
        <v>0</v>
      </c>
      <c r="O684">
        <f t="shared" si="103"/>
        <v>0</v>
      </c>
    </row>
    <row r="685" spans="1:15" x14ac:dyDescent="0.3">
      <c r="A685">
        <v>1</v>
      </c>
      <c r="B685">
        <v>2014</v>
      </c>
      <c r="C685">
        <v>1936</v>
      </c>
      <c r="D685">
        <v>50</v>
      </c>
      <c r="E685">
        <v>53</v>
      </c>
      <c r="F685">
        <v>5</v>
      </c>
      <c r="G685">
        <f t="shared" si="102"/>
        <v>0</v>
      </c>
      <c r="H685">
        <f t="shared" si="102"/>
        <v>0</v>
      </c>
      <c r="I685">
        <f t="shared" si="102"/>
        <v>1</v>
      </c>
      <c r="J685">
        <f t="shared" si="102"/>
        <v>0</v>
      </c>
      <c r="K685">
        <f t="shared" si="102"/>
        <v>0</v>
      </c>
      <c r="L685">
        <f t="shared" si="102"/>
        <v>0</v>
      </c>
      <c r="M685">
        <f t="shared" si="103"/>
        <v>1</v>
      </c>
      <c r="N685">
        <f t="shared" si="103"/>
        <v>0</v>
      </c>
      <c r="O685">
        <f t="shared" si="103"/>
        <v>0</v>
      </c>
    </row>
    <row r="686" spans="1:15" x14ac:dyDescent="0.3">
      <c r="A686">
        <v>2</v>
      </c>
      <c r="B686">
        <v>2017</v>
      </c>
      <c r="C686">
        <v>1935</v>
      </c>
      <c r="D686">
        <v>200</v>
      </c>
      <c r="E686">
        <v>10</v>
      </c>
      <c r="F686">
        <v>1</v>
      </c>
      <c r="G686">
        <f t="shared" si="102"/>
        <v>0</v>
      </c>
      <c r="H686">
        <f t="shared" si="102"/>
        <v>0</v>
      </c>
      <c r="I686">
        <f t="shared" si="102"/>
        <v>0</v>
      </c>
      <c r="J686">
        <f t="shared" si="102"/>
        <v>0</v>
      </c>
      <c r="K686">
        <f t="shared" si="102"/>
        <v>0</v>
      </c>
      <c r="L686">
        <f t="shared" si="102"/>
        <v>1</v>
      </c>
      <c r="M686">
        <f t="shared" si="103"/>
        <v>0</v>
      </c>
      <c r="N686">
        <f t="shared" si="103"/>
        <v>1</v>
      </c>
      <c r="O686">
        <f t="shared" si="103"/>
        <v>0</v>
      </c>
    </row>
    <row r="687" spans="1:15" x14ac:dyDescent="0.3">
      <c r="A687">
        <v>4</v>
      </c>
      <c r="B687">
        <v>2015</v>
      </c>
      <c r="C687">
        <v>1926</v>
      </c>
      <c r="D687">
        <v>40</v>
      </c>
      <c r="E687">
        <v>458</v>
      </c>
      <c r="F687">
        <v>22.5</v>
      </c>
      <c r="G687">
        <f t="shared" si="102"/>
        <v>0</v>
      </c>
      <c r="H687">
        <f t="shared" si="102"/>
        <v>0</v>
      </c>
      <c r="I687">
        <f t="shared" si="102"/>
        <v>0</v>
      </c>
      <c r="J687">
        <f t="shared" si="102"/>
        <v>1</v>
      </c>
      <c r="K687">
        <f t="shared" si="102"/>
        <v>0</v>
      </c>
      <c r="L687">
        <f t="shared" si="102"/>
        <v>0</v>
      </c>
      <c r="M687">
        <f t="shared" si="103"/>
        <v>0</v>
      </c>
      <c r="N687">
        <f t="shared" si="103"/>
        <v>0</v>
      </c>
      <c r="O687">
        <f t="shared" si="103"/>
        <v>1</v>
      </c>
    </row>
    <row r="688" spans="1:15" x14ac:dyDescent="0.3">
      <c r="A688">
        <v>1</v>
      </c>
      <c r="B688">
        <v>2017</v>
      </c>
      <c r="C688">
        <v>1925</v>
      </c>
      <c r="D688">
        <v>70</v>
      </c>
      <c r="E688">
        <v>38</v>
      </c>
      <c r="F688">
        <v>2</v>
      </c>
      <c r="G688">
        <f t="shared" si="102"/>
        <v>0</v>
      </c>
      <c r="H688">
        <f t="shared" si="102"/>
        <v>0</v>
      </c>
      <c r="I688">
        <f t="shared" si="102"/>
        <v>0</v>
      </c>
      <c r="J688">
        <f t="shared" si="102"/>
        <v>0</v>
      </c>
      <c r="K688">
        <f t="shared" si="102"/>
        <v>0</v>
      </c>
      <c r="L688">
        <f t="shared" si="102"/>
        <v>1</v>
      </c>
      <c r="M688">
        <f t="shared" si="103"/>
        <v>1</v>
      </c>
      <c r="N688">
        <f t="shared" si="103"/>
        <v>0</v>
      </c>
      <c r="O688">
        <f t="shared" si="103"/>
        <v>0</v>
      </c>
    </row>
    <row r="689" spans="1:15" x14ac:dyDescent="0.3">
      <c r="A689">
        <v>4</v>
      </c>
      <c r="B689">
        <v>2017</v>
      </c>
      <c r="C689">
        <v>1908</v>
      </c>
      <c r="D689">
        <v>25</v>
      </c>
      <c r="E689">
        <v>17</v>
      </c>
      <c r="F689">
        <v>1.5</v>
      </c>
      <c r="G689">
        <f t="shared" si="102"/>
        <v>0</v>
      </c>
      <c r="H689">
        <f t="shared" si="102"/>
        <v>0</v>
      </c>
      <c r="I689">
        <f t="shared" si="102"/>
        <v>0</v>
      </c>
      <c r="J689">
        <f t="shared" si="102"/>
        <v>0</v>
      </c>
      <c r="K689">
        <f t="shared" si="102"/>
        <v>0</v>
      </c>
      <c r="L689">
        <f t="shared" si="102"/>
        <v>1</v>
      </c>
      <c r="M689">
        <f t="shared" si="103"/>
        <v>0</v>
      </c>
      <c r="N689">
        <f t="shared" si="103"/>
        <v>0</v>
      </c>
      <c r="O689">
        <f t="shared" si="103"/>
        <v>1</v>
      </c>
    </row>
    <row r="690" spans="1:15" x14ac:dyDescent="0.3">
      <c r="A690">
        <v>4</v>
      </c>
      <c r="B690">
        <v>2015</v>
      </c>
      <c r="C690">
        <v>1905</v>
      </c>
      <c r="D690">
        <v>45</v>
      </c>
      <c r="E690">
        <v>57</v>
      </c>
      <c r="F690">
        <v>6</v>
      </c>
      <c r="G690">
        <f t="shared" si="102"/>
        <v>0</v>
      </c>
      <c r="H690">
        <f t="shared" si="102"/>
        <v>0</v>
      </c>
      <c r="I690">
        <f t="shared" si="102"/>
        <v>0</v>
      </c>
      <c r="J690">
        <f t="shared" si="102"/>
        <v>1</v>
      </c>
      <c r="K690">
        <f t="shared" si="102"/>
        <v>0</v>
      </c>
      <c r="L690">
        <f t="shared" si="102"/>
        <v>0</v>
      </c>
      <c r="M690">
        <f t="shared" si="103"/>
        <v>0</v>
      </c>
      <c r="N690">
        <f t="shared" si="103"/>
        <v>0</v>
      </c>
      <c r="O690">
        <f t="shared" si="103"/>
        <v>1</v>
      </c>
    </row>
    <row r="691" spans="1:15" x14ac:dyDescent="0.3">
      <c r="A691">
        <v>1</v>
      </c>
      <c r="B691">
        <v>2015</v>
      </c>
      <c r="C691">
        <v>1904</v>
      </c>
      <c r="D691">
        <v>20</v>
      </c>
      <c r="E691">
        <v>17</v>
      </c>
      <c r="F691">
        <v>0.7</v>
      </c>
      <c r="G691">
        <f t="shared" si="102"/>
        <v>0</v>
      </c>
      <c r="H691">
        <f t="shared" si="102"/>
        <v>0</v>
      </c>
      <c r="I691">
        <f t="shared" si="102"/>
        <v>0</v>
      </c>
      <c r="J691">
        <f t="shared" si="102"/>
        <v>1</v>
      </c>
      <c r="K691">
        <f t="shared" si="102"/>
        <v>0</v>
      </c>
      <c r="L691">
        <f t="shared" si="102"/>
        <v>0</v>
      </c>
      <c r="M691">
        <f t="shared" si="103"/>
        <v>1</v>
      </c>
      <c r="N691">
        <f t="shared" si="103"/>
        <v>0</v>
      </c>
      <c r="O691">
        <f t="shared" si="103"/>
        <v>0</v>
      </c>
    </row>
    <row r="692" spans="1:15" x14ac:dyDescent="0.3">
      <c r="A692">
        <v>2</v>
      </c>
      <c r="B692">
        <v>2017</v>
      </c>
      <c r="C692">
        <v>1902</v>
      </c>
      <c r="D692">
        <v>165</v>
      </c>
      <c r="E692">
        <v>47</v>
      </c>
      <c r="F692">
        <v>5.5</v>
      </c>
      <c r="G692">
        <f t="shared" ref="G692:L701" si="104">IF($B692=G$1,1,0)</f>
        <v>0</v>
      </c>
      <c r="H692">
        <f t="shared" si="104"/>
        <v>0</v>
      </c>
      <c r="I692">
        <f t="shared" si="104"/>
        <v>0</v>
      </c>
      <c r="J692">
        <f t="shared" si="104"/>
        <v>0</v>
      </c>
      <c r="K692">
        <f t="shared" si="104"/>
        <v>0</v>
      </c>
      <c r="L692">
        <f t="shared" si="104"/>
        <v>1</v>
      </c>
      <c r="M692">
        <f t="shared" si="103"/>
        <v>0</v>
      </c>
      <c r="N692">
        <f t="shared" si="103"/>
        <v>1</v>
      </c>
      <c r="O692">
        <f t="shared" si="103"/>
        <v>0</v>
      </c>
    </row>
    <row r="693" spans="1:15" x14ac:dyDescent="0.3">
      <c r="A693">
        <v>2</v>
      </c>
      <c r="B693">
        <v>2016</v>
      </c>
      <c r="C693">
        <v>1898</v>
      </c>
      <c r="D693">
        <v>20</v>
      </c>
      <c r="E693">
        <v>31</v>
      </c>
      <c r="F693">
        <v>4</v>
      </c>
      <c r="G693">
        <f t="shared" si="104"/>
        <v>0</v>
      </c>
      <c r="H693">
        <f t="shared" si="104"/>
        <v>0</v>
      </c>
      <c r="I693">
        <f t="shared" si="104"/>
        <v>0</v>
      </c>
      <c r="J693">
        <f t="shared" si="104"/>
        <v>0</v>
      </c>
      <c r="K693">
        <f t="shared" si="104"/>
        <v>1</v>
      </c>
      <c r="L693">
        <f t="shared" si="104"/>
        <v>0</v>
      </c>
      <c r="M693">
        <f t="shared" si="103"/>
        <v>0</v>
      </c>
      <c r="N693">
        <f t="shared" si="103"/>
        <v>1</v>
      </c>
      <c r="O693">
        <f t="shared" si="103"/>
        <v>0</v>
      </c>
    </row>
    <row r="694" spans="1:15" x14ac:dyDescent="0.3">
      <c r="A694">
        <v>1</v>
      </c>
      <c r="B694">
        <v>2016</v>
      </c>
      <c r="C694">
        <v>1894</v>
      </c>
      <c r="D694">
        <v>20</v>
      </c>
      <c r="E694">
        <v>35</v>
      </c>
      <c r="F694">
        <v>1.5</v>
      </c>
      <c r="G694">
        <f t="shared" si="104"/>
        <v>0</v>
      </c>
      <c r="H694">
        <f t="shared" si="104"/>
        <v>0</v>
      </c>
      <c r="I694">
        <f t="shared" si="104"/>
        <v>0</v>
      </c>
      <c r="J694">
        <f t="shared" si="104"/>
        <v>0</v>
      </c>
      <c r="K694">
        <f t="shared" si="104"/>
        <v>1</v>
      </c>
      <c r="L694">
        <f t="shared" si="104"/>
        <v>0</v>
      </c>
      <c r="M694">
        <f t="shared" si="103"/>
        <v>1</v>
      </c>
      <c r="N694">
        <f t="shared" si="103"/>
        <v>0</v>
      </c>
      <c r="O694">
        <f t="shared" si="103"/>
        <v>0</v>
      </c>
    </row>
    <row r="695" spans="1:15" x14ac:dyDescent="0.3">
      <c r="A695">
        <v>4</v>
      </c>
      <c r="B695">
        <v>2016</v>
      </c>
      <c r="C695">
        <v>1892</v>
      </c>
      <c r="D695">
        <v>50</v>
      </c>
      <c r="E695">
        <v>24</v>
      </c>
      <c r="F695">
        <v>2.5</v>
      </c>
      <c r="G695">
        <f t="shared" si="104"/>
        <v>0</v>
      </c>
      <c r="H695">
        <f t="shared" si="104"/>
        <v>0</v>
      </c>
      <c r="I695">
        <f t="shared" si="104"/>
        <v>0</v>
      </c>
      <c r="J695">
        <f t="shared" si="104"/>
        <v>0</v>
      </c>
      <c r="K695">
        <f t="shared" si="104"/>
        <v>1</v>
      </c>
      <c r="L695">
        <f t="shared" si="104"/>
        <v>0</v>
      </c>
      <c r="M695">
        <f t="shared" si="103"/>
        <v>0</v>
      </c>
      <c r="N695">
        <f t="shared" si="103"/>
        <v>0</v>
      </c>
      <c r="O695">
        <f t="shared" si="103"/>
        <v>1</v>
      </c>
    </row>
    <row r="696" spans="1:15" x14ac:dyDescent="0.3">
      <c r="A696">
        <v>1</v>
      </c>
      <c r="B696">
        <v>2016</v>
      </c>
      <c r="C696">
        <v>1874</v>
      </c>
      <c r="D696">
        <v>200</v>
      </c>
      <c r="E696">
        <v>224</v>
      </c>
      <c r="F696">
        <v>44.5</v>
      </c>
      <c r="G696">
        <f t="shared" si="104"/>
        <v>0</v>
      </c>
      <c r="H696">
        <f t="shared" si="104"/>
        <v>0</v>
      </c>
      <c r="I696">
        <f t="shared" si="104"/>
        <v>0</v>
      </c>
      <c r="J696">
        <f t="shared" si="104"/>
        <v>0</v>
      </c>
      <c r="K696">
        <f t="shared" si="104"/>
        <v>1</v>
      </c>
      <c r="L696">
        <f t="shared" si="104"/>
        <v>0</v>
      </c>
      <c r="M696">
        <f t="shared" si="103"/>
        <v>1</v>
      </c>
      <c r="N696">
        <f t="shared" si="103"/>
        <v>0</v>
      </c>
      <c r="O696">
        <f t="shared" si="103"/>
        <v>0</v>
      </c>
    </row>
    <row r="697" spans="1:15" x14ac:dyDescent="0.3">
      <c r="A697">
        <v>2</v>
      </c>
      <c r="B697">
        <v>2016</v>
      </c>
      <c r="C697">
        <v>1873</v>
      </c>
      <c r="D697">
        <v>150</v>
      </c>
      <c r="E697">
        <v>79</v>
      </c>
      <c r="F697">
        <v>7.5</v>
      </c>
      <c r="G697">
        <f t="shared" si="104"/>
        <v>0</v>
      </c>
      <c r="H697">
        <f t="shared" si="104"/>
        <v>0</v>
      </c>
      <c r="I697">
        <f t="shared" si="104"/>
        <v>0</v>
      </c>
      <c r="J697">
        <f t="shared" si="104"/>
        <v>0</v>
      </c>
      <c r="K697">
        <f t="shared" si="104"/>
        <v>1</v>
      </c>
      <c r="L697">
        <f t="shared" si="104"/>
        <v>0</v>
      </c>
      <c r="M697">
        <f t="shared" si="103"/>
        <v>0</v>
      </c>
      <c r="N697">
        <f t="shared" si="103"/>
        <v>1</v>
      </c>
      <c r="O697">
        <f t="shared" si="103"/>
        <v>0</v>
      </c>
    </row>
    <row r="698" spans="1:15" x14ac:dyDescent="0.3">
      <c r="A698">
        <v>4</v>
      </c>
      <c r="B698">
        <v>2016</v>
      </c>
      <c r="C698">
        <v>1871</v>
      </c>
      <c r="D698">
        <v>50</v>
      </c>
      <c r="E698">
        <v>60</v>
      </c>
      <c r="F698">
        <v>13.5</v>
      </c>
      <c r="G698">
        <f t="shared" si="104"/>
        <v>0</v>
      </c>
      <c r="H698">
        <f t="shared" si="104"/>
        <v>0</v>
      </c>
      <c r="I698">
        <f t="shared" si="104"/>
        <v>0</v>
      </c>
      <c r="J698">
        <f t="shared" si="104"/>
        <v>0</v>
      </c>
      <c r="K698">
        <f t="shared" si="104"/>
        <v>1</v>
      </c>
      <c r="L698">
        <f t="shared" si="104"/>
        <v>0</v>
      </c>
      <c r="M698">
        <f t="shared" si="103"/>
        <v>0</v>
      </c>
      <c r="N698">
        <f t="shared" si="103"/>
        <v>0</v>
      </c>
      <c r="O698">
        <f t="shared" si="103"/>
        <v>1</v>
      </c>
    </row>
    <row r="699" spans="1:15" x14ac:dyDescent="0.3">
      <c r="A699">
        <v>1</v>
      </c>
      <c r="B699">
        <v>2016</v>
      </c>
      <c r="C699">
        <v>1870</v>
      </c>
      <c r="D699">
        <v>200</v>
      </c>
      <c r="E699">
        <v>145</v>
      </c>
      <c r="F699">
        <v>14.5</v>
      </c>
      <c r="G699">
        <f t="shared" si="104"/>
        <v>0</v>
      </c>
      <c r="H699">
        <f t="shared" si="104"/>
        <v>0</v>
      </c>
      <c r="I699">
        <f t="shared" si="104"/>
        <v>0</v>
      </c>
      <c r="J699">
        <f t="shared" si="104"/>
        <v>0</v>
      </c>
      <c r="K699">
        <f t="shared" si="104"/>
        <v>1</v>
      </c>
      <c r="L699">
        <f t="shared" si="104"/>
        <v>0</v>
      </c>
      <c r="M699">
        <f t="shared" si="103"/>
        <v>1</v>
      </c>
      <c r="N699">
        <f t="shared" si="103"/>
        <v>0</v>
      </c>
      <c r="O699">
        <f t="shared" si="103"/>
        <v>0</v>
      </c>
    </row>
    <row r="700" spans="1:15" x14ac:dyDescent="0.3">
      <c r="A700">
        <v>4</v>
      </c>
      <c r="B700">
        <v>2013</v>
      </c>
      <c r="C700">
        <v>1867</v>
      </c>
      <c r="D700">
        <v>20</v>
      </c>
      <c r="E700">
        <v>8</v>
      </c>
      <c r="F700">
        <v>0.61666666999999997</v>
      </c>
      <c r="G700">
        <f t="shared" si="104"/>
        <v>0</v>
      </c>
      <c r="H700">
        <f t="shared" si="104"/>
        <v>1</v>
      </c>
      <c r="I700">
        <f t="shared" si="104"/>
        <v>0</v>
      </c>
      <c r="J700">
        <f t="shared" si="104"/>
        <v>0</v>
      </c>
      <c r="K700">
        <f t="shared" si="104"/>
        <v>0</v>
      </c>
      <c r="L700">
        <f t="shared" si="104"/>
        <v>0</v>
      </c>
      <c r="M700">
        <f t="shared" si="103"/>
        <v>0</v>
      </c>
      <c r="N700">
        <f t="shared" si="103"/>
        <v>0</v>
      </c>
      <c r="O700">
        <f t="shared" si="103"/>
        <v>1</v>
      </c>
    </row>
    <row r="701" spans="1:15" x14ac:dyDescent="0.3">
      <c r="A701">
        <v>4</v>
      </c>
      <c r="B701">
        <v>2016</v>
      </c>
      <c r="C701">
        <v>1858</v>
      </c>
      <c r="D701">
        <v>140</v>
      </c>
      <c r="E701">
        <v>52</v>
      </c>
      <c r="F701">
        <v>2.5</v>
      </c>
      <c r="G701">
        <f t="shared" si="104"/>
        <v>0</v>
      </c>
      <c r="H701">
        <f t="shared" si="104"/>
        <v>0</v>
      </c>
      <c r="I701">
        <f t="shared" si="104"/>
        <v>0</v>
      </c>
      <c r="J701">
        <f t="shared" si="104"/>
        <v>0</v>
      </c>
      <c r="K701">
        <f t="shared" si="104"/>
        <v>1</v>
      </c>
      <c r="L701">
        <f t="shared" si="104"/>
        <v>0</v>
      </c>
      <c r="M701">
        <f t="shared" si="103"/>
        <v>0</v>
      </c>
      <c r="N701">
        <f t="shared" si="103"/>
        <v>0</v>
      </c>
      <c r="O701">
        <f t="shared" si="103"/>
        <v>1</v>
      </c>
    </row>
    <row r="702" spans="1:15" x14ac:dyDescent="0.3">
      <c r="A702">
        <v>1</v>
      </c>
      <c r="B702">
        <v>2015</v>
      </c>
      <c r="C702">
        <v>1853</v>
      </c>
      <c r="D702">
        <v>100</v>
      </c>
      <c r="E702">
        <v>39</v>
      </c>
      <c r="F702">
        <v>2</v>
      </c>
      <c r="G702">
        <f t="shared" ref="G702:L711" si="105">IF($B702=G$1,1,0)</f>
        <v>0</v>
      </c>
      <c r="H702">
        <f t="shared" si="105"/>
        <v>0</v>
      </c>
      <c r="I702">
        <f t="shared" si="105"/>
        <v>0</v>
      </c>
      <c r="J702">
        <f t="shared" si="105"/>
        <v>1</v>
      </c>
      <c r="K702">
        <f t="shared" si="105"/>
        <v>0</v>
      </c>
      <c r="L702">
        <f t="shared" si="105"/>
        <v>0</v>
      </c>
      <c r="M702">
        <f t="shared" ref="M702:O721" si="106">IF($A702=M$1,1,0)</f>
        <v>1</v>
      </c>
      <c r="N702">
        <f t="shared" si="106"/>
        <v>0</v>
      </c>
      <c r="O702">
        <f t="shared" si="106"/>
        <v>0</v>
      </c>
    </row>
    <row r="703" spans="1:15" x14ac:dyDescent="0.3">
      <c r="A703">
        <v>4</v>
      </c>
      <c r="B703">
        <v>2016</v>
      </c>
      <c r="C703">
        <v>1849</v>
      </c>
      <c r="D703">
        <v>200</v>
      </c>
      <c r="E703">
        <v>83</v>
      </c>
      <c r="F703">
        <v>3</v>
      </c>
      <c r="G703">
        <f t="shared" si="105"/>
        <v>0</v>
      </c>
      <c r="H703">
        <f t="shared" si="105"/>
        <v>0</v>
      </c>
      <c r="I703">
        <f t="shared" si="105"/>
        <v>0</v>
      </c>
      <c r="J703">
        <f t="shared" si="105"/>
        <v>0</v>
      </c>
      <c r="K703">
        <f t="shared" si="105"/>
        <v>1</v>
      </c>
      <c r="L703">
        <f t="shared" si="105"/>
        <v>0</v>
      </c>
      <c r="M703">
        <f t="shared" si="106"/>
        <v>0</v>
      </c>
      <c r="N703">
        <f t="shared" si="106"/>
        <v>0</v>
      </c>
      <c r="O703">
        <f t="shared" si="106"/>
        <v>1</v>
      </c>
    </row>
    <row r="704" spans="1:15" x14ac:dyDescent="0.3">
      <c r="A704">
        <v>4</v>
      </c>
      <c r="B704">
        <v>2014</v>
      </c>
      <c r="C704">
        <v>1849</v>
      </c>
      <c r="D704">
        <v>55</v>
      </c>
      <c r="E704">
        <v>24</v>
      </c>
      <c r="F704">
        <v>3</v>
      </c>
      <c r="G704">
        <f t="shared" si="105"/>
        <v>0</v>
      </c>
      <c r="H704">
        <f t="shared" si="105"/>
        <v>0</v>
      </c>
      <c r="I704">
        <f t="shared" si="105"/>
        <v>1</v>
      </c>
      <c r="J704">
        <f t="shared" si="105"/>
        <v>0</v>
      </c>
      <c r="K704">
        <f t="shared" si="105"/>
        <v>0</v>
      </c>
      <c r="L704">
        <f t="shared" si="105"/>
        <v>0</v>
      </c>
      <c r="M704">
        <f t="shared" si="106"/>
        <v>0</v>
      </c>
      <c r="N704">
        <f t="shared" si="106"/>
        <v>0</v>
      </c>
      <c r="O704">
        <f t="shared" si="106"/>
        <v>1</v>
      </c>
    </row>
    <row r="705" spans="1:15" x14ac:dyDescent="0.3">
      <c r="A705">
        <v>4</v>
      </c>
      <c r="B705">
        <v>2016</v>
      </c>
      <c r="C705">
        <v>1839</v>
      </c>
      <c r="D705">
        <v>195</v>
      </c>
      <c r="E705">
        <v>47</v>
      </c>
      <c r="F705">
        <v>5</v>
      </c>
      <c r="G705">
        <f t="shared" si="105"/>
        <v>0</v>
      </c>
      <c r="H705">
        <f t="shared" si="105"/>
        <v>0</v>
      </c>
      <c r="I705">
        <f t="shared" si="105"/>
        <v>0</v>
      </c>
      <c r="J705">
        <f t="shared" si="105"/>
        <v>0</v>
      </c>
      <c r="K705">
        <f t="shared" si="105"/>
        <v>1</v>
      </c>
      <c r="L705">
        <f t="shared" si="105"/>
        <v>0</v>
      </c>
      <c r="M705">
        <f t="shared" si="106"/>
        <v>0</v>
      </c>
      <c r="N705">
        <f t="shared" si="106"/>
        <v>0</v>
      </c>
      <c r="O705">
        <f t="shared" si="106"/>
        <v>1</v>
      </c>
    </row>
    <row r="706" spans="1:15" x14ac:dyDescent="0.3">
      <c r="A706">
        <v>4</v>
      </c>
      <c r="B706">
        <v>2016</v>
      </c>
      <c r="C706">
        <v>1838</v>
      </c>
      <c r="D706">
        <v>100</v>
      </c>
      <c r="E706">
        <v>31</v>
      </c>
      <c r="F706">
        <v>3</v>
      </c>
      <c r="G706">
        <f t="shared" si="105"/>
        <v>0</v>
      </c>
      <c r="H706">
        <f t="shared" si="105"/>
        <v>0</v>
      </c>
      <c r="I706">
        <f t="shared" si="105"/>
        <v>0</v>
      </c>
      <c r="J706">
        <f t="shared" si="105"/>
        <v>0</v>
      </c>
      <c r="K706">
        <f t="shared" si="105"/>
        <v>1</v>
      </c>
      <c r="L706">
        <f t="shared" si="105"/>
        <v>0</v>
      </c>
      <c r="M706">
        <f t="shared" si="106"/>
        <v>0</v>
      </c>
      <c r="N706">
        <f t="shared" si="106"/>
        <v>0</v>
      </c>
      <c r="O706">
        <f t="shared" si="106"/>
        <v>1</v>
      </c>
    </row>
    <row r="707" spans="1:15" x14ac:dyDescent="0.3">
      <c r="A707">
        <v>4</v>
      </c>
      <c r="B707">
        <v>2014</v>
      </c>
      <c r="C707">
        <v>1832</v>
      </c>
      <c r="D707">
        <v>20</v>
      </c>
      <c r="E707">
        <v>12</v>
      </c>
      <c r="F707">
        <v>1.5</v>
      </c>
      <c r="G707">
        <f t="shared" si="105"/>
        <v>0</v>
      </c>
      <c r="H707">
        <f t="shared" si="105"/>
        <v>0</v>
      </c>
      <c r="I707">
        <f t="shared" si="105"/>
        <v>1</v>
      </c>
      <c r="J707">
        <f t="shared" si="105"/>
        <v>0</v>
      </c>
      <c r="K707">
        <f t="shared" si="105"/>
        <v>0</v>
      </c>
      <c r="L707">
        <f t="shared" si="105"/>
        <v>0</v>
      </c>
      <c r="M707">
        <f t="shared" si="106"/>
        <v>0</v>
      </c>
      <c r="N707">
        <f t="shared" si="106"/>
        <v>0</v>
      </c>
      <c r="O707">
        <f t="shared" si="106"/>
        <v>1</v>
      </c>
    </row>
    <row r="708" spans="1:15" x14ac:dyDescent="0.3">
      <c r="A708">
        <v>1</v>
      </c>
      <c r="B708">
        <v>2017</v>
      </c>
      <c r="C708">
        <v>1827</v>
      </c>
      <c r="D708">
        <v>200</v>
      </c>
      <c r="E708">
        <v>66</v>
      </c>
      <c r="F708">
        <v>20.5</v>
      </c>
      <c r="G708">
        <f t="shared" si="105"/>
        <v>0</v>
      </c>
      <c r="H708">
        <f t="shared" si="105"/>
        <v>0</v>
      </c>
      <c r="I708">
        <f t="shared" si="105"/>
        <v>0</v>
      </c>
      <c r="J708">
        <f t="shared" si="105"/>
        <v>0</v>
      </c>
      <c r="K708">
        <f t="shared" si="105"/>
        <v>0</v>
      </c>
      <c r="L708">
        <f t="shared" si="105"/>
        <v>1</v>
      </c>
      <c r="M708">
        <f t="shared" si="106"/>
        <v>1</v>
      </c>
      <c r="N708">
        <f t="shared" si="106"/>
        <v>0</v>
      </c>
      <c r="O708">
        <f t="shared" si="106"/>
        <v>0</v>
      </c>
    </row>
    <row r="709" spans="1:15" x14ac:dyDescent="0.3">
      <c r="A709">
        <v>4</v>
      </c>
      <c r="B709">
        <v>2016</v>
      </c>
      <c r="C709">
        <v>1825</v>
      </c>
      <c r="D709">
        <v>100</v>
      </c>
      <c r="E709">
        <v>58</v>
      </c>
      <c r="F709">
        <v>3.5</v>
      </c>
      <c r="G709">
        <f t="shared" si="105"/>
        <v>0</v>
      </c>
      <c r="H709">
        <f t="shared" si="105"/>
        <v>0</v>
      </c>
      <c r="I709">
        <f t="shared" si="105"/>
        <v>0</v>
      </c>
      <c r="J709">
        <f t="shared" si="105"/>
        <v>0</v>
      </c>
      <c r="K709">
        <f t="shared" si="105"/>
        <v>1</v>
      </c>
      <c r="L709">
        <f t="shared" si="105"/>
        <v>0</v>
      </c>
      <c r="M709">
        <f t="shared" si="106"/>
        <v>0</v>
      </c>
      <c r="N709">
        <f t="shared" si="106"/>
        <v>0</v>
      </c>
      <c r="O709">
        <f t="shared" si="106"/>
        <v>1</v>
      </c>
    </row>
    <row r="710" spans="1:15" x14ac:dyDescent="0.3">
      <c r="A710">
        <v>4</v>
      </c>
      <c r="B710">
        <v>2017</v>
      </c>
      <c r="C710">
        <v>1822</v>
      </c>
      <c r="D710">
        <v>90</v>
      </c>
      <c r="E710">
        <v>25</v>
      </c>
      <c r="F710">
        <v>2</v>
      </c>
      <c r="G710">
        <f t="shared" si="105"/>
        <v>0</v>
      </c>
      <c r="H710">
        <f t="shared" si="105"/>
        <v>0</v>
      </c>
      <c r="I710">
        <f t="shared" si="105"/>
        <v>0</v>
      </c>
      <c r="J710">
        <f t="shared" si="105"/>
        <v>0</v>
      </c>
      <c r="K710">
        <f t="shared" si="105"/>
        <v>0</v>
      </c>
      <c r="L710">
        <f t="shared" si="105"/>
        <v>1</v>
      </c>
      <c r="M710">
        <f t="shared" si="106"/>
        <v>0</v>
      </c>
      <c r="N710">
        <f t="shared" si="106"/>
        <v>0</v>
      </c>
      <c r="O710">
        <f t="shared" si="106"/>
        <v>1</v>
      </c>
    </row>
    <row r="711" spans="1:15" x14ac:dyDescent="0.3">
      <c r="A711">
        <v>1</v>
      </c>
      <c r="B711">
        <v>2015</v>
      </c>
      <c r="C711">
        <v>1815</v>
      </c>
      <c r="D711">
        <v>95</v>
      </c>
      <c r="E711">
        <v>42</v>
      </c>
      <c r="F711">
        <v>5</v>
      </c>
      <c r="G711">
        <f t="shared" si="105"/>
        <v>0</v>
      </c>
      <c r="H711">
        <f t="shared" si="105"/>
        <v>0</v>
      </c>
      <c r="I711">
        <f t="shared" si="105"/>
        <v>0</v>
      </c>
      <c r="J711">
        <f t="shared" si="105"/>
        <v>1</v>
      </c>
      <c r="K711">
        <f t="shared" si="105"/>
        <v>0</v>
      </c>
      <c r="L711">
        <f t="shared" si="105"/>
        <v>0</v>
      </c>
      <c r="M711">
        <f t="shared" si="106"/>
        <v>1</v>
      </c>
      <c r="N711">
        <f t="shared" si="106"/>
        <v>0</v>
      </c>
      <c r="O711">
        <f t="shared" si="106"/>
        <v>0</v>
      </c>
    </row>
    <row r="712" spans="1:15" x14ac:dyDescent="0.3">
      <c r="A712">
        <v>4</v>
      </c>
      <c r="B712">
        <v>2016</v>
      </c>
      <c r="C712">
        <v>1812</v>
      </c>
      <c r="D712">
        <v>35</v>
      </c>
      <c r="E712">
        <v>7</v>
      </c>
      <c r="F712">
        <v>0.61666666999999997</v>
      </c>
      <c r="G712">
        <f t="shared" ref="G712:L721" si="107">IF($B712=G$1,1,0)</f>
        <v>0</v>
      </c>
      <c r="H712">
        <f t="shared" si="107"/>
        <v>0</v>
      </c>
      <c r="I712">
        <f t="shared" si="107"/>
        <v>0</v>
      </c>
      <c r="J712">
        <f t="shared" si="107"/>
        <v>0</v>
      </c>
      <c r="K712">
        <f t="shared" si="107"/>
        <v>1</v>
      </c>
      <c r="L712">
        <f t="shared" si="107"/>
        <v>0</v>
      </c>
      <c r="M712">
        <f t="shared" si="106"/>
        <v>0</v>
      </c>
      <c r="N712">
        <f t="shared" si="106"/>
        <v>0</v>
      </c>
      <c r="O712">
        <f t="shared" si="106"/>
        <v>1</v>
      </c>
    </row>
    <row r="713" spans="1:15" x14ac:dyDescent="0.3">
      <c r="A713">
        <v>2</v>
      </c>
      <c r="B713">
        <v>2015</v>
      </c>
      <c r="C713">
        <v>1811</v>
      </c>
      <c r="D713">
        <v>95</v>
      </c>
      <c r="E713">
        <v>36</v>
      </c>
      <c r="F713">
        <v>3.5</v>
      </c>
      <c r="G713">
        <f t="shared" si="107"/>
        <v>0</v>
      </c>
      <c r="H713">
        <f t="shared" si="107"/>
        <v>0</v>
      </c>
      <c r="I713">
        <f t="shared" si="107"/>
        <v>0</v>
      </c>
      <c r="J713">
        <f t="shared" si="107"/>
        <v>1</v>
      </c>
      <c r="K713">
        <f t="shared" si="107"/>
        <v>0</v>
      </c>
      <c r="L713">
        <f t="shared" si="107"/>
        <v>0</v>
      </c>
      <c r="M713">
        <f t="shared" si="106"/>
        <v>0</v>
      </c>
      <c r="N713">
        <f t="shared" si="106"/>
        <v>1</v>
      </c>
      <c r="O713">
        <f t="shared" si="106"/>
        <v>0</v>
      </c>
    </row>
    <row r="714" spans="1:15" x14ac:dyDescent="0.3">
      <c r="A714">
        <v>4</v>
      </c>
      <c r="B714">
        <v>2017</v>
      </c>
      <c r="C714">
        <v>1802</v>
      </c>
      <c r="D714">
        <v>20</v>
      </c>
      <c r="E714">
        <v>8</v>
      </c>
      <c r="F714">
        <v>1</v>
      </c>
      <c r="G714">
        <f t="shared" si="107"/>
        <v>0</v>
      </c>
      <c r="H714">
        <f t="shared" si="107"/>
        <v>0</v>
      </c>
      <c r="I714">
        <f t="shared" si="107"/>
        <v>0</v>
      </c>
      <c r="J714">
        <f t="shared" si="107"/>
        <v>0</v>
      </c>
      <c r="K714">
        <f t="shared" si="107"/>
        <v>0</v>
      </c>
      <c r="L714">
        <f t="shared" si="107"/>
        <v>1</v>
      </c>
      <c r="M714">
        <f t="shared" si="106"/>
        <v>0</v>
      </c>
      <c r="N714">
        <f t="shared" si="106"/>
        <v>0</v>
      </c>
      <c r="O714">
        <f t="shared" si="106"/>
        <v>1</v>
      </c>
    </row>
    <row r="715" spans="1:15" x14ac:dyDescent="0.3">
      <c r="A715">
        <v>4</v>
      </c>
      <c r="B715">
        <v>2017</v>
      </c>
      <c r="C715">
        <v>1798</v>
      </c>
      <c r="D715">
        <v>120</v>
      </c>
      <c r="E715">
        <v>24</v>
      </c>
      <c r="F715">
        <v>1.5</v>
      </c>
      <c r="G715">
        <f t="shared" si="107"/>
        <v>0</v>
      </c>
      <c r="H715">
        <f t="shared" si="107"/>
        <v>0</v>
      </c>
      <c r="I715">
        <f t="shared" si="107"/>
        <v>0</v>
      </c>
      <c r="J715">
        <f t="shared" si="107"/>
        <v>0</v>
      </c>
      <c r="K715">
        <f t="shared" si="107"/>
        <v>0</v>
      </c>
      <c r="L715">
        <f t="shared" si="107"/>
        <v>1</v>
      </c>
      <c r="M715">
        <f t="shared" si="106"/>
        <v>0</v>
      </c>
      <c r="N715">
        <f t="shared" si="106"/>
        <v>0</v>
      </c>
      <c r="O715">
        <f t="shared" si="106"/>
        <v>1</v>
      </c>
    </row>
    <row r="716" spans="1:15" x14ac:dyDescent="0.3">
      <c r="A716">
        <v>4</v>
      </c>
      <c r="B716">
        <v>2015</v>
      </c>
      <c r="C716">
        <v>1783</v>
      </c>
      <c r="D716">
        <v>45</v>
      </c>
      <c r="E716">
        <v>15</v>
      </c>
      <c r="F716">
        <v>0.6</v>
      </c>
      <c r="G716">
        <f t="shared" si="107"/>
        <v>0</v>
      </c>
      <c r="H716">
        <f t="shared" si="107"/>
        <v>0</v>
      </c>
      <c r="I716">
        <f t="shared" si="107"/>
        <v>0</v>
      </c>
      <c r="J716">
        <f t="shared" si="107"/>
        <v>1</v>
      </c>
      <c r="K716">
        <f t="shared" si="107"/>
        <v>0</v>
      </c>
      <c r="L716">
        <f t="shared" si="107"/>
        <v>0</v>
      </c>
      <c r="M716">
        <f t="shared" si="106"/>
        <v>0</v>
      </c>
      <c r="N716">
        <f t="shared" si="106"/>
        <v>0</v>
      </c>
      <c r="O716">
        <f t="shared" si="106"/>
        <v>1</v>
      </c>
    </row>
    <row r="717" spans="1:15" x14ac:dyDescent="0.3">
      <c r="A717">
        <v>2</v>
      </c>
      <c r="B717">
        <v>2015</v>
      </c>
      <c r="C717">
        <v>1780</v>
      </c>
      <c r="D717">
        <v>25</v>
      </c>
      <c r="E717">
        <v>21</v>
      </c>
      <c r="F717">
        <v>1.5</v>
      </c>
      <c r="G717">
        <f t="shared" si="107"/>
        <v>0</v>
      </c>
      <c r="H717">
        <f t="shared" si="107"/>
        <v>0</v>
      </c>
      <c r="I717">
        <f t="shared" si="107"/>
        <v>0</v>
      </c>
      <c r="J717">
        <f t="shared" si="107"/>
        <v>1</v>
      </c>
      <c r="K717">
        <f t="shared" si="107"/>
        <v>0</v>
      </c>
      <c r="L717">
        <f t="shared" si="107"/>
        <v>0</v>
      </c>
      <c r="M717">
        <f t="shared" si="106"/>
        <v>0</v>
      </c>
      <c r="N717">
        <f t="shared" si="106"/>
        <v>1</v>
      </c>
      <c r="O717">
        <f t="shared" si="106"/>
        <v>0</v>
      </c>
    </row>
    <row r="718" spans="1:15" x14ac:dyDescent="0.3">
      <c r="A718">
        <v>1</v>
      </c>
      <c r="B718">
        <v>2015</v>
      </c>
      <c r="C718">
        <v>1780</v>
      </c>
      <c r="D718">
        <v>20</v>
      </c>
      <c r="E718">
        <v>6</v>
      </c>
      <c r="F718">
        <v>0.6</v>
      </c>
      <c r="G718">
        <f t="shared" si="107"/>
        <v>0</v>
      </c>
      <c r="H718">
        <f t="shared" si="107"/>
        <v>0</v>
      </c>
      <c r="I718">
        <f t="shared" si="107"/>
        <v>0</v>
      </c>
      <c r="J718">
        <f t="shared" si="107"/>
        <v>1</v>
      </c>
      <c r="K718">
        <f t="shared" si="107"/>
        <v>0</v>
      </c>
      <c r="L718">
        <f t="shared" si="107"/>
        <v>0</v>
      </c>
      <c r="M718">
        <f t="shared" si="106"/>
        <v>1</v>
      </c>
      <c r="N718">
        <f t="shared" si="106"/>
        <v>0</v>
      </c>
      <c r="O718">
        <f t="shared" si="106"/>
        <v>0</v>
      </c>
    </row>
    <row r="719" spans="1:15" x14ac:dyDescent="0.3">
      <c r="A719">
        <v>4</v>
      </c>
      <c r="B719">
        <v>2014</v>
      </c>
      <c r="C719">
        <v>1779</v>
      </c>
      <c r="D719">
        <v>55</v>
      </c>
      <c r="E719">
        <v>16</v>
      </c>
      <c r="F719">
        <v>1</v>
      </c>
      <c r="G719">
        <f t="shared" si="107"/>
        <v>0</v>
      </c>
      <c r="H719">
        <f t="shared" si="107"/>
        <v>0</v>
      </c>
      <c r="I719">
        <f t="shared" si="107"/>
        <v>1</v>
      </c>
      <c r="J719">
        <f t="shared" si="107"/>
        <v>0</v>
      </c>
      <c r="K719">
        <f t="shared" si="107"/>
        <v>0</v>
      </c>
      <c r="L719">
        <f t="shared" si="107"/>
        <v>0</v>
      </c>
      <c r="M719">
        <f t="shared" si="106"/>
        <v>0</v>
      </c>
      <c r="N719">
        <f t="shared" si="106"/>
        <v>0</v>
      </c>
      <c r="O719">
        <f t="shared" si="106"/>
        <v>1</v>
      </c>
    </row>
    <row r="720" spans="1:15" x14ac:dyDescent="0.3">
      <c r="A720">
        <v>4</v>
      </c>
      <c r="B720">
        <v>2017</v>
      </c>
      <c r="C720">
        <v>1777</v>
      </c>
      <c r="D720">
        <v>30</v>
      </c>
      <c r="E720">
        <v>48</v>
      </c>
      <c r="F720">
        <v>6.5</v>
      </c>
      <c r="G720">
        <f t="shared" si="107"/>
        <v>0</v>
      </c>
      <c r="H720">
        <f t="shared" si="107"/>
        <v>0</v>
      </c>
      <c r="I720">
        <f t="shared" si="107"/>
        <v>0</v>
      </c>
      <c r="J720">
        <f t="shared" si="107"/>
        <v>0</v>
      </c>
      <c r="K720">
        <f t="shared" si="107"/>
        <v>0</v>
      </c>
      <c r="L720">
        <f t="shared" si="107"/>
        <v>1</v>
      </c>
      <c r="M720">
        <f t="shared" si="106"/>
        <v>0</v>
      </c>
      <c r="N720">
        <f t="shared" si="106"/>
        <v>0</v>
      </c>
      <c r="O720">
        <f t="shared" si="106"/>
        <v>1</v>
      </c>
    </row>
    <row r="721" spans="1:15" x14ac:dyDescent="0.3">
      <c r="A721">
        <v>1</v>
      </c>
      <c r="B721">
        <v>2015</v>
      </c>
      <c r="C721">
        <v>1772</v>
      </c>
      <c r="D721">
        <v>30</v>
      </c>
      <c r="E721">
        <v>48</v>
      </c>
      <c r="F721">
        <v>2.5</v>
      </c>
      <c r="G721">
        <f t="shared" si="107"/>
        <v>0</v>
      </c>
      <c r="H721">
        <f t="shared" si="107"/>
        <v>0</v>
      </c>
      <c r="I721">
        <f t="shared" si="107"/>
        <v>0</v>
      </c>
      <c r="J721">
        <f t="shared" si="107"/>
        <v>1</v>
      </c>
      <c r="K721">
        <f t="shared" si="107"/>
        <v>0</v>
      </c>
      <c r="L721">
        <f t="shared" si="107"/>
        <v>0</v>
      </c>
      <c r="M721">
        <f t="shared" si="106"/>
        <v>1</v>
      </c>
      <c r="N721">
        <f t="shared" si="106"/>
        <v>0</v>
      </c>
      <c r="O721">
        <f t="shared" si="106"/>
        <v>0</v>
      </c>
    </row>
    <row r="722" spans="1:15" x14ac:dyDescent="0.3">
      <c r="A722">
        <v>1</v>
      </c>
      <c r="B722">
        <v>2015</v>
      </c>
      <c r="C722">
        <v>1769</v>
      </c>
      <c r="D722">
        <v>20</v>
      </c>
      <c r="E722">
        <v>7</v>
      </c>
      <c r="F722">
        <v>0.58333332999999998</v>
      </c>
      <c r="G722">
        <f t="shared" ref="G722:L731" si="108">IF($B722=G$1,1,0)</f>
        <v>0</v>
      </c>
      <c r="H722">
        <f t="shared" si="108"/>
        <v>0</v>
      </c>
      <c r="I722">
        <f t="shared" si="108"/>
        <v>0</v>
      </c>
      <c r="J722">
        <f t="shared" si="108"/>
        <v>1</v>
      </c>
      <c r="K722">
        <f t="shared" si="108"/>
        <v>0</v>
      </c>
      <c r="L722">
        <f t="shared" si="108"/>
        <v>0</v>
      </c>
      <c r="M722">
        <f t="shared" ref="M722:O741" si="109">IF($A722=M$1,1,0)</f>
        <v>1</v>
      </c>
      <c r="N722">
        <f t="shared" si="109"/>
        <v>0</v>
      </c>
      <c r="O722">
        <f t="shared" si="109"/>
        <v>0</v>
      </c>
    </row>
    <row r="723" spans="1:15" x14ac:dyDescent="0.3">
      <c r="A723">
        <v>4</v>
      </c>
      <c r="B723">
        <v>2015</v>
      </c>
      <c r="C723">
        <v>1766</v>
      </c>
      <c r="D723">
        <v>195</v>
      </c>
      <c r="E723">
        <v>118</v>
      </c>
      <c r="F723">
        <v>18.5</v>
      </c>
      <c r="G723">
        <f t="shared" si="108"/>
        <v>0</v>
      </c>
      <c r="H723">
        <f t="shared" si="108"/>
        <v>0</v>
      </c>
      <c r="I723">
        <f t="shared" si="108"/>
        <v>0</v>
      </c>
      <c r="J723">
        <f t="shared" si="108"/>
        <v>1</v>
      </c>
      <c r="K723">
        <f t="shared" si="108"/>
        <v>0</v>
      </c>
      <c r="L723">
        <f t="shared" si="108"/>
        <v>0</v>
      </c>
      <c r="M723">
        <f t="shared" si="109"/>
        <v>0</v>
      </c>
      <c r="N723">
        <f t="shared" si="109"/>
        <v>0</v>
      </c>
      <c r="O723">
        <f t="shared" si="109"/>
        <v>1</v>
      </c>
    </row>
    <row r="724" spans="1:15" x14ac:dyDescent="0.3">
      <c r="A724">
        <v>1</v>
      </c>
      <c r="B724">
        <v>2016</v>
      </c>
      <c r="C724">
        <v>1764</v>
      </c>
      <c r="D724">
        <v>45</v>
      </c>
      <c r="E724">
        <v>16</v>
      </c>
      <c r="F724">
        <v>1.5</v>
      </c>
      <c r="G724">
        <f t="shared" si="108"/>
        <v>0</v>
      </c>
      <c r="H724">
        <f t="shared" si="108"/>
        <v>0</v>
      </c>
      <c r="I724">
        <f t="shared" si="108"/>
        <v>0</v>
      </c>
      <c r="J724">
        <f t="shared" si="108"/>
        <v>0</v>
      </c>
      <c r="K724">
        <f t="shared" si="108"/>
        <v>1</v>
      </c>
      <c r="L724">
        <f t="shared" si="108"/>
        <v>0</v>
      </c>
      <c r="M724">
        <f t="shared" si="109"/>
        <v>1</v>
      </c>
      <c r="N724">
        <f t="shared" si="109"/>
        <v>0</v>
      </c>
      <c r="O724">
        <f t="shared" si="109"/>
        <v>0</v>
      </c>
    </row>
    <row r="725" spans="1:15" x14ac:dyDescent="0.3">
      <c r="A725">
        <v>4</v>
      </c>
      <c r="B725">
        <v>2014</v>
      </c>
      <c r="C725">
        <v>1764</v>
      </c>
      <c r="D725">
        <v>60</v>
      </c>
      <c r="E725">
        <v>28</v>
      </c>
      <c r="F725">
        <v>6.5</v>
      </c>
      <c r="G725">
        <f t="shared" si="108"/>
        <v>0</v>
      </c>
      <c r="H725">
        <f t="shared" si="108"/>
        <v>0</v>
      </c>
      <c r="I725">
        <f t="shared" si="108"/>
        <v>1</v>
      </c>
      <c r="J725">
        <f t="shared" si="108"/>
        <v>0</v>
      </c>
      <c r="K725">
        <f t="shared" si="108"/>
        <v>0</v>
      </c>
      <c r="L725">
        <f t="shared" si="108"/>
        <v>0</v>
      </c>
      <c r="M725">
        <f t="shared" si="109"/>
        <v>0</v>
      </c>
      <c r="N725">
        <f t="shared" si="109"/>
        <v>0</v>
      </c>
      <c r="O725">
        <f t="shared" si="109"/>
        <v>1</v>
      </c>
    </row>
    <row r="726" spans="1:15" x14ac:dyDescent="0.3">
      <c r="A726">
        <v>1</v>
      </c>
      <c r="B726">
        <v>2017</v>
      </c>
      <c r="C726">
        <v>1763</v>
      </c>
      <c r="D726">
        <v>20</v>
      </c>
      <c r="E726">
        <v>30</v>
      </c>
      <c r="F726">
        <v>2</v>
      </c>
      <c r="G726">
        <f t="shared" si="108"/>
        <v>0</v>
      </c>
      <c r="H726">
        <f t="shared" si="108"/>
        <v>0</v>
      </c>
      <c r="I726">
        <f t="shared" si="108"/>
        <v>0</v>
      </c>
      <c r="J726">
        <f t="shared" si="108"/>
        <v>0</v>
      </c>
      <c r="K726">
        <f t="shared" si="108"/>
        <v>0</v>
      </c>
      <c r="L726">
        <f t="shared" si="108"/>
        <v>1</v>
      </c>
      <c r="M726">
        <f t="shared" si="109"/>
        <v>1</v>
      </c>
      <c r="N726">
        <f t="shared" si="109"/>
        <v>0</v>
      </c>
      <c r="O726">
        <f t="shared" si="109"/>
        <v>0</v>
      </c>
    </row>
    <row r="727" spans="1:15" x14ac:dyDescent="0.3">
      <c r="A727">
        <v>2</v>
      </c>
      <c r="B727">
        <v>2012</v>
      </c>
      <c r="C727">
        <v>1758</v>
      </c>
      <c r="D727">
        <v>25</v>
      </c>
      <c r="E727">
        <v>16</v>
      </c>
      <c r="F727">
        <v>3.5</v>
      </c>
      <c r="G727">
        <f t="shared" si="108"/>
        <v>1</v>
      </c>
      <c r="H727">
        <f t="shared" si="108"/>
        <v>0</v>
      </c>
      <c r="I727">
        <f t="shared" si="108"/>
        <v>0</v>
      </c>
      <c r="J727">
        <f t="shared" si="108"/>
        <v>0</v>
      </c>
      <c r="K727">
        <f t="shared" si="108"/>
        <v>0</v>
      </c>
      <c r="L727">
        <f t="shared" si="108"/>
        <v>0</v>
      </c>
      <c r="M727">
        <f t="shared" si="109"/>
        <v>0</v>
      </c>
      <c r="N727">
        <f t="shared" si="109"/>
        <v>1</v>
      </c>
      <c r="O727">
        <f t="shared" si="109"/>
        <v>0</v>
      </c>
    </row>
    <row r="728" spans="1:15" x14ac:dyDescent="0.3">
      <c r="A728">
        <v>4</v>
      </c>
      <c r="B728">
        <v>2016</v>
      </c>
      <c r="C728">
        <v>1747</v>
      </c>
      <c r="D728">
        <v>20</v>
      </c>
      <c r="E728">
        <v>13</v>
      </c>
      <c r="F728">
        <v>1.5</v>
      </c>
      <c r="G728">
        <f t="shared" si="108"/>
        <v>0</v>
      </c>
      <c r="H728">
        <f t="shared" si="108"/>
        <v>0</v>
      </c>
      <c r="I728">
        <f t="shared" si="108"/>
        <v>0</v>
      </c>
      <c r="J728">
        <f t="shared" si="108"/>
        <v>0</v>
      </c>
      <c r="K728">
        <f t="shared" si="108"/>
        <v>1</v>
      </c>
      <c r="L728">
        <f t="shared" si="108"/>
        <v>0</v>
      </c>
      <c r="M728">
        <f t="shared" si="109"/>
        <v>0</v>
      </c>
      <c r="N728">
        <f t="shared" si="109"/>
        <v>0</v>
      </c>
      <c r="O728">
        <f t="shared" si="109"/>
        <v>1</v>
      </c>
    </row>
    <row r="729" spans="1:15" x14ac:dyDescent="0.3">
      <c r="A729">
        <v>4</v>
      </c>
      <c r="B729">
        <v>2017</v>
      </c>
      <c r="C729">
        <v>1741</v>
      </c>
      <c r="D729">
        <v>30</v>
      </c>
      <c r="E729">
        <v>87</v>
      </c>
      <c r="F729">
        <v>9</v>
      </c>
      <c r="G729">
        <f t="shared" si="108"/>
        <v>0</v>
      </c>
      <c r="H729">
        <f t="shared" si="108"/>
        <v>0</v>
      </c>
      <c r="I729">
        <f t="shared" si="108"/>
        <v>0</v>
      </c>
      <c r="J729">
        <f t="shared" si="108"/>
        <v>0</v>
      </c>
      <c r="K729">
        <f t="shared" si="108"/>
        <v>0</v>
      </c>
      <c r="L729">
        <f t="shared" si="108"/>
        <v>1</v>
      </c>
      <c r="M729">
        <f t="shared" si="109"/>
        <v>0</v>
      </c>
      <c r="N729">
        <f t="shared" si="109"/>
        <v>0</v>
      </c>
      <c r="O729">
        <f t="shared" si="109"/>
        <v>1</v>
      </c>
    </row>
    <row r="730" spans="1:15" x14ac:dyDescent="0.3">
      <c r="A730">
        <v>1</v>
      </c>
      <c r="B730">
        <v>2016</v>
      </c>
      <c r="C730">
        <v>1737</v>
      </c>
      <c r="D730">
        <v>30</v>
      </c>
      <c r="E730">
        <v>87</v>
      </c>
      <c r="F730">
        <v>11.5</v>
      </c>
      <c r="G730">
        <f t="shared" si="108"/>
        <v>0</v>
      </c>
      <c r="H730">
        <f t="shared" si="108"/>
        <v>0</v>
      </c>
      <c r="I730">
        <f t="shared" si="108"/>
        <v>0</v>
      </c>
      <c r="J730">
        <f t="shared" si="108"/>
        <v>0</v>
      </c>
      <c r="K730">
        <f t="shared" si="108"/>
        <v>1</v>
      </c>
      <c r="L730">
        <f t="shared" si="108"/>
        <v>0</v>
      </c>
      <c r="M730">
        <f t="shared" si="109"/>
        <v>1</v>
      </c>
      <c r="N730">
        <f t="shared" si="109"/>
        <v>0</v>
      </c>
      <c r="O730">
        <f t="shared" si="109"/>
        <v>0</v>
      </c>
    </row>
    <row r="731" spans="1:15" x14ac:dyDescent="0.3">
      <c r="A731">
        <v>1</v>
      </c>
      <c r="B731">
        <v>2014</v>
      </c>
      <c r="C731">
        <v>1736</v>
      </c>
      <c r="D731">
        <v>60</v>
      </c>
      <c r="E731">
        <v>47</v>
      </c>
      <c r="F731">
        <v>13</v>
      </c>
      <c r="G731">
        <f t="shared" si="108"/>
        <v>0</v>
      </c>
      <c r="H731">
        <f t="shared" si="108"/>
        <v>0</v>
      </c>
      <c r="I731">
        <f t="shared" si="108"/>
        <v>1</v>
      </c>
      <c r="J731">
        <f t="shared" si="108"/>
        <v>0</v>
      </c>
      <c r="K731">
        <f t="shared" si="108"/>
        <v>0</v>
      </c>
      <c r="L731">
        <f t="shared" si="108"/>
        <v>0</v>
      </c>
      <c r="M731">
        <f t="shared" si="109"/>
        <v>1</v>
      </c>
      <c r="N731">
        <f t="shared" si="109"/>
        <v>0</v>
      </c>
      <c r="O731">
        <f t="shared" si="109"/>
        <v>0</v>
      </c>
    </row>
    <row r="732" spans="1:15" x14ac:dyDescent="0.3">
      <c r="A732">
        <v>1</v>
      </c>
      <c r="B732">
        <v>2016</v>
      </c>
      <c r="C732">
        <v>1735</v>
      </c>
      <c r="D732">
        <v>100</v>
      </c>
      <c r="E732">
        <v>25</v>
      </c>
      <c r="F732">
        <v>2.5</v>
      </c>
      <c r="G732">
        <f t="shared" ref="G732:L741" si="110">IF($B732=G$1,1,0)</f>
        <v>0</v>
      </c>
      <c r="H732">
        <f t="shared" si="110"/>
        <v>0</v>
      </c>
      <c r="I732">
        <f t="shared" si="110"/>
        <v>0</v>
      </c>
      <c r="J732">
        <f t="shared" si="110"/>
        <v>0</v>
      </c>
      <c r="K732">
        <f t="shared" si="110"/>
        <v>1</v>
      </c>
      <c r="L732">
        <f t="shared" si="110"/>
        <v>0</v>
      </c>
      <c r="M732">
        <f t="shared" si="109"/>
        <v>1</v>
      </c>
      <c r="N732">
        <f t="shared" si="109"/>
        <v>0</v>
      </c>
      <c r="O732">
        <f t="shared" si="109"/>
        <v>0</v>
      </c>
    </row>
    <row r="733" spans="1:15" x14ac:dyDescent="0.3">
      <c r="A733">
        <v>1</v>
      </c>
      <c r="B733">
        <v>2016</v>
      </c>
      <c r="C733">
        <v>1734</v>
      </c>
      <c r="D733">
        <v>20</v>
      </c>
      <c r="E733">
        <v>13</v>
      </c>
      <c r="F733">
        <v>1</v>
      </c>
      <c r="G733">
        <f t="shared" si="110"/>
        <v>0</v>
      </c>
      <c r="H733">
        <f t="shared" si="110"/>
        <v>0</v>
      </c>
      <c r="I733">
        <f t="shared" si="110"/>
        <v>0</v>
      </c>
      <c r="J733">
        <f t="shared" si="110"/>
        <v>0</v>
      </c>
      <c r="K733">
        <f t="shared" si="110"/>
        <v>1</v>
      </c>
      <c r="L733">
        <f t="shared" si="110"/>
        <v>0</v>
      </c>
      <c r="M733">
        <f t="shared" si="109"/>
        <v>1</v>
      </c>
      <c r="N733">
        <f t="shared" si="109"/>
        <v>0</v>
      </c>
      <c r="O733">
        <f t="shared" si="109"/>
        <v>0</v>
      </c>
    </row>
    <row r="734" spans="1:15" x14ac:dyDescent="0.3">
      <c r="A734">
        <v>2</v>
      </c>
      <c r="B734">
        <v>2017</v>
      </c>
      <c r="C734">
        <v>1732</v>
      </c>
      <c r="D734">
        <v>20</v>
      </c>
      <c r="E734">
        <v>48</v>
      </c>
      <c r="F734">
        <v>4.5</v>
      </c>
      <c r="G734">
        <f t="shared" si="110"/>
        <v>0</v>
      </c>
      <c r="H734">
        <f t="shared" si="110"/>
        <v>0</v>
      </c>
      <c r="I734">
        <f t="shared" si="110"/>
        <v>0</v>
      </c>
      <c r="J734">
        <f t="shared" si="110"/>
        <v>0</v>
      </c>
      <c r="K734">
        <f t="shared" si="110"/>
        <v>0</v>
      </c>
      <c r="L734">
        <f t="shared" si="110"/>
        <v>1</v>
      </c>
      <c r="M734">
        <f t="shared" si="109"/>
        <v>0</v>
      </c>
      <c r="N734">
        <f t="shared" si="109"/>
        <v>1</v>
      </c>
      <c r="O734">
        <f t="shared" si="109"/>
        <v>0</v>
      </c>
    </row>
    <row r="735" spans="1:15" x14ac:dyDescent="0.3">
      <c r="A735">
        <v>4</v>
      </c>
      <c r="B735">
        <v>2015</v>
      </c>
      <c r="C735">
        <v>1731</v>
      </c>
      <c r="D735">
        <v>20</v>
      </c>
      <c r="E735">
        <v>74</v>
      </c>
      <c r="F735">
        <v>4</v>
      </c>
      <c r="G735">
        <f t="shared" si="110"/>
        <v>0</v>
      </c>
      <c r="H735">
        <f t="shared" si="110"/>
        <v>0</v>
      </c>
      <c r="I735">
        <f t="shared" si="110"/>
        <v>0</v>
      </c>
      <c r="J735">
        <f t="shared" si="110"/>
        <v>1</v>
      </c>
      <c r="K735">
        <f t="shared" si="110"/>
        <v>0</v>
      </c>
      <c r="L735">
        <f t="shared" si="110"/>
        <v>0</v>
      </c>
      <c r="M735">
        <f t="shared" si="109"/>
        <v>0</v>
      </c>
      <c r="N735">
        <f t="shared" si="109"/>
        <v>0</v>
      </c>
      <c r="O735">
        <f t="shared" si="109"/>
        <v>1</v>
      </c>
    </row>
    <row r="736" spans="1:15" x14ac:dyDescent="0.3">
      <c r="A736">
        <v>4</v>
      </c>
      <c r="B736">
        <v>2016</v>
      </c>
      <c r="C736">
        <v>1724</v>
      </c>
      <c r="D736">
        <v>50</v>
      </c>
      <c r="E736">
        <v>94</v>
      </c>
      <c r="F736">
        <v>13</v>
      </c>
      <c r="G736">
        <f t="shared" si="110"/>
        <v>0</v>
      </c>
      <c r="H736">
        <f t="shared" si="110"/>
        <v>0</v>
      </c>
      <c r="I736">
        <f t="shared" si="110"/>
        <v>0</v>
      </c>
      <c r="J736">
        <f t="shared" si="110"/>
        <v>0</v>
      </c>
      <c r="K736">
        <f t="shared" si="110"/>
        <v>1</v>
      </c>
      <c r="L736">
        <f t="shared" si="110"/>
        <v>0</v>
      </c>
      <c r="M736">
        <f t="shared" si="109"/>
        <v>0</v>
      </c>
      <c r="N736">
        <f t="shared" si="109"/>
        <v>0</v>
      </c>
      <c r="O736">
        <f t="shared" si="109"/>
        <v>1</v>
      </c>
    </row>
    <row r="737" spans="1:15" x14ac:dyDescent="0.3">
      <c r="A737">
        <v>1</v>
      </c>
      <c r="B737">
        <v>2016</v>
      </c>
      <c r="C737">
        <v>1723</v>
      </c>
      <c r="D737">
        <v>20</v>
      </c>
      <c r="E737">
        <v>7</v>
      </c>
      <c r="F737">
        <v>1</v>
      </c>
      <c r="G737">
        <f t="shared" si="110"/>
        <v>0</v>
      </c>
      <c r="H737">
        <f t="shared" si="110"/>
        <v>0</v>
      </c>
      <c r="I737">
        <f t="shared" si="110"/>
        <v>0</v>
      </c>
      <c r="J737">
        <f t="shared" si="110"/>
        <v>0</v>
      </c>
      <c r="K737">
        <f t="shared" si="110"/>
        <v>1</v>
      </c>
      <c r="L737">
        <f t="shared" si="110"/>
        <v>0</v>
      </c>
      <c r="M737">
        <f t="shared" si="109"/>
        <v>1</v>
      </c>
      <c r="N737">
        <f t="shared" si="109"/>
        <v>0</v>
      </c>
      <c r="O737">
        <f t="shared" si="109"/>
        <v>0</v>
      </c>
    </row>
    <row r="738" spans="1:15" x14ac:dyDescent="0.3">
      <c r="A738">
        <v>4</v>
      </c>
      <c r="B738">
        <v>2016</v>
      </c>
      <c r="C738">
        <v>1723</v>
      </c>
      <c r="D738">
        <v>60</v>
      </c>
      <c r="E738">
        <v>60</v>
      </c>
      <c r="F738">
        <v>11</v>
      </c>
      <c r="G738">
        <f t="shared" si="110"/>
        <v>0</v>
      </c>
      <c r="H738">
        <f t="shared" si="110"/>
        <v>0</v>
      </c>
      <c r="I738">
        <f t="shared" si="110"/>
        <v>0</v>
      </c>
      <c r="J738">
        <f t="shared" si="110"/>
        <v>0</v>
      </c>
      <c r="K738">
        <f t="shared" si="110"/>
        <v>1</v>
      </c>
      <c r="L738">
        <f t="shared" si="110"/>
        <v>0</v>
      </c>
      <c r="M738">
        <f t="shared" si="109"/>
        <v>0</v>
      </c>
      <c r="N738">
        <f t="shared" si="109"/>
        <v>0</v>
      </c>
      <c r="O738">
        <f t="shared" si="109"/>
        <v>1</v>
      </c>
    </row>
    <row r="739" spans="1:15" x14ac:dyDescent="0.3">
      <c r="A739">
        <v>4</v>
      </c>
      <c r="B739">
        <v>2016</v>
      </c>
      <c r="C739">
        <v>1712</v>
      </c>
      <c r="D739">
        <v>100</v>
      </c>
      <c r="E739">
        <v>49</v>
      </c>
      <c r="F739">
        <v>5.5</v>
      </c>
      <c r="G739">
        <f t="shared" si="110"/>
        <v>0</v>
      </c>
      <c r="H739">
        <f t="shared" si="110"/>
        <v>0</v>
      </c>
      <c r="I739">
        <f t="shared" si="110"/>
        <v>0</v>
      </c>
      <c r="J739">
        <f t="shared" si="110"/>
        <v>0</v>
      </c>
      <c r="K739">
        <f t="shared" si="110"/>
        <v>1</v>
      </c>
      <c r="L739">
        <f t="shared" si="110"/>
        <v>0</v>
      </c>
      <c r="M739">
        <f t="shared" si="109"/>
        <v>0</v>
      </c>
      <c r="N739">
        <f t="shared" si="109"/>
        <v>0</v>
      </c>
      <c r="O739">
        <f t="shared" si="109"/>
        <v>1</v>
      </c>
    </row>
    <row r="740" spans="1:15" x14ac:dyDescent="0.3">
      <c r="A740">
        <v>4</v>
      </c>
      <c r="B740">
        <v>2016</v>
      </c>
      <c r="C740">
        <v>1705</v>
      </c>
      <c r="D740">
        <v>50</v>
      </c>
      <c r="E740">
        <v>17</v>
      </c>
      <c r="F740">
        <v>2</v>
      </c>
      <c r="G740">
        <f t="shared" si="110"/>
        <v>0</v>
      </c>
      <c r="H740">
        <f t="shared" si="110"/>
        <v>0</v>
      </c>
      <c r="I740">
        <f t="shared" si="110"/>
        <v>0</v>
      </c>
      <c r="J740">
        <f t="shared" si="110"/>
        <v>0</v>
      </c>
      <c r="K740">
        <f t="shared" si="110"/>
        <v>1</v>
      </c>
      <c r="L740">
        <f t="shared" si="110"/>
        <v>0</v>
      </c>
      <c r="M740">
        <f t="shared" si="109"/>
        <v>0</v>
      </c>
      <c r="N740">
        <f t="shared" si="109"/>
        <v>0</v>
      </c>
      <c r="O740">
        <f t="shared" si="109"/>
        <v>1</v>
      </c>
    </row>
    <row r="741" spans="1:15" x14ac:dyDescent="0.3">
      <c r="A741">
        <v>1</v>
      </c>
      <c r="B741">
        <v>2016</v>
      </c>
      <c r="C741">
        <v>1703</v>
      </c>
      <c r="D741">
        <v>195</v>
      </c>
      <c r="E741">
        <v>178</v>
      </c>
      <c r="F741">
        <v>13</v>
      </c>
      <c r="G741">
        <f t="shared" si="110"/>
        <v>0</v>
      </c>
      <c r="H741">
        <f t="shared" si="110"/>
        <v>0</v>
      </c>
      <c r="I741">
        <f t="shared" si="110"/>
        <v>0</v>
      </c>
      <c r="J741">
        <f t="shared" si="110"/>
        <v>0</v>
      </c>
      <c r="K741">
        <f t="shared" si="110"/>
        <v>1</v>
      </c>
      <c r="L741">
        <f t="shared" si="110"/>
        <v>0</v>
      </c>
      <c r="M741">
        <f t="shared" si="109"/>
        <v>1</v>
      </c>
      <c r="N741">
        <f t="shared" si="109"/>
        <v>0</v>
      </c>
      <c r="O741">
        <f t="shared" si="109"/>
        <v>0</v>
      </c>
    </row>
    <row r="742" spans="1:15" x14ac:dyDescent="0.3">
      <c r="A742">
        <v>4</v>
      </c>
      <c r="B742">
        <v>2016</v>
      </c>
      <c r="C742">
        <v>1703</v>
      </c>
      <c r="D742">
        <v>65</v>
      </c>
      <c r="E742">
        <v>8</v>
      </c>
      <c r="F742">
        <v>1</v>
      </c>
      <c r="G742">
        <f t="shared" ref="G742:L751" si="111">IF($B742=G$1,1,0)</f>
        <v>0</v>
      </c>
      <c r="H742">
        <f t="shared" si="111"/>
        <v>0</v>
      </c>
      <c r="I742">
        <f t="shared" si="111"/>
        <v>0</v>
      </c>
      <c r="J742">
        <f t="shared" si="111"/>
        <v>0</v>
      </c>
      <c r="K742">
        <f t="shared" si="111"/>
        <v>1</v>
      </c>
      <c r="L742">
        <f t="shared" si="111"/>
        <v>0</v>
      </c>
      <c r="M742">
        <f t="shared" ref="M742:O761" si="112">IF($A742=M$1,1,0)</f>
        <v>0</v>
      </c>
      <c r="N742">
        <f t="shared" si="112"/>
        <v>0</v>
      </c>
      <c r="O742">
        <f t="shared" si="112"/>
        <v>1</v>
      </c>
    </row>
    <row r="743" spans="1:15" x14ac:dyDescent="0.3">
      <c r="A743">
        <v>4</v>
      </c>
      <c r="B743">
        <v>2016</v>
      </c>
      <c r="C743">
        <v>1703</v>
      </c>
      <c r="D743">
        <v>70</v>
      </c>
      <c r="E743">
        <v>65</v>
      </c>
      <c r="F743">
        <v>3</v>
      </c>
      <c r="G743">
        <f t="shared" si="111"/>
        <v>0</v>
      </c>
      <c r="H743">
        <f t="shared" si="111"/>
        <v>0</v>
      </c>
      <c r="I743">
        <f t="shared" si="111"/>
        <v>0</v>
      </c>
      <c r="J743">
        <f t="shared" si="111"/>
        <v>0</v>
      </c>
      <c r="K743">
        <f t="shared" si="111"/>
        <v>1</v>
      </c>
      <c r="L743">
        <f t="shared" si="111"/>
        <v>0</v>
      </c>
      <c r="M743">
        <f t="shared" si="112"/>
        <v>0</v>
      </c>
      <c r="N743">
        <f t="shared" si="112"/>
        <v>0</v>
      </c>
      <c r="O743">
        <f t="shared" si="112"/>
        <v>1</v>
      </c>
    </row>
    <row r="744" spans="1:15" x14ac:dyDescent="0.3">
      <c r="A744">
        <v>4</v>
      </c>
      <c r="B744">
        <v>2016</v>
      </c>
      <c r="C744">
        <v>1702</v>
      </c>
      <c r="D744">
        <v>50</v>
      </c>
      <c r="E744">
        <v>78</v>
      </c>
      <c r="F744">
        <v>7</v>
      </c>
      <c r="G744">
        <f t="shared" si="111"/>
        <v>0</v>
      </c>
      <c r="H744">
        <f t="shared" si="111"/>
        <v>0</v>
      </c>
      <c r="I744">
        <f t="shared" si="111"/>
        <v>0</v>
      </c>
      <c r="J744">
        <f t="shared" si="111"/>
        <v>0</v>
      </c>
      <c r="K744">
        <f t="shared" si="111"/>
        <v>1</v>
      </c>
      <c r="L744">
        <f t="shared" si="111"/>
        <v>0</v>
      </c>
      <c r="M744">
        <f t="shared" si="112"/>
        <v>0</v>
      </c>
      <c r="N744">
        <f t="shared" si="112"/>
        <v>0</v>
      </c>
      <c r="O744">
        <f t="shared" si="112"/>
        <v>1</v>
      </c>
    </row>
    <row r="745" spans="1:15" x14ac:dyDescent="0.3">
      <c r="A745">
        <v>4</v>
      </c>
      <c r="B745">
        <v>2015</v>
      </c>
      <c r="C745">
        <v>1701</v>
      </c>
      <c r="D745">
        <v>100</v>
      </c>
      <c r="E745">
        <v>88</v>
      </c>
      <c r="F745">
        <v>7</v>
      </c>
      <c r="G745">
        <f t="shared" si="111"/>
        <v>0</v>
      </c>
      <c r="H745">
        <f t="shared" si="111"/>
        <v>0</v>
      </c>
      <c r="I745">
        <f t="shared" si="111"/>
        <v>0</v>
      </c>
      <c r="J745">
        <f t="shared" si="111"/>
        <v>1</v>
      </c>
      <c r="K745">
        <f t="shared" si="111"/>
        <v>0</v>
      </c>
      <c r="L745">
        <f t="shared" si="111"/>
        <v>0</v>
      </c>
      <c r="M745">
        <f t="shared" si="112"/>
        <v>0</v>
      </c>
      <c r="N745">
        <f t="shared" si="112"/>
        <v>0</v>
      </c>
      <c r="O745">
        <f t="shared" si="112"/>
        <v>1</v>
      </c>
    </row>
    <row r="746" spans="1:15" x14ac:dyDescent="0.3">
      <c r="A746">
        <v>2</v>
      </c>
      <c r="B746">
        <v>2016</v>
      </c>
      <c r="C746">
        <v>1699</v>
      </c>
      <c r="D746">
        <v>60</v>
      </c>
      <c r="E746">
        <v>22</v>
      </c>
      <c r="F746">
        <v>2</v>
      </c>
      <c r="G746">
        <f t="shared" si="111"/>
        <v>0</v>
      </c>
      <c r="H746">
        <f t="shared" si="111"/>
        <v>0</v>
      </c>
      <c r="I746">
        <f t="shared" si="111"/>
        <v>0</v>
      </c>
      <c r="J746">
        <f t="shared" si="111"/>
        <v>0</v>
      </c>
      <c r="K746">
        <f t="shared" si="111"/>
        <v>1</v>
      </c>
      <c r="L746">
        <f t="shared" si="111"/>
        <v>0</v>
      </c>
      <c r="M746">
        <f t="shared" si="112"/>
        <v>0</v>
      </c>
      <c r="N746">
        <f t="shared" si="112"/>
        <v>1</v>
      </c>
      <c r="O746">
        <f t="shared" si="112"/>
        <v>0</v>
      </c>
    </row>
    <row r="747" spans="1:15" x14ac:dyDescent="0.3">
      <c r="A747">
        <v>4</v>
      </c>
      <c r="B747">
        <v>2016</v>
      </c>
      <c r="C747">
        <v>1697</v>
      </c>
      <c r="D747">
        <v>195</v>
      </c>
      <c r="E747">
        <v>54</v>
      </c>
      <c r="F747">
        <v>6</v>
      </c>
      <c r="G747">
        <f t="shared" si="111"/>
        <v>0</v>
      </c>
      <c r="H747">
        <f t="shared" si="111"/>
        <v>0</v>
      </c>
      <c r="I747">
        <f t="shared" si="111"/>
        <v>0</v>
      </c>
      <c r="J747">
        <f t="shared" si="111"/>
        <v>0</v>
      </c>
      <c r="K747">
        <f t="shared" si="111"/>
        <v>1</v>
      </c>
      <c r="L747">
        <f t="shared" si="111"/>
        <v>0</v>
      </c>
      <c r="M747">
        <f t="shared" si="112"/>
        <v>0</v>
      </c>
      <c r="N747">
        <f t="shared" si="112"/>
        <v>0</v>
      </c>
      <c r="O747">
        <f t="shared" si="112"/>
        <v>1</v>
      </c>
    </row>
    <row r="748" spans="1:15" x14ac:dyDescent="0.3">
      <c r="A748">
        <v>2</v>
      </c>
      <c r="B748">
        <v>2016</v>
      </c>
      <c r="C748">
        <v>1696</v>
      </c>
      <c r="D748">
        <v>75</v>
      </c>
      <c r="E748">
        <v>60</v>
      </c>
      <c r="F748">
        <v>10</v>
      </c>
      <c r="G748">
        <f t="shared" si="111"/>
        <v>0</v>
      </c>
      <c r="H748">
        <f t="shared" si="111"/>
        <v>0</v>
      </c>
      <c r="I748">
        <f t="shared" si="111"/>
        <v>0</v>
      </c>
      <c r="J748">
        <f t="shared" si="111"/>
        <v>0</v>
      </c>
      <c r="K748">
        <f t="shared" si="111"/>
        <v>1</v>
      </c>
      <c r="L748">
        <f t="shared" si="111"/>
        <v>0</v>
      </c>
      <c r="M748">
        <f t="shared" si="112"/>
        <v>0</v>
      </c>
      <c r="N748">
        <f t="shared" si="112"/>
        <v>1</v>
      </c>
      <c r="O748">
        <f t="shared" si="112"/>
        <v>0</v>
      </c>
    </row>
    <row r="749" spans="1:15" x14ac:dyDescent="0.3">
      <c r="A749">
        <v>1</v>
      </c>
      <c r="B749">
        <v>2014</v>
      </c>
      <c r="C749">
        <v>1688</v>
      </c>
      <c r="D749">
        <v>30</v>
      </c>
      <c r="E749">
        <v>29</v>
      </c>
      <c r="F749">
        <v>1.5</v>
      </c>
      <c r="G749">
        <f t="shared" si="111"/>
        <v>0</v>
      </c>
      <c r="H749">
        <f t="shared" si="111"/>
        <v>0</v>
      </c>
      <c r="I749">
        <f t="shared" si="111"/>
        <v>1</v>
      </c>
      <c r="J749">
        <f t="shared" si="111"/>
        <v>0</v>
      </c>
      <c r="K749">
        <f t="shared" si="111"/>
        <v>0</v>
      </c>
      <c r="L749">
        <f t="shared" si="111"/>
        <v>0</v>
      </c>
      <c r="M749">
        <f t="shared" si="112"/>
        <v>1</v>
      </c>
      <c r="N749">
        <f t="shared" si="112"/>
        <v>0</v>
      </c>
      <c r="O749">
        <f t="shared" si="112"/>
        <v>0</v>
      </c>
    </row>
    <row r="750" spans="1:15" x14ac:dyDescent="0.3">
      <c r="A750">
        <v>4</v>
      </c>
      <c r="B750">
        <v>2016</v>
      </c>
      <c r="C750">
        <v>1683</v>
      </c>
      <c r="D750">
        <v>145</v>
      </c>
      <c r="E750">
        <v>48</v>
      </c>
      <c r="F750">
        <v>8</v>
      </c>
      <c r="G750">
        <f t="shared" si="111"/>
        <v>0</v>
      </c>
      <c r="H750">
        <f t="shared" si="111"/>
        <v>0</v>
      </c>
      <c r="I750">
        <f t="shared" si="111"/>
        <v>0</v>
      </c>
      <c r="J750">
        <f t="shared" si="111"/>
        <v>0</v>
      </c>
      <c r="K750">
        <f t="shared" si="111"/>
        <v>1</v>
      </c>
      <c r="L750">
        <f t="shared" si="111"/>
        <v>0</v>
      </c>
      <c r="M750">
        <f t="shared" si="112"/>
        <v>0</v>
      </c>
      <c r="N750">
        <f t="shared" si="112"/>
        <v>0</v>
      </c>
      <c r="O750">
        <f t="shared" si="112"/>
        <v>1</v>
      </c>
    </row>
    <row r="751" spans="1:15" x14ac:dyDescent="0.3">
      <c r="A751">
        <v>4</v>
      </c>
      <c r="B751">
        <v>2016</v>
      </c>
      <c r="C751">
        <v>1678</v>
      </c>
      <c r="D751">
        <v>120</v>
      </c>
      <c r="E751">
        <v>32</v>
      </c>
      <c r="F751">
        <v>2.5</v>
      </c>
      <c r="G751">
        <f t="shared" si="111"/>
        <v>0</v>
      </c>
      <c r="H751">
        <f t="shared" si="111"/>
        <v>0</v>
      </c>
      <c r="I751">
        <f t="shared" si="111"/>
        <v>0</v>
      </c>
      <c r="J751">
        <f t="shared" si="111"/>
        <v>0</v>
      </c>
      <c r="K751">
        <f t="shared" si="111"/>
        <v>1</v>
      </c>
      <c r="L751">
        <f t="shared" si="111"/>
        <v>0</v>
      </c>
      <c r="M751">
        <f t="shared" si="112"/>
        <v>0</v>
      </c>
      <c r="N751">
        <f t="shared" si="112"/>
        <v>0</v>
      </c>
      <c r="O751">
        <f t="shared" si="112"/>
        <v>1</v>
      </c>
    </row>
    <row r="752" spans="1:15" x14ac:dyDescent="0.3">
      <c r="A752">
        <v>4</v>
      </c>
      <c r="B752">
        <v>2017</v>
      </c>
      <c r="C752">
        <v>1673</v>
      </c>
      <c r="D752">
        <v>200</v>
      </c>
      <c r="E752">
        <v>24</v>
      </c>
      <c r="F752">
        <v>3</v>
      </c>
      <c r="G752">
        <f t="shared" ref="G752:L761" si="113">IF($B752=G$1,1,0)</f>
        <v>0</v>
      </c>
      <c r="H752">
        <f t="shared" si="113"/>
        <v>0</v>
      </c>
      <c r="I752">
        <f t="shared" si="113"/>
        <v>0</v>
      </c>
      <c r="J752">
        <f t="shared" si="113"/>
        <v>0</v>
      </c>
      <c r="K752">
        <f t="shared" si="113"/>
        <v>0</v>
      </c>
      <c r="L752">
        <f t="shared" si="113"/>
        <v>1</v>
      </c>
      <c r="M752">
        <f t="shared" si="112"/>
        <v>0</v>
      </c>
      <c r="N752">
        <f t="shared" si="112"/>
        <v>0</v>
      </c>
      <c r="O752">
        <f t="shared" si="112"/>
        <v>1</v>
      </c>
    </row>
    <row r="753" spans="1:15" x14ac:dyDescent="0.3">
      <c r="A753">
        <v>2</v>
      </c>
      <c r="B753">
        <v>2013</v>
      </c>
      <c r="C753">
        <v>1659</v>
      </c>
      <c r="D753">
        <v>95</v>
      </c>
      <c r="E753">
        <v>38</v>
      </c>
      <c r="F753">
        <v>5.5</v>
      </c>
      <c r="G753">
        <f t="shared" si="113"/>
        <v>0</v>
      </c>
      <c r="H753">
        <f t="shared" si="113"/>
        <v>1</v>
      </c>
      <c r="I753">
        <f t="shared" si="113"/>
        <v>0</v>
      </c>
      <c r="J753">
        <f t="shared" si="113"/>
        <v>0</v>
      </c>
      <c r="K753">
        <f t="shared" si="113"/>
        <v>0</v>
      </c>
      <c r="L753">
        <f t="shared" si="113"/>
        <v>0</v>
      </c>
      <c r="M753">
        <f t="shared" si="112"/>
        <v>0</v>
      </c>
      <c r="N753">
        <f t="shared" si="112"/>
        <v>1</v>
      </c>
      <c r="O753">
        <f t="shared" si="112"/>
        <v>0</v>
      </c>
    </row>
    <row r="754" spans="1:15" x14ac:dyDescent="0.3">
      <c r="A754">
        <v>4</v>
      </c>
      <c r="B754">
        <v>2016</v>
      </c>
      <c r="C754">
        <v>1658</v>
      </c>
      <c r="D754">
        <v>50</v>
      </c>
      <c r="E754">
        <v>68</v>
      </c>
      <c r="F754">
        <v>16.5</v>
      </c>
      <c r="G754">
        <f t="shared" si="113"/>
        <v>0</v>
      </c>
      <c r="H754">
        <f t="shared" si="113"/>
        <v>0</v>
      </c>
      <c r="I754">
        <f t="shared" si="113"/>
        <v>0</v>
      </c>
      <c r="J754">
        <f t="shared" si="113"/>
        <v>0</v>
      </c>
      <c r="K754">
        <f t="shared" si="113"/>
        <v>1</v>
      </c>
      <c r="L754">
        <f t="shared" si="113"/>
        <v>0</v>
      </c>
      <c r="M754">
        <f t="shared" si="112"/>
        <v>0</v>
      </c>
      <c r="N754">
        <f t="shared" si="112"/>
        <v>0</v>
      </c>
      <c r="O754">
        <f t="shared" si="112"/>
        <v>1</v>
      </c>
    </row>
    <row r="755" spans="1:15" x14ac:dyDescent="0.3">
      <c r="A755">
        <v>4</v>
      </c>
      <c r="B755">
        <v>2015</v>
      </c>
      <c r="C755">
        <v>1658</v>
      </c>
      <c r="D755">
        <v>50</v>
      </c>
      <c r="E755">
        <v>68</v>
      </c>
      <c r="F755">
        <v>5</v>
      </c>
      <c r="G755">
        <f t="shared" si="113"/>
        <v>0</v>
      </c>
      <c r="H755">
        <f t="shared" si="113"/>
        <v>0</v>
      </c>
      <c r="I755">
        <f t="shared" si="113"/>
        <v>0</v>
      </c>
      <c r="J755">
        <f t="shared" si="113"/>
        <v>1</v>
      </c>
      <c r="K755">
        <f t="shared" si="113"/>
        <v>0</v>
      </c>
      <c r="L755">
        <f t="shared" si="113"/>
        <v>0</v>
      </c>
      <c r="M755">
        <f t="shared" si="112"/>
        <v>0</v>
      </c>
      <c r="N755">
        <f t="shared" si="112"/>
        <v>0</v>
      </c>
      <c r="O755">
        <f t="shared" si="112"/>
        <v>1</v>
      </c>
    </row>
    <row r="756" spans="1:15" x14ac:dyDescent="0.3">
      <c r="A756">
        <v>4</v>
      </c>
      <c r="B756">
        <v>2016</v>
      </c>
      <c r="C756">
        <v>1655</v>
      </c>
      <c r="D756">
        <v>25</v>
      </c>
      <c r="E756">
        <v>19</v>
      </c>
      <c r="F756">
        <v>1</v>
      </c>
      <c r="G756">
        <f t="shared" si="113"/>
        <v>0</v>
      </c>
      <c r="H756">
        <f t="shared" si="113"/>
        <v>0</v>
      </c>
      <c r="I756">
        <f t="shared" si="113"/>
        <v>0</v>
      </c>
      <c r="J756">
        <f t="shared" si="113"/>
        <v>0</v>
      </c>
      <c r="K756">
        <f t="shared" si="113"/>
        <v>1</v>
      </c>
      <c r="L756">
        <f t="shared" si="113"/>
        <v>0</v>
      </c>
      <c r="M756">
        <f t="shared" si="112"/>
        <v>0</v>
      </c>
      <c r="N756">
        <f t="shared" si="112"/>
        <v>0</v>
      </c>
      <c r="O756">
        <f t="shared" si="112"/>
        <v>1</v>
      </c>
    </row>
    <row r="757" spans="1:15" x14ac:dyDescent="0.3">
      <c r="A757">
        <v>4</v>
      </c>
      <c r="B757">
        <v>2015</v>
      </c>
      <c r="C757">
        <v>1655</v>
      </c>
      <c r="D757">
        <v>25</v>
      </c>
      <c r="E757">
        <v>44</v>
      </c>
      <c r="F757">
        <v>3</v>
      </c>
      <c r="G757">
        <f t="shared" si="113"/>
        <v>0</v>
      </c>
      <c r="H757">
        <f t="shared" si="113"/>
        <v>0</v>
      </c>
      <c r="I757">
        <f t="shared" si="113"/>
        <v>0</v>
      </c>
      <c r="J757">
        <f t="shared" si="113"/>
        <v>1</v>
      </c>
      <c r="K757">
        <f t="shared" si="113"/>
        <v>0</v>
      </c>
      <c r="L757">
        <f t="shared" si="113"/>
        <v>0</v>
      </c>
      <c r="M757">
        <f t="shared" si="112"/>
        <v>0</v>
      </c>
      <c r="N757">
        <f t="shared" si="112"/>
        <v>0</v>
      </c>
      <c r="O757">
        <f t="shared" si="112"/>
        <v>1</v>
      </c>
    </row>
    <row r="758" spans="1:15" x14ac:dyDescent="0.3">
      <c r="A758">
        <v>4</v>
      </c>
      <c r="B758">
        <v>2016</v>
      </c>
      <c r="C758">
        <v>1653</v>
      </c>
      <c r="D758">
        <v>40</v>
      </c>
      <c r="E758">
        <v>14</v>
      </c>
      <c r="F758">
        <v>1.5</v>
      </c>
      <c r="G758">
        <f t="shared" si="113"/>
        <v>0</v>
      </c>
      <c r="H758">
        <f t="shared" si="113"/>
        <v>0</v>
      </c>
      <c r="I758">
        <f t="shared" si="113"/>
        <v>0</v>
      </c>
      <c r="J758">
        <f t="shared" si="113"/>
        <v>0</v>
      </c>
      <c r="K758">
        <f t="shared" si="113"/>
        <v>1</v>
      </c>
      <c r="L758">
        <f t="shared" si="113"/>
        <v>0</v>
      </c>
      <c r="M758">
        <f t="shared" si="112"/>
        <v>0</v>
      </c>
      <c r="N758">
        <f t="shared" si="112"/>
        <v>0</v>
      </c>
      <c r="O758">
        <f t="shared" si="112"/>
        <v>1</v>
      </c>
    </row>
    <row r="759" spans="1:15" x14ac:dyDescent="0.3">
      <c r="A759">
        <v>1</v>
      </c>
      <c r="B759">
        <v>2017</v>
      </c>
      <c r="C759">
        <v>1649</v>
      </c>
      <c r="D759">
        <v>195</v>
      </c>
      <c r="E759">
        <v>25</v>
      </c>
      <c r="F759">
        <v>2</v>
      </c>
      <c r="G759">
        <f t="shared" si="113"/>
        <v>0</v>
      </c>
      <c r="H759">
        <f t="shared" si="113"/>
        <v>0</v>
      </c>
      <c r="I759">
        <f t="shared" si="113"/>
        <v>0</v>
      </c>
      <c r="J759">
        <f t="shared" si="113"/>
        <v>0</v>
      </c>
      <c r="K759">
        <f t="shared" si="113"/>
        <v>0</v>
      </c>
      <c r="L759">
        <f t="shared" si="113"/>
        <v>1</v>
      </c>
      <c r="M759">
        <f t="shared" si="112"/>
        <v>1</v>
      </c>
      <c r="N759">
        <f t="shared" si="112"/>
        <v>0</v>
      </c>
      <c r="O759">
        <f t="shared" si="112"/>
        <v>0</v>
      </c>
    </row>
    <row r="760" spans="1:15" x14ac:dyDescent="0.3">
      <c r="A760">
        <v>1</v>
      </c>
      <c r="B760">
        <v>2016</v>
      </c>
      <c r="C760">
        <v>1645</v>
      </c>
      <c r="D760">
        <v>195</v>
      </c>
      <c r="E760">
        <v>12</v>
      </c>
      <c r="F760">
        <v>1</v>
      </c>
      <c r="G760">
        <f t="shared" si="113"/>
        <v>0</v>
      </c>
      <c r="H760">
        <f t="shared" si="113"/>
        <v>0</v>
      </c>
      <c r="I760">
        <f t="shared" si="113"/>
        <v>0</v>
      </c>
      <c r="J760">
        <f t="shared" si="113"/>
        <v>0</v>
      </c>
      <c r="K760">
        <f t="shared" si="113"/>
        <v>1</v>
      </c>
      <c r="L760">
        <f t="shared" si="113"/>
        <v>0</v>
      </c>
      <c r="M760">
        <f t="shared" si="112"/>
        <v>1</v>
      </c>
      <c r="N760">
        <f t="shared" si="112"/>
        <v>0</v>
      </c>
      <c r="O760">
        <f t="shared" si="112"/>
        <v>0</v>
      </c>
    </row>
    <row r="761" spans="1:15" x14ac:dyDescent="0.3">
      <c r="A761">
        <v>1</v>
      </c>
      <c r="B761">
        <v>2015</v>
      </c>
      <c r="C761">
        <v>1640</v>
      </c>
      <c r="D761">
        <v>65</v>
      </c>
      <c r="E761">
        <v>29</v>
      </c>
      <c r="F761">
        <v>2</v>
      </c>
      <c r="G761">
        <f t="shared" si="113"/>
        <v>0</v>
      </c>
      <c r="H761">
        <f t="shared" si="113"/>
        <v>0</v>
      </c>
      <c r="I761">
        <f t="shared" si="113"/>
        <v>0</v>
      </c>
      <c r="J761">
        <f t="shared" si="113"/>
        <v>1</v>
      </c>
      <c r="K761">
        <f t="shared" si="113"/>
        <v>0</v>
      </c>
      <c r="L761">
        <f t="shared" si="113"/>
        <v>0</v>
      </c>
      <c r="M761">
        <f t="shared" si="112"/>
        <v>1</v>
      </c>
      <c r="N761">
        <f t="shared" si="112"/>
        <v>0</v>
      </c>
      <c r="O761">
        <f t="shared" si="112"/>
        <v>0</v>
      </c>
    </row>
    <row r="762" spans="1:15" x14ac:dyDescent="0.3">
      <c r="A762">
        <v>4</v>
      </c>
      <c r="B762">
        <v>2016</v>
      </c>
      <c r="C762">
        <v>1634</v>
      </c>
      <c r="D762">
        <v>75</v>
      </c>
      <c r="E762">
        <v>21</v>
      </c>
      <c r="F762">
        <v>2.5</v>
      </c>
      <c r="G762">
        <f t="shared" ref="G762:L771" si="114">IF($B762=G$1,1,0)</f>
        <v>0</v>
      </c>
      <c r="H762">
        <f t="shared" si="114"/>
        <v>0</v>
      </c>
      <c r="I762">
        <f t="shared" si="114"/>
        <v>0</v>
      </c>
      <c r="J762">
        <f t="shared" si="114"/>
        <v>0</v>
      </c>
      <c r="K762">
        <f t="shared" si="114"/>
        <v>1</v>
      </c>
      <c r="L762">
        <f t="shared" si="114"/>
        <v>0</v>
      </c>
      <c r="M762">
        <f t="shared" ref="M762:O781" si="115">IF($A762=M$1,1,0)</f>
        <v>0</v>
      </c>
      <c r="N762">
        <f t="shared" si="115"/>
        <v>0</v>
      </c>
      <c r="O762">
        <f t="shared" si="115"/>
        <v>1</v>
      </c>
    </row>
    <row r="763" spans="1:15" x14ac:dyDescent="0.3">
      <c r="A763">
        <v>4</v>
      </c>
      <c r="B763">
        <v>2015</v>
      </c>
      <c r="C763">
        <v>1628</v>
      </c>
      <c r="D763">
        <v>145</v>
      </c>
      <c r="E763">
        <v>129</v>
      </c>
      <c r="F763">
        <v>18.5</v>
      </c>
      <c r="G763">
        <f t="shared" si="114"/>
        <v>0</v>
      </c>
      <c r="H763">
        <f t="shared" si="114"/>
        <v>0</v>
      </c>
      <c r="I763">
        <f t="shared" si="114"/>
        <v>0</v>
      </c>
      <c r="J763">
        <f t="shared" si="114"/>
        <v>1</v>
      </c>
      <c r="K763">
        <f t="shared" si="114"/>
        <v>0</v>
      </c>
      <c r="L763">
        <f t="shared" si="114"/>
        <v>0</v>
      </c>
      <c r="M763">
        <f t="shared" si="115"/>
        <v>0</v>
      </c>
      <c r="N763">
        <f t="shared" si="115"/>
        <v>0</v>
      </c>
      <c r="O763">
        <f t="shared" si="115"/>
        <v>1</v>
      </c>
    </row>
    <row r="764" spans="1:15" x14ac:dyDescent="0.3">
      <c r="A764">
        <v>4</v>
      </c>
      <c r="B764">
        <v>2016</v>
      </c>
      <c r="C764">
        <v>1627</v>
      </c>
      <c r="D764">
        <v>35</v>
      </c>
      <c r="E764">
        <v>7</v>
      </c>
      <c r="F764">
        <v>0.58333332999999998</v>
      </c>
      <c r="G764">
        <f t="shared" si="114"/>
        <v>0</v>
      </c>
      <c r="H764">
        <f t="shared" si="114"/>
        <v>0</v>
      </c>
      <c r="I764">
        <f t="shared" si="114"/>
        <v>0</v>
      </c>
      <c r="J764">
        <f t="shared" si="114"/>
        <v>0</v>
      </c>
      <c r="K764">
        <f t="shared" si="114"/>
        <v>1</v>
      </c>
      <c r="L764">
        <f t="shared" si="114"/>
        <v>0</v>
      </c>
      <c r="M764">
        <f t="shared" si="115"/>
        <v>0</v>
      </c>
      <c r="N764">
        <f t="shared" si="115"/>
        <v>0</v>
      </c>
      <c r="O764">
        <f t="shared" si="115"/>
        <v>1</v>
      </c>
    </row>
    <row r="765" spans="1:15" x14ac:dyDescent="0.3">
      <c r="A765">
        <v>4</v>
      </c>
      <c r="B765">
        <v>2016</v>
      </c>
      <c r="C765">
        <v>1626</v>
      </c>
      <c r="D765">
        <v>50</v>
      </c>
      <c r="E765">
        <v>18</v>
      </c>
      <c r="F765">
        <v>1.5</v>
      </c>
      <c r="G765">
        <f t="shared" si="114"/>
        <v>0</v>
      </c>
      <c r="H765">
        <f t="shared" si="114"/>
        <v>0</v>
      </c>
      <c r="I765">
        <f t="shared" si="114"/>
        <v>0</v>
      </c>
      <c r="J765">
        <f t="shared" si="114"/>
        <v>0</v>
      </c>
      <c r="K765">
        <f t="shared" si="114"/>
        <v>1</v>
      </c>
      <c r="L765">
        <f t="shared" si="114"/>
        <v>0</v>
      </c>
      <c r="M765">
        <f t="shared" si="115"/>
        <v>0</v>
      </c>
      <c r="N765">
        <f t="shared" si="115"/>
        <v>0</v>
      </c>
      <c r="O765">
        <f t="shared" si="115"/>
        <v>1</v>
      </c>
    </row>
    <row r="766" spans="1:15" x14ac:dyDescent="0.3">
      <c r="A766">
        <v>1</v>
      </c>
      <c r="B766">
        <v>2016</v>
      </c>
      <c r="C766">
        <v>1626</v>
      </c>
      <c r="D766">
        <v>100</v>
      </c>
      <c r="E766">
        <v>78</v>
      </c>
      <c r="F766">
        <v>6.5</v>
      </c>
      <c r="G766">
        <f t="shared" si="114"/>
        <v>0</v>
      </c>
      <c r="H766">
        <f t="shared" si="114"/>
        <v>0</v>
      </c>
      <c r="I766">
        <f t="shared" si="114"/>
        <v>0</v>
      </c>
      <c r="J766">
        <f t="shared" si="114"/>
        <v>0</v>
      </c>
      <c r="K766">
        <f t="shared" si="114"/>
        <v>1</v>
      </c>
      <c r="L766">
        <f t="shared" si="114"/>
        <v>0</v>
      </c>
      <c r="M766">
        <f t="shared" si="115"/>
        <v>1</v>
      </c>
      <c r="N766">
        <f t="shared" si="115"/>
        <v>0</v>
      </c>
      <c r="O766">
        <f t="shared" si="115"/>
        <v>0</v>
      </c>
    </row>
    <row r="767" spans="1:15" x14ac:dyDescent="0.3">
      <c r="A767">
        <v>2</v>
      </c>
      <c r="B767">
        <v>2016</v>
      </c>
      <c r="C767">
        <v>1624</v>
      </c>
      <c r="D767">
        <v>50</v>
      </c>
      <c r="E767">
        <v>38</v>
      </c>
      <c r="F767">
        <v>4</v>
      </c>
      <c r="G767">
        <f t="shared" si="114"/>
        <v>0</v>
      </c>
      <c r="H767">
        <f t="shared" si="114"/>
        <v>0</v>
      </c>
      <c r="I767">
        <f t="shared" si="114"/>
        <v>0</v>
      </c>
      <c r="J767">
        <f t="shared" si="114"/>
        <v>0</v>
      </c>
      <c r="K767">
        <f t="shared" si="114"/>
        <v>1</v>
      </c>
      <c r="L767">
        <f t="shared" si="114"/>
        <v>0</v>
      </c>
      <c r="M767">
        <f t="shared" si="115"/>
        <v>0</v>
      </c>
      <c r="N767">
        <f t="shared" si="115"/>
        <v>1</v>
      </c>
      <c r="O767">
        <f t="shared" si="115"/>
        <v>0</v>
      </c>
    </row>
    <row r="768" spans="1:15" x14ac:dyDescent="0.3">
      <c r="A768">
        <v>4</v>
      </c>
      <c r="B768">
        <v>2016</v>
      </c>
      <c r="C768">
        <v>1618</v>
      </c>
      <c r="D768">
        <v>20</v>
      </c>
      <c r="E768">
        <v>20</v>
      </c>
      <c r="F768">
        <v>1.5</v>
      </c>
      <c r="G768">
        <f t="shared" si="114"/>
        <v>0</v>
      </c>
      <c r="H768">
        <f t="shared" si="114"/>
        <v>0</v>
      </c>
      <c r="I768">
        <f t="shared" si="114"/>
        <v>0</v>
      </c>
      <c r="J768">
        <f t="shared" si="114"/>
        <v>0</v>
      </c>
      <c r="K768">
        <f t="shared" si="114"/>
        <v>1</v>
      </c>
      <c r="L768">
        <f t="shared" si="114"/>
        <v>0</v>
      </c>
      <c r="M768">
        <f t="shared" si="115"/>
        <v>0</v>
      </c>
      <c r="N768">
        <f t="shared" si="115"/>
        <v>0</v>
      </c>
      <c r="O768">
        <f t="shared" si="115"/>
        <v>1</v>
      </c>
    </row>
    <row r="769" spans="1:15" x14ac:dyDescent="0.3">
      <c r="A769">
        <v>4</v>
      </c>
      <c r="B769">
        <v>2016</v>
      </c>
      <c r="C769">
        <v>1613</v>
      </c>
      <c r="D769">
        <v>20</v>
      </c>
      <c r="E769">
        <v>20</v>
      </c>
      <c r="F769">
        <v>1</v>
      </c>
      <c r="G769">
        <f t="shared" si="114"/>
        <v>0</v>
      </c>
      <c r="H769">
        <f t="shared" si="114"/>
        <v>0</v>
      </c>
      <c r="I769">
        <f t="shared" si="114"/>
        <v>0</v>
      </c>
      <c r="J769">
        <f t="shared" si="114"/>
        <v>0</v>
      </c>
      <c r="K769">
        <f t="shared" si="114"/>
        <v>1</v>
      </c>
      <c r="L769">
        <f t="shared" si="114"/>
        <v>0</v>
      </c>
      <c r="M769">
        <f t="shared" si="115"/>
        <v>0</v>
      </c>
      <c r="N769">
        <f t="shared" si="115"/>
        <v>0</v>
      </c>
      <c r="O769">
        <f t="shared" si="115"/>
        <v>1</v>
      </c>
    </row>
    <row r="770" spans="1:15" x14ac:dyDescent="0.3">
      <c r="A770">
        <v>4</v>
      </c>
      <c r="B770">
        <v>2016</v>
      </c>
      <c r="C770">
        <v>1611</v>
      </c>
      <c r="D770">
        <v>100</v>
      </c>
      <c r="E770">
        <v>157</v>
      </c>
      <c r="F770">
        <v>12.5</v>
      </c>
      <c r="G770">
        <f t="shared" si="114"/>
        <v>0</v>
      </c>
      <c r="H770">
        <f t="shared" si="114"/>
        <v>0</v>
      </c>
      <c r="I770">
        <f t="shared" si="114"/>
        <v>0</v>
      </c>
      <c r="J770">
        <f t="shared" si="114"/>
        <v>0</v>
      </c>
      <c r="K770">
        <f t="shared" si="114"/>
        <v>1</v>
      </c>
      <c r="L770">
        <f t="shared" si="114"/>
        <v>0</v>
      </c>
      <c r="M770">
        <f t="shared" si="115"/>
        <v>0</v>
      </c>
      <c r="N770">
        <f t="shared" si="115"/>
        <v>0</v>
      </c>
      <c r="O770">
        <f t="shared" si="115"/>
        <v>1</v>
      </c>
    </row>
    <row r="771" spans="1:15" x14ac:dyDescent="0.3">
      <c r="A771">
        <v>1</v>
      </c>
      <c r="B771">
        <v>2014</v>
      </c>
      <c r="C771">
        <v>1611</v>
      </c>
      <c r="D771">
        <v>50</v>
      </c>
      <c r="E771">
        <v>20</v>
      </c>
      <c r="F771">
        <v>3.5</v>
      </c>
      <c r="G771">
        <f t="shared" si="114"/>
        <v>0</v>
      </c>
      <c r="H771">
        <f t="shared" si="114"/>
        <v>0</v>
      </c>
      <c r="I771">
        <f t="shared" si="114"/>
        <v>1</v>
      </c>
      <c r="J771">
        <f t="shared" si="114"/>
        <v>0</v>
      </c>
      <c r="K771">
        <f t="shared" si="114"/>
        <v>0</v>
      </c>
      <c r="L771">
        <f t="shared" si="114"/>
        <v>0</v>
      </c>
      <c r="M771">
        <f t="shared" si="115"/>
        <v>1</v>
      </c>
      <c r="N771">
        <f t="shared" si="115"/>
        <v>0</v>
      </c>
      <c r="O771">
        <f t="shared" si="115"/>
        <v>0</v>
      </c>
    </row>
    <row r="772" spans="1:15" x14ac:dyDescent="0.3">
      <c r="A772">
        <v>1</v>
      </c>
      <c r="B772">
        <v>2013</v>
      </c>
      <c r="C772">
        <v>1606</v>
      </c>
      <c r="D772">
        <v>100</v>
      </c>
      <c r="E772">
        <v>73</v>
      </c>
      <c r="F772">
        <v>9</v>
      </c>
      <c r="G772">
        <f t="shared" ref="G772:L781" si="116">IF($B772=G$1,1,0)</f>
        <v>0</v>
      </c>
      <c r="H772">
        <f t="shared" si="116"/>
        <v>1</v>
      </c>
      <c r="I772">
        <f t="shared" si="116"/>
        <v>0</v>
      </c>
      <c r="J772">
        <f t="shared" si="116"/>
        <v>0</v>
      </c>
      <c r="K772">
        <f t="shared" si="116"/>
        <v>0</v>
      </c>
      <c r="L772">
        <f t="shared" si="116"/>
        <v>0</v>
      </c>
      <c r="M772">
        <f t="shared" si="115"/>
        <v>1</v>
      </c>
      <c r="N772">
        <f t="shared" si="115"/>
        <v>0</v>
      </c>
      <c r="O772">
        <f t="shared" si="115"/>
        <v>0</v>
      </c>
    </row>
    <row r="773" spans="1:15" x14ac:dyDescent="0.3">
      <c r="A773">
        <v>1</v>
      </c>
      <c r="B773">
        <v>2017</v>
      </c>
      <c r="C773">
        <v>1605</v>
      </c>
      <c r="D773">
        <v>25</v>
      </c>
      <c r="E773">
        <v>32</v>
      </c>
      <c r="F773">
        <v>3.5</v>
      </c>
      <c r="G773">
        <f t="shared" si="116"/>
        <v>0</v>
      </c>
      <c r="H773">
        <f t="shared" si="116"/>
        <v>0</v>
      </c>
      <c r="I773">
        <f t="shared" si="116"/>
        <v>0</v>
      </c>
      <c r="J773">
        <f t="shared" si="116"/>
        <v>0</v>
      </c>
      <c r="K773">
        <f t="shared" si="116"/>
        <v>0</v>
      </c>
      <c r="L773">
        <f t="shared" si="116"/>
        <v>1</v>
      </c>
      <c r="M773">
        <f t="shared" si="115"/>
        <v>1</v>
      </c>
      <c r="N773">
        <f t="shared" si="115"/>
        <v>0</v>
      </c>
      <c r="O773">
        <f t="shared" si="115"/>
        <v>0</v>
      </c>
    </row>
    <row r="774" spans="1:15" x14ac:dyDescent="0.3">
      <c r="A774">
        <v>1</v>
      </c>
      <c r="B774">
        <v>2016</v>
      </c>
      <c r="C774">
        <v>1599</v>
      </c>
      <c r="D774">
        <v>60</v>
      </c>
      <c r="E774">
        <v>49</v>
      </c>
      <c r="F774">
        <v>3</v>
      </c>
      <c r="G774">
        <f t="shared" si="116"/>
        <v>0</v>
      </c>
      <c r="H774">
        <f t="shared" si="116"/>
        <v>0</v>
      </c>
      <c r="I774">
        <f t="shared" si="116"/>
        <v>0</v>
      </c>
      <c r="J774">
        <f t="shared" si="116"/>
        <v>0</v>
      </c>
      <c r="K774">
        <f t="shared" si="116"/>
        <v>1</v>
      </c>
      <c r="L774">
        <f t="shared" si="116"/>
        <v>0</v>
      </c>
      <c r="M774">
        <f t="shared" si="115"/>
        <v>1</v>
      </c>
      <c r="N774">
        <f t="shared" si="115"/>
        <v>0</v>
      </c>
      <c r="O774">
        <f t="shared" si="115"/>
        <v>0</v>
      </c>
    </row>
    <row r="775" spans="1:15" x14ac:dyDescent="0.3">
      <c r="A775">
        <v>4</v>
      </c>
      <c r="B775">
        <v>2017</v>
      </c>
      <c r="C775">
        <v>1591</v>
      </c>
      <c r="D775">
        <v>50</v>
      </c>
      <c r="E775">
        <v>74</v>
      </c>
      <c r="F775">
        <v>9.5</v>
      </c>
      <c r="G775">
        <f t="shared" si="116"/>
        <v>0</v>
      </c>
      <c r="H775">
        <f t="shared" si="116"/>
        <v>0</v>
      </c>
      <c r="I775">
        <f t="shared" si="116"/>
        <v>0</v>
      </c>
      <c r="J775">
        <f t="shared" si="116"/>
        <v>0</v>
      </c>
      <c r="K775">
        <f t="shared" si="116"/>
        <v>0</v>
      </c>
      <c r="L775">
        <f t="shared" si="116"/>
        <v>1</v>
      </c>
      <c r="M775">
        <f t="shared" si="115"/>
        <v>0</v>
      </c>
      <c r="N775">
        <f t="shared" si="115"/>
        <v>0</v>
      </c>
      <c r="O775">
        <f t="shared" si="115"/>
        <v>1</v>
      </c>
    </row>
    <row r="776" spans="1:15" x14ac:dyDescent="0.3">
      <c r="A776">
        <v>4</v>
      </c>
      <c r="B776">
        <v>2015</v>
      </c>
      <c r="C776">
        <v>1588</v>
      </c>
      <c r="D776">
        <v>40</v>
      </c>
      <c r="E776">
        <v>15</v>
      </c>
      <c r="F776">
        <v>0.56666667000000004</v>
      </c>
      <c r="G776">
        <f t="shared" si="116"/>
        <v>0</v>
      </c>
      <c r="H776">
        <f t="shared" si="116"/>
        <v>0</v>
      </c>
      <c r="I776">
        <f t="shared" si="116"/>
        <v>0</v>
      </c>
      <c r="J776">
        <f t="shared" si="116"/>
        <v>1</v>
      </c>
      <c r="K776">
        <f t="shared" si="116"/>
        <v>0</v>
      </c>
      <c r="L776">
        <f t="shared" si="116"/>
        <v>0</v>
      </c>
      <c r="M776">
        <f t="shared" si="115"/>
        <v>0</v>
      </c>
      <c r="N776">
        <f t="shared" si="115"/>
        <v>0</v>
      </c>
      <c r="O776">
        <f t="shared" si="115"/>
        <v>1</v>
      </c>
    </row>
    <row r="777" spans="1:15" x14ac:dyDescent="0.3">
      <c r="A777">
        <v>4</v>
      </c>
      <c r="B777">
        <v>2013</v>
      </c>
      <c r="C777">
        <v>1586</v>
      </c>
      <c r="D777">
        <v>200</v>
      </c>
      <c r="E777">
        <v>124</v>
      </c>
      <c r="F777">
        <v>22</v>
      </c>
      <c r="G777">
        <f t="shared" si="116"/>
        <v>0</v>
      </c>
      <c r="H777">
        <f t="shared" si="116"/>
        <v>1</v>
      </c>
      <c r="I777">
        <f t="shared" si="116"/>
        <v>0</v>
      </c>
      <c r="J777">
        <f t="shared" si="116"/>
        <v>0</v>
      </c>
      <c r="K777">
        <f t="shared" si="116"/>
        <v>0</v>
      </c>
      <c r="L777">
        <f t="shared" si="116"/>
        <v>0</v>
      </c>
      <c r="M777">
        <f t="shared" si="115"/>
        <v>0</v>
      </c>
      <c r="N777">
        <f t="shared" si="115"/>
        <v>0</v>
      </c>
      <c r="O777">
        <f t="shared" si="115"/>
        <v>1</v>
      </c>
    </row>
    <row r="778" spans="1:15" x14ac:dyDescent="0.3">
      <c r="A778">
        <v>4</v>
      </c>
      <c r="B778">
        <v>2015</v>
      </c>
      <c r="C778">
        <v>1566</v>
      </c>
      <c r="D778">
        <v>120</v>
      </c>
      <c r="E778">
        <v>36</v>
      </c>
      <c r="F778">
        <v>4</v>
      </c>
      <c r="G778">
        <f t="shared" si="116"/>
        <v>0</v>
      </c>
      <c r="H778">
        <f t="shared" si="116"/>
        <v>0</v>
      </c>
      <c r="I778">
        <f t="shared" si="116"/>
        <v>0</v>
      </c>
      <c r="J778">
        <f t="shared" si="116"/>
        <v>1</v>
      </c>
      <c r="K778">
        <f t="shared" si="116"/>
        <v>0</v>
      </c>
      <c r="L778">
        <f t="shared" si="116"/>
        <v>0</v>
      </c>
      <c r="M778">
        <f t="shared" si="115"/>
        <v>0</v>
      </c>
      <c r="N778">
        <f t="shared" si="115"/>
        <v>0</v>
      </c>
      <c r="O778">
        <f t="shared" si="115"/>
        <v>1</v>
      </c>
    </row>
    <row r="779" spans="1:15" x14ac:dyDescent="0.3">
      <c r="A779">
        <v>4</v>
      </c>
      <c r="B779">
        <v>2016</v>
      </c>
      <c r="C779">
        <v>1562</v>
      </c>
      <c r="D779">
        <v>45</v>
      </c>
      <c r="E779">
        <v>12</v>
      </c>
      <c r="F779">
        <v>1.5</v>
      </c>
      <c r="G779">
        <f t="shared" si="116"/>
        <v>0</v>
      </c>
      <c r="H779">
        <f t="shared" si="116"/>
        <v>0</v>
      </c>
      <c r="I779">
        <f t="shared" si="116"/>
        <v>0</v>
      </c>
      <c r="J779">
        <f t="shared" si="116"/>
        <v>0</v>
      </c>
      <c r="K779">
        <f t="shared" si="116"/>
        <v>1</v>
      </c>
      <c r="L779">
        <f t="shared" si="116"/>
        <v>0</v>
      </c>
      <c r="M779">
        <f t="shared" si="115"/>
        <v>0</v>
      </c>
      <c r="N779">
        <f t="shared" si="115"/>
        <v>0</v>
      </c>
      <c r="O779">
        <f t="shared" si="115"/>
        <v>1</v>
      </c>
    </row>
    <row r="780" spans="1:15" x14ac:dyDescent="0.3">
      <c r="A780">
        <v>4</v>
      </c>
      <c r="B780">
        <v>2016</v>
      </c>
      <c r="C780">
        <v>1562</v>
      </c>
      <c r="D780">
        <v>115</v>
      </c>
      <c r="E780">
        <v>34</v>
      </c>
      <c r="F780">
        <v>4</v>
      </c>
      <c r="G780">
        <f t="shared" si="116"/>
        <v>0</v>
      </c>
      <c r="H780">
        <f t="shared" si="116"/>
        <v>0</v>
      </c>
      <c r="I780">
        <f t="shared" si="116"/>
        <v>0</v>
      </c>
      <c r="J780">
        <f t="shared" si="116"/>
        <v>0</v>
      </c>
      <c r="K780">
        <f t="shared" si="116"/>
        <v>1</v>
      </c>
      <c r="L780">
        <f t="shared" si="116"/>
        <v>0</v>
      </c>
      <c r="M780">
        <f t="shared" si="115"/>
        <v>0</v>
      </c>
      <c r="N780">
        <f t="shared" si="115"/>
        <v>0</v>
      </c>
      <c r="O780">
        <f t="shared" si="115"/>
        <v>1</v>
      </c>
    </row>
    <row r="781" spans="1:15" x14ac:dyDescent="0.3">
      <c r="A781">
        <v>1</v>
      </c>
      <c r="B781">
        <v>2015</v>
      </c>
      <c r="C781">
        <v>1557</v>
      </c>
      <c r="D781">
        <v>25</v>
      </c>
      <c r="E781">
        <v>74</v>
      </c>
      <c r="F781">
        <v>14</v>
      </c>
      <c r="G781">
        <f t="shared" si="116"/>
        <v>0</v>
      </c>
      <c r="H781">
        <f t="shared" si="116"/>
        <v>0</v>
      </c>
      <c r="I781">
        <f t="shared" si="116"/>
        <v>0</v>
      </c>
      <c r="J781">
        <f t="shared" si="116"/>
        <v>1</v>
      </c>
      <c r="K781">
        <f t="shared" si="116"/>
        <v>0</v>
      </c>
      <c r="L781">
        <f t="shared" si="116"/>
        <v>0</v>
      </c>
      <c r="M781">
        <f t="shared" si="115"/>
        <v>1</v>
      </c>
      <c r="N781">
        <f t="shared" si="115"/>
        <v>0</v>
      </c>
      <c r="O781">
        <f t="shared" si="115"/>
        <v>0</v>
      </c>
    </row>
    <row r="782" spans="1:15" x14ac:dyDescent="0.3">
      <c r="A782">
        <v>4</v>
      </c>
      <c r="B782">
        <v>2016</v>
      </c>
      <c r="C782">
        <v>1554</v>
      </c>
      <c r="D782">
        <v>20</v>
      </c>
      <c r="E782">
        <v>60</v>
      </c>
      <c r="F782">
        <v>4</v>
      </c>
      <c r="G782">
        <f t="shared" ref="G782:L791" si="117">IF($B782=G$1,1,0)</f>
        <v>0</v>
      </c>
      <c r="H782">
        <f t="shared" si="117"/>
        <v>0</v>
      </c>
      <c r="I782">
        <f t="shared" si="117"/>
        <v>0</v>
      </c>
      <c r="J782">
        <f t="shared" si="117"/>
        <v>0</v>
      </c>
      <c r="K782">
        <f t="shared" si="117"/>
        <v>1</v>
      </c>
      <c r="L782">
        <f t="shared" si="117"/>
        <v>0</v>
      </c>
      <c r="M782">
        <f t="shared" ref="M782:O801" si="118">IF($A782=M$1,1,0)</f>
        <v>0</v>
      </c>
      <c r="N782">
        <f t="shared" si="118"/>
        <v>0</v>
      </c>
      <c r="O782">
        <f t="shared" si="118"/>
        <v>1</v>
      </c>
    </row>
    <row r="783" spans="1:15" x14ac:dyDescent="0.3">
      <c r="A783">
        <v>4</v>
      </c>
      <c r="B783">
        <v>2015</v>
      </c>
      <c r="C783">
        <v>1553</v>
      </c>
      <c r="D783">
        <v>50</v>
      </c>
      <c r="E783">
        <v>43</v>
      </c>
      <c r="F783">
        <v>5.5</v>
      </c>
      <c r="G783">
        <f t="shared" si="117"/>
        <v>0</v>
      </c>
      <c r="H783">
        <f t="shared" si="117"/>
        <v>0</v>
      </c>
      <c r="I783">
        <f t="shared" si="117"/>
        <v>0</v>
      </c>
      <c r="J783">
        <f t="shared" si="117"/>
        <v>1</v>
      </c>
      <c r="K783">
        <f t="shared" si="117"/>
        <v>0</v>
      </c>
      <c r="L783">
        <f t="shared" si="117"/>
        <v>0</v>
      </c>
      <c r="M783">
        <f t="shared" si="118"/>
        <v>0</v>
      </c>
      <c r="N783">
        <f t="shared" si="118"/>
        <v>0</v>
      </c>
      <c r="O783">
        <f t="shared" si="118"/>
        <v>1</v>
      </c>
    </row>
    <row r="784" spans="1:15" x14ac:dyDescent="0.3">
      <c r="A784">
        <v>4</v>
      </c>
      <c r="B784">
        <v>2014</v>
      </c>
      <c r="C784">
        <v>1552</v>
      </c>
      <c r="D784">
        <v>55</v>
      </c>
      <c r="E784">
        <v>44</v>
      </c>
      <c r="F784">
        <v>3.5</v>
      </c>
      <c r="G784">
        <f t="shared" si="117"/>
        <v>0</v>
      </c>
      <c r="H784">
        <f t="shared" si="117"/>
        <v>0</v>
      </c>
      <c r="I784">
        <f t="shared" si="117"/>
        <v>1</v>
      </c>
      <c r="J784">
        <f t="shared" si="117"/>
        <v>0</v>
      </c>
      <c r="K784">
        <f t="shared" si="117"/>
        <v>0</v>
      </c>
      <c r="L784">
        <f t="shared" si="117"/>
        <v>0</v>
      </c>
      <c r="M784">
        <f t="shared" si="118"/>
        <v>0</v>
      </c>
      <c r="N784">
        <f t="shared" si="118"/>
        <v>0</v>
      </c>
      <c r="O784">
        <f t="shared" si="118"/>
        <v>1</v>
      </c>
    </row>
    <row r="785" spans="1:15" x14ac:dyDescent="0.3">
      <c r="A785">
        <v>4</v>
      </c>
      <c r="B785">
        <v>2015</v>
      </c>
      <c r="C785">
        <v>1551</v>
      </c>
      <c r="D785">
        <v>30</v>
      </c>
      <c r="E785">
        <v>78</v>
      </c>
      <c r="F785">
        <v>7.5</v>
      </c>
      <c r="G785">
        <f t="shared" si="117"/>
        <v>0</v>
      </c>
      <c r="H785">
        <f t="shared" si="117"/>
        <v>0</v>
      </c>
      <c r="I785">
        <f t="shared" si="117"/>
        <v>0</v>
      </c>
      <c r="J785">
        <f t="shared" si="117"/>
        <v>1</v>
      </c>
      <c r="K785">
        <f t="shared" si="117"/>
        <v>0</v>
      </c>
      <c r="L785">
        <f t="shared" si="117"/>
        <v>0</v>
      </c>
      <c r="M785">
        <f t="shared" si="118"/>
        <v>0</v>
      </c>
      <c r="N785">
        <f t="shared" si="118"/>
        <v>0</v>
      </c>
      <c r="O785">
        <f t="shared" si="118"/>
        <v>1</v>
      </c>
    </row>
    <row r="786" spans="1:15" x14ac:dyDescent="0.3">
      <c r="A786">
        <v>4</v>
      </c>
      <c r="B786">
        <v>2015</v>
      </c>
      <c r="C786">
        <v>1550</v>
      </c>
      <c r="D786">
        <v>30</v>
      </c>
      <c r="E786">
        <v>23</v>
      </c>
      <c r="F786">
        <v>3</v>
      </c>
      <c r="G786">
        <f t="shared" si="117"/>
        <v>0</v>
      </c>
      <c r="H786">
        <f t="shared" si="117"/>
        <v>0</v>
      </c>
      <c r="I786">
        <f t="shared" si="117"/>
        <v>0</v>
      </c>
      <c r="J786">
        <f t="shared" si="117"/>
        <v>1</v>
      </c>
      <c r="K786">
        <f t="shared" si="117"/>
        <v>0</v>
      </c>
      <c r="L786">
        <f t="shared" si="117"/>
        <v>0</v>
      </c>
      <c r="M786">
        <f t="shared" si="118"/>
        <v>0</v>
      </c>
      <c r="N786">
        <f t="shared" si="118"/>
        <v>0</v>
      </c>
      <c r="O786">
        <f t="shared" si="118"/>
        <v>1</v>
      </c>
    </row>
    <row r="787" spans="1:15" x14ac:dyDescent="0.3">
      <c r="A787">
        <v>4</v>
      </c>
      <c r="B787">
        <v>2015</v>
      </c>
      <c r="C787">
        <v>1550</v>
      </c>
      <c r="D787">
        <v>50</v>
      </c>
      <c r="E787">
        <v>27</v>
      </c>
      <c r="F787">
        <v>1.5</v>
      </c>
      <c r="G787">
        <f t="shared" si="117"/>
        <v>0</v>
      </c>
      <c r="H787">
        <f t="shared" si="117"/>
        <v>0</v>
      </c>
      <c r="I787">
        <f t="shared" si="117"/>
        <v>0</v>
      </c>
      <c r="J787">
        <f t="shared" si="117"/>
        <v>1</v>
      </c>
      <c r="K787">
        <f t="shared" si="117"/>
        <v>0</v>
      </c>
      <c r="L787">
        <f t="shared" si="117"/>
        <v>0</v>
      </c>
      <c r="M787">
        <f t="shared" si="118"/>
        <v>0</v>
      </c>
      <c r="N787">
        <f t="shared" si="118"/>
        <v>0</v>
      </c>
      <c r="O787">
        <f t="shared" si="118"/>
        <v>1</v>
      </c>
    </row>
    <row r="788" spans="1:15" x14ac:dyDescent="0.3">
      <c r="A788">
        <v>4</v>
      </c>
      <c r="B788">
        <v>2016</v>
      </c>
      <c r="C788">
        <v>1548</v>
      </c>
      <c r="D788">
        <v>40</v>
      </c>
      <c r="E788">
        <v>126</v>
      </c>
      <c r="F788">
        <v>15</v>
      </c>
      <c r="G788">
        <f t="shared" si="117"/>
        <v>0</v>
      </c>
      <c r="H788">
        <f t="shared" si="117"/>
        <v>0</v>
      </c>
      <c r="I788">
        <f t="shared" si="117"/>
        <v>0</v>
      </c>
      <c r="J788">
        <f t="shared" si="117"/>
        <v>0</v>
      </c>
      <c r="K788">
        <f t="shared" si="117"/>
        <v>1</v>
      </c>
      <c r="L788">
        <f t="shared" si="117"/>
        <v>0</v>
      </c>
      <c r="M788">
        <f t="shared" si="118"/>
        <v>0</v>
      </c>
      <c r="N788">
        <f t="shared" si="118"/>
        <v>0</v>
      </c>
      <c r="O788">
        <f t="shared" si="118"/>
        <v>1</v>
      </c>
    </row>
    <row r="789" spans="1:15" x14ac:dyDescent="0.3">
      <c r="A789">
        <v>4</v>
      </c>
      <c r="B789">
        <v>2016</v>
      </c>
      <c r="C789">
        <v>1547</v>
      </c>
      <c r="D789">
        <v>50</v>
      </c>
      <c r="E789">
        <v>56</v>
      </c>
      <c r="F789">
        <v>8</v>
      </c>
      <c r="G789">
        <f t="shared" si="117"/>
        <v>0</v>
      </c>
      <c r="H789">
        <f t="shared" si="117"/>
        <v>0</v>
      </c>
      <c r="I789">
        <f t="shared" si="117"/>
        <v>0</v>
      </c>
      <c r="J789">
        <f t="shared" si="117"/>
        <v>0</v>
      </c>
      <c r="K789">
        <f t="shared" si="117"/>
        <v>1</v>
      </c>
      <c r="L789">
        <f t="shared" si="117"/>
        <v>0</v>
      </c>
      <c r="M789">
        <f t="shared" si="118"/>
        <v>0</v>
      </c>
      <c r="N789">
        <f t="shared" si="118"/>
        <v>0</v>
      </c>
      <c r="O789">
        <f t="shared" si="118"/>
        <v>1</v>
      </c>
    </row>
    <row r="790" spans="1:15" x14ac:dyDescent="0.3">
      <c r="A790">
        <v>4</v>
      </c>
      <c r="B790">
        <v>2017</v>
      </c>
      <c r="C790">
        <v>1544</v>
      </c>
      <c r="D790">
        <v>0</v>
      </c>
      <c r="E790">
        <v>29</v>
      </c>
      <c r="F790">
        <v>1</v>
      </c>
      <c r="G790">
        <f t="shared" si="117"/>
        <v>0</v>
      </c>
      <c r="H790">
        <f t="shared" si="117"/>
        <v>0</v>
      </c>
      <c r="I790">
        <f t="shared" si="117"/>
        <v>0</v>
      </c>
      <c r="J790">
        <f t="shared" si="117"/>
        <v>0</v>
      </c>
      <c r="K790">
        <f t="shared" si="117"/>
        <v>0</v>
      </c>
      <c r="L790">
        <f t="shared" si="117"/>
        <v>1</v>
      </c>
      <c r="M790">
        <f t="shared" si="118"/>
        <v>0</v>
      </c>
      <c r="N790">
        <f t="shared" si="118"/>
        <v>0</v>
      </c>
      <c r="O790">
        <f t="shared" si="118"/>
        <v>1</v>
      </c>
    </row>
    <row r="791" spans="1:15" x14ac:dyDescent="0.3">
      <c r="A791">
        <v>4</v>
      </c>
      <c r="B791">
        <v>2015</v>
      </c>
      <c r="C791">
        <v>1540</v>
      </c>
      <c r="D791">
        <v>45</v>
      </c>
      <c r="E791">
        <v>39</v>
      </c>
      <c r="F791">
        <v>3</v>
      </c>
      <c r="G791">
        <f t="shared" si="117"/>
        <v>0</v>
      </c>
      <c r="H791">
        <f t="shared" si="117"/>
        <v>0</v>
      </c>
      <c r="I791">
        <f t="shared" si="117"/>
        <v>0</v>
      </c>
      <c r="J791">
        <f t="shared" si="117"/>
        <v>1</v>
      </c>
      <c r="K791">
        <f t="shared" si="117"/>
        <v>0</v>
      </c>
      <c r="L791">
        <f t="shared" si="117"/>
        <v>0</v>
      </c>
      <c r="M791">
        <f t="shared" si="118"/>
        <v>0</v>
      </c>
      <c r="N791">
        <f t="shared" si="118"/>
        <v>0</v>
      </c>
      <c r="O791">
        <f t="shared" si="118"/>
        <v>1</v>
      </c>
    </row>
    <row r="792" spans="1:15" x14ac:dyDescent="0.3">
      <c r="A792">
        <v>1</v>
      </c>
      <c r="B792">
        <v>2017</v>
      </c>
      <c r="C792">
        <v>1537</v>
      </c>
      <c r="D792">
        <v>195</v>
      </c>
      <c r="E792">
        <v>29</v>
      </c>
      <c r="F792">
        <v>2.5</v>
      </c>
      <c r="G792">
        <f t="shared" ref="G792:L801" si="119">IF($B792=G$1,1,0)</f>
        <v>0</v>
      </c>
      <c r="H792">
        <f t="shared" si="119"/>
        <v>0</v>
      </c>
      <c r="I792">
        <f t="shared" si="119"/>
        <v>0</v>
      </c>
      <c r="J792">
        <f t="shared" si="119"/>
        <v>0</v>
      </c>
      <c r="K792">
        <f t="shared" si="119"/>
        <v>0</v>
      </c>
      <c r="L792">
        <f t="shared" si="119"/>
        <v>1</v>
      </c>
      <c r="M792">
        <f t="shared" si="118"/>
        <v>1</v>
      </c>
      <c r="N792">
        <f t="shared" si="118"/>
        <v>0</v>
      </c>
      <c r="O792">
        <f t="shared" si="118"/>
        <v>0</v>
      </c>
    </row>
    <row r="793" spans="1:15" x14ac:dyDescent="0.3">
      <c r="A793">
        <v>1</v>
      </c>
      <c r="B793">
        <v>2015</v>
      </c>
      <c r="C793">
        <v>1534</v>
      </c>
      <c r="D793">
        <v>55</v>
      </c>
      <c r="E793">
        <v>18</v>
      </c>
      <c r="F793">
        <v>1.5</v>
      </c>
      <c r="G793">
        <f t="shared" si="119"/>
        <v>0</v>
      </c>
      <c r="H793">
        <f t="shared" si="119"/>
        <v>0</v>
      </c>
      <c r="I793">
        <f t="shared" si="119"/>
        <v>0</v>
      </c>
      <c r="J793">
        <f t="shared" si="119"/>
        <v>1</v>
      </c>
      <c r="K793">
        <f t="shared" si="119"/>
        <v>0</v>
      </c>
      <c r="L793">
        <f t="shared" si="119"/>
        <v>0</v>
      </c>
      <c r="M793">
        <f t="shared" si="118"/>
        <v>1</v>
      </c>
      <c r="N793">
        <f t="shared" si="118"/>
        <v>0</v>
      </c>
      <c r="O793">
        <f t="shared" si="118"/>
        <v>0</v>
      </c>
    </row>
    <row r="794" spans="1:15" x14ac:dyDescent="0.3">
      <c r="A794">
        <v>4</v>
      </c>
      <c r="B794">
        <v>2014</v>
      </c>
      <c r="C794">
        <v>1532</v>
      </c>
      <c r="D794">
        <v>75</v>
      </c>
      <c r="E794">
        <v>23</v>
      </c>
      <c r="F794">
        <v>2</v>
      </c>
      <c r="G794">
        <f t="shared" si="119"/>
        <v>0</v>
      </c>
      <c r="H794">
        <f t="shared" si="119"/>
        <v>0</v>
      </c>
      <c r="I794">
        <f t="shared" si="119"/>
        <v>1</v>
      </c>
      <c r="J794">
        <f t="shared" si="119"/>
        <v>0</v>
      </c>
      <c r="K794">
        <f t="shared" si="119"/>
        <v>0</v>
      </c>
      <c r="L794">
        <f t="shared" si="119"/>
        <v>0</v>
      </c>
      <c r="M794">
        <f t="shared" si="118"/>
        <v>0</v>
      </c>
      <c r="N794">
        <f t="shared" si="118"/>
        <v>0</v>
      </c>
      <c r="O794">
        <f t="shared" si="118"/>
        <v>1</v>
      </c>
    </row>
    <row r="795" spans="1:15" x14ac:dyDescent="0.3">
      <c r="A795">
        <v>1</v>
      </c>
      <c r="B795">
        <v>2015</v>
      </c>
      <c r="C795">
        <v>1526</v>
      </c>
      <c r="D795">
        <v>90</v>
      </c>
      <c r="E795">
        <v>86</v>
      </c>
      <c r="F795">
        <v>6.5</v>
      </c>
      <c r="G795">
        <f t="shared" si="119"/>
        <v>0</v>
      </c>
      <c r="H795">
        <f t="shared" si="119"/>
        <v>0</v>
      </c>
      <c r="I795">
        <f t="shared" si="119"/>
        <v>0</v>
      </c>
      <c r="J795">
        <f t="shared" si="119"/>
        <v>1</v>
      </c>
      <c r="K795">
        <f t="shared" si="119"/>
        <v>0</v>
      </c>
      <c r="L795">
        <f t="shared" si="119"/>
        <v>0</v>
      </c>
      <c r="M795">
        <f t="shared" si="118"/>
        <v>1</v>
      </c>
      <c r="N795">
        <f t="shared" si="118"/>
        <v>0</v>
      </c>
      <c r="O795">
        <f t="shared" si="118"/>
        <v>0</v>
      </c>
    </row>
    <row r="796" spans="1:15" x14ac:dyDescent="0.3">
      <c r="A796">
        <v>2</v>
      </c>
      <c r="B796">
        <v>2016</v>
      </c>
      <c r="C796">
        <v>1525</v>
      </c>
      <c r="D796">
        <v>20</v>
      </c>
      <c r="E796">
        <v>65</v>
      </c>
      <c r="F796">
        <v>2.5</v>
      </c>
      <c r="G796">
        <f t="shared" si="119"/>
        <v>0</v>
      </c>
      <c r="H796">
        <f t="shared" si="119"/>
        <v>0</v>
      </c>
      <c r="I796">
        <f t="shared" si="119"/>
        <v>0</v>
      </c>
      <c r="J796">
        <f t="shared" si="119"/>
        <v>0</v>
      </c>
      <c r="K796">
        <f t="shared" si="119"/>
        <v>1</v>
      </c>
      <c r="L796">
        <f t="shared" si="119"/>
        <v>0</v>
      </c>
      <c r="M796">
        <f t="shared" si="118"/>
        <v>0</v>
      </c>
      <c r="N796">
        <f t="shared" si="118"/>
        <v>1</v>
      </c>
      <c r="O796">
        <f t="shared" si="118"/>
        <v>0</v>
      </c>
    </row>
    <row r="797" spans="1:15" x14ac:dyDescent="0.3">
      <c r="A797">
        <v>2</v>
      </c>
      <c r="B797">
        <v>2017</v>
      </c>
      <c r="C797">
        <v>1520</v>
      </c>
      <c r="D797">
        <v>20</v>
      </c>
      <c r="E797">
        <v>23</v>
      </c>
      <c r="F797">
        <v>2</v>
      </c>
      <c r="G797">
        <f t="shared" si="119"/>
        <v>0</v>
      </c>
      <c r="H797">
        <f t="shared" si="119"/>
        <v>0</v>
      </c>
      <c r="I797">
        <f t="shared" si="119"/>
        <v>0</v>
      </c>
      <c r="J797">
        <f t="shared" si="119"/>
        <v>0</v>
      </c>
      <c r="K797">
        <f t="shared" si="119"/>
        <v>0</v>
      </c>
      <c r="L797">
        <f t="shared" si="119"/>
        <v>1</v>
      </c>
      <c r="M797">
        <f t="shared" si="118"/>
        <v>0</v>
      </c>
      <c r="N797">
        <f t="shared" si="118"/>
        <v>1</v>
      </c>
      <c r="O797">
        <f t="shared" si="118"/>
        <v>0</v>
      </c>
    </row>
    <row r="798" spans="1:15" x14ac:dyDescent="0.3">
      <c r="A798">
        <v>4</v>
      </c>
      <c r="B798">
        <v>2013</v>
      </c>
      <c r="C798">
        <v>1520</v>
      </c>
      <c r="D798">
        <v>25</v>
      </c>
      <c r="E798">
        <v>52</v>
      </c>
      <c r="F798">
        <v>10.5</v>
      </c>
      <c r="G798">
        <f t="shared" si="119"/>
        <v>0</v>
      </c>
      <c r="H798">
        <f t="shared" si="119"/>
        <v>1</v>
      </c>
      <c r="I798">
        <f t="shared" si="119"/>
        <v>0</v>
      </c>
      <c r="J798">
        <f t="shared" si="119"/>
        <v>0</v>
      </c>
      <c r="K798">
        <f t="shared" si="119"/>
        <v>0</v>
      </c>
      <c r="L798">
        <f t="shared" si="119"/>
        <v>0</v>
      </c>
      <c r="M798">
        <f t="shared" si="118"/>
        <v>0</v>
      </c>
      <c r="N798">
        <f t="shared" si="118"/>
        <v>0</v>
      </c>
      <c r="O798">
        <f t="shared" si="118"/>
        <v>1</v>
      </c>
    </row>
    <row r="799" spans="1:15" x14ac:dyDescent="0.3">
      <c r="A799">
        <v>1</v>
      </c>
      <c r="B799">
        <v>2017</v>
      </c>
      <c r="C799">
        <v>1519</v>
      </c>
      <c r="D799">
        <v>0</v>
      </c>
      <c r="E799">
        <v>20</v>
      </c>
      <c r="F799">
        <v>1</v>
      </c>
      <c r="G799">
        <f t="shared" si="119"/>
        <v>0</v>
      </c>
      <c r="H799">
        <f t="shared" si="119"/>
        <v>0</v>
      </c>
      <c r="I799">
        <f t="shared" si="119"/>
        <v>0</v>
      </c>
      <c r="J799">
        <f t="shared" si="119"/>
        <v>0</v>
      </c>
      <c r="K799">
        <f t="shared" si="119"/>
        <v>0</v>
      </c>
      <c r="L799">
        <f t="shared" si="119"/>
        <v>1</v>
      </c>
      <c r="M799">
        <f t="shared" si="118"/>
        <v>1</v>
      </c>
      <c r="N799">
        <f t="shared" si="118"/>
        <v>0</v>
      </c>
      <c r="O799">
        <f t="shared" si="118"/>
        <v>0</v>
      </c>
    </row>
    <row r="800" spans="1:15" x14ac:dyDescent="0.3">
      <c r="A800">
        <v>4</v>
      </c>
      <c r="B800">
        <v>2015</v>
      </c>
      <c r="C800">
        <v>1518</v>
      </c>
      <c r="D800">
        <v>100</v>
      </c>
      <c r="E800">
        <v>122</v>
      </c>
      <c r="F800">
        <v>19</v>
      </c>
      <c r="G800">
        <f t="shared" si="119"/>
        <v>0</v>
      </c>
      <c r="H800">
        <f t="shared" si="119"/>
        <v>0</v>
      </c>
      <c r="I800">
        <f t="shared" si="119"/>
        <v>0</v>
      </c>
      <c r="J800">
        <f t="shared" si="119"/>
        <v>1</v>
      </c>
      <c r="K800">
        <f t="shared" si="119"/>
        <v>0</v>
      </c>
      <c r="L800">
        <f t="shared" si="119"/>
        <v>0</v>
      </c>
      <c r="M800">
        <f t="shared" si="118"/>
        <v>0</v>
      </c>
      <c r="N800">
        <f t="shared" si="118"/>
        <v>0</v>
      </c>
      <c r="O800">
        <f t="shared" si="118"/>
        <v>1</v>
      </c>
    </row>
    <row r="801" spans="1:15" x14ac:dyDescent="0.3">
      <c r="A801">
        <v>1</v>
      </c>
      <c r="B801">
        <v>2014</v>
      </c>
      <c r="C801">
        <v>1517</v>
      </c>
      <c r="D801">
        <v>20</v>
      </c>
      <c r="E801">
        <v>12</v>
      </c>
      <c r="F801">
        <v>1</v>
      </c>
      <c r="G801">
        <f t="shared" si="119"/>
        <v>0</v>
      </c>
      <c r="H801">
        <f t="shared" si="119"/>
        <v>0</v>
      </c>
      <c r="I801">
        <f t="shared" si="119"/>
        <v>1</v>
      </c>
      <c r="J801">
        <f t="shared" si="119"/>
        <v>0</v>
      </c>
      <c r="K801">
        <f t="shared" si="119"/>
        <v>0</v>
      </c>
      <c r="L801">
        <f t="shared" si="119"/>
        <v>0</v>
      </c>
      <c r="M801">
        <f t="shared" si="118"/>
        <v>1</v>
      </c>
      <c r="N801">
        <f t="shared" si="118"/>
        <v>0</v>
      </c>
      <c r="O801">
        <f t="shared" si="118"/>
        <v>0</v>
      </c>
    </row>
    <row r="802" spans="1:15" x14ac:dyDescent="0.3">
      <c r="A802">
        <v>4</v>
      </c>
      <c r="B802">
        <v>2016</v>
      </c>
      <c r="C802">
        <v>1515</v>
      </c>
      <c r="D802">
        <v>50</v>
      </c>
      <c r="E802">
        <v>60</v>
      </c>
      <c r="F802">
        <v>7</v>
      </c>
      <c r="G802">
        <f t="shared" ref="G802:L811" si="120">IF($B802=G$1,1,0)</f>
        <v>0</v>
      </c>
      <c r="H802">
        <f t="shared" si="120"/>
        <v>0</v>
      </c>
      <c r="I802">
        <f t="shared" si="120"/>
        <v>0</v>
      </c>
      <c r="J802">
        <f t="shared" si="120"/>
        <v>0</v>
      </c>
      <c r="K802">
        <f t="shared" si="120"/>
        <v>1</v>
      </c>
      <c r="L802">
        <f t="shared" si="120"/>
        <v>0</v>
      </c>
      <c r="M802">
        <f t="shared" ref="M802:O821" si="121">IF($A802=M$1,1,0)</f>
        <v>0</v>
      </c>
      <c r="N802">
        <f t="shared" si="121"/>
        <v>0</v>
      </c>
      <c r="O802">
        <f t="shared" si="121"/>
        <v>1</v>
      </c>
    </row>
    <row r="803" spans="1:15" x14ac:dyDescent="0.3">
      <c r="A803">
        <v>4</v>
      </c>
      <c r="B803">
        <v>2016</v>
      </c>
      <c r="C803">
        <v>1502</v>
      </c>
      <c r="D803">
        <v>40</v>
      </c>
      <c r="E803">
        <v>49</v>
      </c>
      <c r="F803">
        <v>6</v>
      </c>
      <c r="G803">
        <f t="shared" si="120"/>
        <v>0</v>
      </c>
      <c r="H803">
        <f t="shared" si="120"/>
        <v>0</v>
      </c>
      <c r="I803">
        <f t="shared" si="120"/>
        <v>0</v>
      </c>
      <c r="J803">
        <f t="shared" si="120"/>
        <v>0</v>
      </c>
      <c r="K803">
        <f t="shared" si="120"/>
        <v>1</v>
      </c>
      <c r="L803">
        <f t="shared" si="120"/>
        <v>0</v>
      </c>
      <c r="M803">
        <f t="shared" si="121"/>
        <v>0</v>
      </c>
      <c r="N803">
        <f t="shared" si="121"/>
        <v>0</v>
      </c>
      <c r="O803">
        <f t="shared" si="121"/>
        <v>1</v>
      </c>
    </row>
    <row r="804" spans="1:15" x14ac:dyDescent="0.3">
      <c r="A804">
        <v>1</v>
      </c>
      <c r="B804">
        <v>2016</v>
      </c>
      <c r="C804">
        <v>1496</v>
      </c>
      <c r="D804">
        <v>50</v>
      </c>
      <c r="E804">
        <v>74</v>
      </c>
      <c r="F804">
        <v>7.5</v>
      </c>
      <c r="G804">
        <f t="shared" si="120"/>
        <v>0</v>
      </c>
      <c r="H804">
        <f t="shared" si="120"/>
        <v>0</v>
      </c>
      <c r="I804">
        <f t="shared" si="120"/>
        <v>0</v>
      </c>
      <c r="J804">
        <f t="shared" si="120"/>
        <v>0</v>
      </c>
      <c r="K804">
        <f t="shared" si="120"/>
        <v>1</v>
      </c>
      <c r="L804">
        <f t="shared" si="120"/>
        <v>0</v>
      </c>
      <c r="M804">
        <f t="shared" si="121"/>
        <v>1</v>
      </c>
      <c r="N804">
        <f t="shared" si="121"/>
        <v>0</v>
      </c>
      <c r="O804">
        <f t="shared" si="121"/>
        <v>0</v>
      </c>
    </row>
    <row r="805" spans="1:15" x14ac:dyDescent="0.3">
      <c r="A805">
        <v>4</v>
      </c>
      <c r="B805">
        <v>2015</v>
      </c>
      <c r="C805">
        <v>1494</v>
      </c>
      <c r="D805">
        <v>195</v>
      </c>
      <c r="E805">
        <v>62</v>
      </c>
      <c r="F805">
        <v>7.5</v>
      </c>
      <c r="G805">
        <f t="shared" si="120"/>
        <v>0</v>
      </c>
      <c r="H805">
        <f t="shared" si="120"/>
        <v>0</v>
      </c>
      <c r="I805">
        <f t="shared" si="120"/>
        <v>0</v>
      </c>
      <c r="J805">
        <f t="shared" si="120"/>
        <v>1</v>
      </c>
      <c r="K805">
        <f t="shared" si="120"/>
        <v>0</v>
      </c>
      <c r="L805">
        <f t="shared" si="120"/>
        <v>0</v>
      </c>
      <c r="M805">
        <f t="shared" si="121"/>
        <v>0</v>
      </c>
      <c r="N805">
        <f t="shared" si="121"/>
        <v>0</v>
      </c>
      <c r="O805">
        <f t="shared" si="121"/>
        <v>1</v>
      </c>
    </row>
    <row r="806" spans="1:15" x14ac:dyDescent="0.3">
      <c r="A806">
        <v>2</v>
      </c>
      <c r="B806">
        <v>2015</v>
      </c>
      <c r="C806">
        <v>1478</v>
      </c>
      <c r="D806">
        <v>30</v>
      </c>
      <c r="E806">
        <v>83</v>
      </c>
      <c r="F806">
        <v>5</v>
      </c>
      <c r="G806">
        <f t="shared" si="120"/>
        <v>0</v>
      </c>
      <c r="H806">
        <f t="shared" si="120"/>
        <v>0</v>
      </c>
      <c r="I806">
        <f t="shared" si="120"/>
        <v>0</v>
      </c>
      <c r="J806">
        <f t="shared" si="120"/>
        <v>1</v>
      </c>
      <c r="K806">
        <f t="shared" si="120"/>
        <v>0</v>
      </c>
      <c r="L806">
        <f t="shared" si="120"/>
        <v>0</v>
      </c>
      <c r="M806">
        <f t="shared" si="121"/>
        <v>0</v>
      </c>
      <c r="N806">
        <f t="shared" si="121"/>
        <v>1</v>
      </c>
      <c r="O806">
        <f t="shared" si="121"/>
        <v>0</v>
      </c>
    </row>
    <row r="807" spans="1:15" x14ac:dyDescent="0.3">
      <c r="A807">
        <v>2</v>
      </c>
      <c r="B807">
        <v>2017</v>
      </c>
      <c r="C807">
        <v>1477</v>
      </c>
      <c r="D807">
        <v>40</v>
      </c>
      <c r="E807">
        <v>27</v>
      </c>
      <c r="F807">
        <v>6</v>
      </c>
      <c r="G807">
        <f t="shared" si="120"/>
        <v>0</v>
      </c>
      <c r="H807">
        <f t="shared" si="120"/>
        <v>0</v>
      </c>
      <c r="I807">
        <f t="shared" si="120"/>
        <v>0</v>
      </c>
      <c r="J807">
        <f t="shared" si="120"/>
        <v>0</v>
      </c>
      <c r="K807">
        <f t="shared" si="120"/>
        <v>0</v>
      </c>
      <c r="L807">
        <f t="shared" si="120"/>
        <v>1</v>
      </c>
      <c r="M807">
        <f t="shared" si="121"/>
        <v>0</v>
      </c>
      <c r="N807">
        <f t="shared" si="121"/>
        <v>1</v>
      </c>
      <c r="O807">
        <f t="shared" si="121"/>
        <v>0</v>
      </c>
    </row>
    <row r="808" spans="1:15" x14ac:dyDescent="0.3">
      <c r="A808">
        <v>4</v>
      </c>
      <c r="B808">
        <v>2016</v>
      </c>
      <c r="C808">
        <v>1476</v>
      </c>
      <c r="D808">
        <v>20</v>
      </c>
      <c r="E808">
        <v>8</v>
      </c>
      <c r="F808">
        <v>0.65</v>
      </c>
      <c r="G808">
        <f t="shared" si="120"/>
        <v>0</v>
      </c>
      <c r="H808">
        <f t="shared" si="120"/>
        <v>0</v>
      </c>
      <c r="I808">
        <f t="shared" si="120"/>
        <v>0</v>
      </c>
      <c r="J808">
        <f t="shared" si="120"/>
        <v>0</v>
      </c>
      <c r="K808">
        <f t="shared" si="120"/>
        <v>1</v>
      </c>
      <c r="L808">
        <f t="shared" si="120"/>
        <v>0</v>
      </c>
      <c r="M808">
        <f t="shared" si="121"/>
        <v>0</v>
      </c>
      <c r="N808">
        <f t="shared" si="121"/>
        <v>0</v>
      </c>
      <c r="O808">
        <f t="shared" si="121"/>
        <v>1</v>
      </c>
    </row>
    <row r="809" spans="1:15" x14ac:dyDescent="0.3">
      <c r="A809">
        <v>4</v>
      </c>
      <c r="B809">
        <v>2017</v>
      </c>
      <c r="C809">
        <v>1472</v>
      </c>
      <c r="D809">
        <v>195</v>
      </c>
      <c r="E809">
        <v>110</v>
      </c>
      <c r="F809">
        <v>13</v>
      </c>
      <c r="G809">
        <f t="shared" si="120"/>
        <v>0</v>
      </c>
      <c r="H809">
        <f t="shared" si="120"/>
        <v>0</v>
      </c>
      <c r="I809">
        <f t="shared" si="120"/>
        <v>0</v>
      </c>
      <c r="J809">
        <f t="shared" si="120"/>
        <v>0</v>
      </c>
      <c r="K809">
        <f t="shared" si="120"/>
        <v>0</v>
      </c>
      <c r="L809">
        <f t="shared" si="120"/>
        <v>1</v>
      </c>
      <c r="M809">
        <f t="shared" si="121"/>
        <v>0</v>
      </c>
      <c r="N809">
        <f t="shared" si="121"/>
        <v>0</v>
      </c>
      <c r="O809">
        <f t="shared" si="121"/>
        <v>1</v>
      </c>
    </row>
    <row r="810" spans="1:15" x14ac:dyDescent="0.3">
      <c r="A810">
        <v>4</v>
      </c>
      <c r="B810">
        <v>2016</v>
      </c>
      <c r="C810">
        <v>1469</v>
      </c>
      <c r="D810">
        <v>40</v>
      </c>
      <c r="E810">
        <v>120</v>
      </c>
      <c r="F810">
        <v>19</v>
      </c>
      <c r="G810">
        <f t="shared" si="120"/>
        <v>0</v>
      </c>
      <c r="H810">
        <f t="shared" si="120"/>
        <v>0</v>
      </c>
      <c r="I810">
        <f t="shared" si="120"/>
        <v>0</v>
      </c>
      <c r="J810">
        <f t="shared" si="120"/>
        <v>0</v>
      </c>
      <c r="K810">
        <f t="shared" si="120"/>
        <v>1</v>
      </c>
      <c r="L810">
        <f t="shared" si="120"/>
        <v>0</v>
      </c>
      <c r="M810">
        <f t="shared" si="121"/>
        <v>0</v>
      </c>
      <c r="N810">
        <f t="shared" si="121"/>
        <v>0</v>
      </c>
      <c r="O810">
        <f t="shared" si="121"/>
        <v>1</v>
      </c>
    </row>
    <row r="811" spans="1:15" x14ac:dyDescent="0.3">
      <c r="A811">
        <v>4</v>
      </c>
      <c r="B811">
        <v>2015</v>
      </c>
      <c r="C811">
        <v>1468</v>
      </c>
      <c r="D811">
        <v>40</v>
      </c>
      <c r="E811">
        <v>18</v>
      </c>
      <c r="F811">
        <v>2.5</v>
      </c>
      <c r="G811">
        <f t="shared" si="120"/>
        <v>0</v>
      </c>
      <c r="H811">
        <f t="shared" si="120"/>
        <v>0</v>
      </c>
      <c r="I811">
        <f t="shared" si="120"/>
        <v>0</v>
      </c>
      <c r="J811">
        <f t="shared" si="120"/>
        <v>1</v>
      </c>
      <c r="K811">
        <f t="shared" si="120"/>
        <v>0</v>
      </c>
      <c r="L811">
        <f t="shared" si="120"/>
        <v>0</v>
      </c>
      <c r="M811">
        <f t="shared" si="121"/>
        <v>0</v>
      </c>
      <c r="N811">
        <f t="shared" si="121"/>
        <v>0</v>
      </c>
      <c r="O811">
        <f t="shared" si="121"/>
        <v>1</v>
      </c>
    </row>
    <row r="812" spans="1:15" x14ac:dyDescent="0.3">
      <c r="A812">
        <v>1</v>
      </c>
      <c r="B812">
        <v>2012</v>
      </c>
      <c r="C812">
        <v>1463</v>
      </c>
      <c r="D812">
        <v>20</v>
      </c>
      <c r="E812">
        <v>24</v>
      </c>
      <c r="F812">
        <v>1</v>
      </c>
      <c r="G812">
        <f t="shared" ref="G812:L821" si="122">IF($B812=G$1,1,0)</f>
        <v>1</v>
      </c>
      <c r="H812">
        <f t="shared" si="122"/>
        <v>0</v>
      </c>
      <c r="I812">
        <f t="shared" si="122"/>
        <v>0</v>
      </c>
      <c r="J812">
        <f t="shared" si="122"/>
        <v>0</v>
      </c>
      <c r="K812">
        <f t="shared" si="122"/>
        <v>0</v>
      </c>
      <c r="L812">
        <f t="shared" si="122"/>
        <v>0</v>
      </c>
      <c r="M812">
        <f t="shared" si="121"/>
        <v>1</v>
      </c>
      <c r="N812">
        <f t="shared" si="121"/>
        <v>0</v>
      </c>
      <c r="O812">
        <f t="shared" si="121"/>
        <v>0</v>
      </c>
    </row>
    <row r="813" spans="1:15" x14ac:dyDescent="0.3">
      <c r="A813">
        <v>4</v>
      </c>
      <c r="B813">
        <v>2015</v>
      </c>
      <c r="C813">
        <v>1454</v>
      </c>
      <c r="D813">
        <v>30</v>
      </c>
      <c r="E813">
        <v>12</v>
      </c>
      <c r="F813">
        <v>0.5</v>
      </c>
      <c r="G813">
        <f t="shared" si="122"/>
        <v>0</v>
      </c>
      <c r="H813">
        <f t="shared" si="122"/>
        <v>0</v>
      </c>
      <c r="I813">
        <f t="shared" si="122"/>
        <v>0</v>
      </c>
      <c r="J813">
        <f t="shared" si="122"/>
        <v>1</v>
      </c>
      <c r="K813">
        <f t="shared" si="122"/>
        <v>0</v>
      </c>
      <c r="L813">
        <f t="shared" si="122"/>
        <v>0</v>
      </c>
      <c r="M813">
        <f t="shared" si="121"/>
        <v>0</v>
      </c>
      <c r="N813">
        <f t="shared" si="121"/>
        <v>0</v>
      </c>
      <c r="O813">
        <f t="shared" si="121"/>
        <v>1</v>
      </c>
    </row>
    <row r="814" spans="1:15" x14ac:dyDescent="0.3">
      <c r="A814">
        <v>1</v>
      </c>
      <c r="B814">
        <v>2015</v>
      </c>
      <c r="C814">
        <v>1448</v>
      </c>
      <c r="D814">
        <v>200</v>
      </c>
      <c r="E814">
        <v>48</v>
      </c>
      <c r="F814">
        <v>7.5</v>
      </c>
      <c r="G814">
        <f t="shared" si="122"/>
        <v>0</v>
      </c>
      <c r="H814">
        <f t="shared" si="122"/>
        <v>0</v>
      </c>
      <c r="I814">
        <f t="shared" si="122"/>
        <v>0</v>
      </c>
      <c r="J814">
        <f t="shared" si="122"/>
        <v>1</v>
      </c>
      <c r="K814">
        <f t="shared" si="122"/>
        <v>0</v>
      </c>
      <c r="L814">
        <f t="shared" si="122"/>
        <v>0</v>
      </c>
      <c r="M814">
        <f t="shared" si="121"/>
        <v>1</v>
      </c>
      <c r="N814">
        <f t="shared" si="121"/>
        <v>0</v>
      </c>
      <c r="O814">
        <f t="shared" si="121"/>
        <v>0</v>
      </c>
    </row>
    <row r="815" spans="1:15" x14ac:dyDescent="0.3">
      <c r="A815">
        <v>1</v>
      </c>
      <c r="B815">
        <v>2015</v>
      </c>
      <c r="C815">
        <v>1447</v>
      </c>
      <c r="D815">
        <v>20</v>
      </c>
      <c r="E815">
        <v>7</v>
      </c>
      <c r="F815">
        <v>0.66666667000000002</v>
      </c>
      <c r="G815">
        <f t="shared" si="122"/>
        <v>0</v>
      </c>
      <c r="H815">
        <f t="shared" si="122"/>
        <v>0</v>
      </c>
      <c r="I815">
        <f t="shared" si="122"/>
        <v>0</v>
      </c>
      <c r="J815">
        <f t="shared" si="122"/>
        <v>1</v>
      </c>
      <c r="K815">
        <f t="shared" si="122"/>
        <v>0</v>
      </c>
      <c r="L815">
        <f t="shared" si="122"/>
        <v>0</v>
      </c>
      <c r="M815">
        <f t="shared" si="121"/>
        <v>1</v>
      </c>
      <c r="N815">
        <f t="shared" si="121"/>
        <v>0</v>
      </c>
      <c r="O815">
        <f t="shared" si="121"/>
        <v>0</v>
      </c>
    </row>
    <row r="816" spans="1:15" x14ac:dyDescent="0.3">
      <c r="A816">
        <v>4</v>
      </c>
      <c r="B816">
        <v>2015</v>
      </c>
      <c r="C816">
        <v>1442</v>
      </c>
      <c r="D816">
        <v>20</v>
      </c>
      <c r="E816">
        <v>25</v>
      </c>
      <c r="F816">
        <v>2</v>
      </c>
      <c r="G816">
        <f t="shared" si="122"/>
        <v>0</v>
      </c>
      <c r="H816">
        <f t="shared" si="122"/>
        <v>0</v>
      </c>
      <c r="I816">
        <f t="shared" si="122"/>
        <v>0</v>
      </c>
      <c r="J816">
        <f t="shared" si="122"/>
        <v>1</v>
      </c>
      <c r="K816">
        <f t="shared" si="122"/>
        <v>0</v>
      </c>
      <c r="L816">
        <f t="shared" si="122"/>
        <v>0</v>
      </c>
      <c r="M816">
        <f t="shared" si="121"/>
        <v>0</v>
      </c>
      <c r="N816">
        <f t="shared" si="121"/>
        <v>0</v>
      </c>
      <c r="O816">
        <f t="shared" si="121"/>
        <v>1</v>
      </c>
    </row>
    <row r="817" spans="1:15" x14ac:dyDescent="0.3">
      <c r="A817">
        <v>1</v>
      </c>
      <c r="B817">
        <v>2016</v>
      </c>
      <c r="C817">
        <v>1439</v>
      </c>
      <c r="D817">
        <v>50</v>
      </c>
      <c r="E817">
        <v>77</v>
      </c>
      <c r="F817">
        <v>13</v>
      </c>
      <c r="G817">
        <f t="shared" si="122"/>
        <v>0</v>
      </c>
      <c r="H817">
        <f t="shared" si="122"/>
        <v>0</v>
      </c>
      <c r="I817">
        <f t="shared" si="122"/>
        <v>0</v>
      </c>
      <c r="J817">
        <f t="shared" si="122"/>
        <v>0</v>
      </c>
      <c r="K817">
        <f t="shared" si="122"/>
        <v>1</v>
      </c>
      <c r="L817">
        <f t="shared" si="122"/>
        <v>0</v>
      </c>
      <c r="M817">
        <f t="shared" si="121"/>
        <v>1</v>
      </c>
      <c r="N817">
        <f t="shared" si="121"/>
        <v>0</v>
      </c>
      <c r="O817">
        <f t="shared" si="121"/>
        <v>0</v>
      </c>
    </row>
    <row r="818" spans="1:15" x14ac:dyDescent="0.3">
      <c r="A818">
        <v>2</v>
      </c>
      <c r="B818">
        <v>2017</v>
      </c>
      <c r="C818">
        <v>1437</v>
      </c>
      <c r="D818">
        <v>95</v>
      </c>
      <c r="E818">
        <v>20</v>
      </c>
      <c r="F818">
        <v>1</v>
      </c>
      <c r="G818">
        <f t="shared" si="122"/>
        <v>0</v>
      </c>
      <c r="H818">
        <f t="shared" si="122"/>
        <v>0</v>
      </c>
      <c r="I818">
        <f t="shared" si="122"/>
        <v>0</v>
      </c>
      <c r="J818">
        <f t="shared" si="122"/>
        <v>0</v>
      </c>
      <c r="K818">
        <f t="shared" si="122"/>
        <v>0</v>
      </c>
      <c r="L818">
        <f t="shared" si="122"/>
        <v>1</v>
      </c>
      <c r="M818">
        <f t="shared" si="121"/>
        <v>0</v>
      </c>
      <c r="N818">
        <f t="shared" si="121"/>
        <v>1</v>
      </c>
      <c r="O818">
        <f t="shared" si="121"/>
        <v>0</v>
      </c>
    </row>
    <row r="819" spans="1:15" x14ac:dyDescent="0.3">
      <c r="A819">
        <v>1</v>
      </c>
      <c r="B819">
        <v>2015</v>
      </c>
      <c r="C819">
        <v>1433</v>
      </c>
      <c r="D819">
        <v>40</v>
      </c>
      <c r="E819">
        <v>34</v>
      </c>
      <c r="F819">
        <v>5.5</v>
      </c>
      <c r="G819">
        <f t="shared" si="122"/>
        <v>0</v>
      </c>
      <c r="H819">
        <f t="shared" si="122"/>
        <v>0</v>
      </c>
      <c r="I819">
        <f t="shared" si="122"/>
        <v>0</v>
      </c>
      <c r="J819">
        <f t="shared" si="122"/>
        <v>1</v>
      </c>
      <c r="K819">
        <f t="shared" si="122"/>
        <v>0</v>
      </c>
      <c r="L819">
        <f t="shared" si="122"/>
        <v>0</v>
      </c>
      <c r="M819">
        <f t="shared" si="121"/>
        <v>1</v>
      </c>
      <c r="N819">
        <f t="shared" si="121"/>
        <v>0</v>
      </c>
      <c r="O819">
        <f t="shared" si="121"/>
        <v>0</v>
      </c>
    </row>
    <row r="820" spans="1:15" x14ac:dyDescent="0.3">
      <c r="A820">
        <v>4</v>
      </c>
      <c r="B820">
        <v>2015</v>
      </c>
      <c r="C820">
        <v>1428</v>
      </c>
      <c r="D820">
        <v>20</v>
      </c>
      <c r="E820">
        <v>32</v>
      </c>
      <c r="F820">
        <v>3</v>
      </c>
      <c r="G820">
        <f t="shared" si="122"/>
        <v>0</v>
      </c>
      <c r="H820">
        <f t="shared" si="122"/>
        <v>0</v>
      </c>
      <c r="I820">
        <f t="shared" si="122"/>
        <v>0</v>
      </c>
      <c r="J820">
        <f t="shared" si="122"/>
        <v>1</v>
      </c>
      <c r="K820">
        <f t="shared" si="122"/>
        <v>0</v>
      </c>
      <c r="L820">
        <f t="shared" si="122"/>
        <v>0</v>
      </c>
      <c r="M820">
        <f t="shared" si="121"/>
        <v>0</v>
      </c>
      <c r="N820">
        <f t="shared" si="121"/>
        <v>0</v>
      </c>
      <c r="O820">
        <f t="shared" si="121"/>
        <v>1</v>
      </c>
    </row>
    <row r="821" spans="1:15" x14ac:dyDescent="0.3">
      <c r="A821">
        <v>4</v>
      </c>
      <c r="B821">
        <v>2016</v>
      </c>
      <c r="C821">
        <v>1425</v>
      </c>
      <c r="D821">
        <v>110</v>
      </c>
      <c r="E821">
        <v>34</v>
      </c>
      <c r="F821">
        <v>5.5</v>
      </c>
      <c r="G821">
        <f t="shared" si="122"/>
        <v>0</v>
      </c>
      <c r="H821">
        <f t="shared" si="122"/>
        <v>0</v>
      </c>
      <c r="I821">
        <f t="shared" si="122"/>
        <v>0</v>
      </c>
      <c r="J821">
        <f t="shared" si="122"/>
        <v>0</v>
      </c>
      <c r="K821">
        <f t="shared" si="122"/>
        <v>1</v>
      </c>
      <c r="L821">
        <f t="shared" si="122"/>
        <v>0</v>
      </c>
      <c r="M821">
        <f t="shared" si="121"/>
        <v>0</v>
      </c>
      <c r="N821">
        <f t="shared" si="121"/>
        <v>0</v>
      </c>
      <c r="O821">
        <f t="shared" si="121"/>
        <v>1</v>
      </c>
    </row>
    <row r="822" spans="1:15" x14ac:dyDescent="0.3">
      <c r="A822">
        <v>1</v>
      </c>
      <c r="B822">
        <v>2015</v>
      </c>
      <c r="C822">
        <v>1421</v>
      </c>
      <c r="D822">
        <v>20</v>
      </c>
      <c r="E822">
        <v>36</v>
      </c>
      <c r="F822">
        <v>4</v>
      </c>
      <c r="G822">
        <f t="shared" ref="G822:L831" si="123">IF($B822=G$1,1,0)</f>
        <v>0</v>
      </c>
      <c r="H822">
        <f t="shared" si="123"/>
        <v>0</v>
      </c>
      <c r="I822">
        <f t="shared" si="123"/>
        <v>0</v>
      </c>
      <c r="J822">
        <f t="shared" si="123"/>
        <v>1</v>
      </c>
      <c r="K822">
        <f t="shared" si="123"/>
        <v>0</v>
      </c>
      <c r="L822">
        <f t="shared" si="123"/>
        <v>0</v>
      </c>
      <c r="M822">
        <f t="shared" ref="M822:O841" si="124">IF($A822=M$1,1,0)</f>
        <v>1</v>
      </c>
      <c r="N822">
        <f t="shared" si="124"/>
        <v>0</v>
      </c>
      <c r="O822">
        <f t="shared" si="124"/>
        <v>0</v>
      </c>
    </row>
    <row r="823" spans="1:15" x14ac:dyDescent="0.3">
      <c r="A823">
        <v>4</v>
      </c>
      <c r="B823">
        <v>2016</v>
      </c>
      <c r="C823">
        <v>1420</v>
      </c>
      <c r="D823">
        <v>200</v>
      </c>
      <c r="E823">
        <v>152</v>
      </c>
      <c r="F823">
        <v>5.5</v>
      </c>
      <c r="G823">
        <f t="shared" si="123"/>
        <v>0</v>
      </c>
      <c r="H823">
        <f t="shared" si="123"/>
        <v>0</v>
      </c>
      <c r="I823">
        <f t="shared" si="123"/>
        <v>0</v>
      </c>
      <c r="J823">
        <f t="shared" si="123"/>
        <v>0</v>
      </c>
      <c r="K823">
        <f t="shared" si="123"/>
        <v>1</v>
      </c>
      <c r="L823">
        <f t="shared" si="123"/>
        <v>0</v>
      </c>
      <c r="M823">
        <f t="shared" si="124"/>
        <v>0</v>
      </c>
      <c r="N823">
        <f t="shared" si="124"/>
        <v>0</v>
      </c>
      <c r="O823">
        <f t="shared" si="124"/>
        <v>1</v>
      </c>
    </row>
    <row r="824" spans="1:15" x14ac:dyDescent="0.3">
      <c r="A824">
        <v>1</v>
      </c>
      <c r="B824">
        <v>2014</v>
      </c>
      <c r="C824">
        <v>1419</v>
      </c>
      <c r="D824">
        <v>60</v>
      </c>
      <c r="E824">
        <v>20</v>
      </c>
      <c r="F824">
        <v>1.5</v>
      </c>
      <c r="G824">
        <f t="shared" si="123"/>
        <v>0</v>
      </c>
      <c r="H824">
        <f t="shared" si="123"/>
        <v>0</v>
      </c>
      <c r="I824">
        <f t="shared" si="123"/>
        <v>1</v>
      </c>
      <c r="J824">
        <f t="shared" si="123"/>
        <v>0</v>
      </c>
      <c r="K824">
        <f t="shared" si="123"/>
        <v>0</v>
      </c>
      <c r="L824">
        <f t="shared" si="123"/>
        <v>0</v>
      </c>
      <c r="M824">
        <f t="shared" si="124"/>
        <v>1</v>
      </c>
      <c r="N824">
        <f t="shared" si="124"/>
        <v>0</v>
      </c>
      <c r="O824">
        <f t="shared" si="124"/>
        <v>0</v>
      </c>
    </row>
    <row r="825" spans="1:15" x14ac:dyDescent="0.3">
      <c r="A825">
        <v>4</v>
      </c>
      <c r="B825">
        <v>2017</v>
      </c>
      <c r="C825">
        <v>1415</v>
      </c>
      <c r="D825">
        <v>200</v>
      </c>
      <c r="E825">
        <v>23</v>
      </c>
      <c r="F825">
        <v>1.5</v>
      </c>
      <c r="G825">
        <f t="shared" si="123"/>
        <v>0</v>
      </c>
      <c r="H825">
        <f t="shared" si="123"/>
        <v>0</v>
      </c>
      <c r="I825">
        <f t="shared" si="123"/>
        <v>0</v>
      </c>
      <c r="J825">
        <f t="shared" si="123"/>
        <v>0</v>
      </c>
      <c r="K825">
        <f t="shared" si="123"/>
        <v>0</v>
      </c>
      <c r="L825">
        <f t="shared" si="123"/>
        <v>1</v>
      </c>
      <c r="M825">
        <f t="shared" si="124"/>
        <v>0</v>
      </c>
      <c r="N825">
        <f t="shared" si="124"/>
        <v>0</v>
      </c>
      <c r="O825">
        <f t="shared" si="124"/>
        <v>1</v>
      </c>
    </row>
    <row r="826" spans="1:15" x14ac:dyDescent="0.3">
      <c r="A826">
        <v>4</v>
      </c>
      <c r="B826">
        <v>2015</v>
      </c>
      <c r="C826">
        <v>1414</v>
      </c>
      <c r="D826">
        <v>150</v>
      </c>
      <c r="E826">
        <v>22</v>
      </c>
      <c r="F826">
        <v>2.5</v>
      </c>
      <c r="G826">
        <f t="shared" si="123"/>
        <v>0</v>
      </c>
      <c r="H826">
        <f t="shared" si="123"/>
        <v>0</v>
      </c>
      <c r="I826">
        <f t="shared" si="123"/>
        <v>0</v>
      </c>
      <c r="J826">
        <f t="shared" si="123"/>
        <v>1</v>
      </c>
      <c r="K826">
        <f t="shared" si="123"/>
        <v>0</v>
      </c>
      <c r="L826">
        <f t="shared" si="123"/>
        <v>0</v>
      </c>
      <c r="M826">
        <f t="shared" si="124"/>
        <v>0</v>
      </c>
      <c r="N826">
        <f t="shared" si="124"/>
        <v>0</v>
      </c>
      <c r="O826">
        <f t="shared" si="124"/>
        <v>1</v>
      </c>
    </row>
    <row r="827" spans="1:15" x14ac:dyDescent="0.3">
      <c r="A827">
        <v>2</v>
      </c>
      <c r="B827">
        <v>2016</v>
      </c>
      <c r="C827">
        <v>1410</v>
      </c>
      <c r="D827">
        <v>100</v>
      </c>
      <c r="E827">
        <v>67</v>
      </c>
      <c r="F827">
        <v>5</v>
      </c>
      <c r="G827">
        <f t="shared" si="123"/>
        <v>0</v>
      </c>
      <c r="H827">
        <f t="shared" si="123"/>
        <v>0</v>
      </c>
      <c r="I827">
        <f t="shared" si="123"/>
        <v>0</v>
      </c>
      <c r="J827">
        <f t="shared" si="123"/>
        <v>0</v>
      </c>
      <c r="K827">
        <f t="shared" si="123"/>
        <v>1</v>
      </c>
      <c r="L827">
        <f t="shared" si="123"/>
        <v>0</v>
      </c>
      <c r="M827">
        <f t="shared" si="124"/>
        <v>0</v>
      </c>
      <c r="N827">
        <f t="shared" si="124"/>
        <v>1</v>
      </c>
      <c r="O827">
        <f t="shared" si="124"/>
        <v>0</v>
      </c>
    </row>
    <row r="828" spans="1:15" x14ac:dyDescent="0.3">
      <c r="A828">
        <v>4</v>
      </c>
      <c r="B828">
        <v>2015</v>
      </c>
      <c r="C828">
        <v>1407</v>
      </c>
      <c r="D828">
        <v>115</v>
      </c>
      <c r="E828">
        <v>69</v>
      </c>
      <c r="F828">
        <v>7</v>
      </c>
      <c r="G828">
        <f t="shared" si="123"/>
        <v>0</v>
      </c>
      <c r="H828">
        <f t="shared" si="123"/>
        <v>0</v>
      </c>
      <c r="I828">
        <f t="shared" si="123"/>
        <v>0</v>
      </c>
      <c r="J828">
        <f t="shared" si="123"/>
        <v>1</v>
      </c>
      <c r="K828">
        <f t="shared" si="123"/>
        <v>0</v>
      </c>
      <c r="L828">
        <f t="shared" si="123"/>
        <v>0</v>
      </c>
      <c r="M828">
        <f t="shared" si="124"/>
        <v>0</v>
      </c>
      <c r="N828">
        <f t="shared" si="124"/>
        <v>0</v>
      </c>
      <c r="O828">
        <f t="shared" si="124"/>
        <v>1</v>
      </c>
    </row>
    <row r="829" spans="1:15" x14ac:dyDescent="0.3">
      <c r="A829">
        <v>1</v>
      </c>
      <c r="B829">
        <v>2016</v>
      </c>
      <c r="C829">
        <v>1406</v>
      </c>
      <c r="D829">
        <v>25</v>
      </c>
      <c r="E829">
        <v>20</v>
      </c>
      <c r="F829">
        <v>1</v>
      </c>
      <c r="G829">
        <f t="shared" si="123"/>
        <v>0</v>
      </c>
      <c r="H829">
        <f t="shared" si="123"/>
        <v>0</v>
      </c>
      <c r="I829">
        <f t="shared" si="123"/>
        <v>0</v>
      </c>
      <c r="J829">
        <f t="shared" si="123"/>
        <v>0</v>
      </c>
      <c r="K829">
        <f t="shared" si="123"/>
        <v>1</v>
      </c>
      <c r="L829">
        <f t="shared" si="123"/>
        <v>0</v>
      </c>
      <c r="M829">
        <f t="shared" si="124"/>
        <v>1</v>
      </c>
      <c r="N829">
        <f t="shared" si="124"/>
        <v>0</v>
      </c>
      <c r="O829">
        <f t="shared" si="124"/>
        <v>0</v>
      </c>
    </row>
    <row r="830" spans="1:15" x14ac:dyDescent="0.3">
      <c r="A830">
        <v>4</v>
      </c>
      <c r="B830">
        <v>2014</v>
      </c>
      <c r="C830">
        <v>1404</v>
      </c>
      <c r="D830">
        <v>20</v>
      </c>
      <c r="E830">
        <v>17</v>
      </c>
      <c r="F830">
        <v>2.5</v>
      </c>
      <c r="G830">
        <f t="shared" si="123"/>
        <v>0</v>
      </c>
      <c r="H830">
        <f t="shared" si="123"/>
        <v>0</v>
      </c>
      <c r="I830">
        <f t="shared" si="123"/>
        <v>1</v>
      </c>
      <c r="J830">
        <f t="shared" si="123"/>
        <v>0</v>
      </c>
      <c r="K830">
        <f t="shared" si="123"/>
        <v>0</v>
      </c>
      <c r="L830">
        <f t="shared" si="123"/>
        <v>0</v>
      </c>
      <c r="M830">
        <f t="shared" si="124"/>
        <v>0</v>
      </c>
      <c r="N830">
        <f t="shared" si="124"/>
        <v>0</v>
      </c>
      <c r="O830">
        <f t="shared" si="124"/>
        <v>1</v>
      </c>
    </row>
    <row r="831" spans="1:15" x14ac:dyDescent="0.3">
      <c r="A831">
        <v>4</v>
      </c>
      <c r="B831">
        <v>2017</v>
      </c>
      <c r="C831">
        <v>1399</v>
      </c>
      <c r="D831">
        <v>150</v>
      </c>
      <c r="E831">
        <v>89</v>
      </c>
      <c r="F831">
        <v>8.5</v>
      </c>
      <c r="G831">
        <f t="shared" si="123"/>
        <v>0</v>
      </c>
      <c r="H831">
        <f t="shared" si="123"/>
        <v>0</v>
      </c>
      <c r="I831">
        <f t="shared" si="123"/>
        <v>0</v>
      </c>
      <c r="J831">
        <f t="shared" si="123"/>
        <v>0</v>
      </c>
      <c r="K831">
        <f t="shared" si="123"/>
        <v>0</v>
      </c>
      <c r="L831">
        <f t="shared" si="123"/>
        <v>1</v>
      </c>
      <c r="M831">
        <f t="shared" si="124"/>
        <v>0</v>
      </c>
      <c r="N831">
        <f t="shared" si="124"/>
        <v>0</v>
      </c>
      <c r="O831">
        <f t="shared" si="124"/>
        <v>1</v>
      </c>
    </row>
    <row r="832" spans="1:15" x14ac:dyDescent="0.3">
      <c r="A832">
        <v>1</v>
      </c>
      <c r="B832">
        <v>2014</v>
      </c>
      <c r="C832">
        <v>1393</v>
      </c>
      <c r="D832">
        <v>20</v>
      </c>
      <c r="E832">
        <v>9</v>
      </c>
      <c r="F832">
        <v>0.51666666999999999</v>
      </c>
      <c r="G832">
        <f t="shared" ref="G832:L841" si="125">IF($B832=G$1,1,0)</f>
        <v>0</v>
      </c>
      <c r="H832">
        <f t="shared" si="125"/>
        <v>0</v>
      </c>
      <c r="I832">
        <f t="shared" si="125"/>
        <v>1</v>
      </c>
      <c r="J832">
        <f t="shared" si="125"/>
        <v>0</v>
      </c>
      <c r="K832">
        <f t="shared" si="125"/>
        <v>0</v>
      </c>
      <c r="L832">
        <f t="shared" si="125"/>
        <v>0</v>
      </c>
      <c r="M832">
        <f t="shared" si="124"/>
        <v>1</v>
      </c>
      <c r="N832">
        <f t="shared" si="124"/>
        <v>0</v>
      </c>
      <c r="O832">
        <f t="shared" si="124"/>
        <v>0</v>
      </c>
    </row>
    <row r="833" spans="1:15" x14ac:dyDescent="0.3">
      <c r="A833">
        <v>4</v>
      </c>
      <c r="B833">
        <v>2015</v>
      </c>
      <c r="C833">
        <v>1388</v>
      </c>
      <c r="D833">
        <v>95</v>
      </c>
      <c r="E833">
        <v>58</v>
      </c>
      <c r="F833">
        <v>7</v>
      </c>
      <c r="G833">
        <f t="shared" si="125"/>
        <v>0</v>
      </c>
      <c r="H833">
        <f t="shared" si="125"/>
        <v>0</v>
      </c>
      <c r="I833">
        <f t="shared" si="125"/>
        <v>0</v>
      </c>
      <c r="J833">
        <f t="shared" si="125"/>
        <v>1</v>
      </c>
      <c r="K833">
        <f t="shared" si="125"/>
        <v>0</v>
      </c>
      <c r="L833">
        <f t="shared" si="125"/>
        <v>0</v>
      </c>
      <c r="M833">
        <f t="shared" si="124"/>
        <v>0</v>
      </c>
      <c r="N833">
        <f t="shared" si="124"/>
        <v>0</v>
      </c>
      <c r="O833">
        <f t="shared" si="124"/>
        <v>1</v>
      </c>
    </row>
    <row r="834" spans="1:15" x14ac:dyDescent="0.3">
      <c r="A834">
        <v>1</v>
      </c>
      <c r="B834">
        <v>2016</v>
      </c>
      <c r="C834">
        <v>1386</v>
      </c>
      <c r="D834">
        <v>50</v>
      </c>
      <c r="E834">
        <v>28</v>
      </c>
      <c r="F834">
        <v>3</v>
      </c>
      <c r="G834">
        <f t="shared" si="125"/>
        <v>0</v>
      </c>
      <c r="H834">
        <f t="shared" si="125"/>
        <v>0</v>
      </c>
      <c r="I834">
        <f t="shared" si="125"/>
        <v>0</v>
      </c>
      <c r="J834">
        <f t="shared" si="125"/>
        <v>0</v>
      </c>
      <c r="K834">
        <f t="shared" si="125"/>
        <v>1</v>
      </c>
      <c r="L834">
        <f t="shared" si="125"/>
        <v>0</v>
      </c>
      <c r="M834">
        <f t="shared" si="124"/>
        <v>1</v>
      </c>
      <c r="N834">
        <f t="shared" si="124"/>
        <v>0</v>
      </c>
      <c r="O834">
        <f t="shared" si="124"/>
        <v>0</v>
      </c>
    </row>
    <row r="835" spans="1:15" x14ac:dyDescent="0.3">
      <c r="A835">
        <v>1</v>
      </c>
      <c r="B835">
        <v>2015</v>
      </c>
      <c r="C835">
        <v>1385</v>
      </c>
      <c r="D835">
        <v>100</v>
      </c>
      <c r="E835">
        <v>97</v>
      </c>
      <c r="F835">
        <v>11</v>
      </c>
      <c r="G835">
        <f t="shared" si="125"/>
        <v>0</v>
      </c>
      <c r="H835">
        <f t="shared" si="125"/>
        <v>0</v>
      </c>
      <c r="I835">
        <f t="shared" si="125"/>
        <v>0</v>
      </c>
      <c r="J835">
        <f t="shared" si="125"/>
        <v>1</v>
      </c>
      <c r="K835">
        <f t="shared" si="125"/>
        <v>0</v>
      </c>
      <c r="L835">
        <f t="shared" si="125"/>
        <v>0</v>
      </c>
      <c r="M835">
        <f t="shared" si="124"/>
        <v>1</v>
      </c>
      <c r="N835">
        <f t="shared" si="124"/>
        <v>0</v>
      </c>
      <c r="O835">
        <f t="shared" si="124"/>
        <v>0</v>
      </c>
    </row>
    <row r="836" spans="1:15" x14ac:dyDescent="0.3">
      <c r="A836">
        <v>2</v>
      </c>
      <c r="B836">
        <v>2016</v>
      </c>
      <c r="C836">
        <v>1385</v>
      </c>
      <c r="D836">
        <v>100</v>
      </c>
      <c r="E836">
        <v>83</v>
      </c>
      <c r="F836">
        <v>5</v>
      </c>
      <c r="G836">
        <f t="shared" si="125"/>
        <v>0</v>
      </c>
      <c r="H836">
        <f t="shared" si="125"/>
        <v>0</v>
      </c>
      <c r="I836">
        <f t="shared" si="125"/>
        <v>0</v>
      </c>
      <c r="J836">
        <f t="shared" si="125"/>
        <v>0</v>
      </c>
      <c r="K836">
        <f t="shared" si="125"/>
        <v>1</v>
      </c>
      <c r="L836">
        <f t="shared" si="125"/>
        <v>0</v>
      </c>
      <c r="M836">
        <f t="shared" si="124"/>
        <v>0</v>
      </c>
      <c r="N836">
        <f t="shared" si="124"/>
        <v>1</v>
      </c>
      <c r="O836">
        <f t="shared" si="124"/>
        <v>0</v>
      </c>
    </row>
    <row r="837" spans="1:15" x14ac:dyDescent="0.3">
      <c r="A837">
        <v>4</v>
      </c>
      <c r="B837">
        <v>2017</v>
      </c>
      <c r="C837">
        <v>1371</v>
      </c>
      <c r="D837">
        <v>195</v>
      </c>
      <c r="E837">
        <v>83</v>
      </c>
      <c r="F837">
        <v>20</v>
      </c>
      <c r="G837">
        <f t="shared" si="125"/>
        <v>0</v>
      </c>
      <c r="H837">
        <f t="shared" si="125"/>
        <v>0</v>
      </c>
      <c r="I837">
        <f t="shared" si="125"/>
        <v>0</v>
      </c>
      <c r="J837">
        <f t="shared" si="125"/>
        <v>0</v>
      </c>
      <c r="K837">
        <f t="shared" si="125"/>
        <v>0</v>
      </c>
      <c r="L837">
        <f t="shared" si="125"/>
        <v>1</v>
      </c>
      <c r="M837">
        <f t="shared" si="124"/>
        <v>0</v>
      </c>
      <c r="N837">
        <f t="shared" si="124"/>
        <v>0</v>
      </c>
      <c r="O837">
        <f t="shared" si="124"/>
        <v>1</v>
      </c>
    </row>
    <row r="838" spans="1:15" x14ac:dyDescent="0.3">
      <c r="A838">
        <v>2</v>
      </c>
      <c r="B838">
        <v>2017</v>
      </c>
      <c r="C838">
        <v>1367</v>
      </c>
      <c r="D838">
        <v>125</v>
      </c>
      <c r="E838">
        <v>58</v>
      </c>
      <c r="F838">
        <v>6</v>
      </c>
      <c r="G838">
        <f t="shared" si="125"/>
        <v>0</v>
      </c>
      <c r="H838">
        <f t="shared" si="125"/>
        <v>0</v>
      </c>
      <c r="I838">
        <f t="shared" si="125"/>
        <v>0</v>
      </c>
      <c r="J838">
        <f t="shared" si="125"/>
        <v>0</v>
      </c>
      <c r="K838">
        <f t="shared" si="125"/>
        <v>0</v>
      </c>
      <c r="L838">
        <f t="shared" si="125"/>
        <v>1</v>
      </c>
      <c r="M838">
        <f t="shared" si="124"/>
        <v>0</v>
      </c>
      <c r="N838">
        <f t="shared" si="124"/>
        <v>1</v>
      </c>
      <c r="O838">
        <f t="shared" si="124"/>
        <v>0</v>
      </c>
    </row>
    <row r="839" spans="1:15" x14ac:dyDescent="0.3">
      <c r="A839">
        <v>4</v>
      </c>
      <c r="B839">
        <v>2015</v>
      </c>
      <c r="C839">
        <v>1355</v>
      </c>
      <c r="D839">
        <v>40</v>
      </c>
      <c r="E839">
        <v>27</v>
      </c>
      <c r="F839">
        <v>3.5</v>
      </c>
      <c r="G839">
        <f t="shared" si="125"/>
        <v>0</v>
      </c>
      <c r="H839">
        <f t="shared" si="125"/>
        <v>0</v>
      </c>
      <c r="I839">
        <f t="shared" si="125"/>
        <v>0</v>
      </c>
      <c r="J839">
        <f t="shared" si="125"/>
        <v>1</v>
      </c>
      <c r="K839">
        <f t="shared" si="125"/>
        <v>0</v>
      </c>
      <c r="L839">
        <f t="shared" si="125"/>
        <v>0</v>
      </c>
      <c r="M839">
        <f t="shared" si="124"/>
        <v>0</v>
      </c>
      <c r="N839">
        <f t="shared" si="124"/>
        <v>0</v>
      </c>
      <c r="O839">
        <f t="shared" si="124"/>
        <v>1</v>
      </c>
    </row>
    <row r="840" spans="1:15" x14ac:dyDescent="0.3">
      <c r="A840">
        <v>4</v>
      </c>
      <c r="B840">
        <v>2017</v>
      </c>
      <c r="C840">
        <v>1355</v>
      </c>
      <c r="D840">
        <v>30</v>
      </c>
      <c r="E840">
        <v>29</v>
      </c>
      <c r="F840">
        <v>3.5</v>
      </c>
      <c r="G840">
        <f t="shared" si="125"/>
        <v>0</v>
      </c>
      <c r="H840">
        <f t="shared" si="125"/>
        <v>0</v>
      </c>
      <c r="I840">
        <f t="shared" si="125"/>
        <v>0</v>
      </c>
      <c r="J840">
        <f t="shared" si="125"/>
        <v>0</v>
      </c>
      <c r="K840">
        <f t="shared" si="125"/>
        <v>0</v>
      </c>
      <c r="L840">
        <f t="shared" si="125"/>
        <v>1</v>
      </c>
      <c r="M840">
        <f t="shared" si="124"/>
        <v>0</v>
      </c>
      <c r="N840">
        <f t="shared" si="124"/>
        <v>0</v>
      </c>
      <c r="O840">
        <f t="shared" si="124"/>
        <v>1</v>
      </c>
    </row>
    <row r="841" spans="1:15" x14ac:dyDescent="0.3">
      <c r="A841">
        <v>1</v>
      </c>
      <c r="B841">
        <v>2016</v>
      </c>
      <c r="C841">
        <v>1353</v>
      </c>
      <c r="D841">
        <v>200</v>
      </c>
      <c r="E841">
        <v>320</v>
      </c>
      <c r="F841">
        <v>23.5</v>
      </c>
      <c r="G841">
        <f t="shared" si="125"/>
        <v>0</v>
      </c>
      <c r="H841">
        <f t="shared" si="125"/>
        <v>0</v>
      </c>
      <c r="I841">
        <f t="shared" si="125"/>
        <v>0</v>
      </c>
      <c r="J841">
        <f t="shared" si="125"/>
        <v>0</v>
      </c>
      <c r="K841">
        <f t="shared" si="125"/>
        <v>1</v>
      </c>
      <c r="L841">
        <f t="shared" si="125"/>
        <v>0</v>
      </c>
      <c r="M841">
        <f t="shared" si="124"/>
        <v>1</v>
      </c>
      <c r="N841">
        <f t="shared" si="124"/>
        <v>0</v>
      </c>
      <c r="O841">
        <f t="shared" si="124"/>
        <v>0</v>
      </c>
    </row>
    <row r="842" spans="1:15" x14ac:dyDescent="0.3">
      <c r="A842">
        <v>1</v>
      </c>
      <c r="B842">
        <v>2017</v>
      </c>
      <c r="C842">
        <v>1346</v>
      </c>
      <c r="D842">
        <v>115</v>
      </c>
      <c r="E842">
        <v>32</v>
      </c>
      <c r="F842">
        <v>3</v>
      </c>
      <c r="G842">
        <f t="shared" ref="G842:L851" si="126">IF($B842=G$1,1,0)</f>
        <v>0</v>
      </c>
      <c r="H842">
        <f t="shared" si="126"/>
        <v>0</v>
      </c>
      <c r="I842">
        <f t="shared" si="126"/>
        <v>0</v>
      </c>
      <c r="J842">
        <f t="shared" si="126"/>
        <v>0</v>
      </c>
      <c r="K842">
        <f t="shared" si="126"/>
        <v>0</v>
      </c>
      <c r="L842">
        <f t="shared" si="126"/>
        <v>1</v>
      </c>
      <c r="M842">
        <f t="shared" ref="M842:O861" si="127">IF($A842=M$1,1,0)</f>
        <v>1</v>
      </c>
      <c r="N842">
        <f t="shared" si="127"/>
        <v>0</v>
      </c>
      <c r="O842">
        <f t="shared" si="127"/>
        <v>0</v>
      </c>
    </row>
    <row r="843" spans="1:15" x14ac:dyDescent="0.3">
      <c r="A843">
        <v>1</v>
      </c>
      <c r="B843">
        <v>2017</v>
      </c>
      <c r="C843">
        <v>1343</v>
      </c>
      <c r="D843">
        <v>60</v>
      </c>
      <c r="E843">
        <v>22</v>
      </c>
      <c r="F843">
        <v>3.5</v>
      </c>
      <c r="G843">
        <f t="shared" si="126"/>
        <v>0</v>
      </c>
      <c r="H843">
        <f t="shared" si="126"/>
        <v>0</v>
      </c>
      <c r="I843">
        <f t="shared" si="126"/>
        <v>0</v>
      </c>
      <c r="J843">
        <f t="shared" si="126"/>
        <v>0</v>
      </c>
      <c r="K843">
        <f t="shared" si="126"/>
        <v>0</v>
      </c>
      <c r="L843">
        <f t="shared" si="126"/>
        <v>1</v>
      </c>
      <c r="M843">
        <f t="shared" si="127"/>
        <v>1</v>
      </c>
      <c r="N843">
        <f t="shared" si="127"/>
        <v>0</v>
      </c>
      <c r="O843">
        <f t="shared" si="127"/>
        <v>0</v>
      </c>
    </row>
    <row r="844" spans="1:15" x14ac:dyDescent="0.3">
      <c r="A844">
        <v>1</v>
      </c>
      <c r="B844">
        <v>2017</v>
      </c>
      <c r="C844">
        <v>1339</v>
      </c>
      <c r="D844">
        <v>50</v>
      </c>
      <c r="E844">
        <v>18</v>
      </c>
      <c r="F844">
        <v>2</v>
      </c>
      <c r="G844">
        <f t="shared" si="126"/>
        <v>0</v>
      </c>
      <c r="H844">
        <f t="shared" si="126"/>
        <v>0</v>
      </c>
      <c r="I844">
        <f t="shared" si="126"/>
        <v>0</v>
      </c>
      <c r="J844">
        <f t="shared" si="126"/>
        <v>0</v>
      </c>
      <c r="K844">
        <f t="shared" si="126"/>
        <v>0</v>
      </c>
      <c r="L844">
        <f t="shared" si="126"/>
        <v>1</v>
      </c>
      <c r="M844">
        <f t="shared" si="127"/>
        <v>1</v>
      </c>
      <c r="N844">
        <f t="shared" si="127"/>
        <v>0</v>
      </c>
      <c r="O844">
        <f t="shared" si="127"/>
        <v>0</v>
      </c>
    </row>
    <row r="845" spans="1:15" x14ac:dyDescent="0.3">
      <c r="A845">
        <v>1</v>
      </c>
      <c r="B845">
        <v>2017</v>
      </c>
      <c r="C845">
        <v>1337</v>
      </c>
      <c r="D845">
        <v>50</v>
      </c>
      <c r="E845">
        <v>12</v>
      </c>
      <c r="F845">
        <v>1</v>
      </c>
      <c r="G845">
        <f t="shared" si="126"/>
        <v>0</v>
      </c>
      <c r="H845">
        <f t="shared" si="126"/>
        <v>0</v>
      </c>
      <c r="I845">
        <f t="shared" si="126"/>
        <v>0</v>
      </c>
      <c r="J845">
        <f t="shared" si="126"/>
        <v>0</v>
      </c>
      <c r="K845">
        <f t="shared" si="126"/>
        <v>0</v>
      </c>
      <c r="L845">
        <f t="shared" si="126"/>
        <v>1</v>
      </c>
      <c r="M845">
        <f t="shared" si="127"/>
        <v>1</v>
      </c>
      <c r="N845">
        <f t="shared" si="127"/>
        <v>0</v>
      </c>
      <c r="O845">
        <f t="shared" si="127"/>
        <v>0</v>
      </c>
    </row>
    <row r="846" spans="1:15" x14ac:dyDescent="0.3">
      <c r="A846">
        <v>1</v>
      </c>
      <c r="B846">
        <v>2016</v>
      </c>
      <c r="C846">
        <v>1322</v>
      </c>
      <c r="D846">
        <v>50</v>
      </c>
      <c r="E846">
        <v>37</v>
      </c>
      <c r="F846">
        <v>3.5</v>
      </c>
      <c r="G846">
        <f t="shared" si="126"/>
        <v>0</v>
      </c>
      <c r="H846">
        <f t="shared" si="126"/>
        <v>0</v>
      </c>
      <c r="I846">
        <f t="shared" si="126"/>
        <v>0</v>
      </c>
      <c r="J846">
        <f t="shared" si="126"/>
        <v>0</v>
      </c>
      <c r="K846">
        <f t="shared" si="126"/>
        <v>1</v>
      </c>
      <c r="L846">
        <f t="shared" si="126"/>
        <v>0</v>
      </c>
      <c r="M846">
        <f t="shared" si="127"/>
        <v>1</v>
      </c>
      <c r="N846">
        <f t="shared" si="127"/>
        <v>0</v>
      </c>
      <c r="O846">
        <f t="shared" si="127"/>
        <v>0</v>
      </c>
    </row>
    <row r="847" spans="1:15" x14ac:dyDescent="0.3">
      <c r="A847">
        <v>1</v>
      </c>
      <c r="B847">
        <v>2015</v>
      </c>
      <c r="C847">
        <v>1322</v>
      </c>
      <c r="D847">
        <v>75</v>
      </c>
      <c r="E847">
        <v>27</v>
      </c>
      <c r="F847">
        <v>3</v>
      </c>
      <c r="G847">
        <f t="shared" si="126"/>
        <v>0</v>
      </c>
      <c r="H847">
        <f t="shared" si="126"/>
        <v>0</v>
      </c>
      <c r="I847">
        <f t="shared" si="126"/>
        <v>0</v>
      </c>
      <c r="J847">
        <f t="shared" si="126"/>
        <v>1</v>
      </c>
      <c r="K847">
        <f t="shared" si="126"/>
        <v>0</v>
      </c>
      <c r="L847">
        <f t="shared" si="126"/>
        <v>0</v>
      </c>
      <c r="M847">
        <f t="shared" si="127"/>
        <v>1</v>
      </c>
      <c r="N847">
        <f t="shared" si="127"/>
        <v>0</v>
      </c>
      <c r="O847">
        <f t="shared" si="127"/>
        <v>0</v>
      </c>
    </row>
    <row r="848" spans="1:15" x14ac:dyDescent="0.3">
      <c r="A848">
        <v>1</v>
      </c>
      <c r="B848">
        <v>2015</v>
      </c>
      <c r="C848">
        <v>1318</v>
      </c>
      <c r="D848">
        <v>20</v>
      </c>
      <c r="E848">
        <v>55</v>
      </c>
      <c r="F848">
        <v>7</v>
      </c>
      <c r="G848">
        <f t="shared" si="126"/>
        <v>0</v>
      </c>
      <c r="H848">
        <f t="shared" si="126"/>
        <v>0</v>
      </c>
      <c r="I848">
        <f t="shared" si="126"/>
        <v>0</v>
      </c>
      <c r="J848">
        <f t="shared" si="126"/>
        <v>1</v>
      </c>
      <c r="K848">
        <f t="shared" si="126"/>
        <v>0</v>
      </c>
      <c r="L848">
        <f t="shared" si="126"/>
        <v>0</v>
      </c>
      <c r="M848">
        <f t="shared" si="127"/>
        <v>1</v>
      </c>
      <c r="N848">
        <f t="shared" si="127"/>
        <v>0</v>
      </c>
      <c r="O848">
        <f t="shared" si="127"/>
        <v>0</v>
      </c>
    </row>
    <row r="849" spans="1:15" x14ac:dyDescent="0.3">
      <c r="A849">
        <v>4</v>
      </c>
      <c r="B849">
        <v>2015</v>
      </c>
      <c r="C849">
        <v>1318</v>
      </c>
      <c r="D849">
        <v>125</v>
      </c>
      <c r="E849">
        <v>51</v>
      </c>
      <c r="F849">
        <v>4.5</v>
      </c>
      <c r="G849">
        <f t="shared" si="126"/>
        <v>0</v>
      </c>
      <c r="H849">
        <f t="shared" si="126"/>
        <v>0</v>
      </c>
      <c r="I849">
        <f t="shared" si="126"/>
        <v>0</v>
      </c>
      <c r="J849">
        <f t="shared" si="126"/>
        <v>1</v>
      </c>
      <c r="K849">
        <f t="shared" si="126"/>
        <v>0</v>
      </c>
      <c r="L849">
        <f t="shared" si="126"/>
        <v>0</v>
      </c>
      <c r="M849">
        <f t="shared" si="127"/>
        <v>0</v>
      </c>
      <c r="N849">
        <f t="shared" si="127"/>
        <v>0</v>
      </c>
      <c r="O849">
        <f t="shared" si="127"/>
        <v>1</v>
      </c>
    </row>
    <row r="850" spans="1:15" x14ac:dyDescent="0.3">
      <c r="A850">
        <v>3</v>
      </c>
      <c r="B850">
        <v>2015</v>
      </c>
      <c r="C850">
        <v>1316</v>
      </c>
      <c r="D850">
        <v>25</v>
      </c>
      <c r="E850">
        <v>45</v>
      </c>
      <c r="F850">
        <v>5</v>
      </c>
      <c r="G850">
        <f t="shared" si="126"/>
        <v>0</v>
      </c>
      <c r="H850">
        <f t="shared" si="126"/>
        <v>0</v>
      </c>
      <c r="I850">
        <f t="shared" si="126"/>
        <v>0</v>
      </c>
      <c r="J850">
        <f t="shared" si="126"/>
        <v>1</v>
      </c>
      <c r="K850">
        <f t="shared" si="126"/>
        <v>0</v>
      </c>
      <c r="L850">
        <f t="shared" si="126"/>
        <v>0</v>
      </c>
      <c r="M850">
        <f t="shared" si="127"/>
        <v>0</v>
      </c>
      <c r="N850">
        <f t="shared" si="127"/>
        <v>0</v>
      </c>
      <c r="O850">
        <f t="shared" si="127"/>
        <v>0</v>
      </c>
    </row>
    <row r="851" spans="1:15" x14ac:dyDescent="0.3">
      <c r="A851">
        <v>1</v>
      </c>
      <c r="B851">
        <v>2016</v>
      </c>
      <c r="C851">
        <v>1313</v>
      </c>
      <c r="D851">
        <v>60</v>
      </c>
      <c r="E851">
        <v>62</v>
      </c>
      <c r="F851">
        <v>11</v>
      </c>
      <c r="G851">
        <f t="shared" si="126"/>
        <v>0</v>
      </c>
      <c r="H851">
        <f t="shared" si="126"/>
        <v>0</v>
      </c>
      <c r="I851">
        <f t="shared" si="126"/>
        <v>0</v>
      </c>
      <c r="J851">
        <f t="shared" si="126"/>
        <v>0</v>
      </c>
      <c r="K851">
        <f t="shared" si="126"/>
        <v>1</v>
      </c>
      <c r="L851">
        <f t="shared" si="126"/>
        <v>0</v>
      </c>
      <c r="M851">
        <f t="shared" si="127"/>
        <v>1</v>
      </c>
      <c r="N851">
        <f t="shared" si="127"/>
        <v>0</v>
      </c>
      <c r="O851">
        <f t="shared" si="127"/>
        <v>0</v>
      </c>
    </row>
    <row r="852" spans="1:15" x14ac:dyDescent="0.3">
      <c r="A852">
        <v>4</v>
      </c>
      <c r="B852">
        <v>2015</v>
      </c>
      <c r="C852">
        <v>1312</v>
      </c>
      <c r="D852">
        <v>20</v>
      </c>
      <c r="E852">
        <v>11</v>
      </c>
      <c r="F852">
        <v>1</v>
      </c>
      <c r="G852">
        <f t="shared" ref="G852:L861" si="128">IF($B852=G$1,1,0)</f>
        <v>0</v>
      </c>
      <c r="H852">
        <f t="shared" si="128"/>
        <v>0</v>
      </c>
      <c r="I852">
        <f t="shared" si="128"/>
        <v>0</v>
      </c>
      <c r="J852">
        <f t="shared" si="128"/>
        <v>1</v>
      </c>
      <c r="K852">
        <f t="shared" si="128"/>
        <v>0</v>
      </c>
      <c r="L852">
        <f t="shared" si="128"/>
        <v>0</v>
      </c>
      <c r="M852">
        <f t="shared" si="127"/>
        <v>0</v>
      </c>
      <c r="N852">
        <f t="shared" si="127"/>
        <v>0</v>
      </c>
      <c r="O852">
        <f t="shared" si="127"/>
        <v>1</v>
      </c>
    </row>
    <row r="853" spans="1:15" x14ac:dyDescent="0.3">
      <c r="A853">
        <v>4</v>
      </c>
      <c r="B853">
        <v>2015</v>
      </c>
      <c r="C853">
        <v>1309</v>
      </c>
      <c r="D853">
        <v>25</v>
      </c>
      <c r="E853">
        <v>14</v>
      </c>
      <c r="F853">
        <v>1.5</v>
      </c>
      <c r="G853">
        <f t="shared" si="128"/>
        <v>0</v>
      </c>
      <c r="H853">
        <f t="shared" si="128"/>
        <v>0</v>
      </c>
      <c r="I853">
        <f t="shared" si="128"/>
        <v>0</v>
      </c>
      <c r="J853">
        <f t="shared" si="128"/>
        <v>1</v>
      </c>
      <c r="K853">
        <f t="shared" si="128"/>
        <v>0</v>
      </c>
      <c r="L853">
        <f t="shared" si="128"/>
        <v>0</v>
      </c>
      <c r="M853">
        <f t="shared" si="127"/>
        <v>0</v>
      </c>
      <c r="N853">
        <f t="shared" si="127"/>
        <v>0</v>
      </c>
      <c r="O853">
        <f t="shared" si="127"/>
        <v>1</v>
      </c>
    </row>
    <row r="854" spans="1:15" x14ac:dyDescent="0.3">
      <c r="A854">
        <v>1</v>
      </c>
      <c r="B854">
        <v>2015</v>
      </c>
      <c r="C854">
        <v>1309</v>
      </c>
      <c r="D854">
        <v>35</v>
      </c>
      <c r="E854">
        <v>43</v>
      </c>
      <c r="F854">
        <v>5</v>
      </c>
      <c r="G854">
        <f t="shared" si="128"/>
        <v>0</v>
      </c>
      <c r="H854">
        <f t="shared" si="128"/>
        <v>0</v>
      </c>
      <c r="I854">
        <f t="shared" si="128"/>
        <v>0</v>
      </c>
      <c r="J854">
        <f t="shared" si="128"/>
        <v>1</v>
      </c>
      <c r="K854">
        <f t="shared" si="128"/>
        <v>0</v>
      </c>
      <c r="L854">
        <f t="shared" si="128"/>
        <v>0</v>
      </c>
      <c r="M854">
        <f t="shared" si="127"/>
        <v>1</v>
      </c>
      <c r="N854">
        <f t="shared" si="127"/>
        <v>0</v>
      </c>
      <c r="O854">
        <f t="shared" si="127"/>
        <v>0</v>
      </c>
    </row>
    <row r="855" spans="1:15" x14ac:dyDescent="0.3">
      <c r="A855">
        <v>1</v>
      </c>
      <c r="B855">
        <v>2015</v>
      </c>
      <c r="C855">
        <v>1305</v>
      </c>
      <c r="D855">
        <v>25</v>
      </c>
      <c r="E855">
        <v>16</v>
      </c>
      <c r="F855">
        <v>1.5</v>
      </c>
      <c r="G855">
        <f t="shared" si="128"/>
        <v>0</v>
      </c>
      <c r="H855">
        <f t="shared" si="128"/>
        <v>0</v>
      </c>
      <c r="I855">
        <f t="shared" si="128"/>
        <v>0</v>
      </c>
      <c r="J855">
        <f t="shared" si="128"/>
        <v>1</v>
      </c>
      <c r="K855">
        <f t="shared" si="128"/>
        <v>0</v>
      </c>
      <c r="L855">
        <f t="shared" si="128"/>
        <v>0</v>
      </c>
      <c r="M855">
        <f t="shared" si="127"/>
        <v>1</v>
      </c>
      <c r="N855">
        <f t="shared" si="127"/>
        <v>0</v>
      </c>
      <c r="O855">
        <f t="shared" si="127"/>
        <v>0</v>
      </c>
    </row>
    <row r="856" spans="1:15" x14ac:dyDescent="0.3">
      <c r="A856">
        <v>4</v>
      </c>
      <c r="B856">
        <v>2016</v>
      </c>
      <c r="C856">
        <v>1305</v>
      </c>
      <c r="D856">
        <v>30</v>
      </c>
      <c r="E856">
        <v>8</v>
      </c>
      <c r="F856">
        <v>0.56666667000000004</v>
      </c>
      <c r="G856">
        <f t="shared" si="128"/>
        <v>0</v>
      </c>
      <c r="H856">
        <f t="shared" si="128"/>
        <v>0</v>
      </c>
      <c r="I856">
        <f t="shared" si="128"/>
        <v>0</v>
      </c>
      <c r="J856">
        <f t="shared" si="128"/>
        <v>0</v>
      </c>
      <c r="K856">
        <f t="shared" si="128"/>
        <v>1</v>
      </c>
      <c r="L856">
        <f t="shared" si="128"/>
        <v>0</v>
      </c>
      <c r="M856">
        <f t="shared" si="127"/>
        <v>0</v>
      </c>
      <c r="N856">
        <f t="shared" si="127"/>
        <v>0</v>
      </c>
      <c r="O856">
        <f t="shared" si="127"/>
        <v>1</v>
      </c>
    </row>
    <row r="857" spans="1:15" x14ac:dyDescent="0.3">
      <c r="A857">
        <v>1</v>
      </c>
      <c r="B857">
        <v>2016</v>
      </c>
      <c r="C857">
        <v>1302</v>
      </c>
      <c r="D857">
        <v>120</v>
      </c>
      <c r="E857">
        <v>22</v>
      </c>
      <c r="F857">
        <v>1.5</v>
      </c>
      <c r="G857">
        <f t="shared" si="128"/>
        <v>0</v>
      </c>
      <c r="H857">
        <f t="shared" si="128"/>
        <v>0</v>
      </c>
      <c r="I857">
        <f t="shared" si="128"/>
        <v>0</v>
      </c>
      <c r="J857">
        <f t="shared" si="128"/>
        <v>0</v>
      </c>
      <c r="K857">
        <f t="shared" si="128"/>
        <v>1</v>
      </c>
      <c r="L857">
        <f t="shared" si="128"/>
        <v>0</v>
      </c>
      <c r="M857">
        <f t="shared" si="127"/>
        <v>1</v>
      </c>
      <c r="N857">
        <f t="shared" si="127"/>
        <v>0</v>
      </c>
      <c r="O857">
        <f t="shared" si="127"/>
        <v>0</v>
      </c>
    </row>
    <row r="858" spans="1:15" x14ac:dyDescent="0.3">
      <c r="A858">
        <v>4</v>
      </c>
      <c r="B858">
        <v>2017</v>
      </c>
      <c r="C858">
        <v>1301</v>
      </c>
      <c r="D858">
        <v>150</v>
      </c>
      <c r="E858">
        <v>80</v>
      </c>
      <c r="F858">
        <v>7.5</v>
      </c>
      <c r="G858">
        <f t="shared" si="128"/>
        <v>0</v>
      </c>
      <c r="H858">
        <f t="shared" si="128"/>
        <v>0</v>
      </c>
      <c r="I858">
        <f t="shared" si="128"/>
        <v>0</v>
      </c>
      <c r="J858">
        <f t="shared" si="128"/>
        <v>0</v>
      </c>
      <c r="K858">
        <f t="shared" si="128"/>
        <v>0</v>
      </c>
      <c r="L858">
        <f t="shared" si="128"/>
        <v>1</v>
      </c>
      <c r="M858">
        <f t="shared" si="127"/>
        <v>0</v>
      </c>
      <c r="N858">
        <f t="shared" si="127"/>
        <v>0</v>
      </c>
      <c r="O858">
        <f t="shared" si="127"/>
        <v>1</v>
      </c>
    </row>
    <row r="859" spans="1:15" x14ac:dyDescent="0.3">
      <c r="A859">
        <v>4</v>
      </c>
      <c r="B859">
        <v>2016</v>
      </c>
      <c r="C859">
        <v>1299</v>
      </c>
      <c r="D859">
        <v>120</v>
      </c>
      <c r="E859">
        <v>71</v>
      </c>
      <c r="F859">
        <v>14</v>
      </c>
      <c r="G859">
        <f t="shared" si="128"/>
        <v>0</v>
      </c>
      <c r="H859">
        <f t="shared" si="128"/>
        <v>0</v>
      </c>
      <c r="I859">
        <f t="shared" si="128"/>
        <v>0</v>
      </c>
      <c r="J859">
        <f t="shared" si="128"/>
        <v>0</v>
      </c>
      <c r="K859">
        <f t="shared" si="128"/>
        <v>1</v>
      </c>
      <c r="L859">
        <f t="shared" si="128"/>
        <v>0</v>
      </c>
      <c r="M859">
        <f t="shared" si="127"/>
        <v>0</v>
      </c>
      <c r="N859">
        <f t="shared" si="127"/>
        <v>0</v>
      </c>
      <c r="O859">
        <f t="shared" si="127"/>
        <v>1</v>
      </c>
    </row>
    <row r="860" spans="1:15" x14ac:dyDescent="0.3">
      <c r="A860">
        <v>4</v>
      </c>
      <c r="B860">
        <v>2015</v>
      </c>
      <c r="C860">
        <v>1299</v>
      </c>
      <c r="D860">
        <v>20</v>
      </c>
      <c r="E860">
        <v>23</v>
      </c>
      <c r="F860">
        <v>1</v>
      </c>
      <c r="G860">
        <f t="shared" si="128"/>
        <v>0</v>
      </c>
      <c r="H860">
        <f t="shared" si="128"/>
        <v>0</v>
      </c>
      <c r="I860">
        <f t="shared" si="128"/>
        <v>0</v>
      </c>
      <c r="J860">
        <f t="shared" si="128"/>
        <v>1</v>
      </c>
      <c r="K860">
        <f t="shared" si="128"/>
        <v>0</v>
      </c>
      <c r="L860">
        <f t="shared" si="128"/>
        <v>0</v>
      </c>
      <c r="M860">
        <f t="shared" si="127"/>
        <v>0</v>
      </c>
      <c r="N860">
        <f t="shared" si="127"/>
        <v>0</v>
      </c>
      <c r="O860">
        <f t="shared" si="127"/>
        <v>1</v>
      </c>
    </row>
    <row r="861" spans="1:15" x14ac:dyDescent="0.3">
      <c r="A861">
        <v>2</v>
      </c>
      <c r="B861">
        <v>2016</v>
      </c>
      <c r="C861">
        <v>1296</v>
      </c>
      <c r="D861">
        <v>200</v>
      </c>
      <c r="E861">
        <v>72</v>
      </c>
      <c r="F861">
        <v>5.5</v>
      </c>
      <c r="G861">
        <f t="shared" si="128"/>
        <v>0</v>
      </c>
      <c r="H861">
        <f t="shared" si="128"/>
        <v>0</v>
      </c>
      <c r="I861">
        <f t="shared" si="128"/>
        <v>0</v>
      </c>
      <c r="J861">
        <f t="shared" si="128"/>
        <v>0</v>
      </c>
      <c r="K861">
        <f t="shared" si="128"/>
        <v>1</v>
      </c>
      <c r="L861">
        <f t="shared" si="128"/>
        <v>0</v>
      </c>
      <c r="M861">
        <f t="shared" si="127"/>
        <v>0</v>
      </c>
      <c r="N861">
        <f t="shared" si="127"/>
        <v>1</v>
      </c>
      <c r="O861">
        <f t="shared" si="127"/>
        <v>0</v>
      </c>
    </row>
    <row r="862" spans="1:15" x14ac:dyDescent="0.3">
      <c r="A862">
        <v>4</v>
      </c>
      <c r="B862">
        <v>2014</v>
      </c>
      <c r="C862">
        <v>1294</v>
      </c>
      <c r="D862">
        <v>20</v>
      </c>
      <c r="E862">
        <v>15</v>
      </c>
      <c r="F862">
        <v>1</v>
      </c>
      <c r="G862">
        <f t="shared" ref="G862:L871" si="129">IF($B862=G$1,1,0)</f>
        <v>0</v>
      </c>
      <c r="H862">
        <f t="shared" si="129"/>
        <v>0</v>
      </c>
      <c r="I862">
        <f t="shared" si="129"/>
        <v>1</v>
      </c>
      <c r="J862">
        <f t="shared" si="129"/>
        <v>0</v>
      </c>
      <c r="K862">
        <f t="shared" si="129"/>
        <v>0</v>
      </c>
      <c r="L862">
        <f t="shared" si="129"/>
        <v>0</v>
      </c>
      <c r="M862">
        <f t="shared" ref="M862:O881" si="130">IF($A862=M$1,1,0)</f>
        <v>0</v>
      </c>
      <c r="N862">
        <f t="shared" si="130"/>
        <v>0</v>
      </c>
      <c r="O862">
        <f t="shared" si="130"/>
        <v>1</v>
      </c>
    </row>
    <row r="863" spans="1:15" x14ac:dyDescent="0.3">
      <c r="A863">
        <v>2</v>
      </c>
      <c r="B863">
        <v>2016</v>
      </c>
      <c r="C863">
        <v>1292</v>
      </c>
      <c r="D863">
        <v>20</v>
      </c>
      <c r="E863">
        <v>12</v>
      </c>
      <c r="F863">
        <v>2</v>
      </c>
      <c r="G863">
        <f t="shared" si="129"/>
        <v>0</v>
      </c>
      <c r="H863">
        <f t="shared" si="129"/>
        <v>0</v>
      </c>
      <c r="I863">
        <f t="shared" si="129"/>
        <v>0</v>
      </c>
      <c r="J863">
        <f t="shared" si="129"/>
        <v>0</v>
      </c>
      <c r="K863">
        <f t="shared" si="129"/>
        <v>1</v>
      </c>
      <c r="L863">
        <f t="shared" si="129"/>
        <v>0</v>
      </c>
      <c r="M863">
        <f t="shared" si="130"/>
        <v>0</v>
      </c>
      <c r="N863">
        <f t="shared" si="130"/>
        <v>1</v>
      </c>
      <c r="O863">
        <f t="shared" si="130"/>
        <v>0</v>
      </c>
    </row>
    <row r="864" spans="1:15" x14ac:dyDescent="0.3">
      <c r="A864">
        <v>4</v>
      </c>
      <c r="B864">
        <v>2014</v>
      </c>
      <c r="C864">
        <v>1284</v>
      </c>
      <c r="D864">
        <v>200</v>
      </c>
      <c r="E864">
        <v>30</v>
      </c>
      <c r="F864">
        <v>1.5</v>
      </c>
      <c r="G864">
        <f t="shared" si="129"/>
        <v>0</v>
      </c>
      <c r="H864">
        <f t="shared" si="129"/>
        <v>0</v>
      </c>
      <c r="I864">
        <f t="shared" si="129"/>
        <v>1</v>
      </c>
      <c r="J864">
        <f t="shared" si="129"/>
        <v>0</v>
      </c>
      <c r="K864">
        <f t="shared" si="129"/>
        <v>0</v>
      </c>
      <c r="L864">
        <f t="shared" si="129"/>
        <v>0</v>
      </c>
      <c r="M864">
        <f t="shared" si="130"/>
        <v>0</v>
      </c>
      <c r="N864">
        <f t="shared" si="130"/>
        <v>0</v>
      </c>
      <c r="O864">
        <f t="shared" si="130"/>
        <v>1</v>
      </c>
    </row>
    <row r="865" spans="1:15" x14ac:dyDescent="0.3">
      <c r="A865">
        <v>4</v>
      </c>
      <c r="B865">
        <v>2015</v>
      </c>
      <c r="C865">
        <v>1284</v>
      </c>
      <c r="D865">
        <v>200</v>
      </c>
      <c r="E865">
        <v>301</v>
      </c>
      <c r="F865">
        <v>25.5</v>
      </c>
      <c r="G865">
        <f t="shared" si="129"/>
        <v>0</v>
      </c>
      <c r="H865">
        <f t="shared" si="129"/>
        <v>0</v>
      </c>
      <c r="I865">
        <f t="shared" si="129"/>
        <v>0</v>
      </c>
      <c r="J865">
        <f t="shared" si="129"/>
        <v>1</v>
      </c>
      <c r="K865">
        <f t="shared" si="129"/>
        <v>0</v>
      </c>
      <c r="L865">
        <f t="shared" si="129"/>
        <v>0</v>
      </c>
      <c r="M865">
        <f t="shared" si="130"/>
        <v>0</v>
      </c>
      <c r="N865">
        <f t="shared" si="130"/>
        <v>0</v>
      </c>
      <c r="O865">
        <f t="shared" si="130"/>
        <v>1</v>
      </c>
    </row>
    <row r="866" spans="1:15" x14ac:dyDescent="0.3">
      <c r="A866">
        <v>1</v>
      </c>
      <c r="B866">
        <v>2016</v>
      </c>
      <c r="C866">
        <v>1282</v>
      </c>
      <c r="D866">
        <v>50</v>
      </c>
      <c r="E866">
        <v>12</v>
      </c>
      <c r="F866">
        <v>1</v>
      </c>
      <c r="G866">
        <f t="shared" si="129"/>
        <v>0</v>
      </c>
      <c r="H866">
        <f t="shared" si="129"/>
        <v>0</v>
      </c>
      <c r="I866">
        <f t="shared" si="129"/>
        <v>0</v>
      </c>
      <c r="J866">
        <f t="shared" si="129"/>
        <v>0</v>
      </c>
      <c r="K866">
        <f t="shared" si="129"/>
        <v>1</v>
      </c>
      <c r="L866">
        <f t="shared" si="129"/>
        <v>0</v>
      </c>
      <c r="M866">
        <f t="shared" si="130"/>
        <v>1</v>
      </c>
      <c r="N866">
        <f t="shared" si="130"/>
        <v>0</v>
      </c>
      <c r="O866">
        <f t="shared" si="130"/>
        <v>0</v>
      </c>
    </row>
    <row r="867" spans="1:15" x14ac:dyDescent="0.3">
      <c r="A867">
        <v>4</v>
      </c>
      <c r="B867">
        <v>2015</v>
      </c>
      <c r="C867">
        <v>1276</v>
      </c>
      <c r="D867">
        <v>200</v>
      </c>
      <c r="E867">
        <v>271</v>
      </c>
      <c r="F867">
        <v>22.5</v>
      </c>
      <c r="G867">
        <f t="shared" si="129"/>
        <v>0</v>
      </c>
      <c r="H867">
        <f t="shared" si="129"/>
        <v>0</v>
      </c>
      <c r="I867">
        <f t="shared" si="129"/>
        <v>0</v>
      </c>
      <c r="J867">
        <f t="shared" si="129"/>
        <v>1</v>
      </c>
      <c r="K867">
        <f t="shared" si="129"/>
        <v>0</v>
      </c>
      <c r="L867">
        <f t="shared" si="129"/>
        <v>0</v>
      </c>
      <c r="M867">
        <f t="shared" si="130"/>
        <v>0</v>
      </c>
      <c r="N867">
        <f t="shared" si="130"/>
        <v>0</v>
      </c>
      <c r="O867">
        <f t="shared" si="130"/>
        <v>1</v>
      </c>
    </row>
    <row r="868" spans="1:15" x14ac:dyDescent="0.3">
      <c r="A868">
        <v>4</v>
      </c>
      <c r="B868">
        <v>2015</v>
      </c>
      <c r="C868">
        <v>1275</v>
      </c>
      <c r="D868">
        <v>40</v>
      </c>
      <c r="E868">
        <v>18</v>
      </c>
      <c r="F868">
        <v>1</v>
      </c>
      <c r="G868">
        <f t="shared" si="129"/>
        <v>0</v>
      </c>
      <c r="H868">
        <f t="shared" si="129"/>
        <v>0</v>
      </c>
      <c r="I868">
        <f t="shared" si="129"/>
        <v>0</v>
      </c>
      <c r="J868">
        <f t="shared" si="129"/>
        <v>1</v>
      </c>
      <c r="K868">
        <f t="shared" si="129"/>
        <v>0</v>
      </c>
      <c r="L868">
        <f t="shared" si="129"/>
        <v>0</v>
      </c>
      <c r="M868">
        <f t="shared" si="130"/>
        <v>0</v>
      </c>
      <c r="N868">
        <f t="shared" si="130"/>
        <v>0</v>
      </c>
      <c r="O868">
        <f t="shared" si="130"/>
        <v>1</v>
      </c>
    </row>
    <row r="869" spans="1:15" x14ac:dyDescent="0.3">
      <c r="A869">
        <v>4</v>
      </c>
      <c r="B869">
        <v>2016</v>
      </c>
      <c r="C869">
        <v>1274</v>
      </c>
      <c r="D869">
        <v>50</v>
      </c>
      <c r="E869">
        <v>15</v>
      </c>
      <c r="F869">
        <v>0.66666667000000002</v>
      </c>
      <c r="G869">
        <f t="shared" si="129"/>
        <v>0</v>
      </c>
      <c r="H869">
        <f t="shared" si="129"/>
        <v>0</v>
      </c>
      <c r="I869">
        <f t="shared" si="129"/>
        <v>0</v>
      </c>
      <c r="J869">
        <f t="shared" si="129"/>
        <v>0</v>
      </c>
      <c r="K869">
        <f t="shared" si="129"/>
        <v>1</v>
      </c>
      <c r="L869">
        <f t="shared" si="129"/>
        <v>0</v>
      </c>
      <c r="M869">
        <f t="shared" si="130"/>
        <v>0</v>
      </c>
      <c r="N869">
        <f t="shared" si="130"/>
        <v>0</v>
      </c>
      <c r="O869">
        <f t="shared" si="130"/>
        <v>1</v>
      </c>
    </row>
    <row r="870" spans="1:15" x14ac:dyDescent="0.3">
      <c r="A870">
        <v>2</v>
      </c>
      <c r="B870">
        <v>2014</v>
      </c>
      <c r="C870">
        <v>1272</v>
      </c>
      <c r="D870">
        <v>30</v>
      </c>
      <c r="E870">
        <v>29</v>
      </c>
      <c r="F870">
        <v>5</v>
      </c>
      <c r="G870">
        <f t="shared" si="129"/>
        <v>0</v>
      </c>
      <c r="H870">
        <f t="shared" si="129"/>
        <v>0</v>
      </c>
      <c r="I870">
        <f t="shared" si="129"/>
        <v>1</v>
      </c>
      <c r="J870">
        <f t="shared" si="129"/>
        <v>0</v>
      </c>
      <c r="K870">
        <f t="shared" si="129"/>
        <v>0</v>
      </c>
      <c r="L870">
        <f t="shared" si="129"/>
        <v>0</v>
      </c>
      <c r="M870">
        <f t="shared" si="130"/>
        <v>0</v>
      </c>
      <c r="N870">
        <f t="shared" si="130"/>
        <v>1</v>
      </c>
      <c r="O870">
        <f t="shared" si="130"/>
        <v>0</v>
      </c>
    </row>
    <row r="871" spans="1:15" x14ac:dyDescent="0.3">
      <c r="A871">
        <v>4</v>
      </c>
      <c r="B871">
        <v>2014</v>
      </c>
      <c r="C871">
        <v>1271</v>
      </c>
      <c r="D871">
        <v>50</v>
      </c>
      <c r="E871">
        <v>110</v>
      </c>
      <c r="F871">
        <v>7.5</v>
      </c>
      <c r="G871">
        <f t="shared" si="129"/>
        <v>0</v>
      </c>
      <c r="H871">
        <f t="shared" si="129"/>
        <v>0</v>
      </c>
      <c r="I871">
        <f t="shared" si="129"/>
        <v>1</v>
      </c>
      <c r="J871">
        <f t="shared" si="129"/>
        <v>0</v>
      </c>
      <c r="K871">
        <f t="shared" si="129"/>
        <v>0</v>
      </c>
      <c r="L871">
        <f t="shared" si="129"/>
        <v>0</v>
      </c>
      <c r="M871">
        <f t="shared" si="130"/>
        <v>0</v>
      </c>
      <c r="N871">
        <f t="shared" si="130"/>
        <v>0</v>
      </c>
      <c r="O871">
        <f t="shared" si="130"/>
        <v>1</v>
      </c>
    </row>
    <row r="872" spans="1:15" x14ac:dyDescent="0.3">
      <c r="A872">
        <v>4</v>
      </c>
      <c r="B872">
        <v>2017</v>
      </c>
      <c r="C872">
        <v>1270</v>
      </c>
      <c r="D872">
        <v>200</v>
      </c>
      <c r="E872">
        <v>73</v>
      </c>
      <c r="F872">
        <v>7</v>
      </c>
      <c r="G872">
        <f t="shared" ref="G872:L881" si="131">IF($B872=G$1,1,0)</f>
        <v>0</v>
      </c>
      <c r="H872">
        <f t="shared" si="131"/>
        <v>0</v>
      </c>
      <c r="I872">
        <f t="shared" si="131"/>
        <v>0</v>
      </c>
      <c r="J872">
        <f t="shared" si="131"/>
        <v>0</v>
      </c>
      <c r="K872">
        <f t="shared" si="131"/>
        <v>0</v>
      </c>
      <c r="L872">
        <f t="shared" si="131"/>
        <v>1</v>
      </c>
      <c r="M872">
        <f t="shared" si="130"/>
        <v>0</v>
      </c>
      <c r="N872">
        <f t="shared" si="130"/>
        <v>0</v>
      </c>
      <c r="O872">
        <f t="shared" si="130"/>
        <v>1</v>
      </c>
    </row>
    <row r="873" spans="1:15" x14ac:dyDescent="0.3">
      <c r="A873">
        <v>2</v>
      </c>
      <c r="B873">
        <v>2013</v>
      </c>
      <c r="C873">
        <v>1266</v>
      </c>
      <c r="D873">
        <v>50</v>
      </c>
      <c r="E873">
        <v>50</v>
      </c>
      <c r="F873">
        <v>3</v>
      </c>
      <c r="G873">
        <f t="shared" si="131"/>
        <v>0</v>
      </c>
      <c r="H873">
        <f t="shared" si="131"/>
        <v>1</v>
      </c>
      <c r="I873">
        <f t="shared" si="131"/>
        <v>0</v>
      </c>
      <c r="J873">
        <f t="shared" si="131"/>
        <v>0</v>
      </c>
      <c r="K873">
        <f t="shared" si="131"/>
        <v>0</v>
      </c>
      <c r="L873">
        <f t="shared" si="131"/>
        <v>0</v>
      </c>
      <c r="M873">
        <f t="shared" si="130"/>
        <v>0</v>
      </c>
      <c r="N873">
        <f t="shared" si="130"/>
        <v>1</v>
      </c>
      <c r="O873">
        <f t="shared" si="130"/>
        <v>0</v>
      </c>
    </row>
    <row r="874" spans="1:15" x14ac:dyDescent="0.3">
      <c r="A874">
        <v>4</v>
      </c>
      <c r="B874">
        <v>2015</v>
      </c>
      <c r="C874">
        <v>1266</v>
      </c>
      <c r="D874">
        <v>200</v>
      </c>
      <c r="E874">
        <v>21</v>
      </c>
      <c r="F874">
        <v>2</v>
      </c>
      <c r="G874">
        <f t="shared" si="131"/>
        <v>0</v>
      </c>
      <c r="H874">
        <f t="shared" si="131"/>
        <v>0</v>
      </c>
      <c r="I874">
        <f t="shared" si="131"/>
        <v>0</v>
      </c>
      <c r="J874">
        <f t="shared" si="131"/>
        <v>1</v>
      </c>
      <c r="K874">
        <f t="shared" si="131"/>
        <v>0</v>
      </c>
      <c r="L874">
        <f t="shared" si="131"/>
        <v>0</v>
      </c>
      <c r="M874">
        <f t="shared" si="130"/>
        <v>0</v>
      </c>
      <c r="N874">
        <f t="shared" si="130"/>
        <v>0</v>
      </c>
      <c r="O874">
        <f t="shared" si="130"/>
        <v>1</v>
      </c>
    </row>
    <row r="875" spans="1:15" x14ac:dyDescent="0.3">
      <c r="A875">
        <v>2</v>
      </c>
      <c r="B875">
        <v>2015</v>
      </c>
      <c r="C875">
        <v>1262</v>
      </c>
      <c r="D875">
        <v>105</v>
      </c>
      <c r="E875">
        <v>40</v>
      </c>
      <c r="F875">
        <v>2.5</v>
      </c>
      <c r="G875">
        <f t="shared" si="131"/>
        <v>0</v>
      </c>
      <c r="H875">
        <f t="shared" si="131"/>
        <v>0</v>
      </c>
      <c r="I875">
        <f t="shared" si="131"/>
        <v>0</v>
      </c>
      <c r="J875">
        <f t="shared" si="131"/>
        <v>1</v>
      </c>
      <c r="K875">
        <f t="shared" si="131"/>
        <v>0</v>
      </c>
      <c r="L875">
        <f t="shared" si="131"/>
        <v>0</v>
      </c>
      <c r="M875">
        <f t="shared" si="130"/>
        <v>0</v>
      </c>
      <c r="N875">
        <f t="shared" si="130"/>
        <v>1</v>
      </c>
      <c r="O875">
        <f t="shared" si="130"/>
        <v>0</v>
      </c>
    </row>
    <row r="876" spans="1:15" x14ac:dyDescent="0.3">
      <c r="A876">
        <v>4</v>
      </c>
      <c r="B876">
        <v>2015</v>
      </c>
      <c r="C876">
        <v>1248</v>
      </c>
      <c r="D876">
        <v>50</v>
      </c>
      <c r="E876">
        <v>18</v>
      </c>
      <c r="F876">
        <v>1.5</v>
      </c>
      <c r="G876">
        <f t="shared" si="131"/>
        <v>0</v>
      </c>
      <c r="H876">
        <f t="shared" si="131"/>
        <v>0</v>
      </c>
      <c r="I876">
        <f t="shared" si="131"/>
        <v>0</v>
      </c>
      <c r="J876">
        <f t="shared" si="131"/>
        <v>1</v>
      </c>
      <c r="K876">
        <f t="shared" si="131"/>
        <v>0</v>
      </c>
      <c r="L876">
        <f t="shared" si="131"/>
        <v>0</v>
      </c>
      <c r="M876">
        <f t="shared" si="130"/>
        <v>0</v>
      </c>
      <c r="N876">
        <f t="shared" si="130"/>
        <v>0</v>
      </c>
      <c r="O876">
        <f t="shared" si="130"/>
        <v>1</v>
      </c>
    </row>
    <row r="877" spans="1:15" x14ac:dyDescent="0.3">
      <c r="A877">
        <v>4</v>
      </c>
      <c r="B877">
        <v>2016</v>
      </c>
      <c r="C877">
        <v>1241</v>
      </c>
      <c r="D877">
        <v>35</v>
      </c>
      <c r="E877">
        <v>9</v>
      </c>
      <c r="F877">
        <v>0.56666667000000004</v>
      </c>
      <c r="G877">
        <f t="shared" si="131"/>
        <v>0</v>
      </c>
      <c r="H877">
        <f t="shared" si="131"/>
        <v>0</v>
      </c>
      <c r="I877">
        <f t="shared" si="131"/>
        <v>0</v>
      </c>
      <c r="J877">
        <f t="shared" si="131"/>
        <v>0</v>
      </c>
      <c r="K877">
        <f t="shared" si="131"/>
        <v>1</v>
      </c>
      <c r="L877">
        <f t="shared" si="131"/>
        <v>0</v>
      </c>
      <c r="M877">
        <f t="shared" si="130"/>
        <v>0</v>
      </c>
      <c r="N877">
        <f t="shared" si="130"/>
        <v>0</v>
      </c>
      <c r="O877">
        <f t="shared" si="130"/>
        <v>1</v>
      </c>
    </row>
    <row r="878" spans="1:15" x14ac:dyDescent="0.3">
      <c r="A878">
        <v>2</v>
      </c>
      <c r="B878">
        <v>2016</v>
      </c>
      <c r="C878">
        <v>1237</v>
      </c>
      <c r="D878">
        <v>45</v>
      </c>
      <c r="E878">
        <v>14</v>
      </c>
      <c r="F878">
        <v>1</v>
      </c>
      <c r="G878">
        <f t="shared" si="131"/>
        <v>0</v>
      </c>
      <c r="H878">
        <f t="shared" si="131"/>
        <v>0</v>
      </c>
      <c r="I878">
        <f t="shared" si="131"/>
        <v>0</v>
      </c>
      <c r="J878">
        <f t="shared" si="131"/>
        <v>0</v>
      </c>
      <c r="K878">
        <f t="shared" si="131"/>
        <v>1</v>
      </c>
      <c r="L878">
        <f t="shared" si="131"/>
        <v>0</v>
      </c>
      <c r="M878">
        <f t="shared" si="130"/>
        <v>0</v>
      </c>
      <c r="N878">
        <f t="shared" si="130"/>
        <v>1</v>
      </c>
      <c r="O878">
        <f t="shared" si="130"/>
        <v>0</v>
      </c>
    </row>
    <row r="879" spans="1:15" x14ac:dyDescent="0.3">
      <c r="A879">
        <v>2</v>
      </c>
      <c r="B879">
        <v>2015</v>
      </c>
      <c r="C879">
        <v>1236</v>
      </c>
      <c r="D879">
        <v>80</v>
      </c>
      <c r="E879">
        <v>14</v>
      </c>
      <c r="F879">
        <v>0.5</v>
      </c>
      <c r="G879">
        <f t="shared" si="131"/>
        <v>0</v>
      </c>
      <c r="H879">
        <f t="shared" si="131"/>
        <v>0</v>
      </c>
      <c r="I879">
        <f t="shared" si="131"/>
        <v>0</v>
      </c>
      <c r="J879">
        <f t="shared" si="131"/>
        <v>1</v>
      </c>
      <c r="K879">
        <f t="shared" si="131"/>
        <v>0</v>
      </c>
      <c r="L879">
        <f t="shared" si="131"/>
        <v>0</v>
      </c>
      <c r="M879">
        <f t="shared" si="130"/>
        <v>0</v>
      </c>
      <c r="N879">
        <f t="shared" si="130"/>
        <v>1</v>
      </c>
      <c r="O879">
        <f t="shared" si="130"/>
        <v>0</v>
      </c>
    </row>
    <row r="880" spans="1:15" x14ac:dyDescent="0.3">
      <c r="A880">
        <v>1</v>
      </c>
      <c r="B880">
        <v>2016</v>
      </c>
      <c r="C880">
        <v>1235</v>
      </c>
      <c r="D880">
        <v>20</v>
      </c>
      <c r="E880">
        <v>7</v>
      </c>
      <c r="F880">
        <v>0.63333333000000003</v>
      </c>
      <c r="G880">
        <f t="shared" si="131"/>
        <v>0</v>
      </c>
      <c r="H880">
        <f t="shared" si="131"/>
        <v>0</v>
      </c>
      <c r="I880">
        <f t="shared" si="131"/>
        <v>0</v>
      </c>
      <c r="J880">
        <f t="shared" si="131"/>
        <v>0</v>
      </c>
      <c r="K880">
        <f t="shared" si="131"/>
        <v>1</v>
      </c>
      <c r="L880">
        <f t="shared" si="131"/>
        <v>0</v>
      </c>
      <c r="M880">
        <f t="shared" si="130"/>
        <v>1</v>
      </c>
      <c r="N880">
        <f t="shared" si="130"/>
        <v>0</v>
      </c>
      <c r="O880">
        <f t="shared" si="130"/>
        <v>0</v>
      </c>
    </row>
    <row r="881" spans="1:15" x14ac:dyDescent="0.3">
      <c r="A881">
        <v>1</v>
      </c>
      <c r="B881">
        <v>2016</v>
      </c>
      <c r="C881">
        <v>1229</v>
      </c>
      <c r="D881">
        <v>150</v>
      </c>
      <c r="E881">
        <v>108</v>
      </c>
      <c r="F881">
        <v>7.5</v>
      </c>
      <c r="G881">
        <f t="shared" si="131"/>
        <v>0</v>
      </c>
      <c r="H881">
        <f t="shared" si="131"/>
        <v>0</v>
      </c>
      <c r="I881">
        <f t="shared" si="131"/>
        <v>0</v>
      </c>
      <c r="J881">
        <f t="shared" si="131"/>
        <v>0</v>
      </c>
      <c r="K881">
        <f t="shared" si="131"/>
        <v>1</v>
      </c>
      <c r="L881">
        <f t="shared" si="131"/>
        <v>0</v>
      </c>
      <c r="M881">
        <f t="shared" si="130"/>
        <v>1</v>
      </c>
      <c r="N881">
        <f t="shared" si="130"/>
        <v>0</v>
      </c>
      <c r="O881">
        <f t="shared" si="130"/>
        <v>0</v>
      </c>
    </row>
    <row r="882" spans="1:15" x14ac:dyDescent="0.3">
      <c r="A882">
        <v>1</v>
      </c>
      <c r="B882">
        <v>2015</v>
      </c>
      <c r="C882">
        <v>1220</v>
      </c>
      <c r="D882">
        <v>200</v>
      </c>
      <c r="E882">
        <v>16</v>
      </c>
      <c r="F882">
        <v>0.56666667000000004</v>
      </c>
      <c r="G882">
        <f t="shared" ref="G882:L891" si="132">IF($B882=G$1,1,0)</f>
        <v>0</v>
      </c>
      <c r="H882">
        <f t="shared" si="132"/>
        <v>0</v>
      </c>
      <c r="I882">
        <f t="shared" si="132"/>
        <v>0</v>
      </c>
      <c r="J882">
        <f t="shared" si="132"/>
        <v>1</v>
      </c>
      <c r="K882">
        <f t="shared" si="132"/>
        <v>0</v>
      </c>
      <c r="L882">
        <f t="shared" si="132"/>
        <v>0</v>
      </c>
      <c r="M882">
        <f t="shared" ref="M882:O901" si="133">IF($A882=M$1,1,0)</f>
        <v>1</v>
      </c>
      <c r="N882">
        <f t="shared" si="133"/>
        <v>0</v>
      </c>
      <c r="O882">
        <f t="shared" si="133"/>
        <v>0</v>
      </c>
    </row>
    <row r="883" spans="1:15" x14ac:dyDescent="0.3">
      <c r="A883">
        <v>4</v>
      </c>
      <c r="B883">
        <v>2016</v>
      </c>
      <c r="C883">
        <v>1216</v>
      </c>
      <c r="D883">
        <v>50</v>
      </c>
      <c r="E883">
        <v>28</v>
      </c>
      <c r="F883">
        <v>3</v>
      </c>
      <c r="G883">
        <f t="shared" si="132"/>
        <v>0</v>
      </c>
      <c r="H883">
        <f t="shared" si="132"/>
        <v>0</v>
      </c>
      <c r="I883">
        <f t="shared" si="132"/>
        <v>0</v>
      </c>
      <c r="J883">
        <f t="shared" si="132"/>
        <v>0</v>
      </c>
      <c r="K883">
        <f t="shared" si="132"/>
        <v>1</v>
      </c>
      <c r="L883">
        <f t="shared" si="132"/>
        <v>0</v>
      </c>
      <c r="M883">
        <f t="shared" si="133"/>
        <v>0</v>
      </c>
      <c r="N883">
        <f t="shared" si="133"/>
        <v>0</v>
      </c>
      <c r="O883">
        <f t="shared" si="133"/>
        <v>1</v>
      </c>
    </row>
    <row r="884" spans="1:15" x14ac:dyDescent="0.3">
      <c r="A884">
        <v>4</v>
      </c>
      <c r="B884">
        <v>2013</v>
      </c>
      <c r="C884">
        <v>1215</v>
      </c>
      <c r="D884">
        <v>200</v>
      </c>
      <c r="E884">
        <v>33</v>
      </c>
      <c r="F884">
        <v>2.5</v>
      </c>
      <c r="G884">
        <f t="shared" si="132"/>
        <v>0</v>
      </c>
      <c r="H884">
        <f t="shared" si="132"/>
        <v>1</v>
      </c>
      <c r="I884">
        <f t="shared" si="132"/>
        <v>0</v>
      </c>
      <c r="J884">
        <f t="shared" si="132"/>
        <v>0</v>
      </c>
      <c r="K884">
        <f t="shared" si="132"/>
        <v>0</v>
      </c>
      <c r="L884">
        <f t="shared" si="132"/>
        <v>0</v>
      </c>
      <c r="M884">
        <f t="shared" si="133"/>
        <v>0</v>
      </c>
      <c r="N884">
        <f t="shared" si="133"/>
        <v>0</v>
      </c>
      <c r="O884">
        <f t="shared" si="133"/>
        <v>1</v>
      </c>
    </row>
    <row r="885" spans="1:15" x14ac:dyDescent="0.3">
      <c r="A885">
        <v>1</v>
      </c>
      <c r="B885">
        <v>2017</v>
      </c>
      <c r="C885">
        <v>1212</v>
      </c>
      <c r="D885">
        <v>95</v>
      </c>
      <c r="E885">
        <v>39</v>
      </c>
      <c r="F885">
        <v>4.5</v>
      </c>
      <c r="G885">
        <f t="shared" si="132"/>
        <v>0</v>
      </c>
      <c r="H885">
        <f t="shared" si="132"/>
        <v>0</v>
      </c>
      <c r="I885">
        <f t="shared" si="132"/>
        <v>0</v>
      </c>
      <c r="J885">
        <f t="shared" si="132"/>
        <v>0</v>
      </c>
      <c r="K885">
        <f t="shared" si="132"/>
        <v>0</v>
      </c>
      <c r="L885">
        <f t="shared" si="132"/>
        <v>1</v>
      </c>
      <c r="M885">
        <f t="shared" si="133"/>
        <v>1</v>
      </c>
      <c r="N885">
        <f t="shared" si="133"/>
        <v>0</v>
      </c>
      <c r="O885">
        <f t="shared" si="133"/>
        <v>0</v>
      </c>
    </row>
    <row r="886" spans="1:15" x14ac:dyDescent="0.3">
      <c r="A886">
        <v>4</v>
      </c>
      <c r="B886">
        <v>2016</v>
      </c>
      <c r="C886">
        <v>1209</v>
      </c>
      <c r="D886">
        <v>25</v>
      </c>
      <c r="E886">
        <v>62</v>
      </c>
      <c r="F886">
        <v>4.5</v>
      </c>
      <c r="G886">
        <f t="shared" si="132"/>
        <v>0</v>
      </c>
      <c r="H886">
        <f t="shared" si="132"/>
        <v>0</v>
      </c>
      <c r="I886">
        <f t="shared" si="132"/>
        <v>0</v>
      </c>
      <c r="J886">
        <f t="shared" si="132"/>
        <v>0</v>
      </c>
      <c r="K886">
        <f t="shared" si="132"/>
        <v>1</v>
      </c>
      <c r="L886">
        <f t="shared" si="132"/>
        <v>0</v>
      </c>
      <c r="M886">
        <f t="shared" si="133"/>
        <v>0</v>
      </c>
      <c r="N886">
        <f t="shared" si="133"/>
        <v>0</v>
      </c>
      <c r="O886">
        <f t="shared" si="133"/>
        <v>1</v>
      </c>
    </row>
    <row r="887" spans="1:15" x14ac:dyDescent="0.3">
      <c r="A887">
        <v>4</v>
      </c>
      <c r="B887">
        <v>2016</v>
      </c>
      <c r="C887">
        <v>1209</v>
      </c>
      <c r="D887">
        <v>20</v>
      </c>
      <c r="E887">
        <v>21</v>
      </c>
      <c r="F887">
        <v>1.5</v>
      </c>
      <c r="G887">
        <f t="shared" si="132"/>
        <v>0</v>
      </c>
      <c r="H887">
        <f t="shared" si="132"/>
        <v>0</v>
      </c>
      <c r="I887">
        <f t="shared" si="132"/>
        <v>0</v>
      </c>
      <c r="J887">
        <f t="shared" si="132"/>
        <v>0</v>
      </c>
      <c r="K887">
        <f t="shared" si="132"/>
        <v>1</v>
      </c>
      <c r="L887">
        <f t="shared" si="132"/>
        <v>0</v>
      </c>
      <c r="M887">
        <f t="shared" si="133"/>
        <v>0</v>
      </c>
      <c r="N887">
        <f t="shared" si="133"/>
        <v>0</v>
      </c>
      <c r="O887">
        <f t="shared" si="133"/>
        <v>1</v>
      </c>
    </row>
    <row r="888" spans="1:15" x14ac:dyDescent="0.3">
      <c r="A888">
        <v>4</v>
      </c>
      <c r="B888">
        <v>2015</v>
      </c>
      <c r="C888">
        <v>1193</v>
      </c>
      <c r="D888">
        <v>100</v>
      </c>
      <c r="E888">
        <v>58</v>
      </c>
      <c r="F888">
        <v>10.5</v>
      </c>
      <c r="G888">
        <f t="shared" si="132"/>
        <v>0</v>
      </c>
      <c r="H888">
        <f t="shared" si="132"/>
        <v>0</v>
      </c>
      <c r="I888">
        <f t="shared" si="132"/>
        <v>0</v>
      </c>
      <c r="J888">
        <f t="shared" si="132"/>
        <v>1</v>
      </c>
      <c r="K888">
        <f t="shared" si="132"/>
        <v>0</v>
      </c>
      <c r="L888">
        <f t="shared" si="132"/>
        <v>0</v>
      </c>
      <c r="M888">
        <f t="shared" si="133"/>
        <v>0</v>
      </c>
      <c r="N888">
        <f t="shared" si="133"/>
        <v>0</v>
      </c>
      <c r="O888">
        <f t="shared" si="133"/>
        <v>1</v>
      </c>
    </row>
    <row r="889" spans="1:15" x14ac:dyDescent="0.3">
      <c r="A889">
        <v>4</v>
      </c>
      <c r="B889">
        <v>2016</v>
      </c>
      <c r="C889">
        <v>1186</v>
      </c>
      <c r="D889">
        <v>20</v>
      </c>
      <c r="E889">
        <v>7</v>
      </c>
      <c r="F889">
        <v>0.56666667000000004</v>
      </c>
      <c r="G889">
        <f t="shared" si="132"/>
        <v>0</v>
      </c>
      <c r="H889">
        <f t="shared" si="132"/>
        <v>0</v>
      </c>
      <c r="I889">
        <f t="shared" si="132"/>
        <v>0</v>
      </c>
      <c r="J889">
        <f t="shared" si="132"/>
        <v>0</v>
      </c>
      <c r="K889">
        <f t="shared" si="132"/>
        <v>1</v>
      </c>
      <c r="L889">
        <f t="shared" si="132"/>
        <v>0</v>
      </c>
      <c r="M889">
        <f t="shared" si="133"/>
        <v>0</v>
      </c>
      <c r="N889">
        <f t="shared" si="133"/>
        <v>0</v>
      </c>
      <c r="O889">
        <f t="shared" si="133"/>
        <v>1</v>
      </c>
    </row>
    <row r="890" spans="1:15" x14ac:dyDescent="0.3">
      <c r="A890">
        <v>2</v>
      </c>
      <c r="B890">
        <v>2015</v>
      </c>
      <c r="C890">
        <v>1186</v>
      </c>
      <c r="D890">
        <v>55</v>
      </c>
      <c r="E890">
        <v>9</v>
      </c>
      <c r="F890">
        <v>0.66666667000000002</v>
      </c>
      <c r="G890">
        <f t="shared" si="132"/>
        <v>0</v>
      </c>
      <c r="H890">
        <f t="shared" si="132"/>
        <v>0</v>
      </c>
      <c r="I890">
        <f t="shared" si="132"/>
        <v>0</v>
      </c>
      <c r="J890">
        <f t="shared" si="132"/>
        <v>1</v>
      </c>
      <c r="K890">
        <f t="shared" si="132"/>
        <v>0</v>
      </c>
      <c r="L890">
        <f t="shared" si="132"/>
        <v>0</v>
      </c>
      <c r="M890">
        <f t="shared" si="133"/>
        <v>0</v>
      </c>
      <c r="N890">
        <f t="shared" si="133"/>
        <v>1</v>
      </c>
      <c r="O890">
        <f t="shared" si="133"/>
        <v>0</v>
      </c>
    </row>
    <row r="891" spans="1:15" x14ac:dyDescent="0.3">
      <c r="A891">
        <v>4</v>
      </c>
      <c r="B891">
        <v>2015</v>
      </c>
      <c r="C891">
        <v>1169</v>
      </c>
      <c r="D891">
        <v>20</v>
      </c>
      <c r="E891">
        <v>64</v>
      </c>
      <c r="F891">
        <v>7.5</v>
      </c>
      <c r="G891">
        <f t="shared" si="132"/>
        <v>0</v>
      </c>
      <c r="H891">
        <f t="shared" si="132"/>
        <v>0</v>
      </c>
      <c r="I891">
        <f t="shared" si="132"/>
        <v>0</v>
      </c>
      <c r="J891">
        <f t="shared" si="132"/>
        <v>1</v>
      </c>
      <c r="K891">
        <f t="shared" si="132"/>
        <v>0</v>
      </c>
      <c r="L891">
        <f t="shared" si="132"/>
        <v>0</v>
      </c>
      <c r="M891">
        <f t="shared" si="133"/>
        <v>0</v>
      </c>
      <c r="N891">
        <f t="shared" si="133"/>
        <v>0</v>
      </c>
      <c r="O891">
        <f t="shared" si="133"/>
        <v>1</v>
      </c>
    </row>
    <row r="892" spans="1:15" x14ac:dyDescent="0.3">
      <c r="A892">
        <v>4</v>
      </c>
      <c r="B892">
        <v>2015</v>
      </c>
      <c r="C892">
        <v>1157</v>
      </c>
      <c r="D892">
        <v>60</v>
      </c>
      <c r="E892">
        <v>31</v>
      </c>
      <c r="F892">
        <v>3</v>
      </c>
      <c r="G892">
        <f t="shared" ref="G892:L901" si="134">IF($B892=G$1,1,0)</f>
        <v>0</v>
      </c>
      <c r="H892">
        <f t="shared" si="134"/>
        <v>0</v>
      </c>
      <c r="I892">
        <f t="shared" si="134"/>
        <v>0</v>
      </c>
      <c r="J892">
        <f t="shared" si="134"/>
        <v>1</v>
      </c>
      <c r="K892">
        <f t="shared" si="134"/>
        <v>0</v>
      </c>
      <c r="L892">
        <f t="shared" si="134"/>
        <v>0</v>
      </c>
      <c r="M892">
        <f t="shared" si="133"/>
        <v>0</v>
      </c>
      <c r="N892">
        <f t="shared" si="133"/>
        <v>0</v>
      </c>
      <c r="O892">
        <f t="shared" si="133"/>
        <v>1</v>
      </c>
    </row>
    <row r="893" spans="1:15" x14ac:dyDescent="0.3">
      <c r="A893">
        <v>4</v>
      </c>
      <c r="B893">
        <v>2015</v>
      </c>
      <c r="C893">
        <v>1156</v>
      </c>
      <c r="D893">
        <v>85</v>
      </c>
      <c r="E893">
        <v>28</v>
      </c>
      <c r="F893">
        <v>2.5</v>
      </c>
      <c r="G893">
        <f t="shared" si="134"/>
        <v>0</v>
      </c>
      <c r="H893">
        <f t="shared" si="134"/>
        <v>0</v>
      </c>
      <c r="I893">
        <f t="shared" si="134"/>
        <v>0</v>
      </c>
      <c r="J893">
        <f t="shared" si="134"/>
        <v>1</v>
      </c>
      <c r="K893">
        <f t="shared" si="134"/>
        <v>0</v>
      </c>
      <c r="L893">
        <f t="shared" si="134"/>
        <v>0</v>
      </c>
      <c r="M893">
        <f t="shared" si="133"/>
        <v>0</v>
      </c>
      <c r="N893">
        <f t="shared" si="133"/>
        <v>0</v>
      </c>
      <c r="O893">
        <f t="shared" si="133"/>
        <v>1</v>
      </c>
    </row>
    <row r="894" spans="1:15" x14ac:dyDescent="0.3">
      <c r="A894">
        <v>1</v>
      </c>
      <c r="B894">
        <v>2017</v>
      </c>
      <c r="C894">
        <v>1156</v>
      </c>
      <c r="D894">
        <v>35</v>
      </c>
      <c r="E894">
        <v>59</v>
      </c>
      <c r="F894">
        <v>5</v>
      </c>
      <c r="G894">
        <f t="shared" si="134"/>
        <v>0</v>
      </c>
      <c r="H894">
        <f t="shared" si="134"/>
        <v>0</v>
      </c>
      <c r="I894">
        <f t="shared" si="134"/>
        <v>0</v>
      </c>
      <c r="J894">
        <f t="shared" si="134"/>
        <v>0</v>
      </c>
      <c r="K894">
        <f t="shared" si="134"/>
        <v>0</v>
      </c>
      <c r="L894">
        <f t="shared" si="134"/>
        <v>1</v>
      </c>
      <c r="M894">
        <f t="shared" si="133"/>
        <v>1</v>
      </c>
      <c r="N894">
        <f t="shared" si="133"/>
        <v>0</v>
      </c>
      <c r="O894">
        <f t="shared" si="133"/>
        <v>0</v>
      </c>
    </row>
    <row r="895" spans="1:15" x14ac:dyDescent="0.3">
      <c r="A895">
        <v>4</v>
      </c>
      <c r="B895">
        <v>2016</v>
      </c>
      <c r="C895">
        <v>1154</v>
      </c>
      <c r="D895">
        <v>20</v>
      </c>
      <c r="E895">
        <v>71</v>
      </c>
      <c r="F895">
        <v>6</v>
      </c>
      <c r="G895">
        <f t="shared" si="134"/>
        <v>0</v>
      </c>
      <c r="H895">
        <f t="shared" si="134"/>
        <v>0</v>
      </c>
      <c r="I895">
        <f t="shared" si="134"/>
        <v>0</v>
      </c>
      <c r="J895">
        <f t="shared" si="134"/>
        <v>0</v>
      </c>
      <c r="K895">
        <f t="shared" si="134"/>
        <v>1</v>
      </c>
      <c r="L895">
        <f t="shared" si="134"/>
        <v>0</v>
      </c>
      <c r="M895">
        <f t="shared" si="133"/>
        <v>0</v>
      </c>
      <c r="N895">
        <f t="shared" si="133"/>
        <v>0</v>
      </c>
      <c r="O895">
        <f t="shared" si="133"/>
        <v>1</v>
      </c>
    </row>
    <row r="896" spans="1:15" x14ac:dyDescent="0.3">
      <c r="A896">
        <v>4</v>
      </c>
      <c r="B896">
        <v>2013</v>
      </c>
      <c r="C896">
        <v>1154</v>
      </c>
      <c r="D896">
        <v>30</v>
      </c>
      <c r="E896">
        <v>9</v>
      </c>
      <c r="F896">
        <v>3</v>
      </c>
      <c r="G896">
        <f t="shared" si="134"/>
        <v>0</v>
      </c>
      <c r="H896">
        <f t="shared" si="134"/>
        <v>1</v>
      </c>
      <c r="I896">
        <f t="shared" si="134"/>
        <v>0</v>
      </c>
      <c r="J896">
        <f t="shared" si="134"/>
        <v>0</v>
      </c>
      <c r="K896">
        <f t="shared" si="134"/>
        <v>0</v>
      </c>
      <c r="L896">
        <f t="shared" si="134"/>
        <v>0</v>
      </c>
      <c r="M896">
        <f t="shared" si="133"/>
        <v>0</v>
      </c>
      <c r="N896">
        <f t="shared" si="133"/>
        <v>0</v>
      </c>
      <c r="O896">
        <f t="shared" si="133"/>
        <v>1</v>
      </c>
    </row>
    <row r="897" spans="1:15" x14ac:dyDescent="0.3">
      <c r="A897">
        <v>4</v>
      </c>
      <c r="B897">
        <v>2016</v>
      </c>
      <c r="C897">
        <v>1152</v>
      </c>
      <c r="D897">
        <v>40</v>
      </c>
      <c r="E897">
        <v>14</v>
      </c>
      <c r="F897">
        <v>1</v>
      </c>
      <c r="G897">
        <f t="shared" si="134"/>
        <v>0</v>
      </c>
      <c r="H897">
        <f t="shared" si="134"/>
        <v>0</v>
      </c>
      <c r="I897">
        <f t="shared" si="134"/>
        <v>0</v>
      </c>
      <c r="J897">
        <f t="shared" si="134"/>
        <v>0</v>
      </c>
      <c r="K897">
        <f t="shared" si="134"/>
        <v>1</v>
      </c>
      <c r="L897">
        <f t="shared" si="134"/>
        <v>0</v>
      </c>
      <c r="M897">
        <f t="shared" si="133"/>
        <v>0</v>
      </c>
      <c r="N897">
        <f t="shared" si="133"/>
        <v>0</v>
      </c>
      <c r="O897">
        <f t="shared" si="133"/>
        <v>1</v>
      </c>
    </row>
    <row r="898" spans="1:15" x14ac:dyDescent="0.3">
      <c r="A898">
        <v>4</v>
      </c>
      <c r="B898">
        <v>2016</v>
      </c>
      <c r="C898">
        <v>1147</v>
      </c>
      <c r="D898">
        <v>50</v>
      </c>
      <c r="E898">
        <v>19</v>
      </c>
      <c r="F898">
        <v>2.5</v>
      </c>
      <c r="G898">
        <f t="shared" si="134"/>
        <v>0</v>
      </c>
      <c r="H898">
        <f t="shared" si="134"/>
        <v>0</v>
      </c>
      <c r="I898">
        <f t="shared" si="134"/>
        <v>0</v>
      </c>
      <c r="J898">
        <f t="shared" si="134"/>
        <v>0</v>
      </c>
      <c r="K898">
        <f t="shared" si="134"/>
        <v>1</v>
      </c>
      <c r="L898">
        <f t="shared" si="134"/>
        <v>0</v>
      </c>
      <c r="M898">
        <f t="shared" si="133"/>
        <v>0</v>
      </c>
      <c r="N898">
        <f t="shared" si="133"/>
        <v>0</v>
      </c>
      <c r="O898">
        <f t="shared" si="133"/>
        <v>1</v>
      </c>
    </row>
    <row r="899" spans="1:15" x14ac:dyDescent="0.3">
      <c r="A899">
        <v>1</v>
      </c>
      <c r="B899">
        <v>2015</v>
      </c>
      <c r="C899">
        <v>1143</v>
      </c>
      <c r="D899">
        <v>25</v>
      </c>
      <c r="E899">
        <v>13</v>
      </c>
      <c r="F899">
        <v>1</v>
      </c>
      <c r="G899">
        <f t="shared" si="134"/>
        <v>0</v>
      </c>
      <c r="H899">
        <f t="shared" si="134"/>
        <v>0</v>
      </c>
      <c r="I899">
        <f t="shared" si="134"/>
        <v>0</v>
      </c>
      <c r="J899">
        <f t="shared" si="134"/>
        <v>1</v>
      </c>
      <c r="K899">
        <f t="shared" si="134"/>
        <v>0</v>
      </c>
      <c r="L899">
        <f t="shared" si="134"/>
        <v>0</v>
      </c>
      <c r="M899">
        <f t="shared" si="133"/>
        <v>1</v>
      </c>
      <c r="N899">
        <f t="shared" si="133"/>
        <v>0</v>
      </c>
      <c r="O899">
        <f t="shared" si="133"/>
        <v>0</v>
      </c>
    </row>
    <row r="900" spans="1:15" x14ac:dyDescent="0.3">
      <c r="A900">
        <v>4</v>
      </c>
      <c r="B900">
        <v>2015</v>
      </c>
      <c r="C900">
        <v>1142</v>
      </c>
      <c r="D900">
        <v>85</v>
      </c>
      <c r="E900">
        <v>90</v>
      </c>
      <c r="F900">
        <v>5</v>
      </c>
      <c r="G900">
        <f t="shared" si="134"/>
        <v>0</v>
      </c>
      <c r="H900">
        <f t="shared" si="134"/>
        <v>0</v>
      </c>
      <c r="I900">
        <f t="shared" si="134"/>
        <v>0</v>
      </c>
      <c r="J900">
        <f t="shared" si="134"/>
        <v>1</v>
      </c>
      <c r="K900">
        <f t="shared" si="134"/>
        <v>0</v>
      </c>
      <c r="L900">
        <f t="shared" si="134"/>
        <v>0</v>
      </c>
      <c r="M900">
        <f t="shared" si="133"/>
        <v>0</v>
      </c>
      <c r="N900">
        <f t="shared" si="133"/>
        <v>0</v>
      </c>
      <c r="O900">
        <f t="shared" si="133"/>
        <v>1</v>
      </c>
    </row>
    <row r="901" spans="1:15" x14ac:dyDescent="0.3">
      <c r="A901">
        <v>2</v>
      </c>
      <c r="B901">
        <v>2014</v>
      </c>
      <c r="C901">
        <v>1134</v>
      </c>
      <c r="D901">
        <v>95</v>
      </c>
      <c r="E901">
        <v>24</v>
      </c>
      <c r="F901">
        <v>1.5</v>
      </c>
      <c r="G901">
        <f t="shared" si="134"/>
        <v>0</v>
      </c>
      <c r="H901">
        <f t="shared" si="134"/>
        <v>0</v>
      </c>
      <c r="I901">
        <f t="shared" si="134"/>
        <v>1</v>
      </c>
      <c r="J901">
        <f t="shared" si="134"/>
        <v>0</v>
      </c>
      <c r="K901">
        <f t="shared" si="134"/>
        <v>0</v>
      </c>
      <c r="L901">
        <f t="shared" si="134"/>
        <v>0</v>
      </c>
      <c r="M901">
        <f t="shared" si="133"/>
        <v>0</v>
      </c>
      <c r="N901">
        <f t="shared" si="133"/>
        <v>1</v>
      </c>
      <c r="O901">
        <f t="shared" si="133"/>
        <v>0</v>
      </c>
    </row>
    <row r="902" spans="1:15" x14ac:dyDescent="0.3">
      <c r="A902">
        <v>4</v>
      </c>
      <c r="B902">
        <v>2016</v>
      </c>
      <c r="C902">
        <v>1130</v>
      </c>
      <c r="D902">
        <v>200</v>
      </c>
      <c r="E902">
        <v>66</v>
      </c>
      <c r="F902">
        <v>6</v>
      </c>
      <c r="G902">
        <f t="shared" ref="G902:L911" si="135">IF($B902=G$1,1,0)</f>
        <v>0</v>
      </c>
      <c r="H902">
        <f t="shared" si="135"/>
        <v>0</v>
      </c>
      <c r="I902">
        <f t="shared" si="135"/>
        <v>0</v>
      </c>
      <c r="J902">
        <f t="shared" si="135"/>
        <v>0</v>
      </c>
      <c r="K902">
        <f t="shared" si="135"/>
        <v>1</v>
      </c>
      <c r="L902">
        <f t="shared" si="135"/>
        <v>0</v>
      </c>
      <c r="M902">
        <f t="shared" ref="M902:O921" si="136">IF($A902=M$1,1,0)</f>
        <v>0</v>
      </c>
      <c r="N902">
        <f t="shared" si="136"/>
        <v>0</v>
      </c>
      <c r="O902">
        <f t="shared" si="136"/>
        <v>1</v>
      </c>
    </row>
    <row r="903" spans="1:15" x14ac:dyDescent="0.3">
      <c r="A903">
        <v>4</v>
      </c>
      <c r="B903">
        <v>2016</v>
      </c>
      <c r="C903">
        <v>1129</v>
      </c>
      <c r="D903">
        <v>50</v>
      </c>
      <c r="E903">
        <v>77</v>
      </c>
      <c r="F903">
        <v>17.5</v>
      </c>
      <c r="G903">
        <f t="shared" si="135"/>
        <v>0</v>
      </c>
      <c r="H903">
        <f t="shared" si="135"/>
        <v>0</v>
      </c>
      <c r="I903">
        <f t="shared" si="135"/>
        <v>0</v>
      </c>
      <c r="J903">
        <f t="shared" si="135"/>
        <v>0</v>
      </c>
      <c r="K903">
        <f t="shared" si="135"/>
        <v>1</v>
      </c>
      <c r="L903">
        <f t="shared" si="135"/>
        <v>0</v>
      </c>
      <c r="M903">
        <f t="shared" si="136"/>
        <v>0</v>
      </c>
      <c r="N903">
        <f t="shared" si="136"/>
        <v>0</v>
      </c>
      <c r="O903">
        <f t="shared" si="136"/>
        <v>1</v>
      </c>
    </row>
    <row r="904" spans="1:15" x14ac:dyDescent="0.3">
      <c r="A904">
        <v>1</v>
      </c>
      <c r="B904">
        <v>2012</v>
      </c>
      <c r="C904">
        <v>1128</v>
      </c>
      <c r="D904">
        <v>20</v>
      </c>
      <c r="E904">
        <v>36</v>
      </c>
      <c r="F904">
        <v>2</v>
      </c>
      <c r="G904">
        <f t="shared" si="135"/>
        <v>1</v>
      </c>
      <c r="H904">
        <f t="shared" si="135"/>
        <v>0</v>
      </c>
      <c r="I904">
        <f t="shared" si="135"/>
        <v>0</v>
      </c>
      <c r="J904">
        <f t="shared" si="135"/>
        <v>0</v>
      </c>
      <c r="K904">
        <f t="shared" si="135"/>
        <v>0</v>
      </c>
      <c r="L904">
        <f t="shared" si="135"/>
        <v>0</v>
      </c>
      <c r="M904">
        <f t="shared" si="136"/>
        <v>1</v>
      </c>
      <c r="N904">
        <f t="shared" si="136"/>
        <v>0</v>
      </c>
      <c r="O904">
        <f t="shared" si="136"/>
        <v>0</v>
      </c>
    </row>
    <row r="905" spans="1:15" x14ac:dyDescent="0.3">
      <c r="A905">
        <v>2</v>
      </c>
      <c r="B905">
        <v>2017</v>
      </c>
      <c r="C905">
        <v>1126</v>
      </c>
      <c r="D905">
        <v>20</v>
      </c>
      <c r="E905">
        <v>12</v>
      </c>
      <c r="F905">
        <v>1</v>
      </c>
      <c r="G905">
        <f t="shared" si="135"/>
        <v>0</v>
      </c>
      <c r="H905">
        <f t="shared" si="135"/>
        <v>0</v>
      </c>
      <c r="I905">
        <f t="shared" si="135"/>
        <v>0</v>
      </c>
      <c r="J905">
        <f t="shared" si="135"/>
        <v>0</v>
      </c>
      <c r="K905">
        <f t="shared" si="135"/>
        <v>0</v>
      </c>
      <c r="L905">
        <f t="shared" si="135"/>
        <v>1</v>
      </c>
      <c r="M905">
        <f t="shared" si="136"/>
        <v>0</v>
      </c>
      <c r="N905">
        <f t="shared" si="136"/>
        <v>1</v>
      </c>
      <c r="O905">
        <f t="shared" si="136"/>
        <v>0</v>
      </c>
    </row>
    <row r="906" spans="1:15" x14ac:dyDescent="0.3">
      <c r="A906">
        <v>1</v>
      </c>
      <c r="B906">
        <v>2016</v>
      </c>
      <c r="C906">
        <v>1125</v>
      </c>
      <c r="D906">
        <v>50</v>
      </c>
      <c r="E906">
        <v>45</v>
      </c>
      <c r="F906">
        <v>3.5</v>
      </c>
      <c r="G906">
        <f t="shared" si="135"/>
        <v>0</v>
      </c>
      <c r="H906">
        <f t="shared" si="135"/>
        <v>0</v>
      </c>
      <c r="I906">
        <f t="shared" si="135"/>
        <v>0</v>
      </c>
      <c r="J906">
        <f t="shared" si="135"/>
        <v>0</v>
      </c>
      <c r="K906">
        <f t="shared" si="135"/>
        <v>1</v>
      </c>
      <c r="L906">
        <f t="shared" si="135"/>
        <v>0</v>
      </c>
      <c r="M906">
        <f t="shared" si="136"/>
        <v>1</v>
      </c>
      <c r="N906">
        <f t="shared" si="136"/>
        <v>0</v>
      </c>
      <c r="O906">
        <f t="shared" si="136"/>
        <v>0</v>
      </c>
    </row>
    <row r="907" spans="1:15" x14ac:dyDescent="0.3">
      <c r="A907">
        <v>2</v>
      </c>
      <c r="B907">
        <v>2016</v>
      </c>
      <c r="C907">
        <v>1122</v>
      </c>
      <c r="D907">
        <v>40</v>
      </c>
      <c r="E907">
        <v>7</v>
      </c>
      <c r="F907">
        <v>0.58333332999999998</v>
      </c>
      <c r="G907">
        <f t="shared" si="135"/>
        <v>0</v>
      </c>
      <c r="H907">
        <f t="shared" si="135"/>
        <v>0</v>
      </c>
      <c r="I907">
        <f t="shared" si="135"/>
        <v>0</v>
      </c>
      <c r="J907">
        <f t="shared" si="135"/>
        <v>0</v>
      </c>
      <c r="K907">
        <f t="shared" si="135"/>
        <v>1</v>
      </c>
      <c r="L907">
        <f t="shared" si="135"/>
        <v>0</v>
      </c>
      <c r="M907">
        <f t="shared" si="136"/>
        <v>0</v>
      </c>
      <c r="N907">
        <f t="shared" si="136"/>
        <v>1</v>
      </c>
      <c r="O907">
        <f t="shared" si="136"/>
        <v>0</v>
      </c>
    </row>
    <row r="908" spans="1:15" x14ac:dyDescent="0.3">
      <c r="A908">
        <v>1</v>
      </c>
      <c r="B908">
        <v>2017</v>
      </c>
      <c r="C908">
        <v>1121</v>
      </c>
      <c r="D908">
        <v>195</v>
      </c>
      <c r="E908">
        <v>62</v>
      </c>
      <c r="F908">
        <v>5</v>
      </c>
      <c r="G908">
        <f t="shared" si="135"/>
        <v>0</v>
      </c>
      <c r="H908">
        <f t="shared" si="135"/>
        <v>0</v>
      </c>
      <c r="I908">
        <f t="shared" si="135"/>
        <v>0</v>
      </c>
      <c r="J908">
        <f t="shared" si="135"/>
        <v>0</v>
      </c>
      <c r="K908">
        <f t="shared" si="135"/>
        <v>0</v>
      </c>
      <c r="L908">
        <f t="shared" si="135"/>
        <v>1</v>
      </c>
      <c r="M908">
        <f t="shared" si="136"/>
        <v>1</v>
      </c>
      <c r="N908">
        <f t="shared" si="136"/>
        <v>0</v>
      </c>
      <c r="O908">
        <f t="shared" si="136"/>
        <v>0</v>
      </c>
    </row>
    <row r="909" spans="1:15" x14ac:dyDescent="0.3">
      <c r="A909">
        <v>1</v>
      </c>
      <c r="B909">
        <v>2016</v>
      </c>
      <c r="C909">
        <v>1119</v>
      </c>
      <c r="D909">
        <v>200</v>
      </c>
      <c r="E909">
        <v>204</v>
      </c>
      <c r="F909">
        <v>16.5</v>
      </c>
      <c r="G909">
        <f t="shared" si="135"/>
        <v>0</v>
      </c>
      <c r="H909">
        <f t="shared" si="135"/>
        <v>0</v>
      </c>
      <c r="I909">
        <f t="shared" si="135"/>
        <v>0</v>
      </c>
      <c r="J909">
        <f t="shared" si="135"/>
        <v>0</v>
      </c>
      <c r="K909">
        <f t="shared" si="135"/>
        <v>1</v>
      </c>
      <c r="L909">
        <f t="shared" si="135"/>
        <v>0</v>
      </c>
      <c r="M909">
        <f t="shared" si="136"/>
        <v>1</v>
      </c>
      <c r="N909">
        <f t="shared" si="136"/>
        <v>0</v>
      </c>
      <c r="O909">
        <f t="shared" si="136"/>
        <v>0</v>
      </c>
    </row>
    <row r="910" spans="1:15" x14ac:dyDescent="0.3">
      <c r="A910">
        <v>1</v>
      </c>
      <c r="B910">
        <v>2017</v>
      </c>
      <c r="C910">
        <v>1117</v>
      </c>
      <c r="D910">
        <v>200</v>
      </c>
      <c r="E910">
        <v>37</v>
      </c>
      <c r="F910">
        <v>2.5</v>
      </c>
      <c r="G910">
        <f t="shared" si="135"/>
        <v>0</v>
      </c>
      <c r="H910">
        <f t="shared" si="135"/>
        <v>0</v>
      </c>
      <c r="I910">
        <f t="shared" si="135"/>
        <v>0</v>
      </c>
      <c r="J910">
        <f t="shared" si="135"/>
        <v>0</v>
      </c>
      <c r="K910">
        <f t="shared" si="135"/>
        <v>0</v>
      </c>
      <c r="L910">
        <f t="shared" si="135"/>
        <v>1</v>
      </c>
      <c r="M910">
        <f t="shared" si="136"/>
        <v>1</v>
      </c>
      <c r="N910">
        <f t="shared" si="136"/>
        <v>0</v>
      </c>
      <c r="O910">
        <f t="shared" si="136"/>
        <v>0</v>
      </c>
    </row>
    <row r="911" spans="1:15" x14ac:dyDescent="0.3">
      <c r="A911">
        <v>2</v>
      </c>
      <c r="B911">
        <v>2013</v>
      </c>
      <c r="C911">
        <v>1116</v>
      </c>
      <c r="D911">
        <v>50</v>
      </c>
      <c r="E911">
        <v>51</v>
      </c>
      <c r="F911">
        <v>7.5</v>
      </c>
      <c r="G911">
        <f t="shared" si="135"/>
        <v>0</v>
      </c>
      <c r="H911">
        <f t="shared" si="135"/>
        <v>1</v>
      </c>
      <c r="I911">
        <f t="shared" si="135"/>
        <v>0</v>
      </c>
      <c r="J911">
        <f t="shared" si="135"/>
        <v>0</v>
      </c>
      <c r="K911">
        <f t="shared" si="135"/>
        <v>0</v>
      </c>
      <c r="L911">
        <f t="shared" si="135"/>
        <v>0</v>
      </c>
      <c r="M911">
        <f t="shared" si="136"/>
        <v>0</v>
      </c>
      <c r="N911">
        <f t="shared" si="136"/>
        <v>1</v>
      </c>
      <c r="O911">
        <f t="shared" si="136"/>
        <v>0</v>
      </c>
    </row>
    <row r="912" spans="1:15" x14ac:dyDescent="0.3">
      <c r="A912">
        <v>4</v>
      </c>
      <c r="B912">
        <v>2017</v>
      </c>
      <c r="C912">
        <v>1114</v>
      </c>
      <c r="D912">
        <v>50</v>
      </c>
      <c r="E912">
        <v>23</v>
      </c>
      <c r="F912">
        <v>3</v>
      </c>
      <c r="G912">
        <f t="shared" ref="G912:L921" si="137">IF($B912=G$1,1,0)</f>
        <v>0</v>
      </c>
      <c r="H912">
        <f t="shared" si="137"/>
        <v>0</v>
      </c>
      <c r="I912">
        <f t="shared" si="137"/>
        <v>0</v>
      </c>
      <c r="J912">
        <f t="shared" si="137"/>
        <v>0</v>
      </c>
      <c r="K912">
        <f t="shared" si="137"/>
        <v>0</v>
      </c>
      <c r="L912">
        <f t="shared" si="137"/>
        <v>1</v>
      </c>
      <c r="M912">
        <f t="shared" si="136"/>
        <v>0</v>
      </c>
      <c r="N912">
        <f t="shared" si="136"/>
        <v>0</v>
      </c>
      <c r="O912">
        <f t="shared" si="136"/>
        <v>1</v>
      </c>
    </row>
    <row r="913" spans="1:15" x14ac:dyDescent="0.3">
      <c r="A913">
        <v>4</v>
      </c>
      <c r="B913">
        <v>2016</v>
      </c>
      <c r="C913">
        <v>1109</v>
      </c>
      <c r="D913">
        <v>200</v>
      </c>
      <c r="E913">
        <v>24</v>
      </c>
      <c r="F913">
        <v>2.5</v>
      </c>
      <c r="G913">
        <f t="shared" si="137"/>
        <v>0</v>
      </c>
      <c r="H913">
        <f t="shared" si="137"/>
        <v>0</v>
      </c>
      <c r="I913">
        <f t="shared" si="137"/>
        <v>0</v>
      </c>
      <c r="J913">
        <f t="shared" si="137"/>
        <v>0</v>
      </c>
      <c r="K913">
        <f t="shared" si="137"/>
        <v>1</v>
      </c>
      <c r="L913">
        <f t="shared" si="137"/>
        <v>0</v>
      </c>
      <c r="M913">
        <f t="shared" si="136"/>
        <v>0</v>
      </c>
      <c r="N913">
        <f t="shared" si="136"/>
        <v>0</v>
      </c>
      <c r="O913">
        <f t="shared" si="136"/>
        <v>1</v>
      </c>
    </row>
    <row r="914" spans="1:15" x14ac:dyDescent="0.3">
      <c r="A914">
        <v>4</v>
      </c>
      <c r="B914">
        <v>2016</v>
      </c>
      <c r="C914">
        <v>1102</v>
      </c>
      <c r="D914">
        <v>195</v>
      </c>
      <c r="E914">
        <v>21</v>
      </c>
      <c r="F914">
        <v>2</v>
      </c>
      <c r="G914">
        <f t="shared" si="137"/>
        <v>0</v>
      </c>
      <c r="H914">
        <f t="shared" si="137"/>
        <v>0</v>
      </c>
      <c r="I914">
        <f t="shared" si="137"/>
        <v>0</v>
      </c>
      <c r="J914">
        <f t="shared" si="137"/>
        <v>0</v>
      </c>
      <c r="K914">
        <f t="shared" si="137"/>
        <v>1</v>
      </c>
      <c r="L914">
        <f t="shared" si="137"/>
        <v>0</v>
      </c>
      <c r="M914">
        <f t="shared" si="136"/>
        <v>0</v>
      </c>
      <c r="N914">
        <f t="shared" si="136"/>
        <v>0</v>
      </c>
      <c r="O914">
        <f t="shared" si="136"/>
        <v>1</v>
      </c>
    </row>
    <row r="915" spans="1:15" x14ac:dyDescent="0.3">
      <c r="A915">
        <v>1</v>
      </c>
      <c r="B915">
        <v>2015</v>
      </c>
      <c r="C915">
        <v>1098</v>
      </c>
      <c r="D915">
        <v>20</v>
      </c>
      <c r="E915">
        <v>54</v>
      </c>
      <c r="F915">
        <v>2.5</v>
      </c>
      <c r="G915">
        <f t="shared" si="137"/>
        <v>0</v>
      </c>
      <c r="H915">
        <f t="shared" si="137"/>
        <v>0</v>
      </c>
      <c r="I915">
        <f t="shared" si="137"/>
        <v>0</v>
      </c>
      <c r="J915">
        <f t="shared" si="137"/>
        <v>1</v>
      </c>
      <c r="K915">
        <f t="shared" si="137"/>
        <v>0</v>
      </c>
      <c r="L915">
        <f t="shared" si="137"/>
        <v>0</v>
      </c>
      <c r="M915">
        <f t="shared" si="136"/>
        <v>1</v>
      </c>
      <c r="N915">
        <f t="shared" si="136"/>
        <v>0</v>
      </c>
      <c r="O915">
        <f t="shared" si="136"/>
        <v>0</v>
      </c>
    </row>
    <row r="916" spans="1:15" x14ac:dyDescent="0.3">
      <c r="A916">
        <v>1</v>
      </c>
      <c r="B916">
        <v>2013</v>
      </c>
      <c r="C916">
        <v>1096</v>
      </c>
      <c r="D916">
        <v>50</v>
      </c>
      <c r="E916">
        <v>10</v>
      </c>
      <c r="F916">
        <v>1</v>
      </c>
      <c r="G916">
        <f t="shared" si="137"/>
        <v>0</v>
      </c>
      <c r="H916">
        <f t="shared" si="137"/>
        <v>1</v>
      </c>
      <c r="I916">
        <f t="shared" si="137"/>
        <v>0</v>
      </c>
      <c r="J916">
        <f t="shared" si="137"/>
        <v>0</v>
      </c>
      <c r="K916">
        <f t="shared" si="137"/>
        <v>0</v>
      </c>
      <c r="L916">
        <f t="shared" si="137"/>
        <v>0</v>
      </c>
      <c r="M916">
        <f t="shared" si="136"/>
        <v>1</v>
      </c>
      <c r="N916">
        <f t="shared" si="136"/>
        <v>0</v>
      </c>
      <c r="O916">
        <f t="shared" si="136"/>
        <v>0</v>
      </c>
    </row>
    <row r="917" spans="1:15" x14ac:dyDescent="0.3">
      <c r="A917">
        <v>4</v>
      </c>
      <c r="B917">
        <v>2017</v>
      </c>
      <c r="C917">
        <v>1096</v>
      </c>
      <c r="D917">
        <v>85</v>
      </c>
      <c r="E917">
        <v>7</v>
      </c>
      <c r="F917">
        <v>0.63333333000000003</v>
      </c>
      <c r="G917">
        <f t="shared" si="137"/>
        <v>0</v>
      </c>
      <c r="H917">
        <f t="shared" si="137"/>
        <v>0</v>
      </c>
      <c r="I917">
        <f t="shared" si="137"/>
        <v>0</v>
      </c>
      <c r="J917">
        <f t="shared" si="137"/>
        <v>0</v>
      </c>
      <c r="K917">
        <f t="shared" si="137"/>
        <v>0</v>
      </c>
      <c r="L917">
        <f t="shared" si="137"/>
        <v>1</v>
      </c>
      <c r="M917">
        <f t="shared" si="136"/>
        <v>0</v>
      </c>
      <c r="N917">
        <f t="shared" si="136"/>
        <v>0</v>
      </c>
      <c r="O917">
        <f t="shared" si="136"/>
        <v>1</v>
      </c>
    </row>
    <row r="918" spans="1:15" x14ac:dyDescent="0.3">
      <c r="A918">
        <v>4</v>
      </c>
      <c r="B918">
        <v>2016</v>
      </c>
      <c r="C918">
        <v>1087</v>
      </c>
      <c r="D918">
        <v>95</v>
      </c>
      <c r="E918">
        <v>32</v>
      </c>
      <c r="F918">
        <v>3.5</v>
      </c>
      <c r="G918">
        <f t="shared" si="137"/>
        <v>0</v>
      </c>
      <c r="H918">
        <f t="shared" si="137"/>
        <v>0</v>
      </c>
      <c r="I918">
        <f t="shared" si="137"/>
        <v>0</v>
      </c>
      <c r="J918">
        <f t="shared" si="137"/>
        <v>0</v>
      </c>
      <c r="K918">
        <f t="shared" si="137"/>
        <v>1</v>
      </c>
      <c r="L918">
        <f t="shared" si="137"/>
        <v>0</v>
      </c>
      <c r="M918">
        <f t="shared" si="136"/>
        <v>0</v>
      </c>
      <c r="N918">
        <f t="shared" si="136"/>
        <v>0</v>
      </c>
      <c r="O918">
        <f t="shared" si="136"/>
        <v>1</v>
      </c>
    </row>
    <row r="919" spans="1:15" x14ac:dyDescent="0.3">
      <c r="A919">
        <v>4</v>
      </c>
      <c r="B919">
        <v>2015</v>
      </c>
      <c r="C919">
        <v>1087</v>
      </c>
      <c r="D919">
        <v>25</v>
      </c>
      <c r="E919">
        <v>24</v>
      </c>
      <c r="F919">
        <v>1</v>
      </c>
      <c r="G919">
        <f t="shared" si="137"/>
        <v>0</v>
      </c>
      <c r="H919">
        <f t="shared" si="137"/>
        <v>0</v>
      </c>
      <c r="I919">
        <f t="shared" si="137"/>
        <v>0</v>
      </c>
      <c r="J919">
        <f t="shared" si="137"/>
        <v>1</v>
      </c>
      <c r="K919">
        <f t="shared" si="137"/>
        <v>0</v>
      </c>
      <c r="L919">
        <f t="shared" si="137"/>
        <v>0</v>
      </c>
      <c r="M919">
        <f t="shared" si="136"/>
        <v>0</v>
      </c>
      <c r="N919">
        <f t="shared" si="136"/>
        <v>0</v>
      </c>
      <c r="O919">
        <f t="shared" si="136"/>
        <v>1</v>
      </c>
    </row>
    <row r="920" spans="1:15" x14ac:dyDescent="0.3">
      <c r="A920">
        <v>4</v>
      </c>
      <c r="B920">
        <v>2016</v>
      </c>
      <c r="C920">
        <v>1085</v>
      </c>
      <c r="D920">
        <v>30</v>
      </c>
      <c r="E920">
        <v>13</v>
      </c>
      <c r="F920">
        <v>0.53333333000000005</v>
      </c>
      <c r="G920">
        <f t="shared" si="137"/>
        <v>0</v>
      </c>
      <c r="H920">
        <f t="shared" si="137"/>
        <v>0</v>
      </c>
      <c r="I920">
        <f t="shared" si="137"/>
        <v>0</v>
      </c>
      <c r="J920">
        <f t="shared" si="137"/>
        <v>0</v>
      </c>
      <c r="K920">
        <f t="shared" si="137"/>
        <v>1</v>
      </c>
      <c r="L920">
        <f t="shared" si="137"/>
        <v>0</v>
      </c>
      <c r="M920">
        <f t="shared" si="136"/>
        <v>0</v>
      </c>
      <c r="N920">
        <f t="shared" si="136"/>
        <v>0</v>
      </c>
      <c r="O920">
        <f t="shared" si="136"/>
        <v>1</v>
      </c>
    </row>
    <row r="921" spans="1:15" x14ac:dyDescent="0.3">
      <c r="A921">
        <v>1</v>
      </c>
      <c r="B921">
        <v>2016</v>
      </c>
      <c r="C921">
        <v>1080</v>
      </c>
      <c r="D921">
        <v>200</v>
      </c>
      <c r="E921">
        <v>76</v>
      </c>
      <c r="F921">
        <v>3.5</v>
      </c>
      <c r="G921">
        <f t="shared" si="137"/>
        <v>0</v>
      </c>
      <c r="H921">
        <f t="shared" si="137"/>
        <v>0</v>
      </c>
      <c r="I921">
        <f t="shared" si="137"/>
        <v>0</v>
      </c>
      <c r="J921">
        <f t="shared" si="137"/>
        <v>0</v>
      </c>
      <c r="K921">
        <f t="shared" si="137"/>
        <v>1</v>
      </c>
      <c r="L921">
        <f t="shared" si="137"/>
        <v>0</v>
      </c>
      <c r="M921">
        <f t="shared" si="136"/>
        <v>1</v>
      </c>
      <c r="N921">
        <f t="shared" si="136"/>
        <v>0</v>
      </c>
      <c r="O921">
        <f t="shared" si="136"/>
        <v>0</v>
      </c>
    </row>
    <row r="922" spans="1:15" x14ac:dyDescent="0.3">
      <c r="A922">
        <v>1</v>
      </c>
      <c r="B922">
        <v>2016</v>
      </c>
      <c r="C922">
        <v>1069</v>
      </c>
      <c r="D922">
        <v>200</v>
      </c>
      <c r="E922">
        <v>61</v>
      </c>
      <c r="F922">
        <v>4.5</v>
      </c>
      <c r="G922">
        <f t="shared" ref="G922:L931" si="138">IF($B922=G$1,1,0)</f>
        <v>0</v>
      </c>
      <c r="H922">
        <f t="shared" si="138"/>
        <v>0</v>
      </c>
      <c r="I922">
        <f t="shared" si="138"/>
        <v>0</v>
      </c>
      <c r="J922">
        <f t="shared" si="138"/>
        <v>0</v>
      </c>
      <c r="K922">
        <f t="shared" si="138"/>
        <v>1</v>
      </c>
      <c r="L922">
        <f t="shared" si="138"/>
        <v>0</v>
      </c>
      <c r="M922">
        <f t="shared" ref="M922:O941" si="139">IF($A922=M$1,1,0)</f>
        <v>1</v>
      </c>
      <c r="N922">
        <f t="shared" si="139"/>
        <v>0</v>
      </c>
      <c r="O922">
        <f t="shared" si="139"/>
        <v>0</v>
      </c>
    </row>
    <row r="923" spans="1:15" x14ac:dyDescent="0.3">
      <c r="A923">
        <v>4</v>
      </c>
      <c r="B923">
        <v>2015</v>
      </c>
      <c r="C923">
        <v>1063</v>
      </c>
      <c r="D923">
        <v>20</v>
      </c>
      <c r="E923">
        <v>84</v>
      </c>
      <c r="F923">
        <v>5.5</v>
      </c>
      <c r="G923">
        <f t="shared" si="138"/>
        <v>0</v>
      </c>
      <c r="H923">
        <f t="shared" si="138"/>
        <v>0</v>
      </c>
      <c r="I923">
        <f t="shared" si="138"/>
        <v>0</v>
      </c>
      <c r="J923">
        <f t="shared" si="138"/>
        <v>1</v>
      </c>
      <c r="K923">
        <f t="shared" si="138"/>
        <v>0</v>
      </c>
      <c r="L923">
        <f t="shared" si="138"/>
        <v>0</v>
      </c>
      <c r="M923">
        <f t="shared" si="139"/>
        <v>0</v>
      </c>
      <c r="N923">
        <f t="shared" si="139"/>
        <v>0</v>
      </c>
      <c r="O923">
        <f t="shared" si="139"/>
        <v>1</v>
      </c>
    </row>
    <row r="924" spans="1:15" x14ac:dyDescent="0.3">
      <c r="A924">
        <v>1</v>
      </c>
      <c r="B924">
        <v>2014</v>
      </c>
      <c r="C924">
        <v>1063</v>
      </c>
      <c r="D924">
        <v>85</v>
      </c>
      <c r="E924">
        <v>40</v>
      </c>
      <c r="F924">
        <v>3.5</v>
      </c>
      <c r="G924">
        <f t="shared" si="138"/>
        <v>0</v>
      </c>
      <c r="H924">
        <f t="shared" si="138"/>
        <v>0</v>
      </c>
      <c r="I924">
        <f t="shared" si="138"/>
        <v>1</v>
      </c>
      <c r="J924">
        <f t="shared" si="138"/>
        <v>0</v>
      </c>
      <c r="K924">
        <f t="shared" si="138"/>
        <v>0</v>
      </c>
      <c r="L924">
        <f t="shared" si="138"/>
        <v>0</v>
      </c>
      <c r="M924">
        <f t="shared" si="139"/>
        <v>1</v>
      </c>
      <c r="N924">
        <f t="shared" si="139"/>
        <v>0</v>
      </c>
      <c r="O924">
        <f t="shared" si="139"/>
        <v>0</v>
      </c>
    </row>
    <row r="925" spans="1:15" x14ac:dyDescent="0.3">
      <c r="A925">
        <v>1</v>
      </c>
      <c r="B925">
        <v>2015</v>
      </c>
      <c r="C925">
        <v>1062</v>
      </c>
      <c r="D925">
        <v>20</v>
      </c>
      <c r="E925">
        <v>32</v>
      </c>
      <c r="F925">
        <v>3.5</v>
      </c>
      <c r="G925">
        <f t="shared" si="138"/>
        <v>0</v>
      </c>
      <c r="H925">
        <f t="shared" si="138"/>
        <v>0</v>
      </c>
      <c r="I925">
        <f t="shared" si="138"/>
        <v>0</v>
      </c>
      <c r="J925">
        <f t="shared" si="138"/>
        <v>1</v>
      </c>
      <c r="K925">
        <f t="shared" si="138"/>
        <v>0</v>
      </c>
      <c r="L925">
        <f t="shared" si="138"/>
        <v>0</v>
      </c>
      <c r="M925">
        <f t="shared" si="139"/>
        <v>1</v>
      </c>
      <c r="N925">
        <f t="shared" si="139"/>
        <v>0</v>
      </c>
      <c r="O925">
        <f t="shared" si="139"/>
        <v>0</v>
      </c>
    </row>
    <row r="926" spans="1:15" x14ac:dyDescent="0.3">
      <c r="A926">
        <v>2</v>
      </c>
      <c r="B926">
        <v>2016</v>
      </c>
      <c r="C926">
        <v>1062</v>
      </c>
      <c r="D926">
        <v>40</v>
      </c>
      <c r="E926">
        <v>11</v>
      </c>
      <c r="F926">
        <v>0.65</v>
      </c>
      <c r="G926">
        <f t="shared" si="138"/>
        <v>0</v>
      </c>
      <c r="H926">
        <f t="shared" si="138"/>
        <v>0</v>
      </c>
      <c r="I926">
        <f t="shared" si="138"/>
        <v>0</v>
      </c>
      <c r="J926">
        <f t="shared" si="138"/>
        <v>0</v>
      </c>
      <c r="K926">
        <f t="shared" si="138"/>
        <v>1</v>
      </c>
      <c r="L926">
        <f t="shared" si="138"/>
        <v>0</v>
      </c>
      <c r="M926">
        <f t="shared" si="139"/>
        <v>0</v>
      </c>
      <c r="N926">
        <f t="shared" si="139"/>
        <v>1</v>
      </c>
      <c r="O926">
        <f t="shared" si="139"/>
        <v>0</v>
      </c>
    </row>
    <row r="927" spans="1:15" x14ac:dyDescent="0.3">
      <c r="A927">
        <v>2</v>
      </c>
      <c r="B927">
        <v>2015</v>
      </c>
      <c r="C927">
        <v>1061</v>
      </c>
      <c r="D927">
        <v>35</v>
      </c>
      <c r="E927">
        <v>17</v>
      </c>
      <c r="F927">
        <v>1</v>
      </c>
      <c r="G927">
        <f t="shared" si="138"/>
        <v>0</v>
      </c>
      <c r="H927">
        <f t="shared" si="138"/>
        <v>0</v>
      </c>
      <c r="I927">
        <f t="shared" si="138"/>
        <v>0</v>
      </c>
      <c r="J927">
        <f t="shared" si="138"/>
        <v>1</v>
      </c>
      <c r="K927">
        <f t="shared" si="138"/>
        <v>0</v>
      </c>
      <c r="L927">
        <f t="shared" si="138"/>
        <v>0</v>
      </c>
      <c r="M927">
        <f t="shared" si="139"/>
        <v>0</v>
      </c>
      <c r="N927">
        <f t="shared" si="139"/>
        <v>1</v>
      </c>
      <c r="O927">
        <f t="shared" si="139"/>
        <v>0</v>
      </c>
    </row>
    <row r="928" spans="1:15" x14ac:dyDescent="0.3">
      <c r="A928">
        <v>1</v>
      </c>
      <c r="B928">
        <v>2016</v>
      </c>
      <c r="C928">
        <v>1057</v>
      </c>
      <c r="D928">
        <v>30</v>
      </c>
      <c r="E928">
        <v>12</v>
      </c>
      <c r="F928">
        <v>0.61666666999999997</v>
      </c>
      <c r="G928">
        <f t="shared" si="138"/>
        <v>0</v>
      </c>
      <c r="H928">
        <f t="shared" si="138"/>
        <v>0</v>
      </c>
      <c r="I928">
        <f t="shared" si="138"/>
        <v>0</v>
      </c>
      <c r="J928">
        <f t="shared" si="138"/>
        <v>0</v>
      </c>
      <c r="K928">
        <f t="shared" si="138"/>
        <v>1</v>
      </c>
      <c r="L928">
        <f t="shared" si="138"/>
        <v>0</v>
      </c>
      <c r="M928">
        <f t="shared" si="139"/>
        <v>1</v>
      </c>
      <c r="N928">
        <f t="shared" si="139"/>
        <v>0</v>
      </c>
      <c r="O928">
        <f t="shared" si="139"/>
        <v>0</v>
      </c>
    </row>
    <row r="929" spans="1:15" x14ac:dyDescent="0.3">
      <c r="A929">
        <v>4</v>
      </c>
      <c r="B929">
        <v>2014</v>
      </c>
      <c r="C929">
        <v>1054</v>
      </c>
      <c r="D929">
        <v>35</v>
      </c>
      <c r="E929">
        <v>26</v>
      </c>
      <c r="F929">
        <v>2</v>
      </c>
      <c r="G929">
        <f t="shared" si="138"/>
        <v>0</v>
      </c>
      <c r="H929">
        <f t="shared" si="138"/>
        <v>0</v>
      </c>
      <c r="I929">
        <f t="shared" si="138"/>
        <v>1</v>
      </c>
      <c r="J929">
        <f t="shared" si="138"/>
        <v>0</v>
      </c>
      <c r="K929">
        <f t="shared" si="138"/>
        <v>0</v>
      </c>
      <c r="L929">
        <f t="shared" si="138"/>
        <v>0</v>
      </c>
      <c r="M929">
        <f t="shared" si="139"/>
        <v>0</v>
      </c>
      <c r="N929">
        <f t="shared" si="139"/>
        <v>0</v>
      </c>
      <c r="O929">
        <f t="shared" si="139"/>
        <v>1</v>
      </c>
    </row>
    <row r="930" spans="1:15" x14ac:dyDescent="0.3">
      <c r="A930">
        <v>4</v>
      </c>
      <c r="B930">
        <v>2017</v>
      </c>
      <c r="C930">
        <v>1052</v>
      </c>
      <c r="D930">
        <v>20</v>
      </c>
      <c r="E930">
        <v>47</v>
      </c>
      <c r="F930">
        <v>8</v>
      </c>
      <c r="G930">
        <f t="shared" si="138"/>
        <v>0</v>
      </c>
      <c r="H930">
        <f t="shared" si="138"/>
        <v>0</v>
      </c>
      <c r="I930">
        <f t="shared" si="138"/>
        <v>0</v>
      </c>
      <c r="J930">
        <f t="shared" si="138"/>
        <v>0</v>
      </c>
      <c r="K930">
        <f t="shared" si="138"/>
        <v>0</v>
      </c>
      <c r="L930">
        <f t="shared" si="138"/>
        <v>1</v>
      </c>
      <c r="M930">
        <f t="shared" si="139"/>
        <v>0</v>
      </c>
      <c r="N930">
        <f t="shared" si="139"/>
        <v>0</v>
      </c>
      <c r="O930">
        <f t="shared" si="139"/>
        <v>1</v>
      </c>
    </row>
    <row r="931" spans="1:15" x14ac:dyDescent="0.3">
      <c r="A931">
        <v>1</v>
      </c>
      <c r="B931">
        <v>2016</v>
      </c>
      <c r="C931">
        <v>1050</v>
      </c>
      <c r="D931">
        <v>150</v>
      </c>
      <c r="E931">
        <v>64</v>
      </c>
      <c r="F931">
        <v>6.5</v>
      </c>
      <c r="G931">
        <f t="shared" si="138"/>
        <v>0</v>
      </c>
      <c r="H931">
        <f t="shared" si="138"/>
        <v>0</v>
      </c>
      <c r="I931">
        <f t="shared" si="138"/>
        <v>0</v>
      </c>
      <c r="J931">
        <f t="shared" si="138"/>
        <v>0</v>
      </c>
      <c r="K931">
        <f t="shared" si="138"/>
        <v>1</v>
      </c>
      <c r="L931">
        <f t="shared" si="138"/>
        <v>0</v>
      </c>
      <c r="M931">
        <f t="shared" si="139"/>
        <v>1</v>
      </c>
      <c r="N931">
        <f t="shared" si="139"/>
        <v>0</v>
      </c>
      <c r="O931">
        <f t="shared" si="139"/>
        <v>0</v>
      </c>
    </row>
    <row r="932" spans="1:15" x14ac:dyDescent="0.3">
      <c r="A932">
        <v>1</v>
      </c>
      <c r="B932">
        <v>2016</v>
      </c>
      <c r="C932">
        <v>1049</v>
      </c>
      <c r="D932">
        <v>35</v>
      </c>
      <c r="E932">
        <v>47</v>
      </c>
      <c r="F932">
        <v>3.5</v>
      </c>
      <c r="G932">
        <f t="shared" ref="G932:L941" si="140">IF($B932=G$1,1,0)</f>
        <v>0</v>
      </c>
      <c r="H932">
        <f t="shared" si="140"/>
        <v>0</v>
      </c>
      <c r="I932">
        <f t="shared" si="140"/>
        <v>0</v>
      </c>
      <c r="J932">
        <f t="shared" si="140"/>
        <v>0</v>
      </c>
      <c r="K932">
        <f t="shared" si="140"/>
        <v>1</v>
      </c>
      <c r="L932">
        <f t="shared" si="140"/>
        <v>0</v>
      </c>
      <c r="M932">
        <f t="shared" si="139"/>
        <v>1</v>
      </c>
      <c r="N932">
        <f t="shared" si="139"/>
        <v>0</v>
      </c>
      <c r="O932">
        <f t="shared" si="139"/>
        <v>0</v>
      </c>
    </row>
    <row r="933" spans="1:15" x14ac:dyDescent="0.3">
      <c r="A933">
        <v>1</v>
      </c>
      <c r="B933">
        <v>2017</v>
      </c>
      <c r="C933">
        <v>1040</v>
      </c>
      <c r="D933">
        <v>195</v>
      </c>
      <c r="E933">
        <v>30</v>
      </c>
      <c r="F933">
        <v>3.5</v>
      </c>
      <c r="G933">
        <f t="shared" si="140"/>
        <v>0</v>
      </c>
      <c r="H933">
        <f t="shared" si="140"/>
        <v>0</v>
      </c>
      <c r="I933">
        <f t="shared" si="140"/>
        <v>0</v>
      </c>
      <c r="J933">
        <f t="shared" si="140"/>
        <v>0</v>
      </c>
      <c r="K933">
        <f t="shared" si="140"/>
        <v>0</v>
      </c>
      <c r="L933">
        <f t="shared" si="140"/>
        <v>1</v>
      </c>
      <c r="M933">
        <f t="shared" si="139"/>
        <v>1</v>
      </c>
      <c r="N933">
        <f t="shared" si="139"/>
        <v>0</v>
      </c>
      <c r="O933">
        <f t="shared" si="139"/>
        <v>0</v>
      </c>
    </row>
    <row r="934" spans="1:15" x14ac:dyDescent="0.3">
      <c r="A934">
        <v>1</v>
      </c>
      <c r="B934">
        <v>2016</v>
      </c>
      <c r="C934">
        <v>1040</v>
      </c>
      <c r="D934">
        <v>100</v>
      </c>
      <c r="E934">
        <v>21</v>
      </c>
      <c r="F934">
        <v>2</v>
      </c>
      <c r="G934">
        <f t="shared" si="140"/>
        <v>0</v>
      </c>
      <c r="H934">
        <f t="shared" si="140"/>
        <v>0</v>
      </c>
      <c r="I934">
        <f t="shared" si="140"/>
        <v>0</v>
      </c>
      <c r="J934">
        <f t="shared" si="140"/>
        <v>0</v>
      </c>
      <c r="K934">
        <f t="shared" si="140"/>
        <v>1</v>
      </c>
      <c r="L934">
        <f t="shared" si="140"/>
        <v>0</v>
      </c>
      <c r="M934">
        <f t="shared" si="139"/>
        <v>1</v>
      </c>
      <c r="N934">
        <f t="shared" si="139"/>
        <v>0</v>
      </c>
      <c r="O934">
        <f t="shared" si="139"/>
        <v>0</v>
      </c>
    </row>
    <row r="935" spans="1:15" x14ac:dyDescent="0.3">
      <c r="A935">
        <v>1</v>
      </c>
      <c r="B935">
        <v>2016</v>
      </c>
      <c r="C935">
        <v>1036</v>
      </c>
      <c r="D935">
        <v>20</v>
      </c>
      <c r="E935">
        <v>20</v>
      </c>
      <c r="F935">
        <v>2</v>
      </c>
      <c r="G935">
        <f t="shared" si="140"/>
        <v>0</v>
      </c>
      <c r="H935">
        <f t="shared" si="140"/>
        <v>0</v>
      </c>
      <c r="I935">
        <f t="shared" si="140"/>
        <v>0</v>
      </c>
      <c r="J935">
        <f t="shared" si="140"/>
        <v>0</v>
      </c>
      <c r="K935">
        <f t="shared" si="140"/>
        <v>1</v>
      </c>
      <c r="L935">
        <f t="shared" si="140"/>
        <v>0</v>
      </c>
      <c r="M935">
        <f t="shared" si="139"/>
        <v>1</v>
      </c>
      <c r="N935">
        <f t="shared" si="139"/>
        <v>0</v>
      </c>
      <c r="O935">
        <f t="shared" si="139"/>
        <v>0</v>
      </c>
    </row>
    <row r="936" spans="1:15" x14ac:dyDescent="0.3">
      <c r="A936">
        <v>4</v>
      </c>
      <c r="B936">
        <v>2016</v>
      </c>
      <c r="C936">
        <v>1033</v>
      </c>
      <c r="D936">
        <v>30</v>
      </c>
      <c r="E936">
        <v>42</v>
      </c>
      <c r="F936">
        <v>7.5</v>
      </c>
      <c r="G936">
        <f t="shared" si="140"/>
        <v>0</v>
      </c>
      <c r="H936">
        <f t="shared" si="140"/>
        <v>0</v>
      </c>
      <c r="I936">
        <f t="shared" si="140"/>
        <v>0</v>
      </c>
      <c r="J936">
        <f t="shared" si="140"/>
        <v>0</v>
      </c>
      <c r="K936">
        <f t="shared" si="140"/>
        <v>1</v>
      </c>
      <c r="L936">
        <f t="shared" si="140"/>
        <v>0</v>
      </c>
      <c r="M936">
        <f t="shared" si="139"/>
        <v>0</v>
      </c>
      <c r="N936">
        <f t="shared" si="139"/>
        <v>0</v>
      </c>
      <c r="O936">
        <f t="shared" si="139"/>
        <v>1</v>
      </c>
    </row>
    <row r="937" spans="1:15" x14ac:dyDescent="0.3">
      <c r="A937">
        <v>1</v>
      </c>
      <c r="B937">
        <v>2016</v>
      </c>
      <c r="C937">
        <v>1032</v>
      </c>
      <c r="D937">
        <v>100</v>
      </c>
      <c r="E937">
        <v>21</v>
      </c>
      <c r="F937">
        <v>1</v>
      </c>
      <c r="G937">
        <f t="shared" si="140"/>
        <v>0</v>
      </c>
      <c r="H937">
        <f t="shared" si="140"/>
        <v>0</v>
      </c>
      <c r="I937">
        <f t="shared" si="140"/>
        <v>0</v>
      </c>
      <c r="J937">
        <f t="shared" si="140"/>
        <v>0</v>
      </c>
      <c r="K937">
        <f t="shared" si="140"/>
        <v>1</v>
      </c>
      <c r="L937">
        <f t="shared" si="140"/>
        <v>0</v>
      </c>
      <c r="M937">
        <f t="shared" si="139"/>
        <v>1</v>
      </c>
      <c r="N937">
        <f t="shared" si="139"/>
        <v>0</v>
      </c>
      <c r="O937">
        <f t="shared" si="139"/>
        <v>0</v>
      </c>
    </row>
    <row r="938" spans="1:15" x14ac:dyDescent="0.3">
      <c r="A938">
        <v>1</v>
      </c>
      <c r="B938">
        <v>2017</v>
      </c>
      <c r="C938">
        <v>1030</v>
      </c>
      <c r="D938">
        <v>20</v>
      </c>
      <c r="E938">
        <v>30</v>
      </c>
      <c r="F938">
        <v>2.5</v>
      </c>
      <c r="G938">
        <f t="shared" si="140"/>
        <v>0</v>
      </c>
      <c r="H938">
        <f t="shared" si="140"/>
        <v>0</v>
      </c>
      <c r="I938">
        <f t="shared" si="140"/>
        <v>0</v>
      </c>
      <c r="J938">
        <f t="shared" si="140"/>
        <v>0</v>
      </c>
      <c r="K938">
        <f t="shared" si="140"/>
        <v>0</v>
      </c>
      <c r="L938">
        <f t="shared" si="140"/>
        <v>1</v>
      </c>
      <c r="M938">
        <f t="shared" si="139"/>
        <v>1</v>
      </c>
      <c r="N938">
        <f t="shared" si="139"/>
        <v>0</v>
      </c>
      <c r="O938">
        <f t="shared" si="139"/>
        <v>0</v>
      </c>
    </row>
    <row r="939" spans="1:15" x14ac:dyDescent="0.3">
      <c r="A939">
        <v>4</v>
      </c>
      <c r="B939">
        <v>2016</v>
      </c>
      <c r="C939">
        <v>1024</v>
      </c>
      <c r="D939">
        <v>20</v>
      </c>
      <c r="E939">
        <v>26</v>
      </c>
      <c r="F939">
        <v>3</v>
      </c>
      <c r="G939">
        <f t="shared" si="140"/>
        <v>0</v>
      </c>
      <c r="H939">
        <f t="shared" si="140"/>
        <v>0</v>
      </c>
      <c r="I939">
        <f t="shared" si="140"/>
        <v>0</v>
      </c>
      <c r="J939">
        <f t="shared" si="140"/>
        <v>0</v>
      </c>
      <c r="K939">
        <f t="shared" si="140"/>
        <v>1</v>
      </c>
      <c r="L939">
        <f t="shared" si="140"/>
        <v>0</v>
      </c>
      <c r="M939">
        <f t="shared" si="139"/>
        <v>0</v>
      </c>
      <c r="N939">
        <f t="shared" si="139"/>
        <v>0</v>
      </c>
      <c r="O939">
        <f t="shared" si="139"/>
        <v>1</v>
      </c>
    </row>
    <row r="940" spans="1:15" x14ac:dyDescent="0.3">
      <c r="A940">
        <v>2</v>
      </c>
      <c r="B940">
        <v>2016</v>
      </c>
      <c r="C940">
        <v>1023</v>
      </c>
      <c r="D940">
        <v>100</v>
      </c>
      <c r="E940">
        <v>38</v>
      </c>
      <c r="F940">
        <v>6</v>
      </c>
      <c r="G940">
        <f t="shared" si="140"/>
        <v>0</v>
      </c>
      <c r="H940">
        <f t="shared" si="140"/>
        <v>0</v>
      </c>
      <c r="I940">
        <f t="shared" si="140"/>
        <v>0</v>
      </c>
      <c r="J940">
        <f t="shared" si="140"/>
        <v>0</v>
      </c>
      <c r="K940">
        <f t="shared" si="140"/>
        <v>1</v>
      </c>
      <c r="L940">
        <f t="shared" si="140"/>
        <v>0</v>
      </c>
      <c r="M940">
        <f t="shared" si="139"/>
        <v>0</v>
      </c>
      <c r="N940">
        <f t="shared" si="139"/>
        <v>1</v>
      </c>
      <c r="O940">
        <f t="shared" si="139"/>
        <v>0</v>
      </c>
    </row>
    <row r="941" spans="1:15" x14ac:dyDescent="0.3">
      <c r="A941">
        <v>4</v>
      </c>
      <c r="B941">
        <v>2016</v>
      </c>
      <c r="C941">
        <v>1023</v>
      </c>
      <c r="D941">
        <v>100</v>
      </c>
      <c r="E941">
        <v>44</v>
      </c>
      <c r="F941">
        <v>5</v>
      </c>
      <c r="G941">
        <f t="shared" si="140"/>
        <v>0</v>
      </c>
      <c r="H941">
        <f t="shared" si="140"/>
        <v>0</v>
      </c>
      <c r="I941">
        <f t="shared" si="140"/>
        <v>0</v>
      </c>
      <c r="J941">
        <f t="shared" si="140"/>
        <v>0</v>
      </c>
      <c r="K941">
        <f t="shared" si="140"/>
        <v>1</v>
      </c>
      <c r="L941">
        <f t="shared" si="140"/>
        <v>0</v>
      </c>
      <c r="M941">
        <f t="shared" si="139"/>
        <v>0</v>
      </c>
      <c r="N941">
        <f t="shared" si="139"/>
        <v>0</v>
      </c>
      <c r="O941">
        <f t="shared" si="139"/>
        <v>1</v>
      </c>
    </row>
    <row r="942" spans="1:15" x14ac:dyDescent="0.3">
      <c r="A942">
        <v>4</v>
      </c>
      <c r="B942">
        <v>2015</v>
      </c>
      <c r="C942">
        <v>1020</v>
      </c>
      <c r="D942">
        <v>100</v>
      </c>
      <c r="E942">
        <v>60</v>
      </c>
      <c r="F942">
        <v>6</v>
      </c>
      <c r="G942">
        <f t="shared" ref="G942:L951" si="141">IF($B942=G$1,1,0)</f>
        <v>0</v>
      </c>
      <c r="H942">
        <f t="shared" si="141"/>
        <v>0</v>
      </c>
      <c r="I942">
        <f t="shared" si="141"/>
        <v>0</v>
      </c>
      <c r="J942">
        <f t="shared" si="141"/>
        <v>1</v>
      </c>
      <c r="K942">
        <f t="shared" si="141"/>
        <v>0</v>
      </c>
      <c r="L942">
        <f t="shared" si="141"/>
        <v>0</v>
      </c>
      <c r="M942">
        <f t="shared" ref="M942:O961" si="142">IF($A942=M$1,1,0)</f>
        <v>0</v>
      </c>
      <c r="N942">
        <f t="shared" si="142"/>
        <v>0</v>
      </c>
      <c r="O942">
        <f t="shared" si="142"/>
        <v>1</v>
      </c>
    </row>
    <row r="943" spans="1:15" x14ac:dyDescent="0.3">
      <c r="A943">
        <v>4</v>
      </c>
      <c r="B943">
        <v>2016</v>
      </c>
      <c r="C943">
        <v>1018</v>
      </c>
      <c r="D943">
        <v>145</v>
      </c>
      <c r="E943">
        <v>48</v>
      </c>
      <c r="F943">
        <v>4.5</v>
      </c>
      <c r="G943">
        <f t="shared" si="141"/>
        <v>0</v>
      </c>
      <c r="H943">
        <f t="shared" si="141"/>
        <v>0</v>
      </c>
      <c r="I943">
        <f t="shared" si="141"/>
        <v>0</v>
      </c>
      <c r="J943">
        <f t="shared" si="141"/>
        <v>0</v>
      </c>
      <c r="K943">
        <f t="shared" si="141"/>
        <v>1</v>
      </c>
      <c r="L943">
        <f t="shared" si="141"/>
        <v>0</v>
      </c>
      <c r="M943">
        <f t="shared" si="142"/>
        <v>0</v>
      </c>
      <c r="N943">
        <f t="shared" si="142"/>
        <v>0</v>
      </c>
      <c r="O943">
        <f t="shared" si="142"/>
        <v>1</v>
      </c>
    </row>
    <row r="944" spans="1:15" x14ac:dyDescent="0.3">
      <c r="A944">
        <v>4</v>
      </c>
      <c r="B944">
        <v>2015</v>
      </c>
      <c r="C944">
        <v>1018</v>
      </c>
      <c r="D944">
        <v>50</v>
      </c>
      <c r="E944">
        <v>41</v>
      </c>
      <c r="F944">
        <v>3</v>
      </c>
      <c r="G944">
        <f t="shared" si="141"/>
        <v>0</v>
      </c>
      <c r="H944">
        <f t="shared" si="141"/>
        <v>0</v>
      </c>
      <c r="I944">
        <f t="shared" si="141"/>
        <v>0</v>
      </c>
      <c r="J944">
        <f t="shared" si="141"/>
        <v>1</v>
      </c>
      <c r="K944">
        <f t="shared" si="141"/>
        <v>0</v>
      </c>
      <c r="L944">
        <f t="shared" si="141"/>
        <v>0</v>
      </c>
      <c r="M944">
        <f t="shared" si="142"/>
        <v>0</v>
      </c>
      <c r="N944">
        <f t="shared" si="142"/>
        <v>0</v>
      </c>
      <c r="O944">
        <f t="shared" si="142"/>
        <v>1</v>
      </c>
    </row>
    <row r="945" spans="1:15" x14ac:dyDescent="0.3">
      <c r="A945">
        <v>4</v>
      </c>
      <c r="B945">
        <v>2017</v>
      </c>
      <c r="C945">
        <v>1011</v>
      </c>
      <c r="D945">
        <v>25</v>
      </c>
      <c r="E945">
        <v>19</v>
      </c>
      <c r="F945">
        <v>2</v>
      </c>
      <c r="G945">
        <f t="shared" si="141"/>
        <v>0</v>
      </c>
      <c r="H945">
        <f t="shared" si="141"/>
        <v>0</v>
      </c>
      <c r="I945">
        <f t="shared" si="141"/>
        <v>0</v>
      </c>
      <c r="J945">
        <f t="shared" si="141"/>
        <v>0</v>
      </c>
      <c r="K945">
        <f t="shared" si="141"/>
        <v>0</v>
      </c>
      <c r="L945">
        <f t="shared" si="141"/>
        <v>1</v>
      </c>
      <c r="M945">
        <f t="shared" si="142"/>
        <v>0</v>
      </c>
      <c r="N945">
        <f t="shared" si="142"/>
        <v>0</v>
      </c>
      <c r="O945">
        <f t="shared" si="142"/>
        <v>1</v>
      </c>
    </row>
    <row r="946" spans="1:15" x14ac:dyDescent="0.3">
      <c r="A946">
        <v>4</v>
      </c>
      <c r="B946">
        <v>2016</v>
      </c>
      <c r="C946">
        <v>1010</v>
      </c>
      <c r="D946">
        <v>50</v>
      </c>
      <c r="E946">
        <v>25</v>
      </c>
      <c r="F946">
        <v>6</v>
      </c>
      <c r="G946">
        <f t="shared" si="141"/>
        <v>0</v>
      </c>
      <c r="H946">
        <f t="shared" si="141"/>
        <v>0</v>
      </c>
      <c r="I946">
        <f t="shared" si="141"/>
        <v>0</v>
      </c>
      <c r="J946">
        <f t="shared" si="141"/>
        <v>0</v>
      </c>
      <c r="K946">
        <f t="shared" si="141"/>
        <v>1</v>
      </c>
      <c r="L946">
        <f t="shared" si="141"/>
        <v>0</v>
      </c>
      <c r="M946">
        <f t="shared" si="142"/>
        <v>0</v>
      </c>
      <c r="N946">
        <f t="shared" si="142"/>
        <v>0</v>
      </c>
      <c r="O946">
        <f t="shared" si="142"/>
        <v>1</v>
      </c>
    </row>
    <row r="947" spans="1:15" x14ac:dyDescent="0.3">
      <c r="A947">
        <v>1</v>
      </c>
      <c r="B947">
        <v>2016</v>
      </c>
      <c r="C947">
        <v>1007</v>
      </c>
      <c r="D947">
        <v>60</v>
      </c>
      <c r="E947">
        <v>87</v>
      </c>
      <c r="F947">
        <v>17.5</v>
      </c>
      <c r="G947">
        <f t="shared" si="141"/>
        <v>0</v>
      </c>
      <c r="H947">
        <f t="shared" si="141"/>
        <v>0</v>
      </c>
      <c r="I947">
        <f t="shared" si="141"/>
        <v>0</v>
      </c>
      <c r="J947">
        <f t="shared" si="141"/>
        <v>0</v>
      </c>
      <c r="K947">
        <f t="shared" si="141"/>
        <v>1</v>
      </c>
      <c r="L947">
        <f t="shared" si="141"/>
        <v>0</v>
      </c>
      <c r="M947">
        <f t="shared" si="142"/>
        <v>1</v>
      </c>
      <c r="N947">
        <f t="shared" si="142"/>
        <v>0</v>
      </c>
      <c r="O947">
        <f t="shared" si="142"/>
        <v>0</v>
      </c>
    </row>
    <row r="948" spans="1:15" x14ac:dyDescent="0.3">
      <c r="A948">
        <v>4</v>
      </c>
      <c r="B948">
        <v>2017</v>
      </c>
      <c r="C948">
        <v>1006</v>
      </c>
      <c r="D948">
        <v>25</v>
      </c>
      <c r="E948">
        <v>8</v>
      </c>
      <c r="F948">
        <v>2</v>
      </c>
      <c r="G948">
        <f t="shared" si="141"/>
        <v>0</v>
      </c>
      <c r="H948">
        <f t="shared" si="141"/>
        <v>0</v>
      </c>
      <c r="I948">
        <f t="shared" si="141"/>
        <v>0</v>
      </c>
      <c r="J948">
        <f t="shared" si="141"/>
        <v>0</v>
      </c>
      <c r="K948">
        <f t="shared" si="141"/>
        <v>0</v>
      </c>
      <c r="L948">
        <f t="shared" si="141"/>
        <v>1</v>
      </c>
      <c r="M948">
        <f t="shared" si="142"/>
        <v>0</v>
      </c>
      <c r="N948">
        <f t="shared" si="142"/>
        <v>0</v>
      </c>
      <c r="O948">
        <f t="shared" si="142"/>
        <v>1</v>
      </c>
    </row>
    <row r="949" spans="1:15" x14ac:dyDescent="0.3">
      <c r="A949">
        <v>4</v>
      </c>
      <c r="B949">
        <v>2016</v>
      </c>
      <c r="C949">
        <v>1004</v>
      </c>
      <c r="D949">
        <v>20</v>
      </c>
      <c r="E949">
        <v>40</v>
      </c>
      <c r="F949">
        <v>3.5</v>
      </c>
      <c r="G949">
        <f t="shared" si="141"/>
        <v>0</v>
      </c>
      <c r="H949">
        <f t="shared" si="141"/>
        <v>0</v>
      </c>
      <c r="I949">
        <f t="shared" si="141"/>
        <v>0</v>
      </c>
      <c r="J949">
        <f t="shared" si="141"/>
        <v>0</v>
      </c>
      <c r="K949">
        <f t="shared" si="141"/>
        <v>1</v>
      </c>
      <c r="L949">
        <f t="shared" si="141"/>
        <v>0</v>
      </c>
      <c r="M949">
        <f t="shared" si="142"/>
        <v>0</v>
      </c>
      <c r="N949">
        <f t="shared" si="142"/>
        <v>0</v>
      </c>
      <c r="O949">
        <f t="shared" si="142"/>
        <v>1</v>
      </c>
    </row>
    <row r="950" spans="1:15" x14ac:dyDescent="0.3">
      <c r="A950">
        <v>1</v>
      </c>
      <c r="B950">
        <v>2016</v>
      </c>
      <c r="C950">
        <v>1002</v>
      </c>
      <c r="D950">
        <v>50</v>
      </c>
      <c r="E950">
        <v>10</v>
      </c>
      <c r="F950">
        <v>0.56666667000000004</v>
      </c>
      <c r="G950">
        <f t="shared" si="141"/>
        <v>0</v>
      </c>
      <c r="H950">
        <f t="shared" si="141"/>
        <v>0</v>
      </c>
      <c r="I950">
        <f t="shared" si="141"/>
        <v>0</v>
      </c>
      <c r="J950">
        <f t="shared" si="141"/>
        <v>0</v>
      </c>
      <c r="K950">
        <f t="shared" si="141"/>
        <v>1</v>
      </c>
      <c r="L950">
        <f t="shared" si="141"/>
        <v>0</v>
      </c>
      <c r="M950">
        <f t="shared" si="142"/>
        <v>1</v>
      </c>
      <c r="N950">
        <f t="shared" si="142"/>
        <v>0</v>
      </c>
      <c r="O950">
        <f t="shared" si="142"/>
        <v>0</v>
      </c>
    </row>
    <row r="951" spans="1:15" x14ac:dyDescent="0.3">
      <c r="A951">
        <v>1</v>
      </c>
      <c r="B951">
        <v>2016</v>
      </c>
      <c r="C951">
        <v>1002</v>
      </c>
      <c r="D951">
        <v>45</v>
      </c>
      <c r="E951">
        <v>174</v>
      </c>
      <c r="F951">
        <v>16.5</v>
      </c>
      <c r="G951">
        <f t="shared" si="141"/>
        <v>0</v>
      </c>
      <c r="H951">
        <f t="shared" si="141"/>
        <v>0</v>
      </c>
      <c r="I951">
        <f t="shared" si="141"/>
        <v>0</v>
      </c>
      <c r="J951">
        <f t="shared" si="141"/>
        <v>0</v>
      </c>
      <c r="K951">
        <f t="shared" si="141"/>
        <v>1</v>
      </c>
      <c r="L951">
        <f t="shared" si="141"/>
        <v>0</v>
      </c>
      <c r="M951">
        <f t="shared" si="142"/>
        <v>1</v>
      </c>
      <c r="N951">
        <f t="shared" si="142"/>
        <v>0</v>
      </c>
      <c r="O951">
        <f t="shared" si="142"/>
        <v>0</v>
      </c>
    </row>
    <row r="952" spans="1:15" x14ac:dyDescent="0.3">
      <c r="A952">
        <v>4</v>
      </c>
      <c r="B952">
        <v>2016</v>
      </c>
      <c r="C952">
        <v>1000</v>
      </c>
      <c r="D952">
        <v>125</v>
      </c>
      <c r="E952">
        <v>140</v>
      </c>
      <c r="F952">
        <v>11</v>
      </c>
      <c r="G952">
        <f t="shared" ref="G952:L961" si="143">IF($B952=G$1,1,0)</f>
        <v>0</v>
      </c>
      <c r="H952">
        <f t="shared" si="143"/>
        <v>0</v>
      </c>
      <c r="I952">
        <f t="shared" si="143"/>
        <v>0</v>
      </c>
      <c r="J952">
        <f t="shared" si="143"/>
        <v>0</v>
      </c>
      <c r="K952">
        <f t="shared" si="143"/>
        <v>1</v>
      </c>
      <c r="L952">
        <f t="shared" si="143"/>
        <v>0</v>
      </c>
      <c r="M952">
        <f t="shared" si="142"/>
        <v>0</v>
      </c>
      <c r="N952">
        <f t="shared" si="142"/>
        <v>0</v>
      </c>
      <c r="O952">
        <f t="shared" si="142"/>
        <v>1</v>
      </c>
    </row>
    <row r="953" spans="1:15" x14ac:dyDescent="0.3">
      <c r="A953">
        <v>1</v>
      </c>
      <c r="B953">
        <v>2016</v>
      </c>
      <c r="C953">
        <v>997</v>
      </c>
      <c r="D953">
        <v>20</v>
      </c>
      <c r="E953">
        <v>20</v>
      </c>
      <c r="F953">
        <v>2</v>
      </c>
      <c r="G953">
        <f t="shared" si="143"/>
        <v>0</v>
      </c>
      <c r="H953">
        <f t="shared" si="143"/>
        <v>0</v>
      </c>
      <c r="I953">
        <f t="shared" si="143"/>
        <v>0</v>
      </c>
      <c r="J953">
        <f t="shared" si="143"/>
        <v>0</v>
      </c>
      <c r="K953">
        <f t="shared" si="143"/>
        <v>1</v>
      </c>
      <c r="L953">
        <f t="shared" si="143"/>
        <v>0</v>
      </c>
      <c r="M953">
        <f t="shared" si="142"/>
        <v>1</v>
      </c>
      <c r="N953">
        <f t="shared" si="142"/>
        <v>0</v>
      </c>
      <c r="O953">
        <f t="shared" si="142"/>
        <v>0</v>
      </c>
    </row>
    <row r="954" spans="1:15" x14ac:dyDescent="0.3">
      <c r="A954">
        <v>4</v>
      </c>
      <c r="B954">
        <v>2016</v>
      </c>
      <c r="C954">
        <v>988</v>
      </c>
      <c r="D954">
        <v>25</v>
      </c>
      <c r="E954">
        <v>27</v>
      </c>
      <c r="F954">
        <v>0.63333333000000003</v>
      </c>
      <c r="G954">
        <f t="shared" si="143"/>
        <v>0</v>
      </c>
      <c r="H954">
        <f t="shared" si="143"/>
        <v>0</v>
      </c>
      <c r="I954">
        <f t="shared" si="143"/>
        <v>0</v>
      </c>
      <c r="J954">
        <f t="shared" si="143"/>
        <v>0</v>
      </c>
      <c r="K954">
        <f t="shared" si="143"/>
        <v>1</v>
      </c>
      <c r="L954">
        <f t="shared" si="143"/>
        <v>0</v>
      </c>
      <c r="M954">
        <f t="shared" si="142"/>
        <v>0</v>
      </c>
      <c r="N954">
        <f t="shared" si="142"/>
        <v>0</v>
      </c>
      <c r="O954">
        <f t="shared" si="142"/>
        <v>1</v>
      </c>
    </row>
    <row r="955" spans="1:15" x14ac:dyDescent="0.3">
      <c r="A955">
        <v>1</v>
      </c>
      <c r="B955">
        <v>2015</v>
      </c>
      <c r="C955">
        <v>976</v>
      </c>
      <c r="D955">
        <v>20</v>
      </c>
      <c r="E955">
        <v>46</v>
      </c>
      <c r="F955">
        <v>2.5</v>
      </c>
      <c r="G955">
        <f t="shared" si="143"/>
        <v>0</v>
      </c>
      <c r="H955">
        <f t="shared" si="143"/>
        <v>0</v>
      </c>
      <c r="I955">
        <f t="shared" si="143"/>
        <v>0</v>
      </c>
      <c r="J955">
        <f t="shared" si="143"/>
        <v>1</v>
      </c>
      <c r="K955">
        <f t="shared" si="143"/>
        <v>0</v>
      </c>
      <c r="L955">
        <f t="shared" si="143"/>
        <v>0</v>
      </c>
      <c r="M955">
        <f t="shared" si="142"/>
        <v>1</v>
      </c>
      <c r="N955">
        <f t="shared" si="142"/>
        <v>0</v>
      </c>
      <c r="O955">
        <f t="shared" si="142"/>
        <v>0</v>
      </c>
    </row>
    <row r="956" spans="1:15" x14ac:dyDescent="0.3">
      <c r="A956">
        <v>4</v>
      </c>
      <c r="B956">
        <v>2014</v>
      </c>
      <c r="C956">
        <v>976</v>
      </c>
      <c r="D956">
        <v>20</v>
      </c>
      <c r="E956">
        <v>13</v>
      </c>
      <c r="F956">
        <v>1.5</v>
      </c>
      <c r="G956">
        <f t="shared" si="143"/>
        <v>0</v>
      </c>
      <c r="H956">
        <f t="shared" si="143"/>
        <v>0</v>
      </c>
      <c r="I956">
        <f t="shared" si="143"/>
        <v>1</v>
      </c>
      <c r="J956">
        <f t="shared" si="143"/>
        <v>0</v>
      </c>
      <c r="K956">
        <f t="shared" si="143"/>
        <v>0</v>
      </c>
      <c r="L956">
        <f t="shared" si="143"/>
        <v>0</v>
      </c>
      <c r="M956">
        <f t="shared" si="142"/>
        <v>0</v>
      </c>
      <c r="N956">
        <f t="shared" si="142"/>
        <v>0</v>
      </c>
      <c r="O956">
        <f t="shared" si="142"/>
        <v>1</v>
      </c>
    </row>
    <row r="957" spans="1:15" x14ac:dyDescent="0.3">
      <c r="A957">
        <v>4</v>
      </c>
      <c r="B957">
        <v>2016</v>
      </c>
      <c r="C957">
        <v>975</v>
      </c>
      <c r="D957">
        <v>95</v>
      </c>
      <c r="E957">
        <v>18</v>
      </c>
      <c r="F957">
        <v>3.5</v>
      </c>
      <c r="G957">
        <f t="shared" si="143"/>
        <v>0</v>
      </c>
      <c r="H957">
        <f t="shared" si="143"/>
        <v>0</v>
      </c>
      <c r="I957">
        <f t="shared" si="143"/>
        <v>0</v>
      </c>
      <c r="J957">
        <f t="shared" si="143"/>
        <v>0</v>
      </c>
      <c r="K957">
        <f t="shared" si="143"/>
        <v>1</v>
      </c>
      <c r="L957">
        <f t="shared" si="143"/>
        <v>0</v>
      </c>
      <c r="M957">
        <f t="shared" si="142"/>
        <v>0</v>
      </c>
      <c r="N957">
        <f t="shared" si="142"/>
        <v>0</v>
      </c>
      <c r="O957">
        <f t="shared" si="142"/>
        <v>1</v>
      </c>
    </row>
    <row r="958" spans="1:15" x14ac:dyDescent="0.3">
      <c r="A958">
        <v>1</v>
      </c>
      <c r="B958">
        <v>2015</v>
      </c>
      <c r="C958">
        <v>973</v>
      </c>
      <c r="D958">
        <v>75</v>
      </c>
      <c r="E958">
        <v>46</v>
      </c>
      <c r="F958">
        <v>4.5</v>
      </c>
      <c r="G958">
        <f t="shared" si="143"/>
        <v>0</v>
      </c>
      <c r="H958">
        <f t="shared" si="143"/>
        <v>0</v>
      </c>
      <c r="I958">
        <f t="shared" si="143"/>
        <v>0</v>
      </c>
      <c r="J958">
        <f t="shared" si="143"/>
        <v>1</v>
      </c>
      <c r="K958">
        <f t="shared" si="143"/>
        <v>0</v>
      </c>
      <c r="L958">
        <f t="shared" si="143"/>
        <v>0</v>
      </c>
      <c r="M958">
        <f t="shared" si="142"/>
        <v>1</v>
      </c>
      <c r="N958">
        <f t="shared" si="142"/>
        <v>0</v>
      </c>
      <c r="O958">
        <f t="shared" si="142"/>
        <v>0</v>
      </c>
    </row>
    <row r="959" spans="1:15" x14ac:dyDescent="0.3">
      <c r="A959">
        <v>4</v>
      </c>
      <c r="B959">
        <v>2016</v>
      </c>
      <c r="C959">
        <v>964</v>
      </c>
      <c r="D959">
        <v>50</v>
      </c>
      <c r="E959">
        <v>21</v>
      </c>
      <c r="F959">
        <v>2.5</v>
      </c>
      <c r="G959">
        <f t="shared" si="143"/>
        <v>0</v>
      </c>
      <c r="H959">
        <f t="shared" si="143"/>
        <v>0</v>
      </c>
      <c r="I959">
        <f t="shared" si="143"/>
        <v>0</v>
      </c>
      <c r="J959">
        <f t="shared" si="143"/>
        <v>0</v>
      </c>
      <c r="K959">
        <f t="shared" si="143"/>
        <v>1</v>
      </c>
      <c r="L959">
        <f t="shared" si="143"/>
        <v>0</v>
      </c>
      <c r="M959">
        <f t="shared" si="142"/>
        <v>0</v>
      </c>
      <c r="N959">
        <f t="shared" si="142"/>
        <v>0</v>
      </c>
      <c r="O959">
        <f t="shared" si="142"/>
        <v>1</v>
      </c>
    </row>
    <row r="960" spans="1:15" x14ac:dyDescent="0.3">
      <c r="A960">
        <v>3</v>
      </c>
      <c r="B960">
        <v>2016</v>
      </c>
      <c r="C960">
        <v>960</v>
      </c>
      <c r="D960">
        <v>195</v>
      </c>
      <c r="E960">
        <v>32</v>
      </c>
      <c r="F960">
        <v>2</v>
      </c>
      <c r="G960">
        <f t="shared" si="143"/>
        <v>0</v>
      </c>
      <c r="H960">
        <f t="shared" si="143"/>
        <v>0</v>
      </c>
      <c r="I960">
        <f t="shared" si="143"/>
        <v>0</v>
      </c>
      <c r="J960">
        <f t="shared" si="143"/>
        <v>0</v>
      </c>
      <c r="K960">
        <f t="shared" si="143"/>
        <v>1</v>
      </c>
      <c r="L960">
        <f t="shared" si="143"/>
        <v>0</v>
      </c>
      <c r="M960">
        <f t="shared" si="142"/>
        <v>0</v>
      </c>
      <c r="N960">
        <f t="shared" si="142"/>
        <v>0</v>
      </c>
      <c r="O960">
        <f t="shared" si="142"/>
        <v>0</v>
      </c>
    </row>
    <row r="961" spans="1:15" x14ac:dyDescent="0.3">
      <c r="A961">
        <v>1</v>
      </c>
      <c r="B961">
        <v>2017</v>
      </c>
      <c r="C961">
        <v>959</v>
      </c>
      <c r="D961">
        <v>20</v>
      </c>
      <c r="E961">
        <v>74</v>
      </c>
      <c r="F961">
        <v>3</v>
      </c>
      <c r="G961">
        <f t="shared" si="143"/>
        <v>0</v>
      </c>
      <c r="H961">
        <f t="shared" si="143"/>
        <v>0</v>
      </c>
      <c r="I961">
        <f t="shared" si="143"/>
        <v>0</v>
      </c>
      <c r="J961">
        <f t="shared" si="143"/>
        <v>0</v>
      </c>
      <c r="K961">
        <f t="shared" si="143"/>
        <v>0</v>
      </c>
      <c r="L961">
        <f t="shared" si="143"/>
        <v>1</v>
      </c>
      <c r="M961">
        <f t="shared" si="142"/>
        <v>1</v>
      </c>
      <c r="N961">
        <f t="shared" si="142"/>
        <v>0</v>
      </c>
      <c r="O961">
        <f t="shared" si="142"/>
        <v>0</v>
      </c>
    </row>
    <row r="962" spans="1:15" x14ac:dyDescent="0.3">
      <c r="A962">
        <v>2</v>
      </c>
      <c r="B962">
        <v>2016</v>
      </c>
      <c r="C962">
        <v>958</v>
      </c>
      <c r="D962">
        <v>20</v>
      </c>
      <c r="E962">
        <v>17</v>
      </c>
      <c r="F962">
        <v>1</v>
      </c>
      <c r="G962">
        <f t="shared" ref="G962:L971" si="144">IF($B962=G$1,1,0)</f>
        <v>0</v>
      </c>
      <c r="H962">
        <f t="shared" si="144"/>
        <v>0</v>
      </c>
      <c r="I962">
        <f t="shared" si="144"/>
        <v>0</v>
      </c>
      <c r="J962">
        <f t="shared" si="144"/>
        <v>0</v>
      </c>
      <c r="K962">
        <f t="shared" si="144"/>
        <v>1</v>
      </c>
      <c r="L962">
        <f t="shared" si="144"/>
        <v>0</v>
      </c>
      <c r="M962">
        <f t="shared" ref="M962:O981" si="145">IF($A962=M$1,1,0)</f>
        <v>0</v>
      </c>
      <c r="N962">
        <f t="shared" si="145"/>
        <v>1</v>
      </c>
      <c r="O962">
        <f t="shared" si="145"/>
        <v>0</v>
      </c>
    </row>
    <row r="963" spans="1:15" x14ac:dyDescent="0.3">
      <c r="A963">
        <v>4</v>
      </c>
      <c r="B963">
        <v>2015</v>
      </c>
      <c r="C963">
        <v>954</v>
      </c>
      <c r="D963">
        <v>20</v>
      </c>
      <c r="E963">
        <v>123</v>
      </c>
      <c r="F963">
        <v>16</v>
      </c>
      <c r="G963">
        <f t="shared" si="144"/>
        <v>0</v>
      </c>
      <c r="H963">
        <f t="shared" si="144"/>
        <v>0</v>
      </c>
      <c r="I963">
        <f t="shared" si="144"/>
        <v>0</v>
      </c>
      <c r="J963">
        <f t="shared" si="144"/>
        <v>1</v>
      </c>
      <c r="K963">
        <f t="shared" si="144"/>
        <v>0</v>
      </c>
      <c r="L963">
        <f t="shared" si="144"/>
        <v>0</v>
      </c>
      <c r="M963">
        <f t="shared" si="145"/>
        <v>0</v>
      </c>
      <c r="N963">
        <f t="shared" si="145"/>
        <v>0</v>
      </c>
      <c r="O963">
        <f t="shared" si="145"/>
        <v>1</v>
      </c>
    </row>
    <row r="964" spans="1:15" x14ac:dyDescent="0.3">
      <c r="A964">
        <v>4</v>
      </c>
      <c r="B964">
        <v>2017</v>
      </c>
      <c r="C964">
        <v>952</v>
      </c>
      <c r="D964">
        <v>200</v>
      </c>
      <c r="E964">
        <v>75</v>
      </c>
      <c r="F964">
        <v>12</v>
      </c>
      <c r="G964">
        <f t="shared" si="144"/>
        <v>0</v>
      </c>
      <c r="H964">
        <f t="shared" si="144"/>
        <v>0</v>
      </c>
      <c r="I964">
        <f t="shared" si="144"/>
        <v>0</v>
      </c>
      <c r="J964">
        <f t="shared" si="144"/>
        <v>0</v>
      </c>
      <c r="K964">
        <f t="shared" si="144"/>
        <v>0</v>
      </c>
      <c r="L964">
        <f t="shared" si="144"/>
        <v>1</v>
      </c>
      <c r="M964">
        <f t="shared" si="145"/>
        <v>0</v>
      </c>
      <c r="N964">
        <f t="shared" si="145"/>
        <v>0</v>
      </c>
      <c r="O964">
        <f t="shared" si="145"/>
        <v>1</v>
      </c>
    </row>
    <row r="965" spans="1:15" x14ac:dyDescent="0.3">
      <c r="A965">
        <v>4</v>
      </c>
      <c r="B965">
        <v>2017</v>
      </c>
      <c r="C965">
        <v>949</v>
      </c>
      <c r="D965">
        <v>195</v>
      </c>
      <c r="E965">
        <v>89</v>
      </c>
      <c r="F965">
        <v>20.5</v>
      </c>
      <c r="G965">
        <f t="shared" si="144"/>
        <v>0</v>
      </c>
      <c r="H965">
        <f t="shared" si="144"/>
        <v>0</v>
      </c>
      <c r="I965">
        <f t="shared" si="144"/>
        <v>0</v>
      </c>
      <c r="J965">
        <f t="shared" si="144"/>
        <v>0</v>
      </c>
      <c r="K965">
        <f t="shared" si="144"/>
        <v>0</v>
      </c>
      <c r="L965">
        <f t="shared" si="144"/>
        <v>1</v>
      </c>
      <c r="M965">
        <f t="shared" si="145"/>
        <v>0</v>
      </c>
      <c r="N965">
        <f t="shared" si="145"/>
        <v>0</v>
      </c>
      <c r="O965">
        <f t="shared" si="145"/>
        <v>1</v>
      </c>
    </row>
    <row r="966" spans="1:15" x14ac:dyDescent="0.3">
      <c r="A966">
        <v>4</v>
      </c>
      <c r="B966">
        <v>2016</v>
      </c>
      <c r="C966">
        <v>948</v>
      </c>
      <c r="D966">
        <v>30</v>
      </c>
      <c r="E966">
        <v>48</v>
      </c>
      <c r="F966">
        <v>3.5</v>
      </c>
      <c r="G966">
        <f t="shared" si="144"/>
        <v>0</v>
      </c>
      <c r="H966">
        <f t="shared" si="144"/>
        <v>0</v>
      </c>
      <c r="I966">
        <f t="shared" si="144"/>
        <v>0</v>
      </c>
      <c r="J966">
        <f t="shared" si="144"/>
        <v>0</v>
      </c>
      <c r="K966">
        <f t="shared" si="144"/>
        <v>1</v>
      </c>
      <c r="L966">
        <f t="shared" si="144"/>
        <v>0</v>
      </c>
      <c r="M966">
        <f t="shared" si="145"/>
        <v>0</v>
      </c>
      <c r="N966">
        <f t="shared" si="145"/>
        <v>0</v>
      </c>
      <c r="O966">
        <f t="shared" si="145"/>
        <v>1</v>
      </c>
    </row>
    <row r="967" spans="1:15" x14ac:dyDescent="0.3">
      <c r="A967">
        <v>4</v>
      </c>
      <c r="B967">
        <v>2015</v>
      </c>
      <c r="C967">
        <v>948</v>
      </c>
      <c r="D967">
        <v>20</v>
      </c>
      <c r="E967">
        <v>8</v>
      </c>
      <c r="F967">
        <v>0.6</v>
      </c>
      <c r="G967">
        <f t="shared" si="144"/>
        <v>0</v>
      </c>
      <c r="H967">
        <f t="shared" si="144"/>
        <v>0</v>
      </c>
      <c r="I967">
        <f t="shared" si="144"/>
        <v>0</v>
      </c>
      <c r="J967">
        <f t="shared" si="144"/>
        <v>1</v>
      </c>
      <c r="K967">
        <f t="shared" si="144"/>
        <v>0</v>
      </c>
      <c r="L967">
        <f t="shared" si="144"/>
        <v>0</v>
      </c>
      <c r="M967">
        <f t="shared" si="145"/>
        <v>0</v>
      </c>
      <c r="N967">
        <f t="shared" si="145"/>
        <v>0</v>
      </c>
      <c r="O967">
        <f t="shared" si="145"/>
        <v>1</v>
      </c>
    </row>
    <row r="968" spans="1:15" x14ac:dyDescent="0.3">
      <c r="A968">
        <v>2</v>
      </c>
      <c r="B968">
        <v>2016</v>
      </c>
      <c r="C968">
        <v>947</v>
      </c>
      <c r="D968">
        <v>50</v>
      </c>
      <c r="E968">
        <v>56</v>
      </c>
      <c r="F968">
        <v>8</v>
      </c>
      <c r="G968">
        <f t="shared" si="144"/>
        <v>0</v>
      </c>
      <c r="H968">
        <f t="shared" si="144"/>
        <v>0</v>
      </c>
      <c r="I968">
        <f t="shared" si="144"/>
        <v>0</v>
      </c>
      <c r="J968">
        <f t="shared" si="144"/>
        <v>0</v>
      </c>
      <c r="K968">
        <f t="shared" si="144"/>
        <v>1</v>
      </c>
      <c r="L968">
        <f t="shared" si="144"/>
        <v>0</v>
      </c>
      <c r="M968">
        <f t="shared" si="145"/>
        <v>0</v>
      </c>
      <c r="N968">
        <f t="shared" si="145"/>
        <v>1</v>
      </c>
      <c r="O968">
        <f t="shared" si="145"/>
        <v>0</v>
      </c>
    </row>
    <row r="969" spans="1:15" x14ac:dyDescent="0.3">
      <c r="A969">
        <v>2</v>
      </c>
      <c r="B969">
        <v>2016</v>
      </c>
      <c r="C969">
        <v>945</v>
      </c>
      <c r="D969">
        <v>20</v>
      </c>
      <c r="E969">
        <v>11</v>
      </c>
      <c r="F969">
        <v>0.55000000000000004</v>
      </c>
      <c r="G969">
        <f t="shared" si="144"/>
        <v>0</v>
      </c>
      <c r="H969">
        <f t="shared" si="144"/>
        <v>0</v>
      </c>
      <c r="I969">
        <f t="shared" si="144"/>
        <v>0</v>
      </c>
      <c r="J969">
        <f t="shared" si="144"/>
        <v>0</v>
      </c>
      <c r="K969">
        <f t="shared" si="144"/>
        <v>1</v>
      </c>
      <c r="L969">
        <f t="shared" si="144"/>
        <v>0</v>
      </c>
      <c r="M969">
        <f t="shared" si="145"/>
        <v>0</v>
      </c>
      <c r="N969">
        <f t="shared" si="145"/>
        <v>1</v>
      </c>
      <c r="O969">
        <f t="shared" si="145"/>
        <v>0</v>
      </c>
    </row>
    <row r="970" spans="1:15" x14ac:dyDescent="0.3">
      <c r="A970">
        <v>2</v>
      </c>
      <c r="B970">
        <v>2017</v>
      </c>
      <c r="C970">
        <v>944</v>
      </c>
      <c r="D970">
        <v>45</v>
      </c>
      <c r="E970">
        <v>10</v>
      </c>
      <c r="F970">
        <v>1</v>
      </c>
      <c r="G970">
        <f t="shared" si="144"/>
        <v>0</v>
      </c>
      <c r="H970">
        <f t="shared" si="144"/>
        <v>0</v>
      </c>
      <c r="I970">
        <f t="shared" si="144"/>
        <v>0</v>
      </c>
      <c r="J970">
        <f t="shared" si="144"/>
        <v>0</v>
      </c>
      <c r="K970">
        <f t="shared" si="144"/>
        <v>0</v>
      </c>
      <c r="L970">
        <f t="shared" si="144"/>
        <v>1</v>
      </c>
      <c r="M970">
        <f t="shared" si="145"/>
        <v>0</v>
      </c>
      <c r="N970">
        <f t="shared" si="145"/>
        <v>1</v>
      </c>
      <c r="O970">
        <f t="shared" si="145"/>
        <v>0</v>
      </c>
    </row>
    <row r="971" spans="1:15" x14ac:dyDescent="0.3">
      <c r="A971">
        <v>1</v>
      </c>
      <c r="B971">
        <v>2016</v>
      </c>
      <c r="C971">
        <v>942</v>
      </c>
      <c r="D971">
        <v>75</v>
      </c>
      <c r="E971">
        <v>64</v>
      </c>
      <c r="F971">
        <v>4.5</v>
      </c>
      <c r="G971">
        <f t="shared" si="144"/>
        <v>0</v>
      </c>
      <c r="H971">
        <f t="shared" si="144"/>
        <v>0</v>
      </c>
      <c r="I971">
        <f t="shared" si="144"/>
        <v>0</v>
      </c>
      <c r="J971">
        <f t="shared" si="144"/>
        <v>0</v>
      </c>
      <c r="K971">
        <f t="shared" si="144"/>
        <v>1</v>
      </c>
      <c r="L971">
        <f t="shared" si="144"/>
        <v>0</v>
      </c>
      <c r="M971">
        <f t="shared" si="145"/>
        <v>1</v>
      </c>
      <c r="N971">
        <f t="shared" si="145"/>
        <v>0</v>
      </c>
      <c r="O971">
        <f t="shared" si="145"/>
        <v>0</v>
      </c>
    </row>
    <row r="972" spans="1:15" x14ac:dyDescent="0.3">
      <c r="A972">
        <v>4</v>
      </c>
      <c r="B972">
        <v>2016</v>
      </c>
      <c r="C972">
        <v>937</v>
      </c>
      <c r="D972">
        <v>20</v>
      </c>
      <c r="E972">
        <v>10</v>
      </c>
      <c r="F972">
        <v>1</v>
      </c>
      <c r="G972">
        <f t="shared" ref="G972:L981" si="146">IF($B972=G$1,1,0)</f>
        <v>0</v>
      </c>
      <c r="H972">
        <f t="shared" si="146"/>
        <v>0</v>
      </c>
      <c r="I972">
        <f t="shared" si="146"/>
        <v>0</v>
      </c>
      <c r="J972">
        <f t="shared" si="146"/>
        <v>0</v>
      </c>
      <c r="K972">
        <f t="shared" si="146"/>
        <v>1</v>
      </c>
      <c r="L972">
        <f t="shared" si="146"/>
        <v>0</v>
      </c>
      <c r="M972">
        <f t="shared" si="145"/>
        <v>0</v>
      </c>
      <c r="N972">
        <f t="shared" si="145"/>
        <v>0</v>
      </c>
      <c r="O972">
        <f t="shared" si="145"/>
        <v>1</v>
      </c>
    </row>
    <row r="973" spans="1:15" x14ac:dyDescent="0.3">
      <c r="A973">
        <v>4</v>
      </c>
      <c r="B973">
        <v>2016</v>
      </c>
      <c r="C973">
        <v>937</v>
      </c>
      <c r="D973">
        <v>40</v>
      </c>
      <c r="E973">
        <v>6</v>
      </c>
      <c r="F973">
        <v>0.63333333000000003</v>
      </c>
      <c r="G973">
        <f t="shared" si="146"/>
        <v>0</v>
      </c>
      <c r="H973">
        <f t="shared" si="146"/>
        <v>0</v>
      </c>
      <c r="I973">
        <f t="shared" si="146"/>
        <v>0</v>
      </c>
      <c r="J973">
        <f t="shared" si="146"/>
        <v>0</v>
      </c>
      <c r="K973">
        <f t="shared" si="146"/>
        <v>1</v>
      </c>
      <c r="L973">
        <f t="shared" si="146"/>
        <v>0</v>
      </c>
      <c r="M973">
        <f t="shared" si="145"/>
        <v>0</v>
      </c>
      <c r="N973">
        <f t="shared" si="145"/>
        <v>0</v>
      </c>
      <c r="O973">
        <f t="shared" si="145"/>
        <v>1</v>
      </c>
    </row>
    <row r="974" spans="1:15" x14ac:dyDescent="0.3">
      <c r="A974">
        <v>4</v>
      </c>
      <c r="B974">
        <v>2012</v>
      </c>
      <c r="C974">
        <v>926</v>
      </c>
      <c r="D974">
        <v>35</v>
      </c>
      <c r="E974">
        <v>37</v>
      </c>
      <c r="F974">
        <v>2.5</v>
      </c>
      <c r="G974">
        <f t="shared" si="146"/>
        <v>1</v>
      </c>
      <c r="H974">
        <f t="shared" si="146"/>
        <v>0</v>
      </c>
      <c r="I974">
        <f t="shared" si="146"/>
        <v>0</v>
      </c>
      <c r="J974">
        <f t="shared" si="146"/>
        <v>0</v>
      </c>
      <c r="K974">
        <f t="shared" si="146"/>
        <v>0</v>
      </c>
      <c r="L974">
        <f t="shared" si="146"/>
        <v>0</v>
      </c>
      <c r="M974">
        <f t="shared" si="145"/>
        <v>0</v>
      </c>
      <c r="N974">
        <f t="shared" si="145"/>
        <v>0</v>
      </c>
      <c r="O974">
        <f t="shared" si="145"/>
        <v>1</v>
      </c>
    </row>
    <row r="975" spans="1:15" x14ac:dyDescent="0.3">
      <c r="A975">
        <v>1</v>
      </c>
      <c r="B975">
        <v>2016</v>
      </c>
      <c r="C975">
        <v>920</v>
      </c>
      <c r="D975">
        <v>35</v>
      </c>
      <c r="E975">
        <v>7</v>
      </c>
      <c r="F975">
        <v>0.7</v>
      </c>
      <c r="G975">
        <f t="shared" si="146"/>
        <v>0</v>
      </c>
      <c r="H975">
        <f t="shared" si="146"/>
        <v>0</v>
      </c>
      <c r="I975">
        <f t="shared" si="146"/>
        <v>0</v>
      </c>
      <c r="J975">
        <f t="shared" si="146"/>
        <v>0</v>
      </c>
      <c r="K975">
        <f t="shared" si="146"/>
        <v>1</v>
      </c>
      <c r="L975">
        <f t="shared" si="146"/>
        <v>0</v>
      </c>
      <c r="M975">
        <f t="shared" si="145"/>
        <v>1</v>
      </c>
      <c r="N975">
        <f t="shared" si="145"/>
        <v>0</v>
      </c>
      <c r="O975">
        <f t="shared" si="145"/>
        <v>0</v>
      </c>
    </row>
    <row r="976" spans="1:15" x14ac:dyDescent="0.3">
      <c r="A976">
        <v>4</v>
      </c>
      <c r="B976">
        <v>2015</v>
      </c>
      <c r="C976">
        <v>918</v>
      </c>
      <c r="D976">
        <v>195</v>
      </c>
      <c r="E976">
        <v>39</v>
      </c>
      <c r="F976">
        <v>2.5</v>
      </c>
      <c r="G976">
        <f t="shared" si="146"/>
        <v>0</v>
      </c>
      <c r="H976">
        <f t="shared" si="146"/>
        <v>0</v>
      </c>
      <c r="I976">
        <f t="shared" si="146"/>
        <v>0</v>
      </c>
      <c r="J976">
        <f t="shared" si="146"/>
        <v>1</v>
      </c>
      <c r="K976">
        <f t="shared" si="146"/>
        <v>0</v>
      </c>
      <c r="L976">
        <f t="shared" si="146"/>
        <v>0</v>
      </c>
      <c r="M976">
        <f t="shared" si="145"/>
        <v>0</v>
      </c>
      <c r="N976">
        <f t="shared" si="145"/>
        <v>0</v>
      </c>
      <c r="O976">
        <f t="shared" si="145"/>
        <v>1</v>
      </c>
    </row>
    <row r="977" spans="1:15" x14ac:dyDescent="0.3">
      <c r="A977">
        <v>4</v>
      </c>
      <c r="B977">
        <v>2016</v>
      </c>
      <c r="C977">
        <v>912</v>
      </c>
      <c r="D977">
        <v>20</v>
      </c>
      <c r="E977">
        <v>48</v>
      </c>
      <c r="F977">
        <v>4.5</v>
      </c>
      <c r="G977">
        <f t="shared" si="146"/>
        <v>0</v>
      </c>
      <c r="H977">
        <f t="shared" si="146"/>
        <v>0</v>
      </c>
      <c r="I977">
        <f t="shared" si="146"/>
        <v>0</v>
      </c>
      <c r="J977">
        <f t="shared" si="146"/>
        <v>0</v>
      </c>
      <c r="K977">
        <f t="shared" si="146"/>
        <v>1</v>
      </c>
      <c r="L977">
        <f t="shared" si="146"/>
        <v>0</v>
      </c>
      <c r="M977">
        <f t="shared" si="145"/>
        <v>0</v>
      </c>
      <c r="N977">
        <f t="shared" si="145"/>
        <v>0</v>
      </c>
      <c r="O977">
        <f t="shared" si="145"/>
        <v>1</v>
      </c>
    </row>
    <row r="978" spans="1:15" x14ac:dyDescent="0.3">
      <c r="A978">
        <v>1</v>
      </c>
      <c r="B978">
        <v>2015</v>
      </c>
      <c r="C978">
        <v>912</v>
      </c>
      <c r="D978">
        <v>30</v>
      </c>
      <c r="E978">
        <v>81</v>
      </c>
      <c r="F978">
        <v>7</v>
      </c>
      <c r="G978">
        <f t="shared" si="146"/>
        <v>0</v>
      </c>
      <c r="H978">
        <f t="shared" si="146"/>
        <v>0</v>
      </c>
      <c r="I978">
        <f t="shared" si="146"/>
        <v>0</v>
      </c>
      <c r="J978">
        <f t="shared" si="146"/>
        <v>1</v>
      </c>
      <c r="K978">
        <f t="shared" si="146"/>
        <v>0</v>
      </c>
      <c r="L978">
        <f t="shared" si="146"/>
        <v>0</v>
      </c>
      <c r="M978">
        <f t="shared" si="145"/>
        <v>1</v>
      </c>
      <c r="N978">
        <f t="shared" si="145"/>
        <v>0</v>
      </c>
      <c r="O978">
        <f t="shared" si="145"/>
        <v>0</v>
      </c>
    </row>
    <row r="979" spans="1:15" x14ac:dyDescent="0.3">
      <c r="A979">
        <v>2</v>
      </c>
      <c r="B979">
        <v>2017</v>
      </c>
      <c r="C979">
        <v>909</v>
      </c>
      <c r="D979">
        <v>70</v>
      </c>
      <c r="E979">
        <v>13</v>
      </c>
      <c r="F979">
        <v>1.5</v>
      </c>
      <c r="G979">
        <f t="shared" si="146"/>
        <v>0</v>
      </c>
      <c r="H979">
        <f t="shared" si="146"/>
        <v>0</v>
      </c>
      <c r="I979">
        <f t="shared" si="146"/>
        <v>0</v>
      </c>
      <c r="J979">
        <f t="shared" si="146"/>
        <v>0</v>
      </c>
      <c r="K979">
        <f t="shared" si="146"/>
        <v>0</v>
      </c>
      <c r="L979">
        <f t="shared" si="146"/>
        <v>1</v>
      </c>
      <c r="M979">
        <f t="shared" si="145"/>
        <v>0</v>
      </c>
      <c r="N979">
        <f t="shared" si="145"/>
        <v>1</v>
      </c>
      <c r="O979">
        <f t="shared" si="145"/>
        <v>0</v>
      </c>
    </row>
    <row r="980" spans="1:15" x14ac:dyDescent="0.3">
      <c r="A980">
        <v>4</v>
      </c>
      <c r="B980">
        <v>2016</v>
      </c>
      <c r="C980">
        <v>903</v>
      </c>
      <c r="D980">
        <v>35</v>
      </c>
      <c r="E980">
        <v>7</v>
      </c>
      <c r="F980">
        <v>0.55000000000000004</v>
      </c>
      <c r="G980">
        <f t="shared" si="146"/>
        <v>0</v>
      </c>
      <c r="H980">
        <f t="shared" si="146"/>
        <v>0</v>
      </c>
      <c r="I980">
        <f t="shared" si="146"/>
        <v>0</v>
      </c>
      <c r="J980">
        <f t="shared" si="146"/>
        <v>0</v>
      </c>
      <c r="K980">
        <f t="shared" si="146"/>
        <v>1</v>
      </c>
      <c r="L980">
        <f t="shared" si="146"/>
        <v>0</v>
      </c>
      <c r="M980">
        <f t="shared" si="145"/>
        <v>0</v>
      </c>
      <c r="N980">
        <f t="shared" si="145"/>
        <v>0</v>
      </c>
      <c r="O980">
        <f t="shared" si="145"/>
        <v>1</v>
      </c>
    </row>
    <row r="981" spans="1:15" x14ac:dyDescent="0.3">
      <c r="A981">
        <v>4</v>
      </c>
      <c r="B981">
        <v>2014</v>
      </c>
      <c r="C981">
        <v>901</v>
      </c>
      <c r="D981">
        <v>45</v>
      </c>
      <c r="E981">
        <v>20</v>
      </c>
      <c r="F981">
        <v>2</v>
      </c>
      <c r="G981">
        <f t="shared" si="146"/>
        <v>0</v>
      </c>
      <c r="H981">
        <f t="shared" si="146"/>
        <v>0</v>
      </c>
      <c r="I981">
        <f t="shared" si="146"/>
        <v>1</v>
      </c>
      <c r="J981">
        <f t="shared" si="146"/>
        <v>0</v>
      </c>
      <c r="K981">
        <f t="shared" si="146"/>
        <v>0</v>
      </c>
      <c r="L981">
        <f t="shared" si="146"/>
        <v>0</v>
      </c>
      <c r="M981">
        <f t="shared" si="145"/>
        <v>0</v>
      </c>
      <c r="N981">
        <f t="shared" si="145"/>
        <v>0</v>
      </c>
      <c r="O981">
        <f t="shared" si="145"/>
        <v>1</v>
      </c>
    </row>
    <row r="982" spans="1:15" x14ac:dyDescent="0.3">
      <c r="A982">
        <v>4</v>
      </c>
      <c r="B982">
        <v>2016</v>
      </c>
      <c r="C982">
        <v>900</v>
      </c>
      <c r="D982">
        <v>200</v>
      </c>
      <c r="E982">
        <v>126</v>
      </c>
      <c r="F982">
        <v>18.5</v>
      </c>
      <c r="G982">
        <f t="shared" ref="G982:L991" si="147">IF($B982=G$1,1,0)</f>
        <v>0</v>
      </c>
      <c r="H982">
        <f t="shared" si="147"/>
        <v>0</v>
      </c>
      <c r="I982">
        <f t="shared" si="147"/>
        <v>0</v>
      </c>
      <c r="J982">
        <f t="shared" si="147"/>
        <v>0</v>
      </c>
      <c r="K982">
        <f t="shared" si="147"/>
        <v>1</v>
      </c>
      <c r="L982">
        <f t="shared" si="147"/>
        <v>0</v>
      </c>
      <c r="M982">
        <f t="shared" ref="M982:O1001" si="148">IF($A982=M$1,1,0)</f>
        <v>0</v>
      </c>
      <c r="N982">
        <f t="shared" si="148"/>
        <v>0</v>
      </c>
      <c r="O982">
        <f t="shared" si="148"/>
        <v>1</v>
      </c>
    </row>
    <row r="983" spans="1:15" x14ac:dyDescent="0.3">
      <c r="A983">
        <v>4</v>
      </c>
      <c r="B983">
        <v>2014</v>
      </c>
      <c r="C983">
        <v>898</v>
      </c>
      <c r="D983">
        <v>50</v>
      </c>
      <c r="E983">
        <v>40</v>
      </c>
      <c r="F983">
        <v>2</v>
      </c>
      <c r="G983">
        <f t="shared" si="147"/>
        <v>0</v>
      </c>
      <c r="H983">
        <f t="shared" si="147"/>
        <v>0</v>
      </c>
      <c r="I983">
        <f t="shared" si="147"/>
        <v>1</v>
      </c>
      <c r="J983">
        <f t="shared" si="147"/>
        <v>0</v>
      </c>
      <c r="K983">
        <f t="shared" si="147"/>
        <v>0</v>
      </c>
      <c r="L983">
        <f t="shared" si="147"/>
        <v>0</v>
      </c>
      <c r="M983">
        <f t="shared" si="148"/>
        <v>0</v>
      </c>
      <c r="N983">
        <f t="shared" si="148"/>
        <v>0</v>
      </c>
      <c r="O983">
        <f t="shared" si="148"/>
        <v>1</v>
      </c>
    </row>
    <row r="984" spans="1:15" x14ac:dyDescent="0.3">
      <c r="A984">
        <v>4</v>
      </c>
      <c r="B984">
        <v>2017</v>
      </c>
      <c r="C984">
        <v>897</v>
      </c>
      <c r="D984">
        <v>200</v>
      </c>
      <c r="E984">
        <v>171</v>
      </c>
      <c r="F984">
        <v>13</v>
      </c>
      <c r="G984">
        <f t="shared" si="147"/>
        <v>0</v>
      </c>
      <c r="H984">
        <f t="shared" si="147"/>
        <v>0</v>
      </c>
      <c r="I984">
        <f t="shared" si="147"/>
        <v>0</v>
      </c>
      <c r="J984">
        <f t="shared" si="147"/>
        <v>0</v>
      </c>
      <c r="K984">
        <f t="shared" si="147"/>
        <v>0</v>
      </c>
      <c r="L984">
        <f t="shared" si="147"/>
        <v>1</v>
      </c>
      <c r="M984">
        <f t="shared" si="148"/>
        <v>0</v>
      </c>
      <c r="N984">
        <f t="shared" si="148"/>
        <v>0</v>
      </c>
      <c r="O984">
        <f t="shared" si="148"/>
        <v>1</v>
      </c>
    </row>
    <row r="985" spans="1:15" x14ac:dyDescent="0.3">
      <c r="A985">
        <v>1</v>
      </c>
      <c r="B985">
        <v>2014</v>
      </c>
      <c r="C985">
        <v>891</v>
      </c>
      <c r="D985">
        <v>50</v>
      </c>
      <c r="E985">
        <v>119</v>
      </c>
      <c r="F985">
        <v>8.5</v>
      </c>
      <c r="G985">
        <f t="shared" si="147"/>
        <v>0</v>
      </c>
      <c r="H985">
        <f t="shared" si="147"/>
        <v>0</v>
      </c>
      <c r="I985">
        <f t="shared" si="147"/>
        <v>1</v>
      </c>
      <c r="J985">
        <f t="shared" si="147"/>
        <v>0</v>
      </c>
      <c r="K985">
        <f t="shared" si="147"/>
        <v>0</v>
      </c>
      <c r="L985">
        <f t="shared" si="147"/>
        <v>0</v>
      </c>
      <c r="M985">
        <f t="shared" si="148"/>
        <v>1</v>
      </c>
      <c r="N985">
        <f t="shared" si="148"/>
        <v>0</v>
      </c>
      <c r="O985">
        <f t="shared" si="148"/>
        <v>0</v>
      </c>
    </row>
    <row r="986" spans="1:15" x14ac:dyDescent="0.3">
      <c r="A986">
        <v>4</v>
      </c>
      <c r="B986">
        <v>2015</v>
      </c>
      <c r="C986">
        <v>885</v>
      </c>
      <c r="D986">
        <v>120</v>
      </c>
      <c r="E986">
        <v>13</v>
      </c>
      <c r="F986">
        <v>1.5</v>
      </c>
      <c r="G986">
        <f t="shared" si="147"/>
        <v>0</v>
      </c>
      <c r="H986">
        <f t="shared" si="147"/>
        <v>0</v>
      </c>
      <c r="I986">
        <f t="shared" si="147"/>
        <v>0</v>
      </c>
      <c r="J986">
        <f t="shared" si="147"/>
        <v>1</v>
      </c>
      <c r="K986">
        <f t="shared" si="147"/>
        <v>0</v>
      </c>
      <c r="L986">
        <f t="shared" si="147"/>
        <v>0</v>
      </c>
      <c r="M986">
        <f t="shared" si="148"/>
        <v>0</v>
      </c>
      <c r="N986">
        <f t="shared" si="148"/>
        <v>0</v>
      </c>
      <c r="O986">
        <f t="shared" si="148"/>
        <v>1</v>
      </c>
    </row>
    <row r="987" spans="1:15" x14ac:dyDescent="0.3">
      <c r="A987">
        <v>1</v>
      </c>
      <c r="B987">
        <v>2016</v>
      </c>
      <c r="C987">
        <v>880</v>
      </c>
      <c r="D987">
        <v>20</v>
      </c>
      <c r="E987">
        <v>24</v>
      </c>
      <c r="F987">
        <v>3</v>
      </c>
      <c r="G987">
        <f t="shared" si="147"/>
        <v>0</v>
      </c>
      <c r="H987">
        <f t="shared" si="147"/>
        <v>0</v>
      </c>
      <c r="I987">
        <f t="shared" si="147"/>
        <v>0</v>
      </c>
      <c r="J987">
        <f t="shared" si="147"/>
        <v>0</v>
      </c>
      <c r="K987">
        <f t="shared" si="147"/>
        <v>1</v>
      </c>
      <c r="L987">
        <f t="shared" si="147"/>
        <v>0</v>
      </c>
      <c r="M987">
        <f t="shared" si="148"/>
        <v>1</v>
      </c>
      <c r="N987">
        <f t="shared" si="148"/>
        <v>0</v>
      </c>
      <c r="O987">
        <f t="shared" si="148"/>
        <v>0</v>
      </c>
    </row>
    <row r="988" spans="1:15" x14ac:dyDescent="0.3">
      <c r="A988">
        <v>1</v>
      </c>
      <c r="B988">
        <v>2016</v>
      </c>
      <c r="C988">
        <v>878</v>
      </c>
      <c r="D988">
        <v>40</v>
      </c>
      <c r="E988">
        <v>8</v>
      </c>
      <c r="F988">
        <v>0.61666666999999997</v>
      </c>
      <c r="G988">
        <f t="shared" si="147"/>
        <v>0</v>
      </c>
      <c r="H988">
        <f t="shared" si="147"/>
        <v>0</v>
      </c>
      <c r="I988">
        <f t="shared" si="147"/>
        <v>0</v>
      </c>
      <c r="J988">
        <f t="shared" si="147"/>
        <v>0</v>
      </c>
      <c r="K988">
        <f t="shared" si="147"/>
        <v>1</v>
      </c>
      <c r="L988">
        <f t="shared" si="147"/>
        <v>0</v>
      </c>
      <c r="M988">
        <f t="shared" si="148"/>
        <v>1</v>
      </c>
      <c r="N988">
        <f t="shared" si="148"/>
        <v>0</v>
      </c>
      <c r="O988">
        <f t="shared" si="148"/>
        <v>0</v>
      </c>
    </row>
    <row r="989" spans="1:15" x14ac:dyDescent="0.3">
      <c r="A989">
        <v>4</v>
      </c>
      <c r="B989">
        <v>2016</v>
      </c>
      <c r="C989">
        <v>877</v>
      </c>
      <c r="D989">
        <v>35</v>
      </c>
      <c r="E989">
        <v>7</v>
      </c>
      <c r="F989">
        <v>0.53333333000000005</v>
      </c>
      <c r="G989">
        <f t="shared" si="147"/>
        <v>0</v>
      </c>
      <c r="H989">
        <f t="shared" si="147"/>
        <v>0</v>
      </c>
      <c r="I989">
        <f t="shared" si="147"/>
        <v>0</v>
      </c>
      <c r="J989">
        <f t="shared" si="147"/>
        <v>0</v>
      </c>
      <c r="K989">
        <f t="shared" si="147"/>
        <v>1</v>
      </c>
      <c r="L989">
        <f t="shared" si="147"/>
        <v>0</v>
      </c>
      <c r="M989">
        <f t="shared" si="148"/>
        <v>0</v>
      </c>
      <c r="N989">
        <f t="shared" si="148"/>
        <v>0</v>
      </c>
      <c r="O989">
        <f t="shared" si="148"/>
        <v>1</v>
      </c>
    </row>
    <row r="990" spans="1:15" x14ac:dyDescent="0.3">
      <c r="A990">
        <v>2</v>
      </c>
      <c r="B990">
        <v>2015</v>
      </c>
      <c r="C990">
        <v>876</v>
      </c>
      <c r="D990">
        <v>85</v>
      </c>
      <c r="E990">
        <v>28</v>
      </c>
      <c r="F990">
        <v>2</v>
      </c>
      <c r="G990">
        <f t="shared" si="147"/>
        <v>0</v>
      </c>
      <c r="H990">
        <f t="shared" si="147"/>
        <v>0</v>
      </c>
      <c r="I990">
        <f t="shared" si="147"/>
        <v>0</v>
      </c>
      <c r="J990">
        <f t="shared" si="147"/>
        <v>1</v>
      </c>
      <c r="K990">
        <f t="shared" si="147"/>
        <v>0</v>
      </c>
      <c r="L990">
        <f t="shared" si="147"/>
        <v>0</v>
      </c>
      <c r="M990">
        <f t="shared" si="148"/>
        <v>0</v>
      </c>
      <c r="N990">
        <f t="shared" si="148"/>
        <v>1</v>
      </c>
      <c r="O990">
        <f t="shared" si="148"/>
        <v>0</v>
      </c>
    </row>
    <row r="991" spans="1:15" x14ac:dyDescent="0.3">
      <c r="A991">
        <v>4</v>
      </c>
      <c r="B991">
        <v>2015</v>
      </c>
      <c r="C991">
        <v>876</v>
      </c>
      <c r="D991">
        <v>75</v>
      </c>
      <c r="E991">
        <v>29</v>
      </c>
      <c r="F991">
        <v>3</v>
      </c>
      <c r="G991">
        <f t="shared" si="147"/>
        <v>0</v>
      </c>
      <c r="H991">
        <f t="shared" si="147"/>
        <v>0</v>
      </c>
      <c r="I991">
        <f t="shared" si="147"/>
        <v>0</v>
      </c>
      <c r="J991">
        <f t="shared" si="147"/>
        <v>1</v>
      </c>
      <c r="K991">
        <f t="shared" si="147"/>
        <v>0</v>
      </c>
      <c r="L991">
        <f t="shared" si="147"/>
        <v>0</v>
      </c>
      <c r="M991">
        <f t="shared" si="148"/>
        <v>0</v>
      </c>
      <c r="N991">
        <f t="shared" si="148"/>
        <v>0</v>
      </c>
      <c r="O991">
        <f t="shared" si="148"/>
        <v>1</v>
      </c>
    </row>
    <row r="992" spans="1:15" x14ac:dyDescent="0.3">
      <c r="A992">
        <v>4</v>
      </c>
      <c r="B992">
        <v>2016</v>
      </c>
      <c r="C992">
        <v>869</v>
      </c>
      <c r="D992">
        <v>195</v>
      </c>
      <c r="E992">
        <v>38</v>
      </c>
      <c r="F992">
        <v>5</v>
      </c>
      <c r="G992">
        <f t="shared" ref="G992:L1001" si="149">IF($B992=G$1,1,0)</f>
        <v>0</v>
      </c>
      <c r="H992">
        <f t="shared" si="149"/>
        <v>0</v>
      </c>
      <c r="I992">
        <f t="shared" si="149"/>
        <v>0</v>
      </c>
      <c r="J992">
        <f t="shared" si="149"/>
        <v>0</v>
      </c>
      <c r="K992">
        <f t="shared" si="149"/>
        <v>1</v>
      </c>
      <c r="L992">
        <f t="shared" si="149"/>
        <v>0</v>
      </c>
      <c r="M992">
        <f t="shared" si="148"/>
        <v>0</v>
      </c>
      <c r="N992">
        <f t="shared" si="148"/>
        <v>0</v>
      </c>
      <c r="O992">
        <f t="shared" si="148"/>
        <v>1</v>
      </c>
    </row>
    <row r="993" spans="1:15" x14ac:dyDescent="0.3">
      <c r="A993">
        <v>4</v>
      </c>
      <c r="B993">
        <v>2015</v>
      </c>
      <c r="C993">
        <v>869</v>
      </c>
      <c r="D993">
        <v>50</v>
      </c>
      <c r="E993">
        <v>78</v>
      </c>
      <c r="F993">
        <v>14</v>
      </c>
      <c r="G993">
        <f t="shared" si="149"/>
        <v>0</v>
      </c>
      <c r="H993">
        <f t="shared" si="149"/>
        <v>0</v>
      </c>
      <c r="I993">
        <f t="shared" si="149"/>
        <v>0</v>
      </c>
      <c r="J993">
        <f t="shared" si="149"/>
        <v>1</v>
      </c>
      <c r="K993">
        <f t="shared" si="149"/>
        <v>0</v>
      </c>
      <c r="L993">
        <f t="shared" si="149"/>
        <v>0</v>
      </c>
      <c r="M993">
        <f t="shared" si="148"/>
        <v>0</v>
      </c>
      <c r="N993">
        <f t="shared" si="148"/>
        <v>0</v>
      </c>
      <c r="O993">
        <f t="shared" si="148"/>
        <v>1</v>
      </c>
    </row>
    <row r="994" spans="1:15" x14ac:dyDescent="0.3">
      <c r="A994">
        <v>1</v>
      </c>
      <c r="B994">
        <v>2016</v>
      </c>
      <c r="C994">
        <v>867</v>
      </c>
      <c r="D994">
        <v>125</v>
      </c>
      <c r="E994">
        <v>48</v>
      </c>
      <c r="F994">
        <v>4</v>
      </c>
      <c r="G994">
        <f t="shared" si="149"/>
        <v>0</v>
      </c>
      <c r="H994">
        <f t="shared" si="149"/>
        <v>0</v>
      </c>
      <c r="I994">
        <f t="shared" si="149"/>
        <v>0</v>
      </c>
      <c r="J994">
        <f t="shared" si="149"/>
        <v>0</v>
      </c>
      <c r="K994">
        <f t="shared" si="149"/>
        <v>1</v>
      </c>
      <c r="L994">
        <f t="shared" si="149"/>
        <v>0</v>
      </c>
      <c r="M994">
        <f t="shared" si="148"/>
        <v>1</v>
      </c>
      <c r="N994">
        <f t="shared" si="148"/>
        <v>0</v>
      </c>
      <c r="O994">
        <f t="shared" si="148"/>
        <v>0</v>
      </c>
    </row>
    <row r="995" spans="1:15" x14ac:dyDescent="0.3">
      <c r="A995">
        <v>1</v>
      </c>
      <c r="B995">
        <v>2016</v>
      </c>
      <c r="C995">
        <v>860</v>
      </c>
      <c r="D995">
        <v>195</v>
      </c>
      <c r="E995">
        <v>56</v>
      </c>
      <c r="F995">
        <v>7</v>
      </c>
      <c r="G995">
        <f t="shared" si="149"/>
        <v>0</v>
      </c>
      <c r="H995">
        <f t="shared" si="149"/>
        <v>0</v>
      </c>
      <c r="I995">
        <f t="shared" si="149"/>
        <v>0</v>
      </c>
      <c r="J995">
        <f t="shared" si="149"/>
        <v>0</v>
      </c>
      <c r="K995">
        <f t="shared" si="149"/>
        <v>1</v>
      </c>
      <c r="L995">
        <f t="shared" si="149"/>
        <v>0</v>
      </c>
      <c r="M995">
        <f t="shared" si="148"/>
        <v>1</v>
      </c>
      <c r="N995">
        <f t="shared" si="148"/>
        <v>0</v>
      </c>
      <c r="O995">
        <f t="shared" si="148"/>
        <v>0</v>
      </c>
    </row>
    <row r="996" spans="1:15" x14ac:dyDescent="0.3">
      <c r="A996">
        <v>4</v>
      </c>
      <c r="B996">
        <v>2016</v>
      </c>
      <c r="C996">
        <v>851</v>
      </c>
      <c r="D996">
        <v>50</v>
      </c>
      <c r="E996">
        <v>75</v>
      </c>
      <c r="F996">
        <v>4.5</v>
      </c>
      <c r="G996">
        <f t="shared" si="149"/>
        <v>0</v>
      </c>
      <c r="H996">
        <f t="shared" si="149"/>
        <v>0</v>
      </c>
      <c r="I996">
        <f t="shared" si="149"/>
        <v>0</v>
      </c>
      <c r="J996">
        <f t="shared" si="149"/>
        <v>0</v>
      </c>
      <c r="K996">
        <f t="shared" si="149"/>
        <v>1</v>
      </c>
      <c r="L996">
        <f t="shared" si="149"/>
        <v>0</v>
      </c>
      <c r="M996">
        <f t="shared" si="148"/>
        <v>0</v>
      </c>
      <c r="N996">
        <f t="shared" si="148"/>
        <v>0</v>
      </c>
      <c r="O996">
        <f t="shared" si="148"/>
        <v>1</v>
      </c>
    </row>
    <row r="997" spans="1:15" x14ac:dyDescent="0.3">
      <c r="A997">
        <v>4</v>
      </c>
      <c r="B997">
        <v>2016</v>
      </c>
      <c r="C997">
        <v>850</v>
      </c>
      <c r="D997">
        <v>35</v>
      </c>
      <c r="E997">
        <v>16</v>
      </c>
      <c r="F997">
        <v>1</v>
      </c>
      <c r="G997">
        <f t="shared" si="149"/>
        <v>0</v>
      </c>
      <c r="H997">
        <f t="shared" si="149"/>
        <v>0</v>
      </c>
      <c r="I997">
        <f t="shared" si="149"/>
        <v>0</v>
      </c>
      <c r="J997">
        <f t="shared" si="149"/>
        <v>0</v>
      </c>
      <c r="K997">
        <f t="shared" si="149"/>
        <v>1</v>
      </c>
      <c r="L997">
        <f t="shared" si="149"/>
        <v>0</v>
      </c>
      <c r="M997">
        <f t="shared" si="148"/>
        <v>0</v>
      </c>
      <c r="N997">
        <f t="shared" si="148"/>
        <v>0</v>
      </c>
      <c r="O997">
        <f t="shared" si="148"/>
        <v>1</v>
      </c>
    </row>
    <row r="998" spans="1:15" x14ac:dyDescent="0.3">
      <c r="A998">
        <v>1</v>
      </c>
      <c r="B998">
        <v>2016</v>
      </c>
      <c r="C998">
        <v>842</v>
      </c>
      <c r="D998">
        <v>200</v>
      </c>
      <c r="E998">
        <v>536</v>
      </c>
      <c r="F998">
        <v>25</v>
      </c>
      <c r="G998">
        <f t="shared" si="149"/>
        <v>0</v>
      </c>
      <c r="H998">
        <f t="shared" si="149"/>
        <v>0</v>
      </c>
      <c r="I998">
        <f t="shared" si="149"/>
        <v>0</v>
      </c>
      <c r="J998">
        <f t="shared" si="149"/>
        <v>0</v>
      </c>
      <c r="K998">
        <f t="shared" si="149"/>
        <v>1</v>
      </c>
      <c r="L998">
        <f t="shared" si="149"/>
        <v>0</v>
      </c>
      <c r="M998">
        <f t="shared" si="148"/>
        <v>1</v>
      </c>
      <c r="N998">
        <f t="shared" si="148"/>
        <v>0</v>
      </c>
      <c r="O998">
        <f t="shared" si="148"/>
        <v>0</v>
      </c>
    </row>
    <row r="999" spans="1:15" x14ac:dyDescent="0.3">
      <c r="A999">
        <v>4</v>
      </c>
      <c r="B999">
        <v>2015</v>
      </c>
      <c r="C999">
        <v>841</v>
      </c>
      <c r="D999">
        <v>40</v>
      </c>
      <c r="E999">
        <v>29</v>
      </c>
      <c r="F999">
        <v>3.5</v>
      </c>
      <c r="G999">
        <f t="shared" si="149"/>
        <v>0</v>
      </c>
      <c r="H999">
        <f t="shared" si="149"/>
        <v>0</v>
      </c>
      <c r="I999">
        <f t="shared" si="149"/>
        <v>0</v>
      </c>
      <c r="J999">
        <f t="shared" si="149"/>
        <v>1</v>
      </c>
      <c r="K999">
        <f t="shared" si="149"/>
        <v>0</v>
      </c>
      <c r="L999">
        <f t="shared" si="149"/>
        <v>0</v>
      </c>
      <c r="M999">
        <f t="shared" si="148"/>
        <v>0</v>
      </c>
      <c r="N999">
        <f t="shared" si="148"/>
        <v>0</v>
      </c>
      <c r="O999">
        <f t="shared" si="148"/>
        <v>1</v>
      </c>
    </row>
    <row r="1000" spans="1:15" x14ac:dyDescent="0.3">
      <c r="A1000">
        <v>4</v>
      </c>
      <c r="B1000">
        <v>2016</v>
      </c>
      <c r="C1000">
        <v>838</v>
      </c>
      <c r="D1000">
        <v>25</v>
      </c>
      <c r="E1000">
        <v>23</v>
      </c>
      <c r="F1000">
        <v>2</v>
      </c>
      <c r="G1000">
        <f t="shared" si="149"/>
        <v>0</v>
      </c>
      <c r="H1000">
        <f t="shared" si="149"/>
        <v>0</v>
      </c>
      <c r="I1000">
        <f t="shared" si="149"/>
        <v>0</v>
      </c>
      <c r="J1000">
        <f t="shared" si="149"/>
        <v>0</v>
      </c>
      <c r="K1000">
        <f t="shared" si="149"/>
        <v>1</v>
      </c>
      <c r="L1000">
        <f t="shared" si="149"/>
        <v>0</v>
      </c>
      <c r="M1000">
        <f t="shared" si="148"/>
        <v>0</v>
      </c>
      <c r="N1000">
        <f t="shared" si="148"/>
        <v>0</v>
      </c>
      <c r="O1000">
        <f t="shared" si="148"/>
        <v>1</v>
      </c>
    </row>
    <row r="1001" spans="1:15" x14ac:dyDescent="0.3">
      <c r="A1001">
        <v>4</v>
      </c>
      <c r="B1001">
        <v>2017</v>
      </c>
      <c r="C1001">
        <v>817</v>
      </c>
      <c r="D1001">
        <v>95</v>
      </c>
      <c r="E1001">
        <v>32</v>
      </c>
      <c r="F1001">
        <v>1.5</v>
      </c>
      <c r="G1001">
        <f t="shared" si="149"/>
        <v>0</v>
      </c>
      <c r="H1001">
        <f t="shared" si="149"/>
        <v>0</v>
      </c>
      <c r="I1001">
        <f t="shared" si="149"/>
        <v>0</v>
      </c>
      <c r="J1001">
        <f t="shared" si="149"/>
        <v>0</v>
      </c>
      <c r="K1001">
        <f t="shared" si="149"/>
        <v>0</v>
      </c>
      <c r="L1001">
        <f t="shared" si="149"/>
        <v>1</v>
      </c>
      <c r="M1001">
        <f t="shared" si="148"/>
        <v>0</v>
      </c>
      <c r="N1001">
        <f t="shared" si="148"/>
        <v>0</v>
      </c>
      <c r="O1001">
        <f t="shared" si="148"/>
        <v>1</v>
      </c>
    </row>
    <row r="1002" spans="1:15" x14ac:dyDescent="0.3">
      <c r="A1002">
        <v>1</v>
      </c>
      <c r="B1002">
        <v>2016</v>
      </c>
      <c r="C1002">
        <v>817</v>
      </c>
      <c r="D1002">
        <v>150</v>
      </c>
      <c r="E1002">
        <v>131</v>
      </c>
      <c r="F1002">
        <v>19.5</v>
      </c>
      <c r="G1002">
        <f t="shared" ref="G1002:L1011" si="150">IF($B1002=G$1,1,0)</f>
        <v>0</v>
      </c>
      <c r="H1002">
        <f t="shared" si="150"/>
        <v>0</v>
      </c>
      <c r="I1002">
        <f t="shared" si="150"/>
        <v>0</v>
      </c>
      <c r="J1002">
        <f t="shared" si="150"/>
        <v>0</v>
      </c>
      <c r="K1002">
        <f t="shared" si="150"/>
        <v>1</v>
      </c>
      <c r="L1002">
        <f t="shared" si="150"/>
        <v>0</v>
      </c>
      <c r="M1002">
        <f t="shared" ref="M1002:O1021" si="151">IF($A1002=M$1,1,0)</f>
        <v>1</v>
      </c>
      <c r="N1002">
        <f t="shared" si="151"/>
        <v>0</v>
      </c>
      <c r="O1002">
        <f t="shared" si="151"/>
        <v>0</v>
      </c>
    </row>
    <row r="1003" spans="1:15" x14ac:dyDescent="0.3">
      <c r="A1003">
        <v>4</v>
      </c>
      <c r="B1003">
        <v>2016</v>
      </c>
      <c r="C1003">
        <v>803</v>
      </c>
      <c r="D1003">
        <v>40</v>
      </c>
      <c r="E1003">
        <v>7</v>
      </c>
      <c r="F1003">
        <v>0.51666666999999999</v>
      </c>
      <c r="G1003">
        <f t="shared" si="150"/>
        <v>0</v>
      </c>
      <c r="H1003">
        <f t="shared" si="150"/>
        <v>0</v>
      </c>
      <c r="I1003">
        <f t="shared" si="150"/>
        <v>0</v>
      </c>
      <c r="J1003">
        <f t="shared" si="150"/>
        <v>0</v>
      </c>
      <c r="K1003">
        <f t="shared" si="150"/>
        <v>1</v>
      </c>
      <c r="L1003">
        <f t="shared" si="150"/>
        <v>0</v>
      </c>
      <c r="M1003">
        <f t="shared" si="151"/>
        <v>0</v>
      </c>
      <c r="N1003">
        <f t="shared" si="151"/>
        <v>0</v>
      </c>
      <c r="O1003">
        <f t="shared" si="151"/>
        <v>1</v>
      </c>
    </row>
    <row r="1004" spans="1:15" x14ac:dyDescent="0.3">
      <c r="A1004">
        <v>1</v>
      </c>
      <c r="B1004">
        <v>2016</v>
      </c>
      <c r="C1004">
        <v>802</v>
      </c>
      <c r="D1004">
        <v>40</v>
      </c>
      <c r="E1004">
        <v>9</v>
      </c>
      <c r="F1004">
        <v>0.63333333000000003</v>
      </c>
      <c r="G1004">
        <f t="shared" si="150"/>
        <v>0</v>
      </c>
      <c r="H1004">
        <f t="shared" si="150"/>
        <v>0</v>
      </c>
      <c r="I1004">
        <f t="shared" si="150"/>
        <v>0</v>
      </c>
      <c r="J1004">
        <f t="shared" si="150"/>
        <v>0</v>
      </c>
      <c r="K1004">
        <f t="shared" si="150"/>
        <v>1</v>
      </c>
      <c r="L1004">
        <f t="shared" si="150"/>
        <v>0</v>
      </c>
      <c r="M1004">
        <f t="shared" si="151"/>
        <v>1</v>
      </c>
      <c r="N1004">
        <f t="shared" si="151"/>
        <v>0</v>
      </c>
      <c r="O1004">
        <f t="shared" si="151"/>
        <v>0</v>
      </c>
    </row>
    <row r="1005" spans="1:15" x14ac:dyDescent="0.3">
      <c r="A1005">
        <v>1</v>
      </c>
      <c r="B1005">
        <v>2016</v>
      </c>
      <c r="C1005">
        <v>799</v>
      </c>
      <c r="D1005">
        <v>95</v>
      </c>
      <c r="E1005">
        <v>41</v>
      </c>
      <c r="F1005">
        <v>6</v>
      </c>
      <c r="G1005">
        <f t="shared" si="150"/>
        <v>0</v>
      </c>
      <c r="H1005">
        <f t="shared" si="150"/>
        <v>0</v>
      </c>
      <c r="I1005">
        <f t="shared" si="150"/>
        <v>0</v>
      </c>
      <c r="J1005">
        <f t="shared" si="150"/>
        <v>0</v>
      </c>
      <c r="K1005">
        <f t="shared" si="150"/>
        <v>1</v>
      </c>
      <c r="L1005">
        <f t="shared" si="150"/>
        <v>0</v>
      </c>
      <c r="M1005">
        <f t="shared" si="151"/>
        <v>1</v>
      </c>
      <c r="N1005">
        <f t="shared" si="151"/>
        <v>0</v>
      </c>
      <c r="O1005">
        <f t="shared" si="151"/>
        <v>0</v>
      </c>
    </row>
    <row r="1006" spans="1:15" x14ac:dyDescent="0.3">
      <c r="A1006">
        <v>1</v>
      </c>
      <c r="B1006">
        <v>2016</v>
      </c>
      <c r="C1006">
        <v>796</v>
      </c>
      <c r="D1006">
        <v>20</v>
      </c>
      <c r="E1006">
        <v>18</v>
      </c>
      <c r="F1006">
        <v>1</v>
      </c>
      <c r="G1006">
        <f t="shared" si="150"/>
        <v>0</v>
      </c>
      <c r="H1006">
        <f t="shared" si="150"/>
        <v>0</v>
      </c>
      <c r="I1006">
        <f t="shared" si="150"/>
        <v>0</v>
      </c>
      <c r="J1006">
        <f t="shared" si="150"/>
        <v>0</v>
      </c>
      <c r="K1006">
        <f t="shared" si="150"/>
        <v>1</v>
      </c>
      <c r="L1006">
        <f t="shared" si="150"/>
        <v>0</v>
      </c>
      <c r="M1006">
        <f t="shared" si="151"/>
        <v>1</v>
      </c>
      <c r="N1006">
        <f t="shared" si="151"/>
        <v>0</v>
      </c>
      <c r="O1006">
        <f t="shared" si="151"/>
        <v>0</v>
      </c>
    </row>
    <row r="1007" spans="1:15" x14ac:dyDescent="0.3">
      <c r="A1007">
        <v>1</v>
      </c>
      <c r="B1007">
        <v>2016</v>
      </c>
      <c r="C1007">
        <v>796</v>
      </c>
      <c r="D1007">
        <v>40</v>
      </c>
      <c r="E1007">
        <v>29</v>
      </c>
      <c r="F1007">
        <v>4</v>
      </c>
      <c r="G1007">
        <f t="shared" si="150"/>
        <v>0</v>
      </c>
      <c r="H1007">
        <f t="shared" si="150"/>
        <v>0</v>
      </c>
      <c r="I1007">
        <f t="shared" si="150"/>
        <v>0</v>
      </c>
      <c r="J1007">
        <f t="shared" si="150"/>
        <v>0</v>
      </c>
      <c r="K1007">
        <f t="shared" si="150"/>
        <v>1</v>
      </c>
      <c r="L1007">
        <f t="shared" si="150"/>
        <v>0</v>
      </c>
      <c r="M1007">
        <f t="shared" si="151"/>
        <v>1</v>
      </c>
      <c r="N1007">
        <f t="shared" si="151"/>
        <v>0</v>
      </c>
      <c r="O1007">
        <f t="shared" si="151"/>
        <v>0</v>
      </c>
    </row>
    <row r="1008" spans="1:15" x14ac:dyDescent="0.3">
      <c r="A1008">
        <v>1</v>
      </c>
      <c r="B1008">
        <v>2016</v>
      </c>
      <c r="C1008">
        <v>791</v>
      </c>
      <c r="D1008">
        <v>20</v>
      </c>
      <c r="E1008">
        <v>24</v>
      </c>
      <c r="F1008">
        <v>2.5</v>
      </c>
      <c r="G1008">
        <f t="shared" si="150"/>
        <v>0</v>
      </c>
      <c r="H1008">
        <f t="shared" si="150"/>
        <v>0</v>
      </c>
      <c r="I1008">
        <f t="shared" si="150"/>
        <v>0</v>
      </c>
      <c r="J1008">
        <f t="shared" si="150"/>
        <v>0</v>
      </c>
      <c r="K1008">
        <f t="shared" si="150"/>
        <v>1</v>
      </c>
      <c r="L1008">
        <f t="shared" si="150"/>
        <v>0</v>
      </c>
      <c r="M1008">
        <f t="shared" si="151"/>
        <v>1</v>
      </c>
      <c r="N1008">
        <f t="shared" si="151"/>
        <v>0</v>
      </c>
      <c r="O1008">
        <f t="shared" si="151"/>
        <v>0</v>
      </c>
    </row>
    <row r="1009" spans="1:15" x14ac:dyDescent="0.3">
      <c r="A1009">
        <v>4</v>
      </c>
      <c r="B1009">
        <v>2014</v>
      </c>
      <c r="C1009">
        <v>791</v>
      </c>
      <c r="D1009">
        <v>20</v>
      </c>
      <c r="E1009">
        <v>16</v>
      </c>
      <c r="F1009">
        <v>1</v>
      </c>
      <c r="G1009">
        <f t="shared" si="150"/>
        <v>0</v>
      </c>
      <c r="H1009">
        <f t="shared" si="150"/>
        <v>0</v>
      </c>
      <c r="I1009">
        <f t="shared" si="150"/>
        <v>1</v>
      </c>
      <c r="J1009">
        <f t="shared" si="150"/>
        <v>0</v>
      </c>
      <c r="K1009">
        <f t="shared" si="150"/>
        <v>0</v>
      </c>
      <c r="L1009">
        <f t="shared" si="150"/>
        <v>0</v>
      </c>
      <c r="M1009">
        <f t="shared" si="151"/>
        <v>0</v>
      </c>
      <c r="N1009">
        <f t="shared" si="151"/>
        <v>0</v>
      </c>
      <c r="O1009">
        <f t="shared" si="151"/>
        <v>1</v>
      </c>
    </row>
    <row r="1010" spans="1:15" x14ac:dyDescent="0.3">
      <c r="A1010">
        <v>4</v>
      </c>
      <c r="B1010">
        <v>2013</v>
      </c>
      <c r="C1010">
        <v>788</v>
      </c>
      <c r="D1010">
        <v>50</v>
      </c>
      <c r="E1010">
        <v>25</v>
      </c>
      <c r="F1010">
        <v>2</v>
      </c>
      <c r="G1010">
        <f t="shared" si="150"/>
        <v>0</v>
      </c>
      <c r="H1010">
        <f t="shared" si="150"/>
        <v>1</v>
      </c>
      <c r="I1010">
        <f t="shared" si="150"/>
        <v>0</v>
      </c>
      <c r="J1010">
        <f t="shared" si="150"/>
        <v>0</v>
      </c>
      <c r="K1010">
        <f t="shared" si="150"/>
        <v>0</v>
      </c>
      <c r="L1010">
        <f t="shared" si="150"/>
        <v>0</v>
      </c>
      <c r="M1010">
        <f t="shared" si="151"/>
        <v>0</v>
      </c>
      <c r="N1010">
        <f t="shared" si="151"/>
        <v>0</v>
      </c>
      <c r="O1010">
        <f t="shared" si="151"/>
        <v>1</v>
      </c>
    </row>
    <row r="1011" spans="1:15" x14ac:dyDescent="0.3">
      <c r="A1011">
        <v>1</v>
      </c>
      <c r="B1011">
        <v>2016</v>
      </c>
      <c r="C1011">
        <v>785</v>
      </c>
      <c r="D1011">
        <v>25</v>
      </c>
      <c r="E1011">
        <v>25</v>
      </c>
      <c r="F1011">
        <v>1</v>
      </c>
      <c r="G1011">
        <f t="shared" si="150"/>
        <v>0</v>
      </c>
      <c r="H1011">
        <f t="shared" si="150"/>
        <v>0</v>
      </c>
      <c r="I1011">
        <f t="shared" si="150"/>
        <v>0</v>
      </c>
      <c r="J1011">
        <f t="shared" si="150"/>
        <v>0</v>
      </c>
      <c r="K1011">
        <f t="shared" si="150"/>
        <v>1</v>
      </c>
      <c r="L1011">
        <f t="shared" si="150"/>
        <v>0</v>
      </c>
      <c r="M1011">
        <f t="shared" si="151"/>
        <v>1</v>
      </c>
      <c r="N1011">
        <f t="shared" si="151"/>
        <v>0</v>
      </c>
      <c r="O1011">
        <f t="shared" si="151"/>
        <v>0</v>
      </c>
    </row>
    <row r="1012" spans="1:15" x14ac:dyDescent="0.3">
      <c r="A1012">
        <v>4</v>
      </c>
      <c r="B1012">
        <v>2016</v>
      </c>
      <c r="C1012">
        <v>783</v>
      </c>
      <c r="D1012">
        <v>20</v>
      </c>
      <c r="E1012">
        <v>13</v>
      </c>
      <c r="F1012">
        <v>0.61666666999999997</v>
      </c>
      <c r="G1012">
        <f t="shared" ref="G1012:L1021" si="152">IF($B1012=G$1,1,0)</f>
        <v>0</v>
      </c>
      <c r="H1012">
        <f t="shared" si="152"/>
        <v>0</v>
      </c>
      <c r="I1012">
        <f t="shared" si="152"/>
        <v>0</v>
      </c>
      <c r="J1012">
        <f t="shared" si="152"/>
        <v>0</v>
      </c>
      <c r="K1012">
        <f t="shared" si="152"/>
        <v>1</v>
      </c>
      <c r="L1012">
        <f t="shared" si="152"/>
        <v>0</v>
      </c>
      <c r="M1012">
        <f t="shared" si="151"/>
        <v>0</v>
      </c>
      <c r="N1012">
        <f t="shared" si="151"/>
        <v>0</v>
      </c>
      <c r="O1012">
        <f t="shared" si="151"/>
        <v>1</v>
      </c>
    </row>
    <row r="1013" spans="1:15" x14ac:dyDescent="0.3">
      <c r="A1013">
        <v>1</v>
      </c>
      <c r="B1013">
        <v>2017</v>
      </c>
      <c r="C1013">
        <v>783</v>
      </c>
      <c r="D1013">
        <v>115</v>
      </c>
      <c r="E1013">
        <v>13</v>
      </c>
      <c r="F1013">
        <v>1</v>
      </c>
      <c r="G1013">
        <f t="shared" si="152"/>
        <v>0</v>
      </c>
      <c r="H1013">
        <f t="shared" si="152"/>
        <v>0</v>
      </c>
      <c r="I1013">
        <f t="shared" si="152"/>
        <v>0</v>
      </c>
      <c r="J1013">
        <f t="shared" si="152"/>
        <v>0</v>
      </c>
      <c r="K1013">
        <f t="shared" si="152"/>
        <v>0</v>
      </c>
      <c r="L1013">
        <f t="shared" si="152"/>
        <v>1</v>
      </c>
      <c r="M1013">
        <f t="shared" si="151"/>
        <v>1</v>
      </c>
      <c r="N1013">
        <f t="shared" si="151"/>
        <v>0</v>
      </c>
      <c r="O1013">
        <f t="shared" si="151"/>
        <v>0</v>
      </c>
    </row>
    <row r="1014" spans="1:15" x14ac:dyDescent="0.3">
      <c r="A1014">
        <v>1</v>
      </c>
      <c r="B1014">
        <v>2016</v>
      </c>
      <c r="C1014">
        <v>775</v>
      </c>
      <c r="D1014">
        <v>30</v>
      </c>
      <c r="E1014">
        <v>82</v>
      </c>
      <c r="F1014">
        <v>8</v>
      </c>
      <c r="G1014">
        <f t="shared" si="152"/>
        <v>0</v>
      </c>
      <c r="H1014">
        <f t="shared" si="152"/>
        <v>0</v>
      </c>
      <c r="I1014">
        <f t="shared" si="152"/>
        <v>0</v>
      </c>
      <c r="J1014">
        <f t="shared" si="152"/>
        <v>0</v>
      </c>
      <c r="K1014">
        <f t="shared" si="152"/>
        <v>1</v>
      </c>
      <c r="L1014">
        <f t="shared" si="152"/>
        <v>0</v>
      </c>
      <c r="M1014">
        <f t="shared" si="151"/>
        <v>1</v>
      </c>
      <c r="N1014">
        <f t="shared" si="151"/>
        <v>0</v>
      </c>
      <c r="O1014">
        <f t="shared" si="151"/>
        <v>0</v>
      </c>
    </row>
    <row r="1015" spans="1:15" x14ac:dyDescent="0.3">
      <c r="A1015">
        <v>1</v>
      </c>
      <c r="B1015">
        <v>2014</v>
      </c>
      <c r="C1015">
        <v>770</v>
      </c>
      <c r="D1015">
        <v>35</v>
      </c>
      <c r="E1015">
        <v>84</v>
      </c>
      <c r="F1015">
        <v>8</v>
      </c>
      <c r="G1015">
        <f t="shared" si="152"/>
        <v>0</v>
      </c>
      <c r="H1015">
        <f t="shared" si="152"/>
        <v>0</v>
      </c>
      <c r="I1015">
        <f t="shared" si="152"/>
        <v>1</v>
      </c>
      <c r="J1015">
        <f t="shared" si="152"/>
        <v>0</v>
      </c>
      <c r="K1015">
        <f t="shared" si="152"/>
        <v>0</v>
      </c>
      <c r="L1015">
        <f t="shared" si="152"/>
        <v>0</v>
      </c>
      <c r="M1015">
        <f t="shared" si="151"/>
        <v>1</v>
      </c>
      <c r="N1015">
        <f t="shared" si="151"/>
        <v>0</v>
      </c>
      <c r="O1015">
        <f t="shared" si="151"/>
        <v>0</v>
      </c>
    </row>
    <row r="1016" spans="1:15" x14ac:dyDescent="0.3">
      <c r="A1016">
        <v>1</v>
      </c>
      <c r="B1016">
        <v>2016</v>
      </c>
      <c r="C1016">
        <v>770</v>
      </c>
      <c r="D1016">
        <v>30</v>
      </c>
      <c r="E1016">
        <v>8</v>
      </c>
      <c r="F1016">
        <v>0.63333333000000003</v>
      </c>
      <c r="G1016">
        <f t="shared" si="152"/>
        <v>0</v>
      </c>
      <c r="H1016">
        <f t="shared" si="152"/>
        <v>0</v>
      </c>
      <c r="I1016">
        <f t="shared" si="152"/>
        <v>0</v>
      </c>
      <c r="J1016">
        <f t="shared" si="152"/>
        <v>0</v>
      </c>
      <c r="K1016">
        <f t="shared" si="152"/>
        <v>1</v>
      </c>
      <c r="L1016">
        <f t="shared" si="152"/>
        <v>0</v>
      </c>
      <c r="M1016">
        <f t="shared" si="151"/>
        <v>1</v>
      </c>
      <c r="N1016">
        <f t="shared" si="151"/>
        <v>0</v>
      </c>
      <c r="O1016">
        <f t="shared" si="151"/>
        <v>0</v>
      </c>
    </row>
    <row r="1017" spans="1:15" x14ac:dyDescent="0.3">
      <c r="A1017">
        <v>1</v>
      </c>
      <c r="B1017">
        <v>2016</v>
      </c>
      <c r="C1017">
        <v>767</v>
      </c>
      <c r="D1017">
        <v>95</v>
      </c>
      <c r="E1017">
        <v>81</v>
      </c>
      <c r="F1017">
        <v>5.5</v>
      </c>
      <c r="G1017">
        <f t="shared" si="152"/>
        <v>0</v>
      </c>
      <c r="H1017">
        <f t="shared" si="152"/>
        <v>0</v>
      </c>
      <c r="I1017">
        <f t="shared" si="152"/>
        <v>0</v>
      </c>
      <c r="J1017">
        <f t="shared" si="152"/>
        <v>0</v>
      </c>
      <c r="K1017">
        <f t="shared" si="152"/>
        <v>1</v>
      </c>
      <c r="L1017">
        <f t="shared" si="152"/>
        <v>0</v>
      </c>
      <c r="M1017">
        <f t="shared" si="151"/>
        <v>1</v>
      </c>
      <c r="N1017">
        <f t="shared" si="151"/>
        <v>0</v>
      </c>
      <c r="O1017">
        <f t="shared" si="151"/>
        <v>0</v>
      </c>
    </row>
    <row r="1018" spans="1:15" x14ac:dyDescent="0.3">
      <c r="A1018">
        <v>4</v>
      </c>
      <c r="B1018">
        <v>2016</v>
      </c>
      <c r="C1018">
        <v>764</v>
      </c>
      <c r="D1018">
        <v>35</v>
      </c>
      <c r="E1018">
        <v>8</v>
      </c>
      <c r="F1018">
        <v>1</v>
      </c>
      <c r="G1018">
        <f t="shared" si="152"/>
        <v>0</v>
      </c>
      <c r="H1018">
        <f t="shared" si="152"/>
        <v>0</v>
      </c>
      <c r="I1018">
        <f t="shared" si="152"/>
        <v>0</v>
      </c>
      <c r="J1018">
        <f t="shared" si="152"/>
        <v>0</v>
      </c>
      <c r="K1018">
        <f t="shared" si="152"/>
        <v>1</v>
      </c>
      <c r="L1018">
        <f t="shared" si="152"/>
        <v>0</v>
      </c>
      <c r="M1018">
        <f t="shared" si="151"/>
        <v>0</v>
      </c>
      <c r="N1018">
        <f t="shared" si="151"/>
        <v>0</v>
      </c>
      <c r="O1018">
        <f t="shared" si="151"/>
        <v>1</v>
      </c>
    </row>
    <row r="1019" spans="1:15" x14ac:dyDescent="0.3">
      <c r="A1019">
        <v>2</v>
      </c>
      <c r="B1019">
        <v>2016</v>
      </c>
      <c r="C1019">
        <v>755</v>
      </c>
      <c r="D1019">
        <v>65</v>
      </c>
      <c r="E1019">
        <v>18</v>
      </c>
      <c r="F1019">
        <v>2</v>
      </c>
      <c r="G1019">
        <f t="shared" si="152"/>
        <v>0</v>
      </c>
      <c r="H1019">
        <f t="shared" si="152"/>
        <v>0</v>
      </c>
      <c r="I1019">
        <f t="shared" si="152"/>
        <v>0</v>
      </c>
      <c r="J1019">
        <f t="shared" si="152"/>
        <v>0</v>
      </c>
      <c r="K1019">
        <f t="shared" si="152"/>
        <v>1</v>
      </c>
      <c r="L1019">
        <f t="shared" si="152"/>
        <v>0</v>
      </c>
      <c r="M1019">
        <f t="shared" si="151"/>
        <v>0</v>
      </c>
      <c r="N1019">
        <f t="shared" si="151"/>
        <v>1</v>
      </c>
      <c r="O1019">
        <f t="shared" si="151"/>
        <v>0</v>
      </c>
    </row>
    <row r="1020" spans="1:15" x14ac:dyDescent="0.3">
      <c r="A1020">
        <v>4</v>
      </c>
      <c r="B1020">
        <v>2016</v>
      </c>
      <c r="C1020">
        <v>755</v>
      </c>
      <c r="D1020">
        <v>35</v>
      </c>
      <c r="E1020">
        <v>7</v>
      </c>
      <c r="F1020">
        <v>0.7</v>
      </c>
      <c r="G1020">
        <f t="shared" si="152"/>
        <v>0</v>
      </c>
      <c r="H1020">
        <f t="shared" si="152"/>
        <v>0</v>
      </c>
      <c r="I1020">
        <f t="shared" si="152"/>
        <v>0</v>
      </c>
      <c r="J1020">
        <f t="shared" si="152"/>
        <v>0</v>
      </c>
      <c r="K1020">
        <f t="shared" si="152"/>
        <v>1</v>
      </c>
      <c r="L1020">
        <f t="shared" si="152"/>
        <v>0</v>
      </c>
      <c r="M1020">
        <f t="shared" si="151"/>
        <v>0</v>
      </c>
      <c r="N1020">
        <f t="shared" si="151"/>
        <v>0</v>
      </c>
      <c r="O1020">
        <f t="shared" si="151"/>
        <v>1</v>
      </c>
    </row>
    <row r="1021" spans="1:15" x14ac:dyDescent="0.3">
      <c r="A1021">
        <v>4</v>
      </c>
      <c r="B1021">
        <v>2015</v>
      </c>
      <c r="C1021">
        <v>746</v>
      </c>
      <c r="D1021">
        <v>30</v>
      </c>
      <c r="E1021">
        <v>39</v>
      </c>
      <c r="F1021">
        <v>6.5</v>
      </c>
      <c r="G1021">
        <f t="shared" si="152"/>
        <v>0</v>
      </c>
      <c r="H1021">
        <f t="shared" si="152"/>
        <v>0</v>
      </c>
      <c r="I1021">
        <f t="shared" si="152"/>
        <v>0</v>
      </c>
      <c r="J1021">
        <f t="shared" si="152"/>
        <v>1</v>
      </c>
      <c r="K1021">
        <f t="shared" si="152"/>
        <v>0</v>
      </c>
      <c r="L1021">
        <f t="shared" si="152"/>
        <v>0</v>
      </c>
      <c r="M1021">
        <f t="shared" si="151"/>
        <v>0</v>
      </c>
      <c r="N1021">
        <f t="shared" si="151"/>
        <v>0</v>
      </c>
      <c r="O1021">
        <f t="shared" si="151"/>
        <v>1</v>
      </c>
    </row>
    <row r="1022" spans="1:15" x14ac:dyDescent="0.3">
      <c r="A1022">
        <v>1</v>
      </c>
      <c r="B1022">
        <v>2015</v>
      </c>
      <c r="C1022">
        <v>735</v>
      </c>
      <c r="D1022">
        <v>120</v>
      </c>
      <c r="E1022">
        <v>30</v>
      </c>
      <c r="F1022">
        <v>1.5</v>
      </c>
      <c r="G1022">
        <f t="shared" ref="G1022:L1031" si="153">IF($B1022=G$1,1,0)</f>
        <v>0</v>
      </c>
      <c r="H1022">
        <f t="shared" si="153"/>
        <v>0</v>
      </c>
      <c r="I1022">
        <f t="shared" si="153"/>
        <v>0</v>
      </c>
      <c r="J1022">
        <f t="shared" si="153"/>
        <v>1</v>
      </c>
      <c r="K1022">
        <f t="shared" si="153"/>
        <v>0</v>
      </c>
      <c r="L1022">
        <f t="shared" si="153"/>
        <v>0</v>
      </c>
      <c r="M1022">
        <f t="shared" ref="M1022:O1041" si="154">IF($A1022=M$1,1,0)</f>
        <v>1</v>
      </c>
      <c r="N1022">
        <f t="shared" si="154"/>
        <v>0</v>
      </c>
      <c r="O1022">
        <f t="shared" si="154"/>
        <v>0</v>
      </c>
    </row>
    <row r="1023" spans="1:15" x14ac:dyDescent="0.3">
      <c r="A1023">
        <v>4</v>
      </c>
      <c r="B1023">
        <v>2017</v>
      </c>
      <c r="C1023">
        <v>733</v>
      </c>
      <c r="D1023">
        <v>85</v>
      </c>
      <c r="E1023">
        <v>50</v>
      </c>
      <c r="F1023">
        <v>3</v>
      </c>
      <c r="G1023">
        <f t="shared" si="153"/>
        <v>0</v>
      </c>
      <c r="H1023">
        <f t="shared" si="153"/>
        <v>0</v>
      </c>
      <c r="I1023">
        <f t="shared" si="153"/>
        <v>0</v>
      </c>
      <c r="J1023">
        <f t="shared" si="153"/>
        <v>0</v>
      </c>
      <c r="K1023">
        <f t="shared" si="153"/>
        <v>0</v>
      </c>
      <c r="L1023">
        <f t="shared" si="153"/>
        <v>1</v>
      </c>
      <c r="M1023">
        <f t="shared" si="154"/>
        <v>0</v>
      </c>
      <c r="N1023">
        <f t="shared" si="154"/>
        <v>0</v>
      </c>
      <c r="O1023">
        <f t="shared" si="154"/>
        <v>1</v>
      </c>
    </row>
    <row r="1024" spans="1:15" x14ac:dyDescent="0.3">
      <c r="A1024">
        <v>4</v>
      </c>
      <c r="B1024">
        <v>2015</v>
      </c>
      <c r="C1024">
        <v>723</v>
      </c>
      <c r="D1024">
        <v>40</v>
      </c>
      <c r="E1024">
        <v>37</v>
      </c>
      <c r="F1024">
        <v>6.5</v>
      </c>
      <c r="G1024">
        <f t="shared" si="153"/>
        <v>0</v>
      </c>
      <c r="H1024">
        <f t="shared" si="153"/>
        <v>0</v>
      </c>
      <c r="I1024">
        <f t="shared" si="153"/>
        <v>0</v>
      </c>
      <c r="J1024">
        <f t="shared" si="153"/>
        <v>1</v>
      </c>
      <c r="K1024">
        <f t="shared" si="153"/>
        <v>0</v>
      </c>
      <c r="L1024">
        <f t="shared" si="153"/>
        <v>0</v>
      </c>
      <c r="M1024">
        <f t="shared" si="154"/>
        <v>0</v>
      </c>
      <c r="N1024">
        <f t="shared" si="154"/>
        <v>0</v>
      </c>
      <c r="O1024">
        <f t="shared" si="154"/>
        <v>1</v>
      </c>
    </row>
    <row r="1025" spans="1:15" x14ac:dyDescent="0.3">
      <c r="A1025">
        <v>4</v>
      </c>
      <c r="B1025">
        <v>2015</v>
      </c>
      <c r="C1025">
        <v>722</v>
      </c>
      <c r="D1025">
        <v>20</v>
      </c>
      <c r="E1025">
        <v>18</v>
      </c>
      <c r="F1025">
        <v>1.5</v>
      </c>
      <c r="G1025">
        <f t="shared" si="153"/>
        <v>0</v>
      </c>
      <c r="H1025">
        <f t="shared" si="153"/>
        <v>0</v>
      </c>
      <c r="I1025">
        <f t="shared" si="153"/>
        <v>0</v>
      </c>
      <c r="J1025">
        <f t="shared" si="153"/>
        <v>1</v>
      </c>
      <c r="K1025">
        <f t="shared" si="153"/>
        <v>0</v>
      </c>
      <c r="L1025">
        <f t="shared" si="153"/>
        <v>0</v>
      </c>
      <c r="M1025">
        <f t="shared" si="154"/>
        <v>0</v>
      </c>
      <c r="N1025">
        <f t="shared" si="154"/>
        <v>0</v>
      </c>
      <c r="O1025">
        <f t="shared" si="154"/>
        <v>1</v>
      </c>
    </row>
    <row r="1026" spans="1:15" x14ac:dyDescent="0.3">
      <c r="A1026">
        <v>4</v>
      </c>
      <c r="B1026">
        <v>2016</v>
      </c>
      <c r="C1026">
        <v>716</v>
      </c>
      <c r="D1026">
        <v>50</v>
      </c>
      <c r="E1026">
        <v>57</v>
      </c>
      <c r="F1026">
        <v>4</v>
      </c>
      <c r="G1026">
        <f t="shared" si="153"/>
        <v>0</v>
      </c>
      <c r="H1026">
        <f t="shared" si="153"/>
        <v>0</v>
      </c>
      <c r="I1026">
        <f t="shared" si="153"/>
        <v>0</v>
      </c>
      <c r="J1026">
        <f t="shared" si="153"/>
        <v>0</v>
      </c>
      <c r="K1026">
        <f t="shared" si="153"/>
        <v>1</v>
      </c>
      <c r="L1026">
        <f t="shared" si="153"/>
        <v>0</v>
      </c>
      <c r="M1026">
        <f t="shared" si="154"/>
        <v>0</v>
      </c>
      <c r="N1026">
        <f t="shared" si="154"/>
        <v>0</v>
      </c>
      <c r="O1026">
        <f t="shared" si="154"/>
        <v>1</v>
      </c>
    </row>
    <row r="1027" spans="1:15" x14ac:dyDescent="0.3">
      <c r="A1027">
        <v>4</v>
      </c>
      <c r="B1027">
        <v>2014</v>
      </c>
      <c r="C1027">
        <v>716</v>
      </c>
      <c r="D1027">
        <v>85</v>
      </c>
      <c r="E1027">
        <v>34</v>
      </c>
      <c r="F1027">
        <v>2</v>
      </c>
      <c r="G1027">
        <f t="shared" si="153"/>
        <v>0</v>
      </c>
      <c r="H1027">
        <f t="shared" si="153"/>
        <v>0</v>
      </c>
      <c r="I1027">
        <f t="shared" si="153"/>
        <v>1</v>
      </c>
      <c r="J1027">
        <f t="shared" si="153"/>
        <v>0</v>
      </c>
      <c r="K1027">
        <f t="shared" si="153"/>
        <v>0</v>
      </c>
      <c r="L1027">
        <f t="shared" si="153"/>
        <v>0</v>
      </c>
      <c r="M1027">
        <f t="shared" si="154"/>
        <v>0</v>
      </c>
      <c r="N1027">
        <f t="shared" si="154"/>
        <v>0</v>
      </c>
      <c r="O1027">
        <f t="shared" si="154"/>
        <v>1</v>
      </c>
    </row>
    <row r="1028" spans="1:15" x14ac:dyDescent="0.3">
      <c r="A1028">
        <v>2</v>
      </c>
      <c r="B1028">
        <v>2016</v>
      </c>
      <c r="C1028">
        <v>715</v>
      </c>
      <c r="D1028">
        <v>20</v>
      </c>
      <c r="E1028">
        <v>12</v>
      </c>
      <c r="F1028">
        <v>1.5</v>
      </c>
      <c r="G1028">
        <f t="shared" si="153"/>
        <v>0</v>
      </c>
      <c r="H1028">
        <f t="shared" si="153"/>
        <v>0</v>
      </c>
      <c r="I1028">
        <f t="shared" si="153"/>
        <v>0</v>
      </c>
      <c r="J1028">
        <f t="shared" si="153"/>
        <v>0</v>
      </c>
      <c r="K1028">
        <f t="shared" si="153"/>
        <v>1</v>
      </c>
      <c r="L1028">
        <f t="shared" si="153"/>
        <v>0</v>
      </c>
      <c r="M1028">
        <f t="shared" si="154"/>
        <v>0</v>
      </c>
      <c r="N1028">
        <f t="shared" si="154"/>
        <v>1</v>
      </c>
      <c r="O1028">
        <f t="shared" si="154"/>
        <v>0</v>
      </c>
    </row>
    <row r="1029" spans="1:15" x14ac:dyDescent="0.3">
      <c r="A1029">
        <v>4</v>
      </c>
      <c r="B1029">
        <v>2014</v>
      </c>
      <c r="C1029">
        <v>714</v>
      </c>
      <c r="D1029">
        <v>85</v>
      </c>
      <c r="E1029">
        <v>28</v>
      </c>
      <c r="F1029">
        <v>3</v>
      </c>
      <c r="G1029">
        <f t="shared" si="153"/>
        <v>0</v>
      </c>
      <c r="H1029">
        <f t="shared" si="153"/>
        <v>0</v>
      </c>
      <c r="I1029">
        <f t="shared" si="153"/>
        <v>1</v>
      </c>
      <c r="J1029">
        <f t="shared" si="153"/>
        <v>0</v>
      </c>
      <c r="K1029">
        <f t="shared" si="153"/>
        <v>0</v>
      </c>
      <c r="L1029">
        <f t="shared" si="153"/>
        <v>0</v>
      </c>
      <c r="M1029">
        <f t="shared" si="154"/>
        <v>0</v>
      </c>
      <c r="N1029">
        <f t="shared" si="154"/>
        <v>0</v>
      </c>
      <c r="O1029">
        <f t="shared" si="154"/>
        <v>1</v>
      </c>
    </row>
    <row r="1030" spans="1:15" x14ac:dyDescent="0.3">
      <c r="A1030">
        <v>4</v>
      </c>
      <c r="B1030">
        <v>2016</v>
      </c>
      <c r="C1030">
        <v>713</v>
      </c>
      <c r="D1030">
        <v>65</v>
      </c>
      <c r="E1030">
        <v>8</v>
      </c>
      <c r="F1030">
        <v>1.5</v>
      </c>
      <c r="G1030">
        <f t="shared" si="153"/>
        <v>0</v>
      </c>
      <c r="H1030">
        <f t="shared" si="153"/>
        <v>0</v>
      </c>
      <c r="I1030">
        <f t="shared" si="153"/>
        <v>0</v>
      </c>
      <c r="J1030">
        <f t="shared" si="153"/>
        <v>0</v>
      </c>
      <c r="K1030">
        <f t="shared" si="153"/>
        <v>1</v>
      </c>
      <c r="L1030">
        <f t="shared" si="153"/>
        <v>0</v>
      </c>
      <c r="M1030">
        <f t="shared" si="154"/>
        <v>0</v>
      </c>
      <c r="N1030">
        <f t="shared" si="154"/>
        <v>0</v>
      </c>
      <c r="O1030">
        <f t="shared" si="154"/>
        <v>1</v>
      </c>
    </row>
    <row r="1031" spans="1:15" x14ac:dyDescent="0.3">
      <c r="A1031">
        <v>4</v>
      </c>
      <c r="B1031">
        <v>2017</v>
      </c>
      <c r="C1031">
        <v>710</v>
      </c>
      <c r="D1031">
        <v>105</v>
      </c>
      <c r="E1031">
        <v>49</v>
      </c>
      <c r="F1031">
        <v>3.5</v>
      </c>
      <c r="G1031">
        <f t="shared" si="153"/>
        <v>0</v>
      </c>
      <c r="H1031">
        <f t="shared" si="153"/>
        <v>0</v>
      </c>
      <c r="I1031">
        <f t="shared" si="153"/>
        <v>0</v>
      </c>
      <c r="J1031">
        <f t="shared" si="153"/>
        <v>0</v>
      </c>
      <c r="K1031">
        <f t="shared" si="153"/>
        <v>0</v>
      </c>
      <c r="L1031">
        <f t="shared" si="153"/>
        <v>1</v>
      </c>
      <c r="M1031">
        <f t="shared" si="154"/>
        <v>0</v>
      </c>
      <c r="N1031">
        <f t="shared" si="154"/>
        <v>0</v>
      </c>
      <c r="O1031">
        <f t="shared" si="154"/>
        <v>1</v>
      </c>
    </row>
    <row r="1032" spans="1:15" x14ac:dyDescent="0.3">
      <c r="A1032">
        <v>1</v>
      </c>
      <c r="B1032">
        <v>2015</v>
      </c>
      <c r="C1032">
        <v>707</v>
      </c>
      <c r="D1032">
        <v>120</v>
      </c>
      <c r="E1032">
        <v>103</v>
      </c>
      <c r="F1032">
        <v>6.5</v>
      </c>
      <c r="G1032">
        <f t="shared" ref="G1032:L1041" si="155">IF($B1032=G$1,1,0)</f>
        <v>0</v>
      </c>
      <c r="H1032">
        <f t="shared" si="155"/>
        <v>0</v>
      </c>
      <c r="I1032">
        <f t="shared" si="155"/>
        <v>0</v>
      </c>
      <c r="J1032">
        <f t="shared" si="155"/>
        <v>1</v>
      </c>
      <c r="K1032">
        <f t="shared" si="155"/>
        <v>0</v>
      </c>
      <c r="L1032">
        <f t="shared" si="155"/>
        <v>0</v>
      </c>
      <c r="M1032">
        <f t="shared" si="154"/>
        <v>1</v>
      </c>
      <c r="N1032">
        <f t="shared" si="154"/>
        <v>0</v>
      </c>
      <c r="O1032">
        <f t="shared" si="154"/>
        <v>0</v>
      </c>
    </row>
    <row r="1033" spans="1:15" x14ac:dyDescent="0.3">
      <c r="A1033">
        <v>1</v>
      </c>
      <c r="B1033">
        <v>2016</v>
      </c>
      <c r="C1033">
        <v>702</v>
      </c>
      <c r="D1033">
        <v>20</v>
      </c>
      <c r="E1033">
        <v>30</v>
      </c>
      <c r="F1033">
        <v>3</v>
      </c>
      <c r="G1033">
        <f t="shared" si="155"/>
        <v>0</v>
      </c>
      <c r="H1033">
        <f t="shared" si="155"/>
        <v>0</v>
      </c>
      <c r="I1033">
        <f t="shared" si="155"/>
        <v>0</v>
      </c>
      <c r="J1033">
        <f t="shared" si="155"/>
        <v>0</v>
      </c>
      <c r="K1033">
        <f t="shared" si="155"/>
        <v>1</v>
      </c>
      <c r="L1033">
        <f t="shared" si="155"/>
        <v>0</v>
      </c>
      <c r="M1033">
        <f t="shared" si="154"/>
        <v>1</v>
      </c>
      <c r="N1033">
        <f t="shared" si="154"/>
        <v>0</v>
      </c>
      <c r="O1033">
        <f t="shared" si="154"/>
        <v>0</v>
      </c>
    </row>
    <row r="1034" spans="1:15" x14ac:dyDescent="0.3">
      <c r="A1034">
        <v>4</v>
      </c>
      <c r="B1034">
        <v>2015</v>
      </c>
      <c r="C1034">
        <v>694</v>
      </c>
      <c r="D1034">
        <v>95</v>
      </c>
      <c r="E1034">
        <v>39</v>
      </c>
      <c r="F1034">
        <v>4</v>
      </c>
      <c r="G1034">
        <f t="shared" si="155"/>
        <v>0</v>
      </c>
      <c r="H1034">
        <f t="shared" si="155"/>
        <v>0</v>
      </c>
      <c r="I1034">
        <f t="shared" si="155"/>
        <v>0</v>
      </c>
      <c r="J1034">
        <f t="shared" si="155"/>
        <v>1</v>
      </c>
      <c r="K1034">
        <f t="shared" si="155"/>
        <v>0</v>
      </c>
      <c r="L1034">
        <f t="shared" si="155"/>
        <v>0</v>
      </c>
      <c r="M1034">
        <f t="shared" si="154"/>
        <v>0</v>
      </c>
      <c r="N1034">
        <f t="shared" si="154"/>
        <v>0</v>
      </c>
      <c r="O1034">
        <f t="shared" si="154"/>
        <v>1</v>
      </c>
    </row>
    <row r="1035" spans="1:15" x14ac:dyDescent="0.3">
      <c r="A1035">
        <v>4</v>
      </c>
      <c r="B1035">
        <v>2016</v>
      </c>
      <c r="C1035">
        <v>686</v>
      </c>
      <c r="D1035">
        <v>20</v>
      </c>
      <c r="E1035">
        <v>21</v>
      </c>
      <c r="F1035">
        <v>3</v>
      </c>
      <c r="G1035">
        <f t="shared" si="155"/>
        <v>0</v>
      </c>
      <c r="H1035">
        <f t="shared" si="155"/>
        <v>0</v>
      </c>
      <c r="I1035">
        <f t="shared" si="155"/>
        <v>0</v>
      </c>
      <c r="J1035">
        <f t="shared" si="155"/>
        <v>0</v>
      </c>
      <c r="K1035">
        <f t="shared" si="155"/>
        <v>1</v>
      </c>
      <c r="L1035">
        <f t="shared" si="155"/>
        <v>0</v>
      </c>
      <c r="M1035">
        <f t="shared" si="154"/>
        <v>0</v>
      </c>
      <c r="N1035">
        <f t="shared" si="154"/>
        <v>0</v>
      </c>
      <c r="O1035">
        <f t="shared" si="154"/>
        <v>1</v>
      </c>
    </row>
    <row r="1036" spans="1:15" x14ac:dyDescent="0.3">
      <c r="A1036">
        <v>4</v>
      </c>
      <c r="B1036">
        <v>2016</v>
      </c>
      <c r="C1036">
        <v>685</v>
      </c>
      <c r="D1036">
        <v>50</v>
      </c>
      <c r="E1036">
        <v>14</v>
      </c>
      <c r="F1036">
        <v>1</v>
      </c>
      <c r="G1036">
        <f t="shared" si="155"/>
        <v>0</v>
      </c>
      <c r="H1036">
        <f t="shared" si="155"/>
        <v>0</v>
      </c>
      <c r="I1036">
        <f t="shared" si="155"/>
        <v>0</v>
      </c>
      <c r="J1036">
        <f t="shared" si="155"/>
        <v>0</v>
      </c>
      <c r="K1036">
        <f t="shared" si="155"/>
        <v>1</v>
      </c>
      <c r="L1036">
        <f t="shared" si="155"/>
        <v>0</v>
      </c>
      <c r="M1036">
        <f t="shared" si="154"/>
        <v>0</v>
      </c>
      <c r="N1036">
        <f t="shared" si="154"/>
        <v>0</v>
      </c>
      <c r="O1036">
        <f t="shared" si="154"/>
        <v>1</v>
      </c>
    </row>
    <row r="1037" spans="1:15" x14ac:dyDescent="0.3">
      <c r="A1037">
        <v>4</v>
      </c>
      <c r="B1037">
        <v>2017</v>
      </c>
      <c r="C1037">
        <v>676</v>
      </c>
      <c r="D1037">
        <v>200</v>
      </c>
      <c r="E1037">
        <v>125</v>
      </c>
      <c r="F1037">
        <v>14</v>
      </c>
      <c r="G1037">
        <f t="shared" si="155"/>
        <v>0</v>
      </c>
      <c r="H1037">
        <f t="shared" si="155"/>
        <v>0</v>
      </c>
      <c r="I1037">
        <f t="shared" si="155"/>
        <v>0</v>
      </c>
      <c r="J1037">
        <f t="shared" si="155"/>
        <v>0</v>
      </c>
      <c r="K1037">
        <f t="shared" si="155"/>
        <v>0</v>
      </c>
      <c r="L1037">
        <f t="shared" si="155"/>
        <v>1</v>
      </c>
      <c r="M1037">
        <f t="shared" si="154"/>
        <v>0</v>
      </c>
      <c r="N1037">
        <f t="shared" si="154"/>
        <v>0</v>
      </c>
      <c r="O1037">
        <f t="shared" si="154"/>
        <v>1</v>
      </c>
    </row>
    <row r="1038" spans="1:15" x14ac:dyDescent="0.3">
      <c r="A1038">
        <v>1</v>
      </c>
      <c r="B1038">
        <v>2016</v>
      </c>
      <c r="C1038">
        <v>670</v>
      </c>
      <c r="D1038">
        <v>40</v>
      </c>
      <c r="E1038">
        <v>37</v>
      </c>
      <c r="F1038">
        <v>4.5</v>
      </c>
      <c r="G1038">
        <f t="shared" si="155"/>
        <v>0</v>
      </c>
      <c r="H1038">
        <f t="shared" si="155"/>
        <v>0</v>
      </c>
      <c r="I1038">
        <f t="shared" si="155"/>
        <v>0</v>
      </c>
      <c r="J1038">
        <f t="shared" si="155"/>
        <v>0</v>
      </c>
      <c r="K1038">
        <f t="shared" si="155"/>
        <v>1</v>
      </c>
      <c r="L1038">
        <f t="shared" si="155"/>
        <v>0</v>
      </c>
      <c r="M1038">
        <f t="shared" si="154"/>
        <v>1</v>
      </c>
      <c r="N1038">
        <f t="shared" si="154"/>
        <v>0</v>
      </c>
      <c r="O1038">
        <f t="shared" si="154"/>
        <v>0</v>
      </c>
    </row>
    <row r="1039" spans="1:15" x14ac:dyDescent="0.3">
      <c r="A1039">
        <v>4</v>
      </c>
      <c r="B1039">
        <v>2015</v>
      </c>
      <c r="C1039">
        <v>666</v>
      </c>
      <c r="D1039">
        <v>85</v>
      </c>
      <c r="E1039">
        <v>115</v>
      </c>
      <c r="F1039">
        <v>6.5</v>
      </c>
      <c r="G1039">
        <f t="shared" si="155"/>
        <v>0</v>
      </c>
      <c r="H1039">
        <f t="shared" si="155"/>
        <v>0</v>
      </c>
      <c r="I1039">
        <f t="shared" si="155"/>
        <v>0</v>
      </c>
      <c r="J1039">
        <f t="shared" si="155"/>
        <v>1</v>
      </c>
      <c r="K1039">
        <f t="shared" si="155"/>
        <v>0</v>
      </c>
      <c r="L1039">
        <f t="shared" si="155"/>
        <v>0</v>
      </c>
      <c r="M1039">
        <f t="shared" si="154"/>
        <v>0</v>
      </c>
      <c r="N1039">
        <f t="shared" si="154"/>
        <v>0</v>
      </c>
      <c r="O1039">
        <f t="shared" si="154"/>
        <v>1</v>
      </c>
    </row>
    <row r="1040" spans="1:15" x14ac:dyDescent="0.3">
      <c r="A1040">
        <v>1</v>
      </c>
      <c r="B1040">
        <v>2016</v>
      </c>
      <c r="C1040">
        <v>659</v>
      </c>
      <c r="D1040">
        <v>20</v>
      </c>
      <c r="E1040">
        <v>26</v>
      </c>
      <c r="F1040">
        <v>3.5</v>
      </c>
      <c r="G1040">
        <f t="shared" si="155"/>
        <v>0</v>
      </c>
      <c r="H1040">
        <f t="shared" si="155"/>
        <v>0</v>
      </c>
      <c r="I1040">
        <f t="shared" si="155"/>
        <v>0</v>
      </c>
      <c r="J1040">
        <f t="shared" si="155"/>
        <v>0</v>
      </c>
      <c r="K1040">
        <f t="shared" si="155"/>
        <v>1</v>
      </c>
      <c r="L1040">
        <f t="shared" si="155"/>
        <v>0</v>
      </c>
      <c r="M1040">
        <f t="shared" si="154"/>
        <v>1</v>
      </c>
      <c r="N1040">
        <f t="shared" si="154"/>
        <v>0</v>
      </c>
      <c r="O1040">
        <f t="shared" si="154"/>
        <v>0</v>
      </c>
    </row>
    <row r="1041" spans="1:15" x14ac:dyDescent="0.3">
      <c r="A1041">
        <v>4</v>
      </c>
      <c r="B1041">
        <v>2017</v>
      </c>
      <c r="C1041">
        <v>655</v>
      </c>
      <c r="D1041">
        <v>145</v>
      </c>
      <c r="E1041">
        <v>195</v>
      </c>
      <c r="F1041">
        <v>12.5</v>
      </c>
      <c r="G1041">
        <f t="shared" si="155"/>
        <v>0</v>
      </c>
      <c r="H1041">
        <f t="shared" si="155"/>
        <v>0</v>
      </c>
      <c r="I1041">
        <f t="shared" si="155"/>
        <v>0</v>
      </c>
      <c r="J1041">
        <f t="shared" si="155"/>
        <v>0</v>
      </c>
      <c r="K1041">
        <f t="shared" si="155"/>
        <v>0</v>
      </c>
      <c r="L1041">
        <f t="shared" si="155"/>
        <v>1</v>
      </c>
      <c r="M1041">
        <f t="shared" si="154"/>
        <v>0</v>
      </c>
      <c r="N1041">
        <f t="shared" si="154"/>
        <v>0</v>
      </c>
      <c r="O1041">
        <f t="shared" si="154"/>
        <v>1</v>
      </c>
    </row>
    <row r="1042" spans="1:15" x14ac:dyDescent="0.3">
      <c r="A1042">
        <v>1</v>
      </c>
      <c r="B1042">
        <v>2016</v>
      </c>
      <c r="C1042">
        <v>654</v>
      </c>
      <c r="D1042">
        <v>95</v>
      </c>
      <c r="E1042">
        <v>239</v>
      </c>
      <c r="F1042">
        <v>25.5</v>
      </c>
      <c r="G1042">
        <f t="shared" ref="G1042:L1051" si="156">IF($B1042=G$1,1,0)</f>
        <v>0</v>
      </c>
      <c r="H1042">
        <f t="shared" si="156"/>
        <v>0</v>
      </c>
      <c r="I1042">
        <f t="shared" si="156"/>
        <v>0</v>
      </c>
      <c r="J1042">
        <f t="shared" si="156"/>
        <v>0</v>
      </c>
      <c r="K1042">
        <f t="shared" si="156"/>
        <v>1</v>
      </c>
      <c r="L1042">
        <f t="shared" si="156"/>
        <v>0</v>
      </c>
      <c r="M1042">
        <f t="shared" ref="M1042:O1061" si="157">IF($A1042=M$1,1,0)</f>
        <v>1</v>
      </c>
      <c r="N1042">
        <f t="shared" si="157"/>
        <v>0</v>
      </c>
      <c r="O1042">
        <f t="shared" si="157"/>
        <v>0</v>
      </c>
    </row>
    <row r="1043" spans="1:15" x14ac:dyDescent="0.3">
      <c r="A1043">
        <v>1</v>
      </c>
      <c r="B1043">
        <v>2017</v>
      </c>
      <c r="C1043">
        <v>653</v>
      </c>
      <c r="D1043">
        <v>200</v>
      </c>
      <c r="E1043">
        <v>25</v>
      </c>
      <c r="F1043">
        <v>1</v>
      </c>
      <c r="G1043">
        <f t="shared" si="156"/>
        <v>0</v>
      </c>
      <c r="H1043">
        <f t="shared" si="156"/>
        <v>0</v>
      </c>
      <c r="I1043">
        <f t="shared" si="156"/>
        <v>0</v>
      </c>
      <c r="J1043">
        <f t="shared" si="156"/>
        <v>0</v>
      </c>
      <c r="K1043">
        <f t="shared" si="156"/>
        <v>0</v>
      </c>
      <c r="L1043">
        <f t="shared" si="156"/>
        <v>1</v>
      </c>
      <c r="M1043">
        <f t="shared" si="157"/>
        <v>1</v>
      </c>
      <c r="N1043">
        <f t="shared" si="157"/>
        <v>0</v>
      </c>
      <c r="O1043">
        <f t="shared" si="157"/>
        <v>0</v>
      </c>
    </row>
    <row r="1044" spans="1:15" x14ac:dyDescent="0.3">
      <c r="A1044">
        <v>1</v>
      </c>
      <c r="B1044">
        <v>2017</v>
      </c>
      <c r="C1044">
        <v>652</v>
      </c>
      <c r="D1044">
        <v>60</v>
      </c>
      <c r="E1044">
        <v>46</v>
      </c>
      <c r="F1044">
        <v>6.5</v>
      </c>
      <c r="G1044">
        <f t="shared" si="156"/>
        <v>0</v>
      </c>
      <c r="H1044">
        <f t="shared" si="156"/>
        <v>0</v>
      </c>
      <c r="I1044">
        <f t="shared" si="156"/>
        <v>0</v>
      </c>
      <c r="J1044">
        <f t="shared" si="156"/>
        <v>0</v>
      </c>
      <c r="K1044">
        <f t="shared" si="156"/>
        <v>0</v>
      </c>
      <c r="L1044">
        <f t="shared" si="156"/>
        <v>1</v>
      </c>
      <c r="M1044">
        <f t="shared" si="157"/>
        <v>1</v>
      </c>
      <c r="N1044">
        <f t="shared" si="157"/>
        <v>0</v>
      </c>
      <c r="O1044">
        <f t="shared" si="157"/>
        <v>0</v>
      </c>
    </row>
    <row r="1045" spans="1:15" x14ac:dyDescent="0.3">
      <c r="A1045">
        <v>1</v>
      </c>
      <c r="B1045">
        <v>2015</v>
      </c>
      <c r="C1045">
        <v>651</v>
      </c>
      <c r="D1045">
        <v>75</v>
      </c>
      <c r="E1045">
        <v>20</v>
      </c>
      <c r="F1045">
        <v>2.5</v>
      </c>
      <c r="G1045">
        <f t="shared" si="156"/>
        <v>0</v>
      </c>
      <c r="H1045">
        <f t="shared" si="156"/>
        <v>0</v>
      </c>
      <c r="I1045">
        <f t="shared" si="156"/>
        <v>0</v>
      </c>
      <c r="J1045">
        <f t="shared" si="156"/>
        <v>1</v>
      </c>
      <c r="K1045">
        <f t="shared" si="156"/>
        <v>0</v>
      </c>
      <c r="L1045">
        <f t="shared" si="156"/>
        <v>0</v>
      </c>
      <c r="M1045">
        <f t="shared" si="157"/>
        <v>1</v>
      </c>
      <c r="N1045">
        <f t="shared" si="157"/>
        <v>0</v>
      </c>
      <c r="O1045">
        <f t="shared" si="157"/>
        <v>0</v>
      </c>
    </row>
    <row r="1046" spans="1:15" x14ac:dyDescent="0.3">
      <c r="A1046">
        <v>4</v>
      </c>
      <c r="B1046">
        <v>2015</v>
      </c>
      <c r="C1046">
        <v>644</v>
      </c>
      <c r="D1046">
        <v>20</v>
      </c>
      <c r="E1046">
        <v>28</v>
      </c>
      <c r="F1046">
        <v>1.5</v>
      </c>
      <c r="G1046">
        <f t="shared" si="156"/>
        <v>0</v>
      </c>
      <c r="H1046">
        <f t="shared" si="156"/>
        <v>0</v>
      </c>
      <c r="I1046">
        <f t="shared" si="156"/>
        <v>0</v>
      </c>
      <c r="J1046">
        <f t="shared" si="156"/>
        <v>1</v>
      </c>
      <c r="K1046">
        <f t="shared" si="156"/>
        <v>0</v>
      </c>
      <c r="L1046">
        <f t="shared" si="156"/>
        <v>0</v>
      </c>
      <c r="M1046">
        <f t="shared" si="157"/>
        <v>0</v>
      </c>
      <c r="N1046">
        <f t="shared" si="157"/>
        <v>0</v>
      </c>
      <c r="O1046">
        <f t="shared" si="157"/>
        <v>1</v>
      </c>
    </row>
    <row r="1047" spans="1:15" x14ac:dyDescent="0.3">
      <c r="A1047">
        <v>4</v>
      </c>
      <c r="B1047">
        <v>2015</v>
      </c>
      <c r="C1047">
        <v>636</v>
      </c>
      <c r="D1047">
        <v>50</v>
      </c>
      <c r="E1047">
        <v>54</v>
      </c>
      <c r="F1047">
        <v>10</v>
      </c>
      <c r="G1047">
        <f t="shared" si="156"/>
        <v>0</v>
      </c>
      <c r="H1047">
        <f t="shared" si="156"/>
        <v>0</v>
      </c>
      <c r="I1047">
        <f t="shared" si="156"/>
        <v>0</v>
      </c>
      <c r="J1047">
        <f t="shared" si="156"/>
        <v>1</v>
      </c>
      <c r="K1047">
        <f t="shared" si="156"/>
        <v>0</v>
      </c>
      <c r="L1047">
        <f t="shared" si="156"/>
        <v>0</v>
      </c>
      <c r="M1047">
        <f t="shared" si="157"/>
        <v>0</v>
      </c>
      <c r="N1047">
        <f t="shared" si="157"/>
        <v>0</v>
      </c>
      <c r="O1047">
        <f t="shared" si="157"/>
        <v>1</v>
      </c>
    </row>
    <row r="1048" spans="1:15" x14ac:dyDescent="0.3">
      <c r="A1048">
        <v>1</v>
      </c>
      <c r="B1048">
        <v>2016</v>
      </c>
      <c r="C1048">
        <v>633</v>
      </c>
      <c r="D1048">
        <v>200</v>
      </c>
      <c r="E1048">
        <v>54</v>
      </c>
      <c r="F1048">
        <v>4</v>
      </c>
      <c r="G1048">
        <f t="shared" si="156"/>
        <v>0</v>
      </c>
      <c r="H1048">
        <f t="shared" si="156"/>
        <v>0</v>
      </c>
      <c r="I1048">
        <f t="shared" si="156"/>
        <v>0</v>
      </c>
      <c r="J1048">
        <f t="shared" si="156"/>
        <v>0</v>
      </c>
      <c r="K1048">
        <f t="shared" si="156"/>
        <v>1</v>
      </c>
      <c r="L1048">
        <f t="shared" si="156"/>
        <v>0</v>
      </c>
      <c r="M1048">
        <f t="shared" si="157"/>
        <v>1</v>
      </c>
      <c r="N1048">
        <f t="shared" si="157"/>
        <v>0</v>
      </c>
      <c r="O1048">
        <f t="shared" si="157"/>
        <v>0</v>
      </c>
    </row>
    <row r="1049" spans="1:15" x14ac:dyDescent="0.3">
      <c r="A1049">
        <v>4</v>
      </c>
      <c r="B1049">
        <v>2015</v>
      </c>
      <c r="C1049">
        <v>633</v>
      </c>
      <c r="D1049">
        <v>40</v>
      </c>
      <c r="E1049">
        <v>31</v>
      </c>
      <c r="F1049">
        <v>5</v>
      </c>
      <c r="G1049">
        <f t="shared" si="156"/>
        <v>0</v>
      </c>
      <c r="H1049">
        <f t="shared" si="156"/>
        <v>0</v>
      </c>
      <c r="I1049">
        <f t="shared" si="156"/>
        <v>0</v>
      </c>
      <c r="J1049">
        <f t="shared" si="156"/>
        <v>1</v>
      </c>
      <c r="K1049">
        <f t="shared" si="156"/>
        <v>0</v>
      </c>
      <c r="L1049">
        <f t="shared" si="156"/>
        <v>0</v>
      </c>
      <c r="M1049">
        <f t="shared" si="157"/>
        <v>0</v>
      </c>
      <c r="N1049">
        <f t="shared" si="157"/>
        <v>0</v>
      </c>
      <c r="O1049">
        <f t="shared" si="157"/>
        <v>1</v>
      </c>
    </row>
    <row r="1050" spans="1:15" x14ac:dyDescent="0.3">
      <c r="A1050">
        <v>1</v>
      </c>
      <c r="B1050">
        <v>2015</v>
      </c>
      <c r="C1050">
        <v>631</v>
      </c>
      <c r="D1050">
        <v>75</v>
      </c>
      <c r="E1050">
        <v>65</v>
      </c>
      <c r="F1050">
        <v>4.5</v>
      </c>
      <c r="G1050">
        <f t="shared" si="156"/>
        <v>0</v>
      </c>
      <c r="H1050">
        <f t="shared" si="156"/>
        <v>0</v>
      </c>
      <c r="I1050">
        <f t="shared" si="156"/>
        <v>0</v>
      </c>
      <c r="J1050">
        <f t="shared" si="156"/>
        <v>1</v>
      </c>
      <c r="K1050">
        <f t="shared" si="156"/>
        <v>0</v>
      </c>
      <c r="L1050">
        <f t="shared" si="156"/>
        <v>0</v>
      </c>
      <c r="M1050">
        <f t="shared" si="157"/>
        <v>1</v>
      </c>
      <c r="N1050">
        <f t="shared" si="157"/>
        <v>0</v>
      </c>
      <c r="O1050">
        <f t="shared" si="157"/>
        <v>0</v>
      </c>
    </row>
    <row r="1051" spans="1:15" x14ac:dyDescent="0.3">
      <c r="A1051">
        <v>4</v>
      </c>
      <c r="B1051">
        <v>2016</v>
      </c>
      <c r="C1051">
        <v>627</v>
      </c>
      <c r="D1051">
        <v>115</v>
      </c>
      <c r="E1051">
        <v>7</v>
      </c>
      <c r="F1051">
        <v>1</v>
      </c>
      <c r="G1051">
        <f t="shared" si="156"/>
        <v>0</v>
      </c>
      <c r="H1051">
        <f t="shared" si="156"/>
        <v>0</v>
      </c>
      <c r="I1051">
        <f t="shared" si="156"/>
        <v>0</v>
      </c>
      <c r="J1051">
        <f t="shared" si="156"/>
        <v>0</v>
      </c>
      <c r="K1051">
        <f t="shared" si="156"/>
        <v>1</v>
      </c>
      <c r="L1051">
        <f t="shared" si="156"/>
        <v>0</v>
      </c>
      <c r="M1051">
        <f t="shared" si="157"/>
        <v>0</v>
      </c>
      <c r="N1051">
        <f t="shared" si="157"/>
        <v>0</v>
      </c>
      <c r="O1051">
        <f t="shared" si="157"/>
        <v>1</v>
      </c>
    </row>
    <row r="1052" spans="1:15" x14ac:dyDescent="0.3">
      <c r="A1052">
        <v>4</v>
      </c>
      <c r="B1052">
        <v>2015</v>
      </c>
      <c r="C1052">
        <v>627</v>
      </c>
      <c r="D1052">
        <v>40</v>
      </c>
      <c r="E1052">
        <v>31</v>
      </c>
      <c r="F1052">
        <v>4.5</v>
      </c>
      <c r="G1052">
        <f t="shared" ref="G1052:L1061" si="158">IF($B1052=G$1,1,0)</f>
        <v>0</v>
      </c>
      <c r="H1052">
        <f t="shared" si="158"/>
        <v>0</v>
      </c>
      <c r="I1052">
        <f t="shared" si="158"/>
        <v>0</v>
      </c>
      <c r="J1052">
        <f t="shared" si="158"/>
        <v>1</v>
      </c>
      <c r="K1052">
        <f t="shared" si="158"/>
        <v>0</v>
      </c>
      <c r="L1052">
        <f t="shared" si="158"/>
        <v>0</v>
      </c>
      <c r="M1052">
        <f t="shared" si="157"/>
        <v>0</v>
      </c>
      <c r="N1052">
        <f t="shared" si="157"/>
        <v>0</v>
      </c>
      <c r="O1052">
        <f t="shared" si="157"/>
        <v>1</v>
      </c>
    </row>
    <row r="1053" spans="1:15" x14ac:dyDescent="0.3">
      <c r="A1053">
        <v>1</v>
      </c>
      <c r="B1053">
        <v>2015</v>
      </c>
      <c r="C1053">
        <v>613</v>
      </c>
      <c r="D1053">
        <v>50</v>
      </c>
      <c r="E1053">
        <v>116</v>
      </c>
      <c r="F1053">
        <v>16</v>
      </c>
      <c r="G1053">
        <f t="shared" si="158"/>
        <v>0</v>
      </c>
      <c r="H1053">
        <f t="shared" si="158"/>
        <v>0</v>
      </c>
      <c r="I1053">
        <f t="shared" si="158"/>
        <v>0</v>
      </c>
      <c r="J1053">
        <f t="shared" si="158"/>
        <v>1</v>
      </c>
      <c r="K1053">
        <f t="shared" si="158"/>
        <v>0</v>
      </c>
      <c r="L1053">
        <f t="shared" si="158"/>
        <v>0</v>
      </c>
      <c r="M1053">
        <f t="shared" si="157"/>
        <v>1</v>
      </c>
      <c r="N1053">
        <f t="shared" si="157"/>
        <v>0</v>
      </c>
      <c r="O1053">
        <f t="shared" si="157"/>
        <v>0</v>
      </c>
    </row>
    <row r="1054" spans="1:15" x14ac:dyDescent="0.3">
      <c r="A1054">
        <v>4</v>
      </c>
      <c r="B1054">
        <v>2016</v>
      </c>
      <c r="C1054">
        <v>613</v>
      </c>
      <c r="D1054">
        <v>180</v>
      </c>
      <c r="E1054">
        <v>37</v>
      </c>
      <c r="F1054">
        <v>4.5</v>
      </c>
      <c r="G1054">
        <f t="shared" si="158"/>
        <v>0</v>
      </c>
      <c r="H1054">
        <f t="shared" si="158"/>
        <v>0</v>
      </c>
      <c r="I1054">
        <f t="shared" si="158"/>
        <v>0</v>
      </c>
      <c r="J1054">
        <f t="shared" si="158"/>
        <v>0</v>
      </c>
      <c r="K1054">
        <f t="shared" si="158"/>
        <v>1</v>
      </c>
      <c r="L1054">
        <f t="shared" si="158"/>
        <v>0</v>
      </c>
      <c r="M1054">
        <f t="shared" si="157"/>
        <v>0</v>
      </c>
      <c r="N1054">
        <f t="shared" si="157"/>
        <v>0</v>
      </c>
      <c r="O1054">
        <f t="shared" si="157"/>
        <v>1</v>
      </c>
    </row>
    <row r="1055" spans="1:15" x14ac:dyDescent="0.3">
      <c r="A1055">
        <v>4</v>
      </c>
      <c r="B1055">
        <v>2014</v>
      </c>
      <c r="C1055">
        <v>608</v>
      </c>
      <c r="D1055">
        <v>85</v>
      </c>
      <c r="E1055">
        <v>48</v>
      </c>
      <c r="F1055">
        <v>3.5</v>
      </c>
      <c r="G1055">
        <f t="shared" si="158"/>
        <v>0</v>
      </c>
      <c r="H1055">
        <f t="shared" si="158"/>
        <v>0</v>
      </c>
      <c r="I1055">
        <f t="shared" si="158"/>
        <v>1</v>
      </c>
      <c r="J1055">
        <f t="shared" si="158"/>
        <v>0</v>
      </c>
      <c r="K1055">
        <f t="shared" si="158"/>
        <v>0</v>
      </c>
      <c r="L1055">
        <f t="shared" si="158"/>
        <v>0</v>
      </c>
      <c r="M1055">
        <f t="shared" si="157"/>
        <v>0</v>
      </c>
      <c r="N1055">
        <f t="shared" si="157"/>
        <v>0</v>
      </c>
      <c r="O1055">
        <f t="shared" si="157"/>
        <v>1</v>
      </c>
    </row>
    <row r="1056" spans="1:15" x14ac:dyDescent="0.3">
      <c r="A1056">
        <v>4</v>
      </c>
      <c r="B1056">
        <v>2015</v>
      </c>
      <c r="C1056">
        <v>604</v>
      </c>
      <c r="D1056">
        <v>45</v>
      </c>
      <c r="E1056">
        <v>35</v>
      </c>
      <c r="F1056">
        <v>4</v>
      </c>
      <c r="G1056">
        <f t="shared" si="158"/>
        <v>0</v>
      </c>
      <c r="H1056">
        <f t="shared" si="158"/>
        <v>0</v>
      </c>
      <c r="I1056">
        <f t="shared" si="158"/>
        <v>0</v>
      </c>
      <c r="J1056">
        <f t="shared" si="158"/>
        <v>1</v>
      </c>
      <c r="K1056">
        <f t="shared" si="158"/>
        <v>0</v>
      </c>
      <c r="L1056">
        <f t="shared" si="158"/>
        <v>0</v>
      </c>
      <c r="M1056">
        <f t="shared" si="157"/>
        <v>0</v>
      </c>
      <c r="N1056">
        <f t="shared" si="157"/>
        <v>0</v>
      </c>
      <c r="O1056">
        <f t="shared" si="157"/>
        <v>1</v>
      </c>
    </row>
    <row r="1057" spans="1:15" x14ac:dyDescent="0.3">
      <c r="A1057">
        <v>1</v>
      </c>
      <c r="B1057">
        <v>2017</v>
      </c>
      <c r="C1057">
        <v>604</v>
      </c>
      <c r="D1057">
        <v>20</v>
      </c>
      <c r="E1057">
        <v>43</v>
      </c>
      <c r="F1057">
        <v>3.5</v>
      </c>
      <c r="G1057">
        <f t="shared" si="158"/>
        <v>0</v>
      </c>
      <c r="H1057">
        <f t="shared" si="158"/>
        <v>0</v>
      </c>
      <c r="I1057">
        <f t="shared" si="158"/>
        <v>0</v>
      </c>
      <c r="J1057">
        <f t="shared" si="158"/>
        <v>0</v>
      </c>
      <c r="K1057">
        <f t="shared" si="158"/>
        <v>0</v>
      </c>
      <c r="L1057">
        <f t="shared" si="158"/>
        <v>1</v>
      </c>
      <c r="M1057">
        <f t="shared" si="157"/>
        <v>1</v>
      </c>
      <c r="N1057">
        <f t="shared" si="157"/>
        <v>0</v>
      </c>
      <c r="O1057">
        <f t="shared" si="157"/>
        <v>0</v>
      </c>
    </row>
    <row r="1058" spans="1:15" x14ac:dyDescent="0.3">
      <c r="A1058">
        <v>1</v>
      </c>
      <c r="B1058">
        <v>2016</v>
      </c>
      <c r="C1058">
        <v>602</v>
      </c>
      <c r="D1058">
        <v>145</v>
      </c>
      <c r="E1058">
        <v>214</v>
      </c>
      <c r="F1058">
        <v>15.5</v>
      </c>
      <c r="G1058">
        <f t="shared" si="158"/>
        <v>0</v>
      </c>
      <c r="H1058">
        <f t="shared" si="158"/>
        <v>0</v>
      </c>
      <c r="I1058">
        <f t="shared" si="158"/>
        <v>0</v>
      </c>
      <c r="J1058">
        <f t="shared" si="158"/>
        <v>0</v>
      </c>
      <c r="K1058">
        <f t="shared" si="158"/>
        <v>1</v>
      </c>
      <c r="L1058">
        <f t="shared" si="158"/>
        <v>0</v>
      </c>
      <c r="M1058">
        <f t="shared" si="157"/>
        <v>1</v>
      </c>
      <c r="N1058">
        <f t="shared" si="157"/>
        <v>0</v>
      </c>
      <c r="O1058">
        <f t="shared" si="157"/>
        <v>0</v>
      </c>
    </row>
    <row r="1059" spans="1:15" x14ac:dyDescent="0.3">
      <c r="A1059">
        <v>4</v>
      </c>
      <c r="B1059">
        <v>2016</v>
      </c>
      <c r="C1059">
        <v>601</v>
      </c>
      <c r="D1059">
        <v>35</v>
      </c>
      <c r="E1059">
        <v>64</v>
      </c>
      <c r="F1059">
        <v>5.5</v>
      </c>
      <c r="G1059">
        <f t="shared" si="158"/>
        <v>0</v>
      </c>
      <c r="H1059">
        <f t="shared" si="158"/>
        <v>0</v>
      </c>
      <c r="I1059">
        <f t="shared" si="158"/>
        <v>0</v>
      </c>
      <c r="J1059">
        <f t="shared" si="158"/>
        <v>0</v>
      </c>
      <c r="K1059">
        <f t="shared" si="158"/>
        <v>1</v>
      </c>
      <c r="L1059">
        <f t="shared" si="158"/>
        <v>0</v>
      </c>
      <c r="M1059">
        <f t="shared" si="157"/>
        <v>0</v>
      </c>
      <c r="N1059">
        <f t="shared" si="157"/>
        <v>0</v>
      </c>
      <c r="O1059">
        <f t="shared" si="157"/>
        <v>1</v>
      </c>
    </row>
    <row r="1060" spans="1:15" x14ac:dyDescent="0.3">
      <c r="A1060">
        <v>2</v>
      </c>
      <c r="B1060">
        <v>2016</v>
      </c>
      <c r="C1060">
        <v>601</v>
      </c>
      <c r="D1060">
        <v>40</v>
      </c>
      <c r="E1060">
        <v>6</v>
      </c>
      <c r="F1060">
        <v>0.58333332999999998</v>
      </c>
      <c r="G1060">
        <f t="shared" si="158"/>
        <v>0</v>
      </c>
      <c r="H1060">
        <f t="shared" si="158"/>
        <v>0</v>
      </c>
      <c r="I1060">
        <f t="shared" si="158"/>
        <v>0</v>
      </c>
      <c r="J1060">
        <f t="shared" si="158"/>
        <v>0</v>
      </c>
      <c r="K1060">
        <f t="shared" si="158"/>
        <v>1</v>
      </c>
      <c r="L1060">
        <f t="shared" si="158"/>
        <v>0</v>
      </c>
      <c r="M1060">
        <f t="shared" si="157"/>
        <v>0</v>
      </c>
      <c r="N1060">
        <f t="shared" si="157"/>
        <v>1</v>
      </c>
      <c r="O1060">
        <f t="shared" si="157"/>
        <v>0</v>
      </c>
    </row>
    <row r="1061" spans="1:15" x14ac:dyDescent="0.3">
      <c r="A1061">
        <v>1</v>
      </c>
      <c r="B1061">
        <v>2017</v>
      </c>
      <c r="C1061">
        <v>596</v>
      </c>
      <c r="D1061">
        <v>195</v>
      </c>
      <c r="E1061">
        <v>84</v>
      </c>
      <c r="F1061">
        <v>8</v>
      </c>
      <c r="G1061">
        <f t="shared" si="158"/>
        <v>0</v>
      </c>
      <c r="H1061">
        <f t="shared" si="158"/>
        <v>0</v>
      </c>
      <c r="I1061">
        <f t="shared" si="158"/>
        <v>0</v>
      </c>
      <c r="J1061">
        <f t="shared" si="158"/>
        <v>0</v>
      </c>
      <c r="K1061">
        <f t="shared" si="158"/>
        <v>0</v>
      </c>
      <c r="L1061">
        <f t="shared" si="158"/>
        <v>1</v>
      </c>
      <c r="M1061">
        <f t="shared" si="157"/>
        <v>1</v>
      </c>
      <c r="N1061">
        <f t="shared" si="157"/>
        <v>0</v>
      </c>
      <c r="O1061">
        <f t="shared" si="157"/>
        <v>0</v>
      </c>
    </row>
    <row r="1062" spans="1:15" x14ac:dyDescent="0.3">
      <c r="A1062">
        <v>4</v>
      </c>
      <c r="B1062">
        <v>2015</v>
      </c>
      <c r="C1062">
        <v>586</v>
      </c>
      <c r="D1062">
        <v>50</v>
      </c>
      <c r="E1062">
        <v>17</v>
      </c>
      <c r="F1062">
        <v>0.63333333000000003</v>
      </c>
      <c r="G1062">
        <f t="shared" ref="G1062:L1071" si="159">IF($B1062=G$1,1,0)</f>
        <v>0</v>
      </c>
      <c r="H1062">
        <f t="shared" si="159"/>
        <v>0</v>
      </c>
      <c r="I1062">
        <f t="shared" si="159"/>
        <v>0</v>
      </c>
      <c r="J1062">
        <f t="shared" si="159"/>
        <v>1</v>
      </c>
      <c r="K1062">
        <f t="shared" si="159"/>
        <v>0</v>
      </c>
      <c r="L1062">
        <f t="shared" si="159"/>
        <v>0</v>
      </c>
      <c r="M1062">
        <f t="shared" ref="M1062:O1081" si="160">IF($A1062=M$1,1,0)</f>
        <v>0</v>
      </c>
      <c r="N1062">
        <f t="shared" si="160"/>
        <v>0</v>
      </c>
      <c r="O1062">
        <f t="shared" si="160"/>
        <v>1</v>
      </c>
    </row>
    <row r="1063" spans="1:15" x14ac:dyDescent="0.3">
      <c r="A1063">
        <v>4</v>
      </c>
      <c r="B1063">
        <v>2015</v>
      </c>
      <c r="C1063">
        <v>586</v>
      </c>
      <c r="D1063">
        <v>60</v>
      </c>
      <c r="E1063">
        <v>98</v>
      </c>
      <c r="F1063">
        <v>5.5</v>
      </c>
      <c r="G1063">
        <f t="shared" si="159"/>
        <v>0</v>
      </c>
      <c r="H1063">
        <f t="shared" si="159"/>
        <v>0</v>
      </c>
      <c r="I1063">
        <f t="shared" si="159"/>
        <v>0</v>
      </c>
      <c r="J1063">
        <f t="shared" si="159"/>
        <v>1</v>
      </c>
      <c r="K1063">
        <f t="shared" si="159"/>
        <v>0</v>
      </c>
      <c r="L1063">
        <f t="shared" si="159"/>
        <v>0</v>
      </c>
      <c r="M1063">
        <f t="shared" si="160"/>
        <v>0</v>
      </c>
      <c r="N1063">
        <f t="shared" si="160"/>
        <v>0</v>
      </c>
      <c r="O1063">
        <f t="shared" si="160"/>
        <v>1</v>
      </c>
    </row>
    <row r="1064" spans="1:15" x14ac:dyDescent="0.3">
      <c r="A1064">
        <v>1</v>
      </c>
      <c r="B1064">
        <v>2017</v>
      </c>
      <c r="C1064">
        <v>586</v>
      </c>
      <c r="D1064">
        <v>30</v>
      </c>
      <c r="E1064">
        <v>56</v>
      </c>
      <c r="F1064">
        <v>5</v>
      </c>
      <c r="G1064">
        <f t="shared" si="159"/>
        <v>0</v>
      </c>
      <c r="H1064">
        <f t="shared" si="159"/>
        <v>0</v>
      </c>
      <c r="I1064">
        <f t="shared" si="159"/>
        <v>0</v>
      </c>
      <c r="J1064">
        <f t="shared" si="159"/>
        <v>0</v>
      </c>
      <c r="K1064">
        <f t="shared" si="159"/>
        <v>0</v>
      </c>
      <c r="L1064">
        <f t="shared" si="159"/>
        <v>1</v>
      </c>
      <c r="M1064">
        <f t="shared" si="160"/>
        <v>1</v>
      </c>
      <c r="N1064">
        <f t="shared" si="160"/>
        <v>0</v>
      </c>
      <c r="O1064">
        <f t="shared" si="160"/>
        <v>0</v>
      </c>
    </row>
    <row r="1065" spans="1:15" x14ac:dyDescent="0.3">
      <c r="A1065">
        <v>1</v>
      </c>
      <c r="B1065">
        <v>2017</v>
      </c>
      <c r="C1065">
        <v>583</v>
      </c>
      <c r="D1065">
        <v>95</v>
      </c>
      <c r="E1065">
        <v>35</v>
      </c>
      <c r="F1065">
        <v>3.5</v>
      </c>
      <c r="G1065">
        <f t="shared" si="159"/>
        <v>0</v>
      </c>
      <c r="H1065">
        <f t="shared" si="159"/>
        <v>0</v>
      </c>
      <c r="I1065">
        <f t="shared" si="159"/>
        <v>0</v>
      </c>
      <c r="J1065">
        <f t="shared" si="159"/>
        <v>0</v>
      </c>
      <c r="K1065">
        <f t="shared" si="159"/>
        <v>0</v>
      </c>
      <c r="L1065">
        <f t="shared" si="159"/>
        <v>1</v>
      </c>
      <c r="M1065">
        <f t="shared" si="160"/>
        <v>1</v>
      </c>
      <c r="N1065">
        <f t="shared" si="160"/>
        <v>0</v>
      </c>
      <c r="O1065">
        <f t="shared" si="160"/>
        <v>0</v>
      </c>
    </row>
    <row r="1066" spans="1:15" x14ac:dyDescent="0.3">
      <c r="A1066">
        <v>1</v>
      </c>
      <c r="B1066">
        <v>2017</v>
      </c>
      <c r="C1066">
        <v>578</v>
      </c>
      <c r="D1066">
        <v>75</v>
      </c>
      <c r="E1066">
        <v>84</v>
      </c>
      <c r="F1066">
        <v>5.5</v>
      </c>
      <c r="G1066">
        <f t="shared" si="159"/>
        <v>0</v>
      </c>
      <c r="H1066">
        <f t="shared" si="159"/>
        <v>0</v>
      </c>
      <c r="I1066">
        <f t="shared" si="159"/>
        <v>0</v>
      </c>
      <c r="J1066">
        <f t="shared" si="159"/>
        <v>0</v>
      </c>
      <c r="K1066">
        <f t="shared" si="159"/>
        <v>0</v>
      </c>
      <c r="L1066">
        <f t="shared" si="159"/>
        <v>1</v>
      </c>
      <c r="M1066">
        <f t="shared" si="160"/>
        <v>1</v>
      </c>
      <c r="N1066">
        <f t="shared" si="160"/>
        <v>0</v>
      </c>
      <c r="O1066">
        <f t="shared" si="160"/>
        <v>0</v>
      </c>
    </row>
    <row r="1067" spans="1:15" x14ac:dyDescent="0.3">
      <c r="A1067">
        <v>4</v>
      </c>
      <c r="B1067">
        <v>2017</v>
      </c>
      <c r="C1067">
        <v>578</v>
      </c>
      <c r="D1067">
        <v>120</v>
      </c>
      <c r="E1067">
        <v>36</v>
      </c>
      <c r="F1067">
        <v>4.5</v>
      </c>
      <c r="G1067">
        <f t="shared" si="159"/>
        <v>0</v>
      </c>
      <c r="H1067">
        <f t="shared" si="159"/>
        <v>0</v>
      </c>
      <c r="I1067">
        <f t="shared" si="159"/>
        <v>0</v>
      </c>
      <c r="J1067">
        <f t="shared" si="159"/>
        <v>0</v>
      </c>
      <c r="K1067">
        <f t="shared" si="159"/>
        <v>0</v>
      </c>
      <c r="L1067">
        <f t="shared" si="159"/>
        <v>1</v>
      </c>
      <c r="M1067">
        <f t="shared" si="160"/>
        <v>0</v>
      </c>
      <c r="N1067">
        <f t="shared" si="160"/>
        <v>0</v>
      </c>
      <c r="O1067">
        <f t="shared" si="160"/>
        <v>1</v>
      </c>
    </row>
    <row r="1068" spans="1:15" x14ac:dyDescent="0.3">
      <c r="A1068">
        <v>1</v>
      </c>
      <c r="B1068">
        <v>2016</v>
      </c>
      <c r="C1068">
        <v>578</v>
      </c>
      <c r="D1068">
        <v>65</v>
      </c>
      <c r="E1068">
        <v>8</v>
      </c>
      <c r="F1068">
        <v>1</v>
      </c>
      <c r="G1068">
        <f t="shared" si="159"/>
        <v>0</v>
      </c>
      <c r="H1068">
        <f t="shared" si="159"/>
        <v>0</v>
      </c>
      <c r="I1068">
        <f t="shared" si="159"/>
        <v>0</v>
      </c>
      <c r="J1068">
        <f t="shared" si="159"/>
        <v>0</v>
      </c>
      <c r="K1068">
        <f t="shared" si="159"/>
        <v>1</v>
      </c>
      <c r="L1068">
        <f t="shared" si="159"/>
        <v>0</v>
      </c>
      <c r="M1068">
        <f t="shared" si="160"/>
        <v>1</v>
      </c>
      <c r="N1068">
        <f t="shared" si="160"/>
        <v>0</v>
      </c>
      <c r="O1068">
        <f t="shared" si="160"/>
        <v>0</v>
      </c>
    </row>
    <row r="1069" spans="1:15" x14ac:dyDescent="0.3">
      <c r="A1069">
        <v>1</v>
      </c>
      <c r="B1069">
        <v>2016</v>
      </c>
      <c r="C1069">
        <v>577</v>
      </c>
      <c r="D1069">
        <v>50</v>
      </c>
      <c r="E1069">
        <v>101</v>
      </c>
      <c r="F1069">
        <v>9.5</v>
      </c>
      <c r="G1069">
        <f t="shared" si="159"/>
        <v>0</v>
      </c>
      <c r="H1069">
        <f t="shared" si="159"/>
        <v>0</v>
      </c>
      <c r="I1069">
        <f t="shared" si="159"/>
        <v>0</v>
      </c>
      <c r="J1069">
        <f t="shared" si="159"/>
        <v>0</v>
      </c>
      <c r="K1069">
        <f t="shared" si="159"/>
        <v>1</v>
      </c>
      <c r="L1069">
        <f t="shared" si="159"/>
        <v>0</v>
      </c>
      <c r="M1069">
        <f t="shared" si="160"/>
        <v>1</v>
      </c>
      <c r="N1069">
        <f t="shared" si="160"/>
        <v>0</v>
      </c>
      <c r="O1069">
        <f t="shared" si="160"/>
        <v>0</v>
      </c>
    </row>
    <row r="1070" spans="1:15" x14ac:dyDescent="0.3">
      <c r="A1070">
        <v>4</v>
      </c>
      <c r="B1070">
        <v>2016</v>
      </c>
      <c r="C1070">
        <v>567</v>
      </c>
      <c r="D1070">
        <v>185</v>
      </c>
      <c r="E1070">
        <v>34</v>
      </c>
      <c r="F1070">
        <v>8</v>
      </c>
      <c r="G1070">
        <f t="shared" si="159"/>
        <v>0</v>
      </c>
      <c r="H1070">
        <f t="shared" si="159"/>
        <v>0</v>
      </c>
      <c r="I1070">
        <f t="shared" si="159"/>
        <v>0</v>
      </c>
      <c r="J1070">
        <f t="shared" si="159"/>
        <v>0</v>
      </c>
      <c r="K1070">
        <f t="shared" si="159"/>
        <v>1</v>
      </c>
      <c r="L1070">
        <f t="shared" si="159"/>
        <v>0</v>
      </c>
      <c r="M1070">
        <f t="shared" si="160"/>
        <v>0</v>
      </c>
      <c r="N1070">
        <f t="shared" si="160"/>
        <v>0</v>
      </c>
      <c r="O1070">
        <f t="shared" si="160"/>
        <v>1</v>
      </c>
    </row>
    <row r="1071" spans="1:15" x14ac:dyDescent="0.3">
      <c r="A1071">
        <v>1</v>
      </c>
      <c r="B1071">
        <v>2016</v>
      </c>
      <c r="C1071">
        <v>563</v>
      </c>
      <c r="D1071">
        <v>200</v>
      </c>
      <c r="E1071">
        <v>32</v>
      </c>
      <c r="F1071">
        <v>3</v>
      </c>
      <c r="G1071">
        <f t="shared" si="159"/>
        <v>0</v>
      </c>
      <c r="H1071">
        <f t="shared" si="159"/>
        <v>0</v>
      </c>
      <c r="I1071">
        <f t="shared" si="159"/>
        <v>0</v>
      </c>
      <c r="J1071">
        <f t="shared" si="159"/>
        <v>0</v>
      </c>
      <c r="K1071">
        <f t="shared" si="159"/>
        <v>1</v>
      </c>
      <c r="L1071">
        <f t="shared" si="159"/>
        <v>0</v>
      </c>
      <c r="M1071">
        <f t="shared" si="160"/>
        <v>1</v>
      </c>
      <c r="N1071">
        <f t="shared" si="160"/>
        <v>0</v>
      </c>
      <c r="O1071">
        <f t="shared" si="160"/>
        <v>0</v>
      </c>
    </row>
    <row r="1072" spans="1:15" x14ac:dyDescent="0.3">
      <c r="A1072">
        <v>4</v>
      </c>
      <c r="B1072">
        <v>2017</v>
      </c>
      <c r="C1072">
        <v>557</v>
      </c>
      <c r="D1072">
        <v>100</v>
      </c>
      <c r="E1072">
        <v>133</v>
      </c>
      <c r="F1072">
        <v>9.5</v>
      </c>
      <c r="G1072">
        <f t="shared" ref="G1072:L1081" si="161">IF($B1072=G$1,1,0)</f>
        <v>0</v>
      </c>
      <c r="H1072">
        <f t="shared" si="161"/>
        <v>0</v>
      </c>
      <c r="I1072">
        <f t="shared" si="161"/>
        <v>0</v>
      </c>
      <c r="J1072">
        <f t="shared" si="161"/>
        <v>0</v>
      </c>
      <c r="K1072">
        <f t="shared" si="161"/>
        <v>0</v>
      </c>
      <c r="L1072">
        <f t="shared" si="161"/>
        <v>1</v>
      </c>
      <c r="M1072">
        <f t="shared" si="160"/>
        <v>0</v>
      </c>
      <c r="N1072">
        <f t="shared" si="160"/>
        <v>0</v>
      </c>
      <c r="O1072">
        <f t="shared" si="160"/>
        <v>1</v>
      </c>
    </row>
    <row r="1073" spans="1:15" x14ac:dyDescent="0.3">
      <c r="A1073">
        <v>1</v>
      </c>
      <c r="B1073">
        <v>2015</v>
      </c>
      <c r="C1073">
        <v>557</v>
      </c>
      <c r="D1073">
        <v>95</v>
      </c>
      <c r="E1073">
        <v>28</v>
      </c>
      <c r="F1073">
        <v>2.5</v>
      </c>
      <c r="G1073">
        <f t="shared" si="161"/>
        <v>0</v>
      </c>
      <c r="H1073">
        <f t="shared" si="161"/>
        <v>0</v>
      </c>
      <c r="I1073">
        <f t="shared" si="161"/>
        <v>0</v>
      </c>
      <c r="J1073">
        <f t="shared" si="161"/>
        <v>1</v>
      </c>
      <c r="K1073">
        <f t="shared" si="161"/>
        <v>0</v>
      </c>
      <c r="L1073">
        <f t="shared" si="161"/>
        <v>0</v>
      </c>
      <c r="M1073">
        <f t="shared" si="160"/>
        <v>1</v>
      </c>
      <c r="N1073">
        <f t="shared" si="160"/>
        <v>0</v>
      </c>
      <c r="O1073">
        <f t="shared" si="160"/>
        <v>0</v>
      </c>
    </row>
    <row r="1074" spans="1:15" x14ac:dyDescent="0.3">
      <c r="A1074">
        <v>1</v>
      </c>
      <c r="B1074">
        <v>2015</v>
      </c>
      <c r="C1074">
        <v>555</v>
      </c>
      <c r="D1074">
        <v>50</v>
      </c>
      <c r="E1074">
        <v>16</v>
      </c>
      <c r="F1074">
        <v>2.5</v>
      </c>
      <c r="G1074">
        <f t="shared" si="161"/>
        <v>0</v>
      </c>
      <c r="H1074">
        <f t="shared" si="161"/>
        <v>0</v>
      </c>
      <c r="I1074">
        <f t="shared" si="161"/>
        <v>0</v>
      </c>
      <c r="J1074">
        <f t="shared" si="161"/>
        <v>1</v>
      </c>
      <c r="K1074">
        <f t="shared" si="161"/>
        <v>0</v>
      </c>
      <c r="L1074">
        <f t="shared" si="161"/>
        <v>0</v>
      </c>
      <c r="M1074">
        <f t="shared" si="160"/>
        <v>1</v>
      </c>
      <c r="N1074">
        <f t="shared" si="160"/>
        <v>0</v>
      </c>
      <c r="O1074">
        <f t="shared" si="160"/>
        <v>0</v>
      </c>
    </row>
    <row r="1075" spans="1:15" x14ac:dyDescent="0.3">
      <c r="A1075">
        <v>4</v>
      </c>
      <c r="B1075">
        <v>2016</v>
      </c>
      <c r="C1075">
        <v>553</v>
      </c>
      <c r="D1075">
        <v>40</v>
      </c>
      <c r="E1075">
        <v>31</v>
      </c>
      <c r="F1075">
        <v>3</v>
      </c>
      <c r="G1075">
        <f t="shared" si="161"/>
        <v>0</v>
      </c>
      <c r="H1075">
        <f t="shared" si="161"/>
        <v>0</v>
      </c>
      <c r="I1075">
        <f t="shared" si="161"/>
        <v>0</v>
      </c>
      <c r="J1075">
        <f t="shared" si="161"/>
        <v>0</v>
      </c>
      <c r="K1075">
        <f t="shared" si="161"/>
        <v>1</v>
      </c>
      <c r="L1075">
        <f t="shared" si="161"/>
        <v>0</v>
      </c>
      <c r="M1075">
        <f t="shared" si="160"/>
        <v>0</v>
      </c>
      <c r="N1075">
        <f t="shared" si="160"/>
        <v>0</v>
      </c>
      <c r="O1075">
        <f t="shared" si="160"/>
        <v>1</v>
      </c>
    </row>
    <row r="1076" spans="1:15" x14ac:dyDescent="0.3">
      <c r="A1076">
        <v>1</v>
      </c>
      <c r="B1076">
        <v>2016</v>
      </c>
      <c r="C1076">
        <v>550</v>
      </c>
      <c r="D1076">
        <v>145</v>
      </c>
      <c r="E1076">
        <v>59</v>
      </c>
      <c r="F1076">
        <v>3</v>
      </c>
      <c r="G1076">
        <f t="shared" si="161"/>
        <v>0</v>
      </c>
      <c r="H1076">
        <f t="shared" si="161"/>
        <v>0</v>
      </c>
      <c r="I1076">
        <f t="shared" si="161"/>
        <v>0</v>
      </c>
      <c r="J1076">
        <f t="shared" si="161"/>
        <v>0</v>
      </c>
      <c r="K1076">
        <f t="shared" si="161"/>
        <v>1</v>
      </c>
      <c r="L1076">
        <f t="shared" si="161"/>
        <v>0</v>
      </c>
      <c r="M1076">
        <f t="shared" si="160"/>
        <v>1</v>
      </c>
      <c r="N1076">
        <f t="shared" si="160"/>
        <v>0</v>
      </c>
      <c r="O1076">
        <f t="shared" si="160"/>
        <v>0</v>
      </c>
    </row>
    <row r="1077" spans="1:15" x14ac:dyDescent="0.3">
      <c r="A1077">
        <v>4</v>
      </c>
      <c r="B1077">
        <v>2016</v>
      </c>
      <c r="C1077">
        <v>550</v>
      </c>
      <c r="D1077">
        <v>30</v>
      </c>
      <c r="E1077">
        <v>70</v>
      </c>
      <c r="F1077">
        <v>9</v>
      </c>
      <c r="G1077">
        <f t="shared" si="161"/>
        <v>0</v>
      </c>
      <c r="H1077">
        <f t="shared" si="161"/>
        <v>0</v>
      </c>
      <c r="I1077">
        <f t="shared" si="161"/>
        <v>0</v>
      </c>
      <c r="J1077">
        <f t="shared" si="161"/>
        <v>0</v>
      </c>
      <c r="K1077">
        <f t="shared" si="161"/>
        <v>1</v>
      </c>
      <c r="L1077">
        <f t="shared" si="161"/>
        <v>0</v>
      </c>
      <c r="M1077">
        <f t="shared" si="160"/>
        <v>0</v>
      </c>
      <c r="N1077">
        <f t="shared" si="160"/>
        <v>0</v>
      </c>
      <c r="O1077">
        <f t="shared" si="160"/>
        <v>1</v>
      </c>
    </row>
    <row r="1078" spans="1:15" x14ac:dyDescent="0.3">
      <c r="A1078">
        <v>1</v>
      </c>
      <c r="B1078">
        <v>2015</v>
      </c>
      <c r="C1078">
        <v>549</v>
      </c>
      <c r="D1078">
        <v>200</v>
      </c>
      <c r="E1078">
        <v>18</v>
      </c>
      <c r="F1078">
        <v>2</v>
      </c>
      <c r="G1078">
        <f t="shared" si="161"/>
        <v>0</v>
      </c>
      <c r="H1078">
        <f t="shared" si="161"/>
        <v>0</v>
      </c>
      <c r="I1078">
        <f t="shared" si="161"/>
        <v>0</v>
      </c>
      <c r="J1078">
        <f t="shared" si="161"/>
        <v>1</v>
      </c>
      <c r="K1078">
        <f t="shared" si="161"/>
        <v>0</v>
      </c>
      <c r="L1078">
        <f t="shared" si="161"/>
        <v>0</v>
      </c>
      <c r="M1078">
        <f t="shared" si="160"/>
        <v>1</v>
      </c>
      <c r="N1078">
        <f t="shared" si="160"/>
        <v>0</v>
      </c>
      <c r="O1078">
        <f t="shared" si="160"/>
        <v>0</v>
      </c>
    </row>
    <row r="1079" spans="1:15" x14ac:dyDescent="0.3">
      <c r="A1079">
        <v>1</v>
      </c>
      <c r="B1079">
        <v>2016</v>
      </c>
      <c r="C1079">
        <v>546</v>
      </c>
      <c r="D1079">
        <v>145</v>
      </c>
      <c r="E1079">
        <v>21</v>
      </c>
      <c r="F1079">
        <v>3</v>
      </c>
      <c r="G1079">
        <f t="shared" si="161"/>
        <v>0</v>
      </c>
      <c r="H1079">
        <f t="shared" si="161"/>
        <v>0</v>
      </c>
      <c r="I1079">
        <f t="shared" si="161"/>
        <v>0</v>
      </c>
      <c r="J1079">
        <f t="shared" si="161"/>
        <v>0</v>
      </c>
      <c r="K1079">
        <f t="shared" si="161"/>
        <v>1</v>
      </c>
      <c r="L1079">
        <f t="shared" si="161"/>
        <v>0</v>
      </c>
      <c r="M1079">
        <f t="shared" si="160"/>
        <v>1</v>
      </c>
      <c r="N1079">
        <f t="shared" si="160"/>
        <v>0</v>
      </c>
      <c r="O1079">
        <f t="shared" si="160"/>
        <v>0</v>
      </c>
    </row>
    <row r="1080" spans="1:15" x14ac:dyDescent="0.3">
      <c r="A1080">
        <v>1</v>
      </c>
      <c r="B1080">
        <v>2017</v>
      </c>
      <c r="C1080">
        <v>540</v>
      </c>
      <c r="D1080">
        <v>45</v>
      </c>
      <c r="E1080">
        <v>19</v>
      </c>
      <c r="F1080">
        <v>1</v>
      </c>
      <c r="G1080">
        <f t="shared" si="161"/>
        <v>0</v>
      </c>
      <c r="H1080">
        <f t="shared" si="161"/>
        <v>0</v>
      </c>
      <c r="I1080">
        <f t="shared" si="161"/>
        <v>0</v>
      </c>
      <c r="J1080">
        <f t="shared" si="161"/>
        <v>0</v>
      </c>
      <c r="K1080">
        <f t="shared" si="161"/>
        <v>0</v>
      </c>
      <c r="L1080">
        <f t="shared" si="161"/>
        <v>1</v>
      </c>
      <c r="M1080">
        <f t="shared" si="160"/>
        <v>1</v>
      </c>
      <c r="N1080">
        <f t="shared" si="160"/>
        <v>0</v>
      </c>
      <c r="O1080">
        <f t="shared" si="160"/>
        <v>0</v>
      </c>
    </row>
    <row r="1081" spans="1:15" x14ac:dyDescent="0.3">
      <c r="A1081">
        <v>1</v>
      </c>
      <c r="B1081">
        <v>2015</v>
      </c>
      <c r="C1081">
        <v>540</v>
      </c>
      <c r="D1081">
        <v>50</v>
      </c>
      <c r="E1081">
        <v>15</v>
      </c>
      <c r="F1081">
        <v>0.6</v>
      </c>
      <c r="G1081">
        <f t="shared" si="161"/>
        <v>0</v>
      </c>
      <c r="H1081">
        <f t="shared" si="161"/>
        <v>0</v>
      </c>
      <c r="I1081">
        <f t="shared" si="161"/>
        <v>0</v>
      </c>
      <c r="J1081">
        <f t="shared" si="161"/>
        <v>1</v>
      </c>
      <c r="K1081">
        <f t="shared" si="161"/>
        <v>0</v>
      </c>
      <c r="L1081">
        <f t="shared" si="161"/>
        <v>0</v>
      </c>
      <c r="M1081">
        <f t="shared" si="160"/>
        <v>1</v>
      </c>
      <c r="N1081">
        <f t="shared" si="160"/>
        <v>0</v>
      </c>
      <c r="O1081">
        <f t="shared" si="160"/>
        <v>0</v>
      </c>
    </row>
    <row r="1082" spans="1:15" x14ac:dyDescent="0.3">
      <c r="A1082">
        <v>1</v>
      </c>
      <c r="B1082">
        <v>2017</v>
      </c>
      <c r="C1082">
        <v>538</v>
      </c>
      <c r="D1082">
        <v>85</v>
      </c>
      <c r="E1082">
        <v>113</v>
      </c>
      <c r="F1082">
        <v>18.5</v>
      </c>
      <c r="G1082">
        <f t="shared" ref="G1082:L1091" si="162">IF($B1082=G$1,1,0)</f>
        <v>0</v>
      </c>
      <c r="H1082">
        <f t="shared" si="162"/>
        <v>0</v>
      </c>
      <c r="I1082">
        <f t="shared" si="162"/>
        <v>0</v>
      </c>
      <c r="J1082">
        <f t="shared" si="162"/>
        <v>0</v>
      </c>
      <c r="K1082">
        <f t="shared" si="162"/>
        <v>0</v>
      </c>
      <c r="L1082">
        <f t="shared" si="162"/>
        <v>1</v>
      </c>
      <c r="M1082">
        <f t="shared" ref="M1082:O1101" si="163">IF($A1082=M$1,1,0)</f>
        <v>1</v>
      </c>
      <c r="N1082">
        <f t="shared" si="163"/>
        <v>0</v>
      </c>
      <c r="O1082">
        <f t="shared" si="163"/>
        <v>0</v>
      </c>
    </row>
    <row r="1083" spans="1:15" x14ac:dyDescent="0.3">
      <c r="A1083">
        <v>1</v>
      </c>
      <c r="B1083">
        <v>2016</v>
      </c>
      <c r="C1083">
        <v>534</v>
      </c>
      <c r="D1083">
        <v>175</v>
      </c>
      <c r="E1083">
        <v>51</v>
      </c>
      <c r="F1083">
        <v>4</v>
      </c>
      <c r="G1083">
        <f t="shared" si="162"/>
        <v>0</v>
      </c>
      <c r="H1083">
        <f t="shared" si="162"/>
        <v>0</v>
      </c>
      <c r="I1083">
        <f t="shared" si="162"/>
        <v>0</v>
      </c>
      <c r="J1083">
        <f t="shared" si="162"/>
        <v>0</v>
      </c>
      <c r="K1083">
        <f t="shared" si="162"/>
        <v>1</v>
      </c>
      <c r="L1083">
        <f t="shared" si="162"/>
        <v>0</v>
      </c>
      <c r="M1083">
        <f t="shared" si="163"/>
        <v>1</v>
      </c>
      <c r="N1083">
        <f t="shared" si="163"/>
        <v>0</v>
      </c>
      <c r="O1083">
        <f t="shared" si="163"/>
        <v>0</v>
      </c>
    </row>
    <row r="1084" spans="1:15" x14ac:dyDescent="0.3">
      <c r="A1084">
        <v>4</v>
      </c>
      <c r="B1084">
        <v>2015</v>
      </c>
      <c r="C1084">
        <v>533</v>
      </c>
      <c r="D1084">
        <v>75</v>
      </c>
      <c r="E1084">
        <v>23</v>
      </c>
      <c r="F1084">
        <v>3</v>
      </c>
      <c r="G1084">
        <f t="shared" si="162"/>
        <v>0</v>
      </c>
      <c r="H1084">
        <f t="shared" si="162"/>
        <v>0</v>
      </c>
      <c r="I1084">
        <f t="shared" si="162"/>
        <v>0</v>
      </c>
      <c r="J1084">
        <f t="shared" si="162"/>
        <v>1</v>
      </c>
      <c r="K1084">
        <f t="shared" si="162"/>
        <v>0</v>
      </c>
      <c r="L1084">
        <f t="shared" si="162"/>
        <v>0</v>
      </c>
      <c r="M1084">
        <f t="shared" si="163"/>
        <v>0</v>
      </c>
      <c r="N1084">
        <f t="shared" si="163"/>
        <v>0</v>
      </c>
      <c r="O1084">
        <f t="shared" si="163"/>
        <v>1</v>
      </c>
    </row>
    <row r="1085" spans="1:15" x14ac:dyDescent="0.3">
      <c r="A1085">
        <v>4</v>
      </c>
      <c r="B1085">
        <v>2014</v>
      </c>
      <c r="C1085">
        <v>527</v>
      </c>
      <c r="D1085">
        <v>40</v>
      </c>
      <c r="E1085">
        <v>11</v>
      </c>
      <c r="F1085">
        <v>2.5</v>
      </c>
      <c r="G1085">
        <f t="shared" si="162"/>
        <v>0</v>
      </c>
      <c r="H1085">
        <f t="shared" si="162"/>
        <v>0</v>
      </c>
      <c r="I1085">
        <f t="shared" si="162"/>
        <v>1</v>
      </c>
      <c r="J1085">
        <f t="shared" si="162"/>
        <v>0</v>
      </c>
      <c r="K1085">
        <f t="shared" si="162"/>
        <v>0</v>
      </c>
      <c r="L1085">
        <f t="shared" si="162"/>
        <v>0</v>
      </c>
      <c r="M1085">
        <f t="shared" si="163"/>
        <v>0</v>
      </c>
      <c r="N1085">
        <f t="shared" si="163"/>
        <v>0</v>
      </c>
      <c r="O1085">
        <f t="shared" si="163"/>
        <v>1</v>
      </c>
    </row>
    <row r="1086" spans="1:15" x14ac:dyDescent="0.3">
      <c r="A1086">
        <v>1</v>
      </c>
      <c r="B1086">
        <v>2016</v>
      </c>
      <c r="C1086">
        <v>522</v>
      </c>
      <c r="D1086">
        <v>145</v>
      </c>
      <c r="E1086">
        <v>48</v>
      </c>
      <c r="F1086">
        <v>5.5</v>
      </c>
      <c r="G1086">
        <f t="shared" si="162"/>
        <v>0</v>
      </c>
      <c r="H1086">
        <f t="shared" si="162"/>
        <v>0</v>
      </c>
      <c r="I1086">
        <f t="shared" si="162"/>
        <v>0</v>
      </c>
      <c r="J1086">
        <f t="shared" si="162"/>
        <v>0</v>
      </c>
      <c r="K1086">
        <f t="shared" si="162"/>
        <v>1</v>
      </c>
      <c r="L1086">
        <f t="shared" si="162"/>
        <v>0</v>
      </c>
      <c r="M1086">
        <f t="shared" si="163"/>
        <v>1</v>
      </c>
      <c r="N1086">
        <f t="shared" si="163"/>
        <v>0</v>
      </c>
      <c r="O1086">
        <f t="shared" si="163"/>
        <v>0</v>
      </c>
    </row>
    <row r="1087" spans="1:15" x14ac:dyDescent="0.3">
      <c r="A1087">
        <v>3</v>
      </c>
      <c r="B1087">
        <v>2015</v>
      </c>
      <c r="C1087">
        <v>513</v>
      </c>
      <c r="D1087">
        <v>40</v>
      </c>
      <c r="E1087">
        <v>48</v>
      </c>
      <c r="F1087">
        <v>3.5</v>
      </c>
      <c r="G1087">
        <f t="shared" si="162"/>
        <v>0</v>
      </c>
      <c r="H1087">
        <f t="shared" si="162"/>
        <v>0</v>
      </c>
      <c r="I1087">
        <f t="shared" si="162"/>
        <v>0</v>
      </c>
      <c r="J1087">
        <f t="shared" si="162"/>
        <v>1</v>
      </c>
      <c r="K1087">
        <f t="shared" si="162"/>
        <v>0</v>
      </c>
      <c r="L1087">
        <f t="shared" si="162"/>
        <v>0</v>
      </c>
      <c r="M1087">
        <f t="shared" si="163"/>
        <v>0</v>
      </c>
      <c r="N1087">
        <f t="shared" si="163"/>
        <v>0</v>
      </c>
      <c r="O1087">
        <f t="shared" si="163"/>
        <v>0</v>
      </c>
    </row>
    <row r="1088" spans="1:15" x14ac:dyDescent="0.3">
      <c r="A1088">
        <v>3</v>
      </c>
      <c r="B1088">
        <v>2016</v>
      </c>
      <c r="C1088">
        <v>511</v>
      </c>
      <c r="D1088">
        <v>45</v>
      </c>
      <c r="E1088">
        <v>7</v>
      </c>
      <c r="F1088">
        <v>0.55000000000000004</v>
      </c>
      <c r="G1088">
        <f t="shared" si="162"/>
        <v>0</v>
      </c>
      <c r="H1088">
        <f t="shared" si="162"/>
        <v>0</v>
      </c>
      <c r="I1088">
        <f t="shared" si="162"/>
        <v>0</v>
      </c>
      <c r="J1088">
        <f t="shared" si="162"/>
        <v>0</v>
      </c>
      <c r="K1088">
        <f t="shared" si="162"/>
        <v>1</v>
      </c>
      <c r="L1088">
        <f t="shared" si="162"/>
        <v>0</v>
      </c>
      <c r="M1088">
        <f t="shared" si="163"/>
        <v>0</v>
      </c>
      <c r="N1088">
        <f t="shared" si="163"/>
        <v>0</v>
      </c>
      <c r="O1088">
        <f t="shared" si="163"/>
        <v>0</v>
      </c>
    </row>
    <row r="1089" spans="1:15" x14ac:dyDescent="0.3">
      <c r="A1089">
        <v>2</v>
      </c>
      <c r="B1089">
        <v>2016</v>
      </c>
      <c r="C1089">
        <v>502</v>
      </c>
      <c r="D1089">
        <v>95</v>
      </c>
      <c r="E1089">
        <v>59</v>
      </c>
      <c r="F1089">
        <v>5</v>
      </c>
      <c r="G1089">
        <f t="shared" si="162"/>
        <v>0</v>
      </c>
      <c r="H1089">
        <f t="shared" si="162"/>
        <v>0</v>
      </c>
      <c r="I1089">
        <f t="shared" si="162"/>
        <v>0</v>
      </c>
      <c r="J1089">
        <f t="shared" si="162"/>
        <v>0</v>
      </c>
      <c r="K1089">
        <f t="shared" si="162"/>
        <v>1</v>
      </c>
      <c r="L1089">
        <f t="shared" si="162"/>
        <v>0</v>
      </c>
      <c r="M1089">
        <f t="shared" si="163"/>
        <v>0</v>
      </c>
      <c r="N1089">
        <f t="shared" si="163"/>
        <v>1</v>
      </c>
      <c r="O1089">
        <f t="shared" si="163"/>
        <v>0</v>
      </c>
    </row>
    <row r="1090" spans="1:15" x14ac:dyDescent="0.3">
      <c r="A1090">
        <v>1</v>
      </c>
      <c r="B1090">
        <v>2014</v>
      </c>
      <c r="C1090">
        <v>496</v>
      </c>
      <c r="D1090">
        <v>20</v>
      </c>
      <c r="E1090">
        <v>17</v>
      </c>
      <c r="F1090">
        <v>1</v>
      </c>
      <c r="G1090">
        <f t="shared" si="162"/>
        <v>0</v>
      </c>
      <c r="H1090">
        <f t="shared" si="162"/>
        <v>0</v>
      </c>
      <c r="I1090">
        <f t="shared" si="162"/>
        <v>1</v>
      </c>
      <c r="J1090">
        <f t="shared" si="162"/>
        <v>0</v>
      </c>
      <c r="K1090">
        <f t="shared" si="162"/>
        <v>0</v>
      </c>
      <c r="L1090">
        <f t="shared" si="162"/>
        <v>0</v>
      </c>
      <c r="M1090">
        <f t="shared" si="163"/>
        <v>1</v>
      </c>
      <c r="N1090">
        <f t="shared" si="163"/>
        <v>0</v>
      </c>
      <c r="O1090">
        <f t="shared" si="163"/>
        <v>0</v>
      </c>
    </row>
    <row r="1091" spans="1:15" x14ac:dyDescent="0.3">
      <c r="A1091">
        <v>4</v>
      </c>
      <c r="B1091">
        <v>2015</v>
      </c>
      <c r="C1091">
        <v>494</v>
      </c>
      <c r="D1091">
        <v>95</v>
      </c>
      <c r="E1091">
        <v>37</v>
      </c>
      <c r="F1091">
        <v>3</v>
      </c>
      <c r="G1091">
        <f t="shared" si="162"/>
        <v>0</v>
      </c>
      <c r="H1091">
        <f t="shared" si="162"/>
        <v>0</v>
      </c>
      <c r="I1091">
        <f t="shared" si="162"/>
        <v>0</v>
      </c>
      <c r="J1091">
        <f t="shared" si="162"/>
        <v>1</v>
      </c>
      <c r="K1091">
        <f t="shared" si="162"/>
        <v>0</v>
      </c>
      <c r="L1091">
        <f t="shared" si="162"/>
        <v>0</v>
      </c>
      <c r="M1091">
        <f t="shared" si="163"/>
        <v>0</v>
      </c>
      <c r="N1091">
        <f t="shared" si="163"/>
        <v>0</v>
      </c>
      <c r="O1091">
        <f t="shared" si="163"/>
        <v>1</v>
      </c>
    </row>
    <row r="1092" spans="1:15" x14ac:dyDescent="0.3">
      <c r="A1092">
        <v>4</v>
      </c>
      <c r="B1092">
        <v>2016</v>
      </c>
      <c r="C1092">
        <v>487</v>
      </c>
      <c r="D1092">
        <v>100</v>
      </c>
      <c r="E1092">
        <v>52</v>
      </c>
      <c r="F1092">
        <v>6</v>
      </c>
      <c r="G1092">
        <f t="shared" ref="G1092:L1101" si="164">IF($B1092=G$1,1,0)</f>
        <v>0</v>
      </c>
      <c r="H1092">
        <f t="shared" si="164"/>
        <v>0</v>
      </c>
      <c r="I1092">
        <f t="shared" si="164"/>
        <v>0</v>
      </c>
      <c r="J1092">
        <f t="shared" si="164"/>
        <v>0</v>
      </c>
      <c r="K1092">
        <f t="shared" si="164"/>
        <v>1</v>
      </c>
      <c r="L1092">
        <f t="shared" si="164"/>
        <v>0</v>
      </c>
      <c r="M1092">
        <f t="shared" si="163"/>
        <v>0</v>
      </c>
      <c r="N1092">
        <f t="shared" si="163"/>
        <v>0</v>
      </c>
      <c r="O1092">
        <f t="shared" si="163"/>
        <v>1</v>
      </c>
    </row>
    <row r="1093" spans="1:15" x14ac:dyDescent="0.3">
      <c r="A1093">
        <v>4</v>
      </c>
      <c r="B1093">
        <v>2017</v>
      </c>
      <c r="C1093">
        <v>486</v>
      </c>
      <c r="D1093">
        <v>60</v>
      </c>
      <c r="E1093">
        <v>27</v>
      </c>
      <c r="F1093">
        <v>2</v>
      </c>
      <c r="G1093">
        <f t="shared" si="164"/>
        <v>0</v>
      </c>
      <c r="H1093">
        <f t="shared" si="164"/>
        <v>0</v>
      </c>
      <c r="I1093">
        <f t="shared" si="164"/>
        <v>0</v>
      </c>
      <c r="J1093">
        <f t="shared" si="164"/>
        <v>0</v>
      </c>
      <c r="K1093">
        <f t="shared" si="164"/>
        <v>0</v>
      </c>
      <c r="L1093">
        <f t="shared" si="164"/>
        <v>1</v>
      </c>
      <c r="M1093">
        <f t="shared" si="163"/>
        <v>0</v>
      </c>
      <c r="N1093">
        <f t="shared" si="163"/>
        <v>0</v>
      </c>
      <c r="O1093">
        <f t="shared" si="163"/>
        <v>1</v>
      </c>
    </row>
    <row r="1094" spans="1:15" x14ac:dyDescent="0.3">
      <c r="A1094">
        <v>4</v>
      </c>
      <c r="B1094">
        <v>2015</v>
      </c>
      <c r="C1094">
        <v>481</v>
      </c>
      <c r="D1094">
        <v>95</v>
      </c>
      <c r="E1094">
        <v>77</v>
      </c>
      <c r="F1094">
        <v>6</v>
      </c>
      <c r="G1094">
        <f t="shared" si="164"/>
        <v>0</v>
      </c>
      <c r="H1094">
        <f t="shared" si="164"/>
        <v>0</v>
      </c>
      <c r="I1094">
        <f t="shared" si="164"/>
        <v>0</v>
      </c>
      <c r="J1094">
        <f t="shared" si="164"/>
        <v>1</v>
      </c>
      <c r="K1094">
        <f t="shared" si="164"/>
        <v>0</v>
      </c>
      <c r="L1094">
        <f t="shared" si="164"/>
        <v>0</v>
      </c>
      <c r="M1094">
        <f t="shared" si="163"/>
        <v>0</v>
      </c>
      <c r="N1094">
        <f t="shared" si="163"/>
        <v>0</v>
      </c>
      <c r="O1094">
        <f t="shared" si="163"/>
        <v>1</v>
      </c>
    </row>
    <row r="1095" spans="1:15" x14ac:dyDescent="0.3">
      <c r="A1095">
        <v>1</v>
      </c>
      <c r="B1095">
        <v>2016</v>
      </c>
      <c r="C1095">
        <v>478</v>
      </c>
      <c r="D1095">
        <v>95</v>
      </c>
      <c r="E1095">
        <v>18</v>
      </c>
      <c r="F1095">
        <v>1.5</v>
      </c>
      <c r="G1095">
        <f t="shared" si="164"/>
        <v>0</v>
      </c>
      <c r="H1095">
        <f t="shared" si="164"/>
        <v>0</v>
      </c>
      <c r="I1095">
        <f t="shared" si="164"/>
        <v>0</v>
      </c>
      <c r="J1095">
        <f t="shared" si="164"/>
        <v>0</v>
      </c>
      <c r="K1095">
        <f t="shared" si="164"/>
        <v>1</v>
      </c>
      <c r="L1095">
        <f t="shared" si="164"/>
        <v>0</v>
      </c>
      <c r="M1095">
        <f t="shared" si="163"/>
        <v>1</v>
      </c>
      <c r="N1095">
        <f t="shared" si="163"/>
        <v>0</v>
      </c>
      <c r="O1095">
        <f t="shared" si="163"/>
        <v>0</v>
      </c>
    </row>
    <row r="1096" spans="1:15" x14ac:dyDescent="0.3">
      <c r="A1096">
        <v>4</v>
      </c>
      <c r="B1096">
        <v>2016</v>
      </c>
      <c r="C1096">
        <v>467</v>
      </c>
      <c r="D1096">
        <v>195</v>
      </c>
      <c r="E1096">
        <v>126</v>
      </c>
      <c r="F1096">
        <v>13.5</v>
      </c>
      <c r="G1096">
        <f t="shared" si="164"/>
        <v>0</v>
      </c>
      <c r="H1096">
        <f t="shared" si="164"/>
        <v>0</v>
      </c>
      <c r="I1096">
        <f t="shared" si="164"/>
        <v>0</v>
      </c>
      <c r="J1096">
        <f t="shared" si="164"/>
        <v>0</v>
      </c>
      <c r="K1096">
        <f t="shared" si="164"/>
        <v>1</v>
      </c>
      <c r="L1096">
        <f t="shared" si="164"/>
        <v>0</v>
      </c>
      <c r="M1096">
        <f t="shared" si="163"/>
        <v>0</v>
      </c>
      <c r="N1096">
        <f t="shared" si="163"/>
        <v>0</v>
      </c>
      <c r="O1096">
        <f t="shared" si="163"/>
        <v>1</v>
      </c>
    </row>
    <row r="1097" spans="1:15" x14ac:dyDescent="0.3">
      <c r="A1097">
        <v>4</v>
      </c>
      <c r="B1097">
        <v>2017</v>
      </c>
      <c r="C1097">
        <v>466</v>
      </c>
      <c r="D1097">
        <v>20</v>
      </c>
      <c r="E1097">
        <v>25</v>
      </c>
      <c r="F1097">
        <v>2</v>
      </c>
      <c r="G1097">
        <f t="shared" si="164"/>
        <v>0</v>
      </c>
      <c r="H1097">
        <f t="shared" si="164"/>
        <v>0</v>
      </c>
      <c r="I1097">
        <f t="shared" si="164"/>
        <v>0</v>
      </c>
      <c r="J1097">
        <f t="shared" si="164"/>
        <v>0</v>
      </c>
      <c r="K1097">
        <f t="shared" si="164"/>
        <v>0</v>
      </c>
      <c r="L1097">
        <f t="shared" si="164"/>
        <v>1</v>
      </c>
      <c r="M1097">
        <f t="shared" si="163"/>
        <v>0</v>
      </c>
      <c r="N1097">
        <f t="shared" si="163"/>
        <v>0</v>
      </c>
      <c r="O1097">
        <f t="shared" si="163"/>
        <v>1</v>
      </c>
    </row>
    <row r="1098" spans="1:15" x14ac:dyDescent="0.3">
      <c r="A1098">
        <v>4</v>
      </c>
      <c r="B1098">
        <v>2015</v>
      </c>
      <c r="C1098">
        <v>464</v>
      </c>
      <c r="D1098">
        <v>95</v>
      </c>
      <c r="E1098">
        <v>22</v>
      </c>
      <c r="F1098">
        <v>1.5</v>
      </c>
      <c r="G1098">
        <f t="shared" si="164"/>
        <v>0</v>
      </c>
      <c r="H1098">
        <f t="shared" si="164"/>
        <v>0</v>
      </c>
      <c r="I1098">
        <f t="shared" si="164"/>
        <v>0</v>
      </c>
      <c r="J1098">
        <f t="shared" si="164"/>
        <v>1</v>
      </c>
      <c r="K1098">
        <f t="shared" si="164"/>
        <v>0</v>
      </c>
      <c r="L1098">
        <f t="shared" si="164"/>
        <v>0</v>
      </c>
      <c r="M1098">
        <f t="shared" si="163"/>
        <v>0</v>
      </c>
      <c r="N1098">
        <f t="shared" si="163"/>
        <v>0</v>
      </c>
      <c r="O1098">
        <f t="shared" si="163"/>
        <v>1</v>
      </c>
    </row>
    <row r="1099" spans="1:15" x14ac:dyDescent="0.3">
      <c r="A1099">
        <v>4</v>
      </c>
      <c r="B1099">
        <v>2015</v>
      </c>
      <c r="C1099">
        <v>461</v>
      </c>
      <c r="D1099">
        <v>50</v>
      </c>
      <c r="E1099">
        <v>46</v>
      </c>
      <c r="F1099">
        <v>3.5</v>
      </c>
      <c r="G1099">
        <f t="shared" si="164"/>
        <v>0</v>
      </c>
      <c r="H1099">
        <f t="shared" si="164"/>
        <v>0</v>
      </c>
      <c r="I1099">
        <f t="shared" si="164"/>
        <v>0</v>
      </c>
      <c r="J1099">
        <f t="shared" si="164"/>
        <v>1</v>
      </c>
      <c r="K1099">
        <f t="shared" si="164"/>
        <v>0</v>
      </c>
      <c r="L1099">
        <f t="shared" si="164"/>
        <v>0</v>
      </c>
      <c r="M1099">
        <f t="shared" si="163"/>
        <v>0</v>
      </c>
      <c r="N1099">
        <f t="shared" si="163"/>
        <v>0</v>
      </c>
      <c r="O1099">
        <f t="shared" si="163"/>
        <v>1</v>
      </c>
    </row>
    <row r="1100" spans="1:15" x14ac:dyDescent="0.3">
      <c r="A1100">
        <v>1</v>
      </c>
      <c r="B1100">
        <v>2015</v>
      </c>
      <c r="C1100">
        <v>458</v>
      </c>
      <c r="D1100">
        <v>95</v>
      </c>
      <c r="E1100">
        <v>40</v>
      </c>
      <c r="F1100">
        <v>4.5</v>
      </c>
      <c r="G1100">
        <f t="shared" si="164"/>
        <v>0</v>
      </c>
      <c r="H1100">
        <f t="shared" si="164"/>
        <v>0</v>
      </c>
      <c r="I1100">
        <f t="shared" si="164"/>
        <v>0</v>
      </c>
      <c r="J1100">
        <f t="shared" si="164"/>
        <v>1</v>
      </c>
      <c r="K1100">
        <f t="shared" si="164"/>
        <v>0</v>
      </c>
      <c r="L1100">
        <f t="shared" si="164"/>
        <v>0</v>
      </c>
      <c r="M1100">
        <f t="shared" si="163"/>
        <v>1</v>
      </c>
      <c r="N1100">
        <f t="shared" si="163"/>
        <v>0</v>
      </c>
      <c r="O1100">
        <f t="shared" si="163"/>
        <v>0</v>
      </c>
    </row>
    <row r="1101" spans="1:15" x14ac:dyDescent="0.3">
      <c r="A1101">
        <v>4</v>
      </c>
      <c r="B1101">
        <v>2017</v>
      </c>
      <c r="C1101">
        <v>458</v>
      </c>
      <c r="D1101">
        <v>20</v>
      </c>
      <c r="E1101">
        <v>12</v>
      </c>
      <c r="F1101">
        <v>1</v>
      </c>
      <c r="G1101">
        <f t="shared" si="164"/>
        <v>0</v>
      </c>
      <c r="H1101">
        <f t="shared" si="164"/>
        <v>0</v>
      </c>
      <c r="I1101">
        <f t="shared" si="164"/>
        <v>0</v>
      </c>
      <c r="J1101">
        <f t="shared" si="164"/>
        <v>0</v>
      </c>
      <c r="K1101">
        <f t="shared" si="164"/>
        <v>0</v>
      </c>
      <c r="L1101">
        <f t="shared" si="164"/>
        <v>1</v>
      </c>
      <c r="M1101">
        <f t="shared" si="163"/>
        <v>0</v>
      </c>
      <c r="N1101">
        <f t="shared" si="163"/>
        <v>0</v>
      </c>
      <c r="O1101">
        <f t="shared" si="163"/>
        <v>1</v>
      </c>
    </row>
    <row r="1102" spans="1:15" x14ac:dyDescent="0.3">
      <c r="A1102">
        <v>1</v>
      </c>
      <c r="B1102">
        <v>2016</v>
      </c>
      <c r="C1102">
        <v>450</v>
      </c>
      <c r="D1102">
        <v>40</v>
      </c>
      <c r="E1102">
        <v>41</v>
      </c>
      <c r="F1102">
        <v>6</v>
      </c>
      <c r="G1102">
        <f t="shared" ref="G1102:L1111" si="165">IF($B1102=G$1,1,0)</f>
        <v>0</v>
      </c>
      <c r="H1102">
        <f t="shared" si="165"/>
        <v>0</v>
      </c>
      <c r="I1102">
        <f t="shared" si="165"/>
        <v>0</v>
      </c>
      <c r="J1102">
        <f t="shared" si="165"/>
        <v>0</v>
      </c>
      <c r="K1102">
        <f t="shared" si="165"/>
        <v>1</v>
      </c>
      <c r="L1102">
        <f t="shared" si="165"/>
        <v>0</v>
      </c>
      <c r="M1102">
        <f t="shared" ref="M1102:O1121" si="166">IF($A1102=M$1,1,0)</f>
        <v>1</v>
      </c>
      <c r="N1102">
        <f t="shared" si="166"/>
        <v>0</v>
      </c>
      <c r="O1102">
        <f t="shared" si="166"/>
        <v>0</v>
      </c>
    </row>
    <row r="1103" spans="1:15" x14ac:dyDescent="0.3">
      <c r="A1103">
        <v>1</v>
      </c>
      <c r="B1103">
        <v>2015</v>
      </c>
      <c r="C1103">
        <v>442</v>
      </c>
      <c r="D1103">
        <v>200</v>
      </c>
      <c r="E1103">
        <v>80</v>
      </c>
      <c r="F1103">
        <v>6.5</v>
      </c>
      <c r="G1103">
        <f t="shared" si="165"/>
        <v>0</v>
      </c>
      <c r="H1103">
        <f t="shared" si="165"/>
        <v>0</v>
      </c>
      <c r="I1103">
        <f t="shared" si="165"/>
        <v>0</v>
      </c>
      <c r="J1103">
        <f t="shared" si="165"/>
        <v>1</v>
      </c>
      <c r="K1103">
        <f t="shared" si="165"/>
        <v>0</v>
      </c>
      <c r="L1103">
        <f t="shared" si="165"/>
        <v>0</v>
      </c>
      <c r="M1103">
        <f t="shared" si="166"/>
        <v>1</v>
      </c>
      <c r="N1103">
        <f t="shared" si="166"/>
        <v>0</v>
      </c>
      <c r="O1103">
        <f t="shared" si="166"/>
        <v>0</v>
      </c>
    </row>
    <row r="1104" spans="1:15" x14ac:dyDescent="0.3">
      <c r="A1104">
        <v>4</v>
      </c>
      <c r="B1104">
        <v>2015</v>
      </c>
      <c r="C1104">
        <v>436</v>
      </c>
      <c r="D1104">
        <v>20</v>
      </c>
      <c r="E1104">
        <v>22</v>
      </c>
      <c r="F1104">
        <v>1.5</v>
      </c>
      <c r="G1104">
        <f t="shared" si="165"/>
        <v>0</v>
      </c>
      <c r="H1104">
        <f t="shared" si="165"/>
        <v>0</v>
      </c>
      <c r="I1104">
        <f t="shared" si="165"/>
        <v>0</v>
      </c>
      <c r="J1104">
        <f t="shared" si="165"/>
        <v>1</v>
      </c>
      <c r="K1104">
        <f t="shared" si="165"/>
        <v>0</v>
      </c>
      <c r="L1104">
        <f t="shared" si="165"/>
        <v>0</v>
      </c>
      <c r="M1104">
        <f t="shared" si="166"/>
        <v>0</v>
      </c>
      <c r="N1104">
        <f t="shared" si="166"/>
        <v>0</v>
      </c>
      <c r="O1104">
        <f t="shared" si="166"/>
        <v>1</v>
      </c>
    </row>
    <row r="1105" spans="1:15" x14ac:dyDescent="0.3">
      <c r="A1105">
        <v>4</v>
      </c>
      <c r="B1105">
        <v>2016</v>
      </c>
      <c r="C1105">
        <v>434</v>
      </c>
      <c r="D1105">
        <v>40</v>
      </c>
      <c r="E1105">
        <v>23</v>
      </c>
      <c r="F1105">
        <v>5.5</v>
      </c>
      <c r="G1105">
        <f t="shared" si="165"/>
        <v>0</v>
      </c>
      <c r="H1105">
        <f t="shared" si="165"/>
        <v>0</v>
      </c>
      <c r="I1105">
        <f t="shared" si="165"/>
        <v>0</v>
      </c>
      <c r="J1105">
        <f t="shared" si="165"/>
        <v>0</v>
      </c>
      <c r="K1105">
        <f t="shared" si="165"/>
        <v>1</v>
      </c>
      <c r="L1105">
        <f t="shared" si="165"/>
        <v>0</v>
      </c>
      <c r="M1105">
        <f t="shared" si="166"/>
        <v>0</v>
      </c>
      <c r="N1105">
        <f t="shared" si="166"/>
        <v>0</v>
      </c>
      <c r="O1105">
        <f t="shared" si="166"/>
        <v>1</v>
      </c>
    </row>
    <row r="1106" spans="1:15" x14ac:dyDescent="0.3">
      <c r="A1106">
        <v>2</v>
      </c>
      <c r="B1106">
        <v>2017</v>
      </c>
      <c r="C1106">
        <v>430</v>
      </c>
      <c r="D1106">
        <v>125</v>
      </c>
      <c r="E1106">
        <v>39</v>
      </c>
      <c r="F1106">
        <v>2.5</v>
      </c>
      <c r="G1106">
        <f t="shared" si="165"/>
        <v>0</v>
      </c>
      <c r="H1106">
        <f t="shared" si="165"/>
        <v>0</v>
      </c>
      <c r="I1106">
        <f t="shared" si="165"/>
        <v>0</v>
      </c>
      <c r="J1106">
        <f t="shared" si="165"/>
        <v>0</v>
      </c>
      <c r="K1106">
        <f t="shared" si="165"/>
        <v>0</v>
      </c>
      <c r="L1106">
        <f t="shared" si="165"/>
        <v>1</v>
      </c>
      <c r="M1106">
        <f t="shared" si="166"/>
        <v>0</v>
      </c>
      <c r="N1106">
        <f t="shared" si="166"/>
        <v>1</v>
      </c>
      <c r="O1106">
        <f t="shared" si="166"/>
        <v>0</v>
      </c>
    </row>
    <row r="1107" spans="1:15" x14ac:dyDescent="0.3">
      <c r="A1107">
        <v>4</v>
      </c>
      <c r="B1107">
        <v>2017</v>
      </c>
      <c r="C1107">
        <v>426</v>
      </c>
      <c r="D1107">
        <v>45</v>
      </c>
      <c r="E1107">
        <v>9</v>
      </c>
      <c r="F1107">
        <v>1</v>
      </c>
      <c r="G1107">
        <f t="shared" si="165"/>
        <v>0</v>
      </c>
      <c r="H1107">
        <f t="shared" si="165"/>
        <v>0</v>
      </c>
      <c r="I1107">
        <f t="shared" si="165"/>
        <v>0</v>
      </c>
      <c r="J1107">
        <f t="shared" si="165"/>
        <v>0</v>
      </c>
      <c r="K1107">
        <f t="shared" si="165"/>
        <v>0</v>
      </c>
      <c r="L1107">
        <f t="shared" si="165"/>
        <v>1</v>
      </c>
      <c r="M1107">
        <f t="shared" si="166"/>
        <v>0</v>
      </c>
      <c r="N1107">
        <f t="shared" si="166"/>
        <v>0</v>
      </c>
      <c r="O1107">
        <f t="shared" si="166"/>
        <v>1</v>
      </c>
    </row>
    <row r="1108" spans="1:15" x14ac:dyDescent="0.3">
      <c r="A1108">
        <v>4</v>
      </c>
      <c r="B1108">
        <v>2017</v>
      </c>
      <c r="C1108">
        <v>426</v>
      </c>
      <c r="D1108">
        <v>45</v>
      </c>
      <c r="E1108">
        <v>10</v>
      </c>
      <c r="F1108">
        <v>1</v>
      </c>
      <c r="G1108">
        <f t="shared" si="165"/>
        <v>0</v>
      </c>
      <c r="H1108">
        <f t="shared" si="165"/>
        <v>0</v>
      </c>
      <c r="I1108">
        <f t="shared" si="165"/>
        <v>0</v>
      </c>
      <c r="J1108">
        <f t="shared" si="165"/>
        <v>0</v>
      </c>
      <c r="K1108">
        <f t="shared" si="165"/>
        <v>0</v>
      </c>
      <c r="L1108">
        <f t="shared" si="165"/>
        <v>1</v>
      </c>
      <c r="M1108">
        <f t="shared" si="166"/>
        <v>0</v>
      </c>
      <c r="N1108">
        <f t="shared" si="166"/>
        <v>0</v>
      </c>
      <c r="O1108">
        <f t="shared" si="166"/>
        <v>1</v>
      </c>
    </row>
    <row r="1109" spans="1:15" x14ac:dyDescent="0.3">
      <c r="A1109">
        <v>4</v>
      </c>
      <c r="B1109">
        <v>2016</v>
      </c>
      <c r="C1109">
        <v>424</v>
      </c>
      <c r="D1109">
        <v>30</v>
      </c>
      <c r="E1109">
        <v>9</v>
      </c>
      <c r="F1109">
        <v>1</v>
      </c>
      <c r="G1109">
        <f t="shared" si="165"/>
        <v>0</v>
      </c>
      <c r="H1109">
        <f t="shared" si="165"/>
        <v>0</v>
      </c>
      <c r="I1109">
        <f t="shared" si="165"/>
        <v>0</v>
      </c>
      <c r="J1109">
        <f t="shared" si="165"/>
        <v>0</v>
      </c>
      <c r="K1109">
        <f t="shared" si="165"/>
        <v>1</v>
      </c>
      <c r="L1109">
        <f t="shared" si="165"/>
        <v>0</v>
      </c>
      <c r="M1109">
        <f t="shared" si="166"/>
        <v>0</v>
      </c>
      <c r="N1109">
        <f t="shared" si="166"/>
        <v>0</v>
      </c>
      <c r="O1109">
        <f t="shared" si="166"/>
        <v>1</v>
      </c>
    </row>
    <row r="1110" spans="1:15" x14ac:dyDescent="0.3">
      <c r="A1110">
        <v>4</v>
      </c>
      <c r="B1110">
        <v>2015</v>
      </c>
      <c r="C1110">
        <v>424</v>
      </c>
      <c r="D1110">
        <v>95</v>
      </c>
      <c r="E1110">
        <v>60</v>
      </c>
      <c r="F1110">
        <v>3.5</v>
      </c>
      <c r="G1110">
        <f t="shared" si="165"/>
        <v>0</v>
      </c>
      <c r="H1110">
        <f t="shared" si="165"/>
        <v>0</v>
      </c>
      <c r="I1110">
        <f t="shared" si="165"/>
        <v>0</v>
      </c>
      <c r="J1110">
        <f t="shared" si="165"/>
        <v>1</v>
      </c>
      <c r="K1110">
        <f t="shared" si="165"/>
        <v>0</v>
      </c>
      <c r="L1110">
        <f t="shared" si="165"/>
        <v>0</v>
      </c>
      <c r="M1110">
        <f t="shared" si="166"/>
        <v>0</v>
      </c>
      <c r="N1110">
        <f t="shared" si="166"/>
        <v>0</v>
      </c>
      <c r="O1110">
        <f t="shared" si="166"/>
        <v>1</v>
      </c>
    </row>
    <row r="1111" spans="1:15" x14ac:dyDescent="0.3">
      <c r="A1111">
        <v>1</v>
      </c>
      <c r="B1111">
        <v>2016</v>
      </c>
      <c r="C1111">
        <v>422</v>
      </c>
      <c r="D1111">
        <v>145</v>
      </c>
      <c r="E1111">
        <v>69</v>
      </c>
      <c r="F1111">
        <v>12.5</v>
      </c>
      <c r="G1111">
        <f t="shared" si="165"/>
        <v>0</v>
      </c>
      <c r="H1111">
        <f t="shared" si="165"/>
        <v>0</v>
      </c>
      <c r="I1111">
        <f t="shared" si="165"/>
        <v>0</v>
      </c>
      <c r="J1111">
        <f t="shared" si="165"/>
        <v>0</v>
      </c>
      <c r="K1111">
        <f t="shared" si="165"/>
        <v>1</v>
      </c>
      <c r="L1111">
        <f t="shared" si="165"/>
        <v>0</v>
      </c>
      <c r="M1111">
        <f t="shared" si="166"/>
        <v>1</v>
      </c>
      <c r="N1111">
        <f t="shared" si="166"/>
        <v>0</v>
      </c>
      <c r="O1111">
        <f t="shared" si="166"/>
        <v>0</v>
      </c>
    </row>
    <row r="1112" spans="1:15" x14ac:dyDescent="0.3">
      <c r="A1112">
        <v>4</v>
      </c>
      <c r="B1112">
        <v>2017</v>
      </c>
      <c r="C1112">
        <v>421</v>
      </c>
      <c r="D1112">
        <v>50</v>
      </c>
      <c r="E1112">
        <v>33</v>
      </c>
      <c r="F1112">
        <v>3.5</v>
      </c>
      <c r="G1112">
        <f t="shared" ref="G1112:L1121" si="167">IF($B1112=G$1,1,0)</f>
        <v>0</v>
      </c>
      <c r="H1112">
        <f t="shared" si="167"/>
        <v>0</v>
      </c>
      <c r="I1112">
        <f t="shared" si="167"/>
        <v>0</v>
      </c>
      <c r="J1112">
        <f t="shared" si="167"/>
        <v>0</v>
      </c>
      <c r="K1112">
        <f t="shared" si="167"/>
        <v>0</v>
      </c>
      <c r="L1112">
        <f t="shared" si="167"/>
        <v>1</v>
      </c>
      <c r="M1112">
        <f t="shared" si="166"/>
        <v>0</v>
      </c>
      <c r="N1112">
        <f t="shared" si="166"/>
        <v>0</v>
      </c>
      <c r="O1112">
        <f t="shared" si="166"/>
        <v>1</v>
      </c>
    </row>
    <row r="1113" spans="1:15" x14ac:dyDescent="0.3">
      <c r="A1113">
        <v>2</v>
      </c>
      <c r="B1113">
        <v>2016</v>
      </c>
      <c r="C1113">
        <v>417</v>
      </c>
      <c r="D1113">
        <v>50</v>
      </c>
      <c r="E1113">
        <v>109</v>
      </c>
      <c r="F1113">
        <v>13</v>
      </c>
      <c r="G1113">
        <f t="shared" si="167"/>
        <v>0</v>
      </c>
      <c r="H1113">
        <f t="shared" si="167"/>
        <v>0</v>
      </c>
      <c r="I1113">
        <f t="shared" si="167"/>
        <v>0</v>
      </c>
      <c r="J1113">
        <f t="shared" si="167"/>
        <v>0</v>
      </c>
      <c r="K1113">
        <f t="shared" si="167"/>
        <v>1</v>
      </c>
      <c r="L1113">
        <f t="shared" si="167"/>
        <v>0</v>
      </c>
      <c r="M1113">
        <f t="shared" si="166"/>
        <v>0</v>
      </c>
      <c r="N1113">
        <f t="shared" si="166"/>
        <v>1</v>
      </c>
      <c r="O1113">
        <f t="shared" si="166"/>
        <v>0</v>
      </c>
    </row>
    <row r="1114" spans="1:15" x14ac:dyDescent="0.3">
      <c r="A1114">
        <v>1</v>
      </c>
      <c r="B1114">
        <v>2015</v>
      </c>
      <c r="C1114">
        <v>415</v>
      </c>
      <c r="D1114">
        <v>50</v>
      </c>
      <c r="E1114">
        <v>53</v>
      </c>
      <c r="F1114">
        <v>7</v>
      </c>
      <c r="G1114">
        <f t="shared" si="167"/>
        <v>0</v>
      </c>
      <c r="H1114">
        <f t="shared" si="167"/>
        <v>0</v>
      </c>
      <c r="I1114">
        <f t="shared" si="167"/>
        <v>0</v>
      </c>
      <c r="J1114">
        <f t="shared" si="167"/>
        <v>1</v>
      </c>
      <c r="K1114">
        <f t="shared" si="167"/>
        <v>0</v>
      </c>
      <c r="L1114">
        <f t="shared" si="167"/>
        <v>0</v>
      </c>
      <c r="M1114">
        <f t="shared" si="166"/>
        <v>1</v>
      </c>
      <c r="N1114">
        <f t="shared" si="166"/>
        <v>0</v>
      </c>
      <c r="O1114">
        <f t="shared" si="166"/>
        <v>0</v>
      </c>
    </row>
    <row r="1115" spans="1:15" x14ac:dyDescent="0.3">
      <c r="A1115">
        <v>4</v>
      </c>
      <c r="B1115">
        <v>2017</v>
      </c>
      <c r="C1115">
        <v>408</v>
      </c>
      <c r="D1115">
        <v>200</v>
      </c>
      <c r="E1115">
        <v>80</v>
      </c>
      <c r="F1115">
        <v>8</v>
      </c>
      <c r="G1115">
        <f t="shared" si="167"/>
        <v>0</v>
      </c>
      <c r="H1115">
        <f t="shared" si="167"/>
        <v>0</v>
      </c>
      <c r="I1115">
        <f t="shared" si="167"/>
        <v>0</v>
      </c>
      <c r="J1115">
        <f t="shared" si="167"/>
        <v>0</v>
      </c>
      <c r="K1115">
        <f t="shared" si="167"/>
        <v>0</v>
      </c>
      <c r="L1115">
        <f t="shared" si="167"/>
        <v>1</v>
      </c>
      <c r="M1115">
        <f t="shared" si="166"/>
        <v>0</v>
      </c>
      <c r="N1115">
        <f t="shared" si="166"/>
        <v>0</v>
      </c>
      <c r="O1115">
        <f t="shared" si="166"/>
        <v>1</v>
      </c>
    </row>
    <row r="1116" spans="1:15" x14ac:dyDescent="0.3">
      <c r="A1116">
        <v>4</v>
      </c>
      <c r="B1116">
        <v>2016</v>
      </c>
      <c r="C1116">
        <v>402</v>
      </c>
      <c r="D1116">
        <v>60</v>
      </c>
      <c r="E1116">
        <v>35</v>
      </c>
      <c r="F1116">
        <v>4</v>
      </c>
      <c r="G1116">
        <f t="shared" si="167"/>
        <v>0</v>
      </c>
      <c r="H1116">
        <f t="shared" si="167"/>
        <v>0</v>
      </c>
      <c r="I1116">
        <f t="shared" si="167"/>
        <v>0</v>
      </c>
      <c r="J1116">
        <f t="shared" si="167"/>
        <v>0</v>
      </c>
      <c r="K1116">
        <f t="shared" si="167"/>
        <v>1</v>
      </c>
      <c r="L1116">
        <f t="shared" si="167"/>
        <v>0</v>
      </c>
      <c r="M1116">
        <f t="shared" si="166"/>
        <v>0</v>
      </c>
      <c r="N1116">
        <f t="shared" si="166"/>
        <v>0</v>
      </c>
      <c r="O1116">
        <f t="shared" si="166"/>
        <v>1</v>
      </c>
    </row>
    <row r="1117" spans="1:15" x14ac:dyDescent="0.3">
      <c r="A1117">
        <v>1</v>
      </c>
      <c r="B1117">
        <v>2016</v>
      </c>
      <c r="C1117">
        <v>396</v>
      </c>
      <c r="D1117">
        <v>35</v>
      </c>
      <c r="E1117">
        <v>21</v>
      </c>
      <c r="F1117">
        <v>0.71666666999999995</v>
      </c>
      <c r="G1117">
        <f t="shared" si="167"/>
        <v>0</v>
      </c>
      <c r="H1117">
        <f t="shared" si="167"/>
        <v>0</v>
      </c>
      <c r="I1117">
        <f t="shared" si="167"/>
        <v>0</v>
      </c>
      <c r="J1117">
        <f t="shared" si="167"/>
        <v>0</v>
      </c>
      <c r="K1117">
        <f t="shared" si="167"/>
        <v>1</v>
      </c>
      <c r="L1117">
        <f t="shared" si="167"/>
        <v>0</v>
      </c>
      <c r="M1117">
        <f t="shared" si="166"/>
        <v>1</v>
      </c>
      <c r="N1117">
        <f t="shared" si="166"/>
        <v>0</v>
      </c>
      <c r="O1117">
        <f t="shared" si="166"/>
        <v>0</v>
      </c>
    </row>
    <row r="1118" spans="1:15" x14ac:dyDescent="0.3">
      <c r="A1118">
        <v>1</v>
      </c>
      <c r="B1118">
        <v>2017</v>
      </c>
      <c r="C1118">
        <v>396</v>
      </c>
      <c r="D1118">
        <v>45</v>
      </c>
      <c r="E1118">
        <v>8</v>
      </c>
      <c r="F1118">
        <v>0.56666667000000004</v>
      </c>
      <c r="G1118">
        <f t="shared" si="167"/>
        <v>0</v>
      </c>
      <c r="H1118">
        <f t="shared" si="167"/>
        <v>0</v>
      </c>
      <c r="I1118">
        <f t="shared" si="167"/>
        <v>0</v>
      </c>
      <c r="J1118">
        <f t="shared" si="167"/>
        <v>0</v>
      </c>
      <c r="K1118">
        <f t="shared" si="167"/>
        <v>0</v>
      </c>
      <c r="L1118">
        <f t="shared" si="167"/>
        <v>1</v>
      </c>
      <c r="M1118">
        <f t="shared" si="166"/>
        <v>1</v>
      </c>
      <c r="N1118">
        <f t="shared" si="166"/>
        <v>0</v>
      </c>
      <c r="O1118">
        <f t="shared" si="166"/>
        <v>0</v>
      </c>
    </row>
    <row r="1119" spans="1:15" x14ac:dyDescent="0.3">
      <c r="A1119">
        <v>1</v>
      </c>
      <c r="B1119">
        <v>2015</v>
      </c>
      <c r="C1119">
        <v>395</v>
      </c>
      <c r="D1119">
        <v>40</v>
      </c>
      <c r="E1119">
        <v>36</v>
      </c>
      <c r="F1119">
        <v>6.5</v>
      </c>
      <c r="G1119">
        <f t="shared" si="167"/>
        <v>0</v>
      </c>
      <c r="H1119">
        <f t="shared" si="167"/>
        <v>0</v>
      </c>
      <c r="I1119">
        <f t="shared" si="167"/>
        <v>0</v>
      </c>
      <c r="J1119">
        <f t="shared" si="167"/>
        <v>1</v>
      </c>
      <c r="K1119">
        <f t="shared" si="167"/>
        <v>0</v>
      </c>
      <c r="L1119">
        <f t="shared" si="167"/>
        <v>0</v>
      </c>
      <c r="M1119">
        <f t="shared" si="166"/>
        <v>1</v>
      </c>
      <c r="N1119">
        <f t="shared" si="166"/>
        <v>0</v>
      </c>
      <c r="O1119">
        <f t="shared" si="166"/>
        <v>0</v>
      </c>
    </row>
    <row r="1120" spans="1:15" x14ac:dyDescent="0.3">
      <c r="A1120">
        <v>4</v>
      </c>
      <c r="B1120">
        <v>2016</v>
      </c>
      <c r="C1120">
        <v>395</v>
      </c>
      <c r="D1120">
        <v>195</v>
      </c>
      <c r="E1120">
        <v>57</v>
      </c>
      <c r="F1120">
        <v>17</v>
      </c>
      <c r="G1120">
        <f t="shared" si="167"/>
        <v>0</v>
      </c>
      <c r="H1120">
        <f t="shared" si="167"/>
        <v>0</v>
      </c>
      <c r="I1120">
        <f t="shared" si="167"/>
        <v>0</v>
      </c>
      <c r="J1120">
        <f t="shared" si="167"/>
        <v>0</v>
      </c>
      <c r="K1120">
        <f t="shared" si="167"/>
        <v>1</v>
      </c>
      <c r="L1120">
        <f t="shared" si="167"/>
        <v>0</v>
      </c>
      <c r="M1120">
        <f t="shared" si="166"/>
        <v>0</v>
      </c>
      <c r="N1120">
        <f t="shared" si="166"/>
        <v>0</v>
      </c>
      <c r="O1120">
        <f t="shared" si="166"/>
        <v>1</v>
      </c>
    </row>
    <row r="1121" spans="1:15" x14ac:dyDescent="0.3">
      <c r="A1121">
        <v>2</v>
      </c>
      <c r="B1121">
        <v>2016</v>
      </c>
      <c r="C1121">
        <v>394</v>
      </c>
      <c r="D1121">
        <v>50</v>
      </c>
      <c r="E1121">
        <v>22</v>
      </c>
      <c r="F1121">
        <v>1.5</v>
      </c>
      <c r="G1121">
        <f t="shared" si="167"/>
        <v>0</v>
      </c>
      <c r="H1121">
        <f t="shared" si="167"/>
        <v>0</v>
      </c>
      <c r="I1121">
        <f t="shared" si="167"/>
        <v>0</v>
      </c>
      <c r="J1121">
        <f t="shared" si="167"/>
        <v>0</v>
      </c>
      <c r="K1121">
        <f t="shared" si="167"/>
        <v>1</v>
      </c>
      <c r="L1121">
        <f t="shared" si="167"/>
        <v>0</v>
      </c>
      <c r="M1121">
        <f t="shared" si="166"/>
        <v>0</v>
      </c>
      <c r="N1121">
        <f t="shared" si="166"/>
        <v>1</v>
      </c>
      <c r="O1121">
        <f t="shared" si="166"/>
        <v>0</v>
      </c>
    </row>
    <row r="1122" spans="1:15" x14ac:dyDescent="0.3">
      <c r="A1122">
        <v>4</v>
      </c>
      <c r="B1122">
        <v>2016</v>
      </c>
      <c r="C1122">
        <v>392</v>
      </c>
      <c r="D1122">
        <v>150</v>
      </c>
      <c r="E1122">
        <v>63</v>
      </c>
      <c r="F1122">
        <v>8.5</v>
      </c>
      <c r="G1122">
        <f t="shared" ref="G1122:L1131" si="168">IF($B1122=G$1,1,0)</f>
        <v>0</v>
      </c>
      <c r="H1122">
        <f t="shared" si="168"/>
        <v>0</v>
      </c>
      <c r="I1122">
        <f t="shared" si="168"/>
        <v>0</v>
      </c>
      <c r="J1122">
        <f t="shared" si="168"/>
        <v>0</v>
      </c>
      <c r="K1122">
        <f t="shared" si="168"/>
        <v>1</v>
      </c>
      <c r="L1122">
        <f t="shared" si="168"/>
        <v>0</v>
      </c>
      <c r="M1122">
        <f t="shared" ref="M1122:O1141" si="169">IF($A1122=M$1,1,0)</f>
        <v>0</v>
      </c>
      <c r="N1122">
        <f t="shared" si="169"/>
        <v>0</v>
      </c>
      <c r="O1122">
        <f t="shared" si="169"/>
        <v>1</v>
      </c>
    </row>
    <row r="1123" spans="1:15" x14ac:dyDescent="0.3">
      <c r="A1123">
        <v>4</v>
      </c>
      <c r="B1123">
        <v>2017</v>
      </c>
      <c r="C1123">
        <v>387</v>
      </c>
      <c r="D1123">
        <v>20</v>
      </c>
      <c r="E1123">
        <v>30</v>
      </c>
      <c r="F1123">
        <v>2.5</v>
      </c>
      <c r="G1123">
        <f t="shared" si="168"/>
        <v>0</v>
      </c>
      <c r="H1123">
        <f t="shared" si="168"/>
        <v>0</v>
      </c>
      <c r="I1123">
        <f t="shared" si="168"/>
        <v>0</v>
      </c>
      <c r="J1123">
        <f t="shared" si="168"/>
        <v>0</v>
      </c>
      <c r="K1123">
        <f t="shared" si="168"/>
        <v>0</v>
      </c>
      <c r="L1123">
        <f t="shared" si="168"/>
        <v>1</v>
      </c>
      <c r="M1123">
        <f t="shared" si="169"/>
        <v>0</v>
      </c>
      <c r="N1123">
        <f t="shared" si="169"/>
        <v>0</v>
      </c>
      <c r="O1123">
        <f t="shared" si="169"/>
        <v>1</v>
      </c>
    </row>
    <row r="1124" spans="1:15" x14ac:dyDescent="0.3">
      <c r="A1124">
        <v>2</v>
      </c>
      <c r="B1124">
        <v>2015</v>
      </c>
      <c r="C1124">
        <v>385</v>
      </c>
      <c r="D1124">
        <v>20</v>
      </c>
      <c r="E1124">
        <v>32</v>
      </c>
      <c r="F1124">
        <v>2.5</v>
      </c>
      <c r="G1124">
        <f t="shared" si="168"/>
        <v>0</v>
      </c>
      <c r="H1124">
        <f t="shared" si="168"/>
        <v>0</v>
      </c>
      <c r="I1124">
        <f t="shared" si="168"/>
        <v>0</v>
      </c>
      <c r="J1124">
        <f t="shared" si="168"/>
        <v>1</v>
      </c>
      <c r="K1124">
        <f t="shared" si="168"/>
        <v>0</v>
      </c>
      <c r="L1124">
        <f t="shared" si="168"/>
        <v>0</v>
      </c>
      <c r="M1124">
        <f t="shared" si="169"/>
        <v>0</v>
      </c>
      <c r="N1124">
        <f t="shared" si="169"/>
        <v>1</v>
      </c>
      <c r="O1124">
        <f t="shared" si="169"/>
        <v>0</v>
      </c>
    </row>
    <row r="1125" spans="1:15" x14ac:dyDescent="0.3">
      <c r="A1125">
        <v>1</v>
      </c>
      <c r="B1125">
        <v>2016</v>
      </c>
      <c r="C1125">
        <v>382</v>
      </c>
      <c r="D1125">
        <v>150</v>
      </c>
      <c r="E1125">
        <v>140</v>
      </c>
      <c r="F1125">
        <v>15.5</v>
      </c>
      <c r="G1125">
        <f t="shared" si="168"/>
        <v>0</v>
      </c>
      <c r="H1125">
        <f t="shared" si="168"/>
        <v>0</v>
      </c>
      <c r="I1125">
        <f t="shared" si="168"/>
        <v>0</v>
      </c>
      <c r="J1125">
        <f t="shared" si="168"/>
        <v>0</v>
      </c>
      <c r="K1125">
        <f t="shared" si="168"/>
        <v>1</v>
      </c>
      <c r="L1125">
        <f t="shared" si="168"/>
        <v>0</v>
      </c>
      <c r="M1125">
        <f t="shared" si="169"/>
        <v>1</v>
      </c>
      <c r="N1125">
        <f t="shared" si="169"/>
        <v>0</v>
      </c>
      <c r="O1125">
        <f t="shared" si="169"/>
        <v>0</v>
      </c>
    </row>
    <row r="1126" spans="1:15" x14ac:dyDescent="0.3">
      <c r="A1126">
        <v>1</v>
      </c>
      <c r="B1126">
        <v>2017</v>
      </c>
      <c r="C1126">
        <v>380</v>
      </c>
      <c r="D1126">
        <v>35</v>
      </c>
      <c r="E1126">
        <v>30</v>
      </c>
      <c r="F1126">
        <v>2</v>
      </c>
      <c r="G1126">
        <f t="shared" si="168"/>
        <v>0</v>
      </c>
      <c r="H1126">
        <f t="shared" si="168"/>
        <v>0</v>
      </c>
      <c r="I1126">
        <f t="shared" si="168"/>
        <v>0</v>
      </c>
      <c r="J1126">
        <f t="shared" si="168"/>
        <v>0</v>
      </c>
      <c r="K1126">
        <f t="shared" si="168"/>
        <v>0</v>
      </c>
      <c r="L1126">
        <f t="shared" si="168"/>
        <v>1</v>
      </c>
      <c r="M1126">
        <f t="shared" si="169"/>
        <v>1</v>
      </c>
      <c r="N1126">
        <f t="shared" si="169"/>
        <v>0</v>
      </c>
      <c r="O1126">
        <f t="shared" si="169"/>
        <v>0</v>
      </c>
    </row>
    <row r="1127" spans="1:15" x14ac:dyDescent="0.3">
      <c r="A1127">
        <v>1</v>
      </c>
      <c r="B1127">
        <v>2016</v>
      </c>
      <c r="C1127">
        <v>379</v>
      </c>
      <c r="D1127">
        <v>40</v>
      </c>
      <c r="E1127">
        <v>45</v>
      </c>
      <c r="F1127">
        <v>2</v>
      </c>
      <c r="G1127">
        <f t="shared" si="168"/>
        <v>0</v>
      </c>
      <c r="H1127">
        <f t="shared" si="168"/>
        <v>0</v>
      </c>
      <c r="I1127">
        <f t="shared" si="168"/>
        <v>0</v>
      </c>
      <c r="J1127">
        <f t="shared" si="168"/>
        <v>0</v>
      </c>
      <c r="K1127">
        <f t="shared" si="168"/>
        <v>1</v>
      </c>
      <c r="L1127">
        <f t="shared" si="168"/>
        <v>0</v>
      </c>
      <c r="M1127">
        <f t="shared" si="169"/>
        <v>1</v>
      </c>
      <c r="N1127">
        <f t="shared" si="169"/>
        <v>0</v>
      </c>
      <c r="O1127">
        <f t="shared" si="169"/>
        <v>0</v>
      </c>
    </row>
    <row r="1128" spans="1:15" x14ac:dyDescent="0.3">
      <c r="A1128">
        <v>4</v>
      </c>
      <c r="B1128">
        <v>2017</v>
      </c>
      <c r="C1128">
        <v>376</v>
      </c>
      <c r="D1128">
        <v>50</v>
      </c>
      <c r="E1128">
        <v>49</v>
      </c>
      <c r="F1128">
        <v>3</v>
      </c>
      <c r="G1128">
        <f t="shared" si="168"/>
        <v>0</v>
      </c>
      <c r="H1128">
        <f t="shared" si="168"/>
        <v>0</v>
      </c>
      <c r="I1128">
        <f t="shared" si="168"/>
        <v>0</v>
      </c>
      <c r="J1128">
        <f t="shared" si="168"/>
        <v>0</v>
      </c>
      <c r="K1128">
        <f t="shared" si="168"/>
        <v>0</v>
      </c>
      <c r="L1128">
        <f t="shared" si="168"/>
        <v>1</v>
      </c>
      <c r="M1128">
        <f t="shared" si="169"/>
        <v>0</v>
      </c>
      <c r="N1128">
        <f t="shared" si="169"/>
        <v>0</v>
      </c>
      <c r="O1128">
        <f t="shared" si="169"/>
        <v>1</v>
      </c>
    </row>
    <row r="1129" spans="1:15" x14ac:dyDescent="0.3">
      <c r="A1129">
        <v>1</v>
      </c>
      <c r="B1129">
        <v>2017</v>
      </c>
      <c r="C1129">
        <v>362</v>
      </c>
      <c r="D1129">
        <v>20</v>
      </c>
      <c r="E1129">
        <v>8</v>
      </c>
      <c r="F1129">
        <v>1</v>
      </c>
      <c r="G1129">
        <f t="shared" si="168"/>
        <v>0</v>
      </c>
      <c r="H1129">
        <f t="shared" si="168"/>
        <v>0</v>
      </c>
      <c r="I1129">
        <f t="shared" si="168"/>
        <v>0</v>
      </c>
      <c r="J1129">
        <f t="shared" si="168"/>
        <v>0</v>
      </c>
      <c r="K1129">
        <f t="shared" si="168"/>
        <v>0</v>
      </c>
      <c r="L1129">
        <f t="shared" si="168"/>
        <v>1</v>
      </c>
      <c r="M1129">
        <f t="shared" si="169"/>
        <v>1</v>
      </c>
      <c r="N1129">
        <f t="shared" si="169"/>
        <v>0</v>
      </c>
      <c r="O1129">
        <f t="shared" si="169"/>
        <v>0</v>
      </c>
    </row>
    <row r="1130" spans="1:15" x14ac:dyDescent="0.3">
      <c r="A1130">
        <v>3</v>
      </c>
      <c r="B1130">
        <v>2017</v>
      </c>
      <c r="C1130">
        <v>361</v>
      </c>
      <c r="D1130">
        <v>55</v>
      </c>
      <c r="E1130">
        <v>49</v>
      </c>
      <c r="F1130">
        <v>2.5</v>
      </c>
      <c r="G1130">
        <f t="shared" si="168"/>
        <v>0</v>
      </c>
      <c r="H1130">
        <f t="shared" si="168"/>
        <v>0</v>
      </c>
      <c r="I1130">
        <f t="shared" si="168"/>
        <v>0</v>
      </c>
      <c r="J1130">
        <f t="shared" si="168"/>
        <v>0</v>
      </c>
      <c r="K1130">
        <f t="shared" si="168"/>
        <v>0</v>
      </c>
      <c r="L1130">
        <f t="shared" si="168"/>
        <v>1</v>
      </c>
      <c r="M1130">
        <f t="shared" si="169"/>
        <v>0</v>
      </c>
      <c r="N1130">
        <f t="shared" si="169"/>
        <v>0</v>
      </c>
      <c r="O1130">
        <f t="shared" si="169"/>
        <v>0</v>
      </c>
    </row>
    <row r="1131" spans="1:15" x14ac:dyDescent="0.3">
      <c r="A1131">
        <v>4</v>
      </c>
      <c r="B1131">
        <v>2015</v>
      </c>
      <c r="C1131">
        <v>359</v>
      </c>
      <c r="D1131">
        <v>20</v>
      </c>
      <c r="E1131">
        <v>73</v>
      </c>
      <c r="F1131">
        <v>6.5</v>
      </c>
      <c r="G1131">
        <f t="shared" si="168"/>
        <v>0</v>
      </c>
      <c r="H1131">
        <f t="shared" si="168"/>
        <v>0</v>
      </c>
      <c r="I1131">
        <f t="shared" si="168"/>
        <v>0</v>
      </c>
      <c r="J1131">
        <f t="shared" si="168"/>
        <v>1</v>
      </c>
      <c r="K1131">
        <f t="shared" si="168"/>
        <v>0</v>
      </c>
      <c r="L1131">
        <f t="shared" si="168"/>
        <v>0</v>
      </c>
      <c r="M1131">
        <f t="shared" si="169"/>
        <v>0</v>
      </c>
      <c r="N1131">
        <f t="shared" si="169"/>
        <v>0</v>
      </c>
      <c r="O1131">
        <f t="shared" si="169"/>
        <v>1</v>
      </c>
    </row>
    <row r="1132" spans="1:15" x14ac:dyDescent="0.3">
      <c r="A1132">
        <v>1</v>
      </c>
      <c r="B1132">
        <v>2017</v>
      </c>
      <c r="C1132">
        <v>358</v>
      </c>
      <c r="D1132">
        <v>20</v>
      </c>
      <c r="E1132">
        <v>23</v>
      </c>
      <c r="F1132">
        <v>2</v>
      </c>
      <c r="G1132">
        <f t="shared" ref="G1132:L1141" si="170">IF($B1132=G$1,1,0)</f>
        <v>0</v>
      </c>
      <c r="H1132">
        <f t="shared" si="170"/>
        <v>0</v>
      </c>
      <c r="I1132">
        <f t="shared" si="170"/>
        <v>0</v>
      </c>
      <c r="J1132">
        <f t="shared" si="170"/>
        <v>0</v>
      </c>
      <c r="K1132">
        <f t="shared" si="170"/>
        <v>0</v>
      </c>
      <c r="L1132">
        <f t="shared" si="170"/>
        <v>1</v>
      </c>
      <c r="M1132">
        <f t="shared" si="169"/>
        <v>1</v>
      </c>
      <c r="N1132">
        <f t="shared" si="169"/>
        <v>0</v>
      </c>
      <c r="O1132">
        <f t="shared" si="169"/>
        <v>0</v>
      </c>
    </row>
    <row r="1133" spans="1:15" x14ac:dyDescent="0.3">
      <c r="A1133">
        <v>1</v>
      </c>
      <c r="B1133">
        <v>2015</v>
      </c>
      <c r="C1133">
        <v>353</v>
      </c>
      <c r="D1133">
        <v>95</v>
      </c>
      <c r="E1133">
        <v>41</v>
      </c>
      <c r="F1133">
        <v>3</v>
      </c>
      <c r="G1133">
        <f t="shared" si="170"/>
        <v>0</v>
      </c>
      <c r="H1133">
        <f t="shared" si="170"/>
        <v>0</v>
      </c>
      <c r="I1133">
        <f t="shared" si="170"/>
        <v>0</v>
      </c>
      <c r="J1133">
        <f t="shared" si="170"/>
        <v>1</v>
      </c>
      <c r="K1133">
        <f t="shared" si="170"/>
        <v>0</v>
      </c>
      <c r="L1133">
        <f t="shared" si="170"/>
        <v>0</v>
      </c>
      <c r="M1133">
        <f t="shared" si="169"/>
        <v>1</v>
      </c>
      <c r="N1133">
        <f t="shared" si="169"/>
        <v>0</v>
      </c>
      <c r="O1133">
        <f t="shared" si="169"/>
        <v>0</v>
      </c>
    </row>
    <row r="1134" spans="1:15" x14ac:dyDescent="0.3">
      <c r="A1134">
        <v>4</v>
      </c>
      <c r="B1134">
        <v>2017</v>
      </c>
      <c r="C1134">
        <v>346</v>
      </c>
      <c r="D1134">
        <v>200</v>
      </c>
      <c r="E1134">
        <v>74</v>
      </c>
      <c r="F1134">
        <v>8.5</v>
      </c>
      <c r="G1134">
        <f t="shared" si="170"/>
        <v>0</v>
      </c>
      <c r="H1134">
        <f t="shared" si="170"/>
        <v>0</v>
      </c>
      <c r="I1134">
        <f t="shared" si="170"/>
        <v>0</v>
      </c>
      <c r="J1134">
        <f t="shared" si="170"/>
        <v>0</v>
      </c>
      <c r="K1134">
        <f t="shared" si="170"/>
        <v>0</v>
      </c>
      <c r="L1134">
        <f t="shared" si="170"/>
        <v>1</v>
      </c>
      <c r="M1134">
        <f t="shared" si="169"/>
        <v>0</v>
      </c>
      <c r="N1134">
        <f t="shared" si="169"/>
        <v>0</v>
      </c>
      <c r="O1134">
        <f t="shared" si="169"/>
        <v>1</v>
      </c>
    </row>
    <row r="1135" spans="1:15" x14ac:dyDescent="0.3">
      <c r="A1135">
        <v>4</v>
      </c>
      <c r="B1135">
        <v>2015</v>
      </c>
      <c r="C1135">
        <v>342</v>
      </c>
      <c r="D1135">
        <v>50</v>
      </c>
      <c r="E1135">
        <v>60</v>
      </c>
      <c r="F1135">
        <v>3.5</v>
      </c>
      <c r="G1135">
        <f t="shared" si="170"/>
        <v>0</v>
      </c>
      <c r="H1135">
        <f t="shared" si="170"/>
        <v>0</v>
      </c>
      <c r="I1135">
        <f t="shared" si="170"/>
        <v>0</v>
      </c>
      <c r="J1135">
        <f t="shared" si="170"/>
        <v>1</v>
      </c>
      <c r="K1135">
        <f t="shared" si="170"/>
        <v>0</v>
      </c>
      <c r="L1135">
        <f t="shared" si="170"/>
        <v>0</v>
      </c>
      <c r="M1135">
        <f t="shared" si="169"/>
        <v>0</v>
      </c>
      <c r="N1135">
        <f t="shared" si="169"/>
        <v>0</v>
      </c>
      <c r="O1135">
        <f t="shared" si="169"/>
        <v>1</v>
      </c>
    </row>
    <row r="1136" spans="1:15" x14ac:dyDescent="0.3">
      <c r="A1136">
        <v>2</v>
      </c>
      <c r="B1136">
        <v>2016</v>
      </c>
      <c r="C1136">
        <v>334</v>
      </c>
      <c r="D1136">
        <v>40</v>
      </c>
      <c r="E1136">
        <v>54</v>
      </c>
      <c r="F1136">
        <v>11.5</v>
      </c>
      <c r="G1136">
        <f t="shared" si="170"/>
        <v>0</v>
      </c>
      <c r="H1136">
        <f t="shared" si="170"/>
        <v>0</v>
      </c>
      <c r="I1136">
        <f t="shared" si="170"/>
        <v>0</v>
      </c>
      <c r="J1136">
        <f t="shared" si="170"/>
        <v>0</v>
      </c>
      <c r="K1136">
        <f t="shared" si="170"/>
        <v>1</v>
      </c>
      <c r="L1136">
        <f t="shared" si="170"/>
        <v>0</v>
      </c>
      <c r="M1136">
        <f t="shared" si="169"/>
        <v>0</v>
      </c>
      <c r="N1136">
        <f t="shared" si="169"/>
        <v>1</v>
      </c>
      <c r="O1136">
        <f t="shared" si="169"/>
        <v>0</v>
      </c>
    </row>
    <row r="1137" spans="1:15" x14ac:dyDescent="0.3">
      <c r="A1137">
        <v>4</v>
      </c>
      <c r="B1137">
        <v>2017</v>
      </c>
      <c r="C1137">
        <v>333</v>
      </c>
      <c r="D1137">
        <v>200</v>
      </c>
      <c r="E1137">
        <v>353</v>
      </c>
      <c r="F1137">
        <v>42</v>
      </c>
      <c r="G1137">
        <f t="shared" si="170"/>
        <v>0</v>
      </c>
      <c r="H1137">
        <f t="shared" si="170"/>
        <v>0</v>
      </c>
      <c r="I1137">
        <f t="shared" si="170"/>
        <v>0</v>
      </c>
      <c r="J1137">
        <f t="shared" si="170"/>
        <v>0</v>
      </c>
      <c r="K1137">
        <f t="shared" si="170"/>
        <v>0</v>
      </c>
      <c r="L1137">
        <f t="shared" si="170"/>
        <v>1</v>
      </c>
      <c r="M1137">
        <f t="shared" si="169"/>
        <v>0</v>
      </c>
      <c r="N1137">
        <f t="shared" si="169"/>
        <v>0</v>
      </c>
      <c r="O1137">
        <f t="shared" si="169"/>
        <v>1</v>
      </c>
    </row>
    <row r="1138" spans="1:15" x14ac:dyDescent="0.3">
      <c r="A1138">
        <v>1</v>
      </c>
      <c r="B1138">
        <v>2015</v>
      </c>
      <c r="C1138">
        <v>333</v>
      </c>
      <c r="D1138">
        <v>35</v>
      </c>
      <c r="E1138">
        <v>14</v>
      </c>
      <c r="F1138">
        <v>1</v>
      </c>
      <c r="G1138">
        <f t="shared" si="170"/>
        <v>0</v>
      </c>
      <c r="H1138">
        <f t="shared" si="170"/>
        <v>0</v>
      </c>
      <c r="I1138">
        <f t="shared" si="170"/>
        <v>0</v>
      </c>
      <c r="J1138">
        <f t="shared" si="170"/>
        <v>1</v>
      </c>
      <c r="K1138">
        <f t="shared" si="170"/>
        <v>0</v>
      </c>
      <c r="L1138">
        <f t="shared" si="170"/>
        <v>0</v>
      </c>
      <c r="M1138">
        <f t="shared" si="169"/>
        <v>1</v>
      </c>
      <c r="N1138">
        <f t="shared" si="169"/>
        <v>0</v>
      </c>
      <c r="O1138">
        <f t="shared" si="169"/>
        <v>0</v>
      </c>
    </row>
    <row r="1139" spans="1:15" x14ac:dyDescent="0.3">
      <c r="A1139">
        <v>4</v>
      </c>
      <c r="B1139">
        <v>2016</v>
      </c>
      <c r="C1139">
        <v>327</v>
      </c>
      <c r="D1139">
        <v>185</v>
      </c>
      <c r="E1139">
        <v>106</v>
      </c>
      <c r="F1139">
        <v>9.5</v>
      </c>
      <c r="G1139">
        <f t="shared" si="170"/>
        <v>0</v>
      </c>
      <c r="H1139">
        <f t="shared" si="170"/>
        <v>0</v>
      </c>
      <c r="I1139">
        <f t="shared" si="170"/>
        <v>0</v>
      </c>
      <c r="J1139">
        <f t="shared" si="170"/>
        <v>0</v>
      </c>
      <c r="K1139">
        <f t="shared" si="170"/>
        <v>1</v>
      </c>
      <c r="L1139">
        <f t="shared" si="170"/>
        <v>0</v>
      </c>
      <c r="M1139">
        <f t="shared" si="169"/>
        <v>0</v>
      </c>
      <c r="N1139">
        <f t="shared" si="169"/>
        <v>0</v>
      </c>
      <c r="O1139">
        <f t="shared" si="169"/>
        <v>1</v>
      </c>
    </row>
    <row r="1140" spans="1:15" x14ac:dyDescent="0.3">
      <c r="A1140">
        <v>1</v>
      </c>
      <c r="B1140">
        <v>2015</v>
      </c>
      <c r="C1140">
        <v>325</v>
      </c>
      <c r="D1140">
        <v>40</v>
      </c>
      <c r="E1140">
        <v>27</v>
      </c>
      <c r="F1140">
        <v>3.5</v>
      </c>
      <c r="G1140">
        <f t="shared" si="170"/>
        <v>0</v>
      </c>
      <c r="H1140">
        <f t="shared" si="170"/>
        <v>0</v>
      </c>
      <c r="I1140">
        <f t="shared" si="170"/>
        <v>0</v>
      </c>
      <c r="J1140">
        <f t="shared" si="170"/>
        <v>1</v>
      </c>
      <c r="K1140">
        <f t="shared" si="170"/>
        <v>0</v>
      </c>
      <c r="L1140">
        <f t="shared" si="170"/>
        <v>0</v>
      </c>
      <c r="M1140">
        <f t="shared" si="169"/>
        <v>1</v>
      </c>
      <c r="N1140">
        <f t="shared" si="169"/>
        <v>0</v>
      </c>
      <c r="O1140">
        <f t="shared" si="169"/>
        <v>0</v>
      </c>
    </row>
    <row r="1141" spans="1:15" x14ac:dyDescent="0.3">
      <c r="A1141">
        <v>2</v>
      </c>
      <c r="B1141">
        <v>2017</v>
      </c>
      <c r="C1141">
        <v>325</v>
      </c>
      <c r="D1141">
        <v>80</v>
      </c>
      <c r="E1141">
        <v>106</v>
      </c>
      <c r="F1141">
        <v>5</v>
      </c>
      <c r="G1141">
        <f t="shared" si="170"/>
        <v>0</v>
      </c>
      <c r="H1141">
        <f t="shared" si="170"/>
        <v>0</v>
      </c>
      <c r="I1141">
        <f t="shared" si="170"/>
        <v>0</v>
      </c>
      <c r="J1141">
        <f t="shared" si="170"/>
        <v>0</v>
      </c>
      <c r="K1141">
        <f t="shared" si="170"/>
        <v>0</v>
      </c>
      <c r="L1141">
        <f t="shared" si="170"/>
        <v>1</v>
      </c>
      <c r="M1141">
        <f t="shared" si="169"/>
        <v>0</v>
      </c>
      <c r="N1141">
        <f t="shared" si="169"/>
        <v>1</v>
      </c>
      <c r="O1141">
        <f t="shared" si="169"/>
        <v>0</v>
      </c>
    </row>
    <row r="1142" spans="1:15" x14ac:dyDescent="0.3">
      <c r="A1142">
        <v>4</v>
      </c>
      <c r="B1142">
        <v>2016</v>
      </c>
      <c r="C1142">
        <v>322</v>
      </c>
      <c r="D1142">
        <v>50</v>
      </c>
      <c r="E1142">
        <v>9</v>
      </c>
      <c r="F1142">
        <v>0.51666666999999999</v>
      </c>
      <c r="G1142">
        <f t="shared" ref="G1142:L1151" si="171">IF($B1142=G$1,1,0)</f>
        <v>0</v>
      </c>
      <c r="H1142">
        <f t="shared" si="171"/>
        <v>0</v>
      </c>
      <c r="I1142">
        <f t="shared" si="171"/>
        <v>0</v>
      </c>
      <c r="J1142">
        <f t="shared" si="171"/>
        <v>0</v>
      </c>
      <c r="K1142">
        <f t="shared" si="171"/>
        <v>1</v>
      </c>
      <c r="L1142">
        <f t="shared" si="171"/>
        <v>0</v>
      </c>
      <c r="M1142">
        <f t="shared" ref="M1142:O1161" si="172">IF($A1142=M$1,1,0)</f>
        <v>0</v>
      </c>
      <c r="N1142">
        <f t="shared" si="172"/>
        <v>0</v>
      </c>
      <c r="O1142">
        <f t="shared" si="172"/>
        <v>1</v>
      </c>
    </row>
    <row r="1143" spans="1:15" x14ac:dyDescent="0.3">
      <c r="A1143">
        <v>1</v>
      </c>
      <c r="B1143">
        <v>2016</v>
      </c>
      <c r="C1143">
        <v>314</v>
      </c>
      <c r="D1143">
        <v>95</v>
      </c>
      <c r="E1143">
        <v>49</v>
      </c>
      <c r="F1143">
        <v>6.5</v>
      </c>
      <c r="G1143">
        <f t="shared" si="171"/>
        <v>0</v>
      </c>
      <c r="H1143">
        <f t="shared" si="171"/>
        <v>0</v>
      </c>
      <c r="I1143">
        <f t="shared" si="171"/>
        <v>0</v>
      </c>
      <c r="J1143">
        <f t="shared" si="171"/>
        <v>0</v>
      </c>
      <c r="K1143">
        <f t="shared" si="171"/>
        <v>1</v>
      </c>
      <c r="L1143">
        <f t="shared" si="171"/>
        <v>0</v>
      </c>
      <c r="M1143">
        <f t="shared" si="172"/>
        <v>1</v>
      </c>
      <c r="N1143">
        <f t="shared" si="172"/>
        <v>0</v>
      </c>
      <c r="O1143">
        <f t="shared" si="172"/>
        <v>0</v>
      </c>
    </row>
    <row r="1144" spans="1:15" x14ac:dyDescent="0.3">
      <c r="A1144">
        <v>4</v>
      </c>
      <c r="B1144">
        <v>2017</v>
      </c>
      <c r="C1144">
        <v>306</v>
      </c>
      <c r="D1144">
        <v>25</v>
      </c>
      <c r="E1144">
        <v>42</v>
      </c>
      <c r="F1144">
        <v>3.5</v>
      </c>
      <c r="G1144">
        <f t="shared" si="171"/>
        <v>0</v>
      </c>
      <c r="H1144">
        <f t="shared" si="171"/>
        <v>0</v>
      </c>
      <c r="I1144">
        <f t="shared" si="171"/>
        <v>0</v>
      </c>
      <c r="J1144">
        <f t="shared" si="171"/>
        <v>0</v>
      </c>
      <c r="K1144">
        <f t="shared" si="171"/>
        <v>0</v>
      </c>
      <c r="L1144">
        <f t="shared" si="171"/>
        <v>1</v>
      </c>
      <c r="M1144">
        <f t="shared" si="172"/>
        <v>0</v>
      </c>
      <c r="N1144">
        <f t="shared" si="172"/>
        <v>0</v>
      </c>
      <c r="O1144">
        <f t="shared" si="172"/>
        <v>1</v>
      </c>
    </row>
    <row r="1145" spans="1:15" x14ac:dyDescent="0.3">
      <c r="A1145">
        <v>4</v>
      </c>
      <c r="B1145">
        <v>2015</v>
      </c>
      <c r="C1145">
        <v>305</v>
      </c>
      <c r="D1145">
        <v>40</v>
      </c>
      <c r="E1145">
        <v>9</v>
      </c>
      <c r="F1145">
        <v>2</v>
      </c>
      <c r="G1145">
        <f t="shared" si="171"/>
        <v>0</v>
      </c>
      <c r="H1145">
        <f t="shared" si="171"/>
        <v>0</v>
      </c>
      <c r="I1145">
        <f t="shared" si="171"/>
        <v>0</v>
      </c>
      <c r="J1145">
        <f t="shared" si="171"/>
        <v>1</v>
      </c>
      <c r="K1145">
        <f t="shared" si="171"/>
        <v>0</v>
      </c>
      <c r="L1145">
        <f t="shared" si="171"/>
        <v>0</v>
      </c>
      <c r="M1145">
        <f t="shared" si="172"/>
        <v>0</v>
      </c>
      <c r="N1145">
        <f t="shared" si="172"/>
        <v>0</v>
      </c>
      <c r="O1145">
        <f t="shared" si="172"/>
        <v>1</v>
      </c>
    </row>
    <row r="1146" spans="1:15" x14ac:dyDescent="0.3">
      <c r="A1146">
        <v>4</v>
      </c>
      <c r="B1146">
        <v>2016</v>
      </c>
      <c r="C1146">
        <v>305</v>
      </c>
      <c r="D1146">
        <v>50</v>
      </c>
      <c r="E1146">
        <v>13</v>
      </c>
      <c r="F1146">
        <v>2</v>
      </c>
      <c r="G1146">
        <f t="shared" si="171"/>
        <v>0</v>
      </c>
      <c r="H1146">
        <f t="shared" si="171"/>
        <v>0</v>
      </c>
      <c r="I1146">
        <f t="shared" si="171"/>
        <v>0</v>
      </c>
      <c r="J1146">
        <f t="shared" si="171"/>
        <v>0</v>
      </c>
      <c r="K1146">
        <f t="shared" si="171"/>
        <v>1</v>
      </c>
      <c r="L1146">
        <f t="shared" si="171"/>
        <v>0</v>
      </c>
      <c r="M1146">
        <f t="shared" si="172"/>
        <v>0</v>
      </c>
      <c r="N1146">
        <f t="shared" si="172"/>
        <v>0</v>
      </c>
      <c r="O1146">
        <f t="shared" si="172"/>
        <v>1</v>
      </c>
    </row>
    <row r="1147" spans="1:15" x14ac:dyDescent="0.3">
      <c r="A1147">
        <v>4</v>
      </c>
      <c r="B1147">
        <v>2016</v>
      </c>
      <c r="C1147">
        <v>301</v>
      </c>
      <c r="D1147">
        <v>95</v>
      </c>
      <c r="E1147">
        <v>91</v>
      </c>
      <c r="F1147">
        <v>7.5</v>
      </c>
      <c r="G1147">
        <f t="shared" si="171"/>
        <v>0</v>
      </c>
      <c r="H1147">
        <f t="shared" si="171"/>
        <v>0</v>
      </c>
      <c r="I1147">
        <f t="shared" si="171"/>
        <v>0</v>
      </c>
      <c r="J1147">
        <f t="shared" si="171"/>
        <v>0</v>
      </c>
      <c r="K1147">
        <f t="shared" si="171"/>
        <v>1</v>
      </c>
      <c r="L1147">
        <f t="shared" si="171"/>
        <v>0</v>
      </c>
      <c r="M1147">
        <f t="shared" si="172"/>
        <v>0</v>
      </c>
      <c r="N1147">
        <f t="shared" si="172"/>
        <v>0</v>
      </c>
      <c r="O1147">
        <f t="shared" si="172"/>
        <v>1</v>
      </c>
    </row>
    <row r="1148" spans="1:15" x14ac:dyDescent="0.3">
      <c r="A1148">
        <v>4</v>
      </c>
      <c r="B1148">
        <v>2017</v>
      </c>
      <c r="C1148">
        <v>300</v>
      </c>
      <c r="D1148">
        <v>200</v>
      </c>
      <c r="E1148">
        <v>66</v>
      </c>
      <c r="F1148">
        <v>6</v>
      </c>
      <c r="G1148">
        <f t="shared" si="171"/>
        <v>0</v>
      </c>
      <c r="H1148">
        <f t="shared" si="171"/>
        <v>0</v>
      </c>
      <c r="I1148">
        <f t="shared" si="171"/>
        <v>0</v>
      </c>
      <c r="J1148">
        <f t="shared" si="171"/>
        <v>0</v>
      </c>
      <c r="K1148">
        <f t="shared" si="171"/>
        <v>0</v>
      </c>
      <c r="L1148">
        <f t="shared" si="171"/>
        <v>1</v>
      </c>
      <c r="M1148">
        <f t="shared" si="172"/>
        <v>0</v>
      </c>
      <c r="N1148">
        <f t="shared" si="172"/>
        <v>0</v>
      </c>
      <c r="O1148">
        <f t="shared" si="172"/>
        <v>1</v>
      </c>
    </row>
    <row r="1149" spans="1:15" x14ac:dyDescent="0.3">
      <c r="A1149">
        <v>4</v>
      </c>
      <c r="B1149">
        <v>2016</v>
      </c>
      <c r="C1149">
        <v>300</v>
      </c>
      <c r="D1149">
        <v>50</v>
      </c>
      <c r="E1149">
        <v>38</v>
      </c>
      <c r="F1149">
        <v>3</v>
      </c>
      <c r="G1149">
        <f t="shared" si="171"/>
        <v>0</v>
      </c>
      <c r="H1149">
        <f t="shared" si="171"/>
        <v>0</v>
      </c>
      <c r="I1149">
        <f t="shared" si="171"/>
        <v>0</v>
      </c>
      <c r="J1149">
        <f t="shared" si="171"/>
        <v>0</v>
      </c>
      <c r="K1149">
        <f t="shared" si="171"/>
        <v>1</v>
      </c>
      <c r="L1149">
        <f t="shared" si="171"/>
        <v>0</v>
      </c>
      <c r="M1149">
        <f t="shared" si="172"/>
        <v>0</v>
      </c>
      <c r="N1149">
        <f t="shared" si="172"/>
        <v>0</v>
      </c>
      <c r="O1149">
        <f t="shared" si="172"/>
        <v>1</v>
      </c>
    </row>
    <row r="1150" spans="1:15" x14ac:dyDescent="0.3">
      <c r="A1150">
        <v>4</v>
      </c>
      <c r="B1150">
        <v>2016</v>
      </c>
      <c r="C1150">
        <v>299</v>
      </c>
      <c r="D1150">
        <v>125</v>
      </c>
      <c r="E1150">
        <v>34</v>
      </c>
      <c r="F1150">
        <v>3.5</v>
      </c>
      <c r="G1150">
        <f t="shared" si="171"/>
        <v>0</v>
      </c>
      <c r="H1150">
        <f t="shared" si="171"/>
        <v>0</v>
      </c>
      <c r="I1150">
        <f t="shared" si="171"/>
        <v>0</v>
      </c>
      <c r="J1150">
        <f t="shared" si="171"/>
        <v>0</v>
      </c>
      <c r="K1150">
        <f t="shared" si="171"/>
        <v>1</v>
      </c>
      <c r="L1150">
        <f t="shared" si="171"/>
        <v>0</v>
      </c>
      <c r="M1150">
        <f t="shared" si="172"/>
        <v>0</v>
      </c>
      <c r="N1150">
        <f t="shared" si="172"/>
        <v>0</v>
      </c>
      <c r="O1150">
        <f t="shared" si="172"/>
        <v>1</v>
      </c>
    </row>
    <row r="1151" spans="1:15" x14ac:dyDescent="0.3">
      <c r="A1151">
        <v>4</v>
      </c>
      <c r="B1151">
        <v>2015</v>
      </c>
      <c r="C1151">
        <v>298</v>
      </c>
      <c r="D1151">
        <v>35</v>
      </c>
      <c r="E1151">
        <v>24</v>
      </c>
      <c r="F1151">
        <v>1.5</v>
      </c>
      <c r="G1151">
        <f t="shared" si="171"/>
        <v>0</v>
      </c>
      <c r="H1151">
        <f t="shared" si="171"/>
        <v>0</v>
      </c>
      <c r="I1151">
        <f t="shared" si="171"/>
        <v>0</v>
      </c>
      <c r="J1151">
        <f t="shared" si="171"/>
        <v>1</v>
      </c>
      <c r="K1151">
        <f t="shared" si="171"/>
        <v>0</v>
      </c>
      <c r="L1151">
        <f t="shared" si="171"/>
        <v>0</v>
      </c>
      <c r="M1151">
        <f t="shared" si="172"/>
        <v>0</v>
      </c>
      <c r="N1151">
        <f t="shared" si="172"/>
        <v>0</v>
      </c>
      <c r="O1151">
        <f t="shared" si="172"/>
        <v>1</v>
      </c>
    </row>
    <row r="1152" spans="1:15" x14ac:dyDescent="0.3">
      <c r="A1152">
        <v>4</v>
      </c>
      <c r="B1152">
        <v>2017</v>
      </c>
      <c r="C1152">
        <v>293</v>
      </c>
      <c r="D1152">
        <v>125</v>
      </c>
      <c r="E1152">
        <v>31</v>
      </c>
      <c r="F1152">
        <v>3.5</v>
      </c>
      <c r="G1152">
        <f t="shared" ref="G1152:L1161" si="173">IF($B1152=G$1,1,0)</f>
        <v>0</v>
      </c>
      <c r="H1152">
        <f t="shared" si="173"/>
        <v>0</v>
      </c>
      <c r="I1152">
        <f t="shared" si="173"/>
        <v>0</v>
      </c>
      <c r="J1152">
        <f t="shared" si="173"/>
        <v>0</v>
      </c>
      <c r="K1152">
        <f t="shared" si="173"/>
        <v>0</v>
      </c>
      <c r="L1152">
        <f t="shared" si="173"/>
        <v>1</v>
      </c>
      <c r="M1152">
        <f t="shared" si="172"/>
        <v>0</v>
      </c>
      <c r="N1152">
        <f t="shared" si="172"/>
        <v>0</v>
      </c>
      <c r="O1152">
        <f t="shared" si="172"/>
        <v>1</v>
      </c>
    </row>
    <row r="1153" spans="1:15" x14ac:dyDescent="0.3">
      <c r="A1153">
        <v>4</v>
      </c>
      <c r="B1153">
        <v>2016</v>
      </c>
      <c r="C1153">
        <v>289</v>
      </c>
      <c r="D1153">
        <v>25</v>
      </c>
      <c r="E1153">
        <v>30</v>
      </c>
      <c r="F1153">
        <v>4</v>
      </c>
      <c r="G1153">
        <f t="shared" si="173"/>
        <v>0</v>
      </c>
      <c r="H1153">
        <f t="shared" si="173"/>
        <v>0</v>
      </c>
      <c r="I1153">
        <f t="shared" si="173"/>
        <v>0</v>
      </c>
      <c r="J1153">
        <f t="shared" si="173"/>
        <v>0</v>
      </c>
      <c r="K1153">
        <f t="shared" si="173"/>
        <v>1</v>
      </c>
      <c r="L1153">
        <f t="shared" si="173"/>
        <v>0</v>
      </c>
      <c r="M1153">
        <f t="shared" si="172"/>
        <v>0</v>
      </c>
      <c r="N1153">
        <f t="shared" si="172"/>
        <v>0</v>
      </c>
      <c r="O1153">
        <f t="shared" si="172"/>
        <v>1</v>
      </c>
    </row>
    <row r="1154" spans="1:15" x14ac:dyDescent="0.3">
      <c r="A1154">
        <v>4</v>
      </c>
      <c r="B1154">
        <v>2017</v>
      </c>
      <c r="C1154">
        <v>279</v>
      </c>
      <c r="D1154">
        <v>200</v>
      </c>
      <c r="E1154">
        <v>119</v>
      </c>
      <c r="F1154">
        <v>10</v>
      </c>
      <c r="G1154">
        <f t="shared" si="173"/>
        <v>0</v>
      </c>
      <c r="H1154">
        <f t="shared" si="173"/>
        <v>0</v>
      </c>
      <c r="I1154">
        <f t="shared" si="173"/>
        <v>0</v>
      </c>
      <c r="J1154">
        <f t="shared" si="173"/>
        <v>0</v>
      </c>
      <c r="K1154">
        <f t="shared" si="173"/>
        <v>0</v>
      </c>
      <c r="L1154">
        <f t="shared" si="173"/>
        <v>1</v>
      </c>
      <c r="M1154">
        <f t="shared" si="172"/>
        <v>0</v>
      </c>
      <c r="N1154">
        <f t="shared" si="172"/>
        <v>0</v>
      </c>
      <c r="O1154">
        <f t="shared" si="172"/>
        <v>1</v>
      </c>
    </row>
    <row r="1155" spans="1:15" x14ac:dyDescent="0.3">
      <c r="A1155">
        <v>4</v>
      </c>
      <c r="B1155">
        <v>2017</v>
      </c>
      <c r="C1155">
        <v>263</v>
      </c>
      <c r="D1155">
        <v>20</v>
      </c>
      <c r="E1155">
        <v>7</v>
      </c>
      <c r="F1155">
        <v>1</v>
      </c>
      <c r="G1155">
        <f t="shared" si="173"/>
        <v>0</v>
      </c>
      <c r="H1155">
        <f t="shared" si="173"/>
        <v>0</v>
      </c>
      <c r="I1155">
        <f t="shared" si="173"/>
        <v>0</v>
      </c>
      <c r="J1155">
        <f t="shared" si="173"/>
        <v>0</v>
      </c>
      <c r="K1155">
        <f t="shared" si="173"/>
        <v>0</v>
      </c>
      <c r="L1155">
        <f t="shared" si="173"/>
        <v>1</v>
      </c>
      <c r="M1155">
        <f t="shared" si="172"/>
        <v>0</v>
      </c>
      <c r="N1155">
        <f t="shared" si="172"/>
        <v>0</v>
      </c>
      <c r="O1155">
        <f t="shared" si="172"/>
        <v>1</v>
      </c>
    </row>
    <row r="1156" spans="1:15" x14ac:dyDescent="0.3">
      <c r="A1156">
        <v>4</v>
      </c>
      <c r="B1156">
        <v>2016</v>
      </c>
      <c r="C1156">
        <v>260</v>
      </c>
      <c r="D1156">
        <v>200</v>
      </c>
      <c r="E1156">
        <v>64</v>
      </c>
      <c r="F1156">
        <v>11</v>
      </c>
      <c r="G1156">
        <f t="shared" si="173"/>
        <v>0</v>
      </c>
      <c r="H1156">
        <f t="shared" si="173"/>
        <v>0</v>
      </c>
      <c r="I1156">
        <f t="shared" si="173"/>
        <v>0</v>
      </c>
      <c r="J1156">
        <f t="shared" si="173"/>
        <v>0</v>
      </c>
      <c r="K1156">
        <f t="shared" si="173"/>
        <v>1</v>
      </c>
      <c r="L1156">
        <f t="shared" si="173"/>
        <v>0</v>
      </c>
      <c r="M1156">
        <f t="shared" si="172"/>
        <v>0</v>
      </c>
      <c r="N1156">
        <f t="shared" si="172"/>
        <v>0</v>
      </c>
      <c r="O1156">
        <f t="shared" si="172"/>
        <v>1</v>
      </c>
    </row>
    <row r="1157" spans="1:15" x14ac:dyDescent="0.3">
      <c r="A1157">
        <v>1</v>
      </c>
      <c r="B1157">
        <v>2016</v>
      </c>
      <c r="C1157">
        <v>255</v>
      </c>
      <c r="D1157">
        <v>30</v>
      </c>
      <c r="E1157">
        <v>9</v>
      </c>
      <c r="F1157">
        <v>1</v>
      </c>
      <c r="G1157">
        <f t="shared" si="173"/>
        <v>0</v>
      </c>
      <c r="H1157">
        <f t="shared" si="173"/>
        <v>0</v>
      </c>
      <c r="I1157">
        <f t="shared" si="173"/>
        <v>0</v>
      </c>
      <c r="J1157">
        <f t="shared" si="173"/>
        <v>0</v>
      </c>
      <c r="K1157">
        <f t="shared" si="173"/>
        <v>1</v>
      </c>
      <c r="L1157">
        <f t="shared" si="173"/>
        <v>0</v>
      </c>
      <c r="M1157">
        <f t="shared" si="172"/>
        <v>1</v>
      </c>
      <c r="N1157">
        <f t="shared" si="172"/>
        <v>0</v>
      </c>
      <c r="O1157">
        <f t="shared" si="172"/>
        <v>0</v>
      </c>
    </row>
    <row r="1158" spans="1:15" x14ac:dyDescent="0.3">
      <c r="A1158">
        <v>1</v>
      </c>
      <c r="B1158">
        <v>2016</v>
      </c>
      <c r="C1158">
        <v>253</v>
      </c>
      <c r="D1158">
        <v>100</v>
      </c>
      <c r="E1158">
        <v>45</v>
      </c>
      <c r="F1158">
        <v>7</v>
      </c>
      <c r="G1158">
        <f t="shared" si="173"/>
        <v>0</v>
      </c>
      <c r="H1158">
        <f t="shared" si="173"/>
        <v>0</v>
      </c>
      <c r="I1158">
        <f t="shared" si="173"/>
        <v>0</v>
      </c>
      <c r="J1158">
        <f t="shared" si="173"/>
        <v>0</v>
      </c>
      <c r="K1158">
        <f t="shared" si="173"/>
        <v>1</v>
      </c>
      <c r="L1158">
        <f t="shared" si="173"/>
        <v>0</v>
      </c>
      <c r="M1158">
        <f t="shared" si="172"/>
        <v>1</v>
      </c>
      <c r="N1158">
        <f t="shared" si="172"/>
        <v>0</v>
      </c>
      <c r="O1158">
        <f t="shared" si="172"/>
        <v>0</v>
      </c>
    </row>
    <row r="1159" spans="1:15" x14ac:dyDescent="0.3">
      <c r="A1159">
        <v>2</v>
      </c>
      <c r="B1159">
        <v>2017</v>
      </c>
      <c r="C1159">
        <v>252</v>
      </c>
      <c r="D1159">
        <v>40</v>
      </c>
      <c r="E1159">
        <v>79</v>
      </c>
      <c r="F1159">
        <v>6.5</v>
      </c>
      <c r="G1159">
        <f t="shared" si="173"/>
        <v>0</v>
      </c>
      <c r="H1159">
        <f t="shared" si="173"/>
        <v>0</v>
      </c>
      <c r="I1159">
        <f t="shared" si="173"/>
        <v>0</v>
      </c>
      <c r="J1159">
        <f t="shared" si="173"/>
        <v>0</v>
      </c>
      <c r="K1159">
        <f t="shared" si="173"/>
        <v>0</v>
      </c>
      <c r="L1159">
        <f t="shared" si="173"/>
        <v>1</v>
      </c>
      <c r="M1159">
        <f t="shared" si="172"/>
        <v>0</v>
      </c>
      <c r="N1159">
        <f t="shared" si="172"/>
        <v>1</v>
      </c>
      <c r="O1159">
        <f t="shared" si="172"/>
        <v>0</v>
      </c>
    </row>
    <row r="1160" spans="1:15" x14ac:dyDescent="0.3">
      <c r="A1160">
        <v>1</v>
      </c>
      <c r="B1160">
        <v>2016</v>
      </c>
      <c r="C1160">
        <v>251</v>
      </c>
      <c r="D1160">
        <v>145</v>
      </c>
      <c r="E1160">
        <v>25</v>
      </c>
      <c r="F1160">
        <v>3.5</v>
      </c>
      <c r="G1160">
        <f t="shared" si="173"/>
        <v>0</v>
      </c>
      <c r="H1160">
        <f t="shared" si="173"/>
        <v>0</v>
      </c>
      <c r="I1160">
        <f t="shared" si="173"/>
        <v>0</v>
      </c>
      <c r="J1160">
        <f t="shared" si="173"/>
        <v>0</v>
      </c>
      <c r="K1160">
        <f t="shared" si="173"/>
        <v>1</v>
      </c>
      <c r="L1160">
        <f t="shared" si="173"/>
        <v>0</v>
      </c>
      <c r="M1160">
        <f t="shared" si="172"/>
        <v>1</v>
      </c>
      <c r="N1160">
        <f t="shared" si="172"/>
        <v>0</v>
      </c>
      <c r="O1160">
        <f t="shared" si="172"/>
        <v>0</v>
      </c>
    </row>
    <row r="1161" spans="1:15" x14ac:dyDescent="0.3">
      <c r="A1161">
        <v>4</v>
      </c>
      <c r="B1161">
        <v>2015</v>
      </c>
      <c r="C1161">
        <v>245</v>
      </c>
      <c r="D1161">
        <v>40</v>
      </c>
      <c r="E1161">
        <v>36</v>
      </c>
      <c r="F1161">
        <v>1</v>
      </c>
      <c r="G1161">
        <f t="shared" si="173"/>
        <v>0</v>
      </c>
      <c r="H1161">
        <f t="shared" si="173"/>
        <v>0</v>
      </c>
      <c r="I1161">
        <f t="shared" si="173"/>
        <v>0</v>
      </c>
      <c r="J1161">
        <f t="shared" si="173"/>
        <v>1</v>
      </c>
      <c r="K1161">
        <f t="shared" si="173"/>
        <v>0</v>
      </c>
      <c r="L1161">
        <f t="shared" si="173"/>
        <v>0</v>
      </c>
      <c r="M1161">
        <f t="shared" si="172"/>
        <v>0</v>
      </c>
      <c r="N1161">
        <f t="shared" si="172"/>
        <v>0</v>
      </c>
      <c r="O1161">
        <f t="shared" si="172"/>
        <v>1</v>
      </c>
    </row>
    <row r="1162" spans="1:15" x14ac:dyDescent="0.3">
      <c r="A1162">
        <v>1</v>
      </c>
      <c r="B1162">
        <v>2017</v>
      </c>
      <c r="C1162">
        <v>244</v>
      </c>
      <c r="D1162">
        <v>35</v>
      </c>
      <c r="E1162">
        <v>21</v>
      </c>
      <c r="F1162">
        <v>3</v>
      </c>
      <c r="G1162">
        <f t="shared" ref="G1162:L1171" si="174">IF($B1162=G$1,1,0)</f>
        <v>0</v>
      </c>
      <c r="H1162">
        <f t="shared" si="174"/>
        <v>0</v>
      </c>
      <c r="I1162">
        <f t="shared" si="174"/>
        <v>0</v>
      </c>
      <c r="J1162">
        <f t="shared" si="174"/>
        <v>0</v>
      </c>
      <c r="K1162">
        <f t="shared" si="174"/>
        <v>0</v>
      </c>
      <c r="L1162">
        <f t="shared" si="174"/>
        <v>1</v>
      </c>
      <c r="M1162">
        <f t="shared" ref="M1162:O1181" si="175">IF($A1162=M$1,1,0)</f>
        <v>1</v>
      </c>
      <c r="N1162">
        <f t="shared" si="175"/>
        <v>0</v>
      </c>
      <c r="O1162">
        <f t="shared" si="175"/>
        <v>0</v>
      </c>
    </row>
    <row r="1163" spans="1:15" x14ac:dyDescent="0.3">
      <c r="A1163">
        <v>4</v>
      </c>
      <c r="B1163">
        <v>2016</v>
      </c>
      <c r="C1163">
        <v>240</v>
      </c>
      <c r="D1163">
        <v>50</v>
      </c>
      <c r="E1163">
        <v>358</v>
      </c>
      <c r="F1163">
        <v>66.5</v>
      </c>
      <c r="G1163">
        <f t="shared" si="174"/>
        <v>0</v>
      </c>
      <c r="H1163">
        <f t="shared" si="174"/>
        <v>0</v>
      </c>
      <c r="I1163">
        <f t="shared" si="174"/>
        <v>0</v>
      </c>
      <c r="J1163">
        <f t="shared" si="174"/>
        <v>0</v>
      </c>
      <c r="K1163">
        <f t="shared" si="174"/>
        <v>1</v>
      </c>
      <c r="L1163">
        <f t="shared" si="174"/>
        <v>0</v>
      </c>
      <c r="M1163">
        <f t="shared" si="175"/>
        <v>0</v>
      </c>
      <c r="N1163">
        <f t="shared" si="175"/>
        <v>0</v>
      </c>
      <c r="O1163">
        <f t="shared" si="175"/>
        <v>1</v>
      </c>
    </row>
    <row r="1164" spans="1:15" x14ac:dyDescent="0.3">
      <c r="A1164">
        <v>1</v>
      </c>
      <c r="B1164">
        <v>2016</v>
      </c>
      <c r="C1164">
        <v>237</v>
      </c>
      <c r="D1164">
        <v>65</v>
      </c>
      <c r="E1164">
        <v>52</v>
      </c>
      <c r="F1164">
        <v>3.5</v>
      </c>
      <c r="G1164">
        <f t="shared" si="174"/>
        <v>0</v>
      </c>
      <c r="H1164">
        <f t="shared" si="174"/>
        <v>0</v>
      </c>
      <c r="I1164">
        <f t="shared" si="174"/>
        <v>0</v>
      </c>
      <c r="J1164">
        <f t="shared" si="174"/>
        <v>0</v>
      </c>
      <c r="K1164">
        <f t="shared" si="174"/>
        <v>1</v>
      </c>
      <c r="L1164">
        <f t="shared" si="174"/>
        <v>0</v>
      </c>
      <c r="M1164">
        <f t="shared" si="175"/>
        <v>1</v>
      </c>
      <c r="N1164">
        <f t="shared" si="175"/>
        <v>0</v>
      </c>
      <c r="O1164">
        <f t="shared" si="175"/>
        <v>0</v>
      </c>
    </row>
    <row r="1165" spans="1:15" x14ac:dyDescent="0.3">
      <c r="A1165">
        <v>4</v>
      </c>
      <c r="B1165">
        <v>2016</v>
      </c>
      <c r="C1165">
        <v>236</v>
      </c>
      <c r="D1165">
        <v>40</v>
      </c>
      <c r="E1165">
        <v>35</v>
      </c>
      <c r="F1165">
        <v>4</v>
      </c>
      <c r="G1165">
        <f t="shared" si="174"/>
        <v>0</v>
      </c>
      <c r="H1165">
        <f t="shared" si="174"/>
        <v>0</v>
      </c>
      <c r="I1165">
        <f t="shared" si="174"/>
        <v>0</v>
      </c>
      <c r="J1165">
        <f t="shared" si="174"/>
        <v>0</v>
      </c>
      <c r="K1165">
        <f t="shared" si="174"/>
        <v>1</v>
      </c>
      <c r="L1165">
        <f t="shared" si="174"/>
        <v>0</v>
      </c>
      <c r="M1165">
        <f t="shared" si="175"/>
        <v>0</v>
      </c>
      <c r="N1165">
        <f t="shared" si="175"/>
        <v>0</v>
      </c>
      <c r="O1165">
        <f t="shared" si="175"/>
        <v>1</v>
      </c>
    </row>
    <row r="1166" spans="1:15" x14ac:dyDescent="0.3">
      <c r="A1166">
        <v>1</v>
      </c>
      <c r="B1166">
        <v>2017</v>
      </c>
      <c r="C1166">
        <v>228</v>
      </c>
      <c r="D1166">
        <v>150</v>
      </c>
      <c r="E1166">
        <v>72</v>
      </c>
      <c r="F1166">
        <v>6.5</v>
      </c>
      <c r="G1166">
        <f t="shared" si="174"/>
        <v>0</v>
      </c>
      <c r="H1166">
        <f t="shared" si="174"/>
        <v>0</v>
      </c>
      <c r="I1166">
        <f t="shared" si="174"/>
        <v>0</v>
      </c>
      <c r="J1166">
        <f t="shared" si="174"/>
        <v>0</v>
      </c>
      <c r="K1166">
        <f t="shared" si="174"/>
        <v>0</v>
      </c>
      <c r="L1166">
        <f t="shared" si="174"/>
        <v>1</v>
      </c>
      <c r="M1166">
        <f t="shared" si="175"/>
        <v>1</v>
      </c>
      <c r="N1166">
        <f t="shared" si="175"/>
        <v>0</v>
      </c>
      <c r="O1166">
        <f t="shared" si="175"/>
        <v>0</v>
      </c>
    </row>
    <row r="1167" spans="1:15" x14ac:dyDescent="0.3">
      <c r="A1167">
        <v>4</v>
      </c>
      <c r="B1167">
        <v>2016</v>
      </c>
      <c r="C1167">
        <v>227</v>
      </c>
      <c r="D1167">
        <v>95</v>
      </c>
      <c r="E1167">
        <v>20</v>
      </c>
      <c r="F1167">
        <v>2</v>
      </c>
      <c r="G1167">
        <f t="shared" si="174"/>
        <v>0</v>
      </c>
      <c r="H1167">
        <f t="shared" si="174"/>
        <v>0</v>
      </c>
      <c r="I1167">
        <f t="shared" si="174"/>
        <v>0</v>
      </c>
      <c r="J1167">
        <f t="shared" si="174"/>
        <v>0</v>
      </c>
      <c r="K1167">
        <f t="shared" si="174"/>
        <v>1</v>
      </c>
      <c r="L1167">
        <f t="shared" si="174"/>
        <v>0</v>
      </c>
      <c r="M1167">
        <f t="shared" si="175"/>
        <v>0</v>
      </c>
      <c r="N1167">
        <f t="shared" si="175"/>
        <v>0</v>
      </c>
      <c r="O1167">
        <f t="shared" si="175"/>
        <v>1</v>
      </c>
    </row>
    <row r="1168" spans="1:15" x14ac:dyDescent="0.3">
      <c r="A1168">
        <v>3</v>
      </c>
      <c r="B1168">
        <v>2016</v>
      </c>
      <c r="C1168">
        <v>223</v>
      </c>
      <c r="D1168">
        <v>125</v>
      </c>
      <c r="E1168">
        <v>27</v>
      </c>
      <c r="F1168">
        <v>3.5</v>
      </c>
      <c r="G1168">
        <f t="shared" si="174"/>
        <v>0</v>
      </c>
      <c r="H1168">
        <f t="shared" si="174"/>
        <v>0</v>
      </c>
      <c r="I1168">
        <f t="shared" si="174"/>
        <v>0</v>
      </c>
      <c r="J1168">
        <f t="shared" si="174"/>
        <v>0</v>
      </c>
      <c r="K1168">
        <f t="shared" si="174"/>
        <v>1</v>
      </c>
      <c r="L1168">
        <f t="shared" si="174"/>
        <v>0</v>
      </c>
      <c r="M1168">
        <f t="shared" si="175"/>
        <v>0</v>
      </c>
      <c r="N1168">
        <f t="shared" si="175"/>
        <v>0</v>
      </c>
      <c r="O1168">
        <f t="shared" si="175"/>
        <v>0</v>
      </c>
    </row>
    <row r="1169" spans="1:15" x14ac:dyDescent="0.3">
      <c r="A1169">
        <v>4</v>
      </c>
      <c r="B1169">
        <v>2017</v>
      </c>
      <c r="C1169">
        <v>222</v>
      </c>
      <c r="D1169">
        <v>50</v>
      </c>
      <c r="E1169">
        <v>60</v>
      </c>
      <c r="F1169">
        <v>8.5</v>
      </c>
      <c r="G1169">
        <f t="shared" si="174"/>
        <v>0</v>
      </c>
      <c r="H1169">
        <f t="shared" si="174"/>
        <v>0</v>
      </c>
      <c r="I1169">
        <f t="shared" si="174"/>
        <v>0</v>
      </c>
      <c r="J1169">
        <f t="shared" si="174"/>
        <v>0</v>
      </c>
      <c r="K1169">
        <f t="shared" si="174"/>
        <v>0</v>
      </c>
      <c r="L1169">
        <f t="shared" si="174"/>
        <v>1</v>
      </c>
      <c r="M1169">
        <f t="shared" si="175"/>
        <v>0</v>
      </c>
      <c r="N1169">
        <f t="shared" si="175"/>
        <v>0</v>
      </c>
      <c r="O1169">
        <f t="shared" si="175"/>
        <v>1</v>
      </c>
    </row>
    <row r="1170" spans="1:15" x14ac:dyDescent="0.3">
      <c r="A1170">
        <v>2</v>
      </c>
      <c r="B1170">
        <v>2016</v>
      </c>
      <c r="C1170">
        <v>216</v>
      </c>
      <c r="D1170">
        <v>95</v>
      </c>
      <c r="E1170">
        <v>16</v>
      </c>
      <c r="F1170">
        <v>2</v>
      </c>
      <c r="G1170">
        <f t="shared" si="174"/>
        <v>0</v>
      </c>
      <c r="H1170">
        <f t="shared" si="174"/>
        <v>0</v>
      </c>
      <c r="I1170">
        <f t="shared" si="174"/>
        <v>0</v>
      </c>
      <c r="J1170">
        <f t="shared" si="174"/>
        <v>0</v>
      </c>
      <c r="K1170">
        <f t="shared" si="174"/>
        <v>1</v>
      </c>
      <c r="L1170">
        <f t="shared" si="174"/>
        <v>0</v>
      </c>
      <c r="M1170">
        <f t="shared" si="175"/>
        <v>0</v>
      </c>
      <c r="N1170">
        <f t="shared" si="175"/>
        <v>1</v>
      </c>
      <c r="O1170">
        <f t="shared" si="175"/>
        <v>0</v>
      </c>
    </row>
    <row r="1171" spans="1:15" x14ac:dyDescent="0.3">
      <c r="A1171">
        <v>1</v>
      </c>
      <c r="B1171">
        <v>2016</v>
      </c>
      <c r="C1171">
        <v>214</v>
      </c>
      <c r="D1171">
        <v>25</v>
      </c>
      <c r="E1171">
        <v>24</v>
      </c>
      <c r="F1171">
        <v>2</v>
      </c>
      <c r="G1171">
        <f t="shared" si="174"/>
        <v>0</v>
      </c>
      <c r="H1171">
        <f t="shared" si="174"/>
        <v>0</v>
      </c>
      <c r="I1171">
        <f t="shared" si="174"/>
        <v>0</v>
      </c>
      <c r="J1171">
        <f t="shared" si="174"/>
        <v>0</v>
      </c>
      <c r="K1171">
        <f t="shared" si="174"/>
        <v>1</v>
      </c>
      <c r="L1171">
        <f t="shared" si="174"/>
        <v>0</v>
      </c>
      <c r="M1171">
        <f t="shared" si="175"/>
        <v>1</v>
      </c>
      <c r="N1171">
        <f t="shared" si="175"/>
        <v>0</v>
      </c>
      <c r="O1171">
        <f t="shared" si="175"/>
        <v>0</v>
      </c>
    </row>
    <row r="1172" spans="1:15" x14ac:dyDescent="0.3">
      <c r="A1172">
        <v>4</v>
      </c>
      <c r="B1172">
        <v>2017</v>
      </c>
      <c r="C1172">
        <v>210</v>
      </c>
      <c r="D1172">
        <v>30</v>
      </c>
      <c r="E1172">
        <v>41</v>
      </c>
      <c r="F1172">
        <v>5</v>
      </c>
      <c r="G1172">
        <f t="shared" ref="G1172:L1181" si="176">IF($B1172=G$1,1,0)</f>
        <v>0</v>
      </c>
      <c r="H1172">
        <f t="shared" si="176"/>
        <v>0</v>
      </c>
      <c r="I1172">
        <f t="shared" si="176"/>
        <v>0</v>
      </c>
      <c r="J1172">
        <f t="shared" si="176"/>
        <v>0</v>
      </c>
      <c r="K1172">
        <f t="shared" si="176"/>
        <v>0</v>
      </c>
      <c r="L1172">
        <f t="shared" si="176"/>
        <v>1</v>
      </c>
      <c r="M1172">
        <f t="shared" si="175"/>
        <v>0</v>
      </c>
      <c r="N1172">
        <f t="shared" si="175"/>
        <v>0</v>
      </c>
      <c r="O1172">
        <f t="shared" si="175"/>
        <v>1</v>
      </c>
    </row>
    <row r="1173" spans="1:15" x14ac:dyDescent="0.3">
      <c r="A1173">
        <v>4</v>
      </c>
      <c r="B1173">
        <v>2016</v>
      </c>
      <c r="C1173">
        <v>208</v>
      </c>
      <c r="D1173">
        <v>50</v>
      </c>
      <c r="E1173">
        <v>29</v>
      </c>
      <c r="F1173">
        <v>2</v>
      </c>
      <c r="G1173">
        <f t="shared" si="176"/>
        <v>0</v>
      </c>
      <c r="H1173">
        <f t="shared" si="176"/>
        <v>0</v>
      </c>
      <c r="I1173">
        <f t="shared" si="176"/>
        <v>0</v>
      </c>
      <c r="J1173">
        <f t="shared" si="176"/>
        <v>0</v>
      </c>
      <c r="K1173">
        <f t="shared" si="176"/>
        <v>1</v>
      </c>
      <c r="L1173">
        <f t="shared" si="176"/>
        <v>0</v>
      </c>
      <c r="M1173">
        <f t="shared" si="175"/>
        <v>0</v>
      </c>
      <c r="N1173">
        <f t="shared" si="175"/>
        <v>0</v>
      </c>
      <c r="O1173">
        <f t="shared" si="175"/>
        <v>1</v>
      </c>
    </row>
    <row r="1174" spans="1:15" x14ac:dyDescent="0.3">
      <c r="A1174">
        <v>1</v>
      </c>
      <c r="B1174">
        <v>2016</v>
      </c>
      <c r="C1174">
        <v>207</v>
      </c>
      <c r="D1174">
        <v>40</v>
      </c>
      <c r="E1174">
        <v>32</v>
      </c>
      <c r="F1174">
        <v>5</v>
      </c>
      <c r="G1174">
        <f t="shared" si="176"/>
        <v>0</v>
      </c>
      <c r="H1174">
        <f t="shared" si="176"/>
        <v>0</v>
      </c>
      <c r="I1174">
        <f t="shared" si="176"/>
        <v>0</v>
      </c>
      <c r="J1174">
        <f t="shared" si="176"/>
        <v>0</v>
      </c>
      <c r="K1174">
        <f t="shared" si="176"/>
        <v>1</v>
      </c>
      <c r="L1174">
        <f t="shared" si="176"/>
        <v>0</v>
      </c>
      <c r="M1174">
        <f t="shared" si="175"/>
        <v>1</v>
      </c>
      <c r="N1174">
        <f t="shared" si="175"/>
        <v>0</v>
      </c>
      <c r="O1174">
        <f t="shared" si="175"/>
        <v>0</v>
      </c>
    </row>
    <row r="1175" spans="1:15" x14ac:dyDescent="0.3">
      <c r="A1175">
        <v>1</v>
      </c>
      <c r="B1175">
        <v>2017</v>
      </c>
      <c r="C1175">
        <v>205</v>
      </c>
      <c r="D1175">
        <v>100</v>
      </c>
      <c r="E1175">
        <v>97</v>
      </c>
      <c r="F1175">
        <v>13.5</v>
      </c>
      <c r="G1175">
        <f t="shared" si="176"/>
        <v>0</v>
      </c>
      <c r="H1175">
        <f t="shared" si="176"/>
        <v>0</v>
      </c>
      <c r="I1175">
        <f t="shared" si="176"/>
        <v>0</v>
      </c>
      <c r="J1175">
        <f t="shared" si="176"/>
        <v>0</v>
      </c>
      <c r="K1175">
        <f t="shared" si="176"/>
        <v>0</v>
      </c>
      <c r="L1175">
        <f t="shared" si="176"/>
        <v>1</v>
      </c>
      <c r="M1175">
        <f t="shared" si="175"/>
        <v>1</v>
      </c>
      <c r="N1175">
        <f t="shared" si="175"/>
        <v>0</v>
      </c>
      <c r="O1175">
        <f t="shared" si="175"/>
        <v>0</v>
      </c>
    </row>
    <row r="1176" spans="1:15" x14ac:dyDescent="0.3">
      <c r="A1176">
        <v>1</v>
      </c>
      <c r="B1176">
        <v>2015</v>
      </c>
      <c r="C1176">
        <v>203</v>
      </c>
      <c r="D1176">
        <v>50</v>
      </c>
      <c r="E1176">
        <v>15</v>
      </c>
      <c r="F1176">
        <v>3</v>
      </c>
      <c r="G1176">
        <f t="shared" si="176"/>
        <v>0</v>
      </c>
      <c r="H1176">
        <f t="shared" si="176"/>
        <v>0</v>
      </c>
      <c r="I1176">
        <f t="shared" si="176"/>
        <v>0</v>
      </c>
      <c r="J1176">
        <f t="shared" si="176"/>
        <v>1</v>
      </c>
      <c r="K1176">
        <f t="shared" si="176"/>
        <v>0</v>
      </c>
      <c r="L1176">
        <f t="shared" si="176"/>
        <v>0</v>
      </c>
      <c r="M1176">
        <f t="shared" si="175"/>
        <v>1</v>
      </c>
      <c r="N1176">
        <f t="shared" si="175"/>
        <v>0</v>
      </c>
      <c r="O1176">
        <f t="shared" si="175"/>
        <v>0</v>
      </c>
    </row>
    <row r="1177" spans="1:15" x14ac:dyDescent="0.3">
      <c r="A1177">
        <v>4</v>
      </c>
      <c r="B1177">
        <v>2016</v>
      </c>
      <c r="C1177">
        <v>197</v>
      </c>
      <c r="D1177">
        <v>85</v>
      </c>
      <c r="E1177">
        <v>28</v>
      </c>
      <c r="F1177">
        <v>3.5</v>
      </c>
      <c r="G1177">
        <f t="shared" si="176"/>
        <v>0</v>
      </c>
      <c r="H1177">
        <f t="shared" si="176"/>
        <v>0</v>
      </c>
      <c r="I1177">
        <f t="shared" si="176"/>
        <v>0</v>
      </c>
      <c r="J1177">
        <f t="shared" si="176"/>
        <v>0</v>
      </c>
      <c r="K1177">
        <f t="shared" si="176"/>
        <v>1</v>
      </c>
      <c r="L1177">
        <f t="shared" si="176"/>
        <v>0</v>
      </c>
      <c r="M1177">
        <f t="shared" si="175"/>
        <v>0</v>
      </c>
      <c r="N1177">
        <f t="shared" si="175"/>
        <v>0</v>
      </c>
      <c r="O1177">
        <f t="shared" si="175"/>
        <v>1</v>
      </c>
    </row>
    <row r="1178" spans="1:15" x14ac:dyDescent="0.3">
      <c r="A1178">
        <v>1</v>
      </c>
      <c r="B1178">
        <v>2017</v>
      </c>
      <c r="C1178">
        <v>197</v>
      </c>
      <c r="D1178">
        <v>100</v>
      </c>
      <c r="E1178">
        <v>53</v>
      </c>
      <c r="F1178">
        <v>3.5</v>
      </c>
      <c r="G1178">
        <f t="shared" si="176"/>
        <v>0</v>
      </c>
      <c r="H1178">
        <f t="shared" si="176"/>
        <v>0</v>
      </c>
      <c r="I1178">
        <f t="shared" si="176"/>
        <v>0</v>
      </c>
      <c r="J1178">
        <f t="shared" si="176"/>
        <v>0</v>
      </c>
      <c r="K1178">
        <f t="shared" si="176"/>
        <v>0</v>
      </c>
      <c r="L1178">
        <f t="shared" si="176"/>
        <v>1</v>
      </c>
      <c r="M1178">
        <f t="shared" si="175"/>
        <v>1</v>
      </c>
      <c r="N1178">
        <f t="shared" si="175"/>
        <v>0</v>
      </c>
      <c r="O1178">
        <f t="shared" si="175"/>
        <v>0</v>
      </c>
    </row>
    <row r="1179" spans="1:15" x14ac:dyDescent="0.3">
      <c r="A1179">
        <v>4</v>
      </c>
      <c r="B1179">
        <v>2016</v>
      </c>
      <c r="C1179">
        <v>194</v>
      </c>
      <c r="D1179">
        <v>40</v>
      </c>
      <c r="E1179">
        <v>87</v>
      </c>
      <c r="F1179">
        <v>10</v>
      </c>
      <c r="G1179">
        <f t="shared" si="176"/>
        <v>0</v>
      </c>
      <c r="H1179">
        <f t="shared" si="176"/>
        <v>0</v>
      </c>
      <c r="I1179">
        <f t="shared" si="176"/>
        <v>0</v>
      </c>
      <c r="J1179">
        <f t="shared" si="176"/>
        <v>0</v>
      </c>
      <c r="K1179">
        <f t="shared" si="176"/>
        <v>1</v>
      </c>
      <c r="L1179">
        <f t="shared" si="176"/>
        <v>0</v>
      </c>
      <c r="M1179">
        <f t="shared" si="175"/>
        <v>0</v>
      </c>
      <c r="N1179">
        <f t="shared" si="175"/>
        <v>0</v>
      </c>
      <c r="O1179">
        <f t="shared" si="175"/>
        <v>1</v>
      </c>
    </row>
    <row r="1180" spans="1:15" x14ac:dyDescent="0.3">
      <c r="A1180">
        <v>1</v>
      </c>
      <c r="B1180">
        <v>2017</v>
      </c>
      <c r="C1180">
        <v>189</v>
      </c>
      <c r="D1180">
        <v>35</v>
      </c>
      <c r="E1180">
        <v>16</v>
      </c>
      <c r="F1180">
        <v>1</v>
      </c>
      <c r="G1180">
        <f t="shared" si="176"/>
        <v>0</v>
      </c>
      <c r="H1180">
        <f t="shared" si="176"/>
        <v>0</v>
      </c>
      <c r="I1180">
        <f t="shared" si="176"/>
        <v>0</v>
      </c>
      <c r="J1180">
        <f t="shared" si="176"/>
        <v>0</v>
      </c>
      <c r="K1180">
        <f t="shared" si="176"/>
        <v>0</v>
      </c>
      <c r="L1180">
        <f t="shared" si="176"/>
        <v>1</v>
      </c>
      <c r="M1180">
        <f t="shared" si="175"/>
        <v>1</v>
      </c>
      <c r="N1180">
        <f t="shared" si="175"/>
        <v>0</v>
      </c>
      <c r="O1180">
        <f t="shared" si="175"/>
        <v>0</v>
      </c>
    </row>
    <row r="1181" spans="1:15" x14ac:dyDescent="0.3">
      <c r="A1181">
        <v>1</v>
      </c>
      <c r="B1181">
        <v>2017</v>
      </c>
      <c r="C1181">
        <v>183</v>
      </c>
      <c r="D1181">
        <v>165</v>
      </c>
      <c r="E1181">
        <v>47</v>
      </c>
      <c r="F1181">
        <v>5.5</v>
      </c>
      <c r="G1181">
        <f t="shared" si="176"/>
        <v>0</v>
      </c>
      <c r="H1181">
        <f t="shared" si="176"/>
        <v>0</v>
      </c>
      <c r="I1181">
        <f t="shared" si="176"/>
        <v>0</v>
      </c>
      <c r="J1181">
        <f t="shared" si="176"/>
        <v>0</v>
      </c>
      <c r="K1181">
        <f t="shared" si="176"/>
        <v>0</v>
      </c>
      <c r="L1181">
        <f t="shared" si="176"/>
        <v>1</v>
      </c>
      <c r="M1181">
        <f t="shared" si="175"/>
        <v>1</v>
      </c>
      <c r="N1181">
        <f t="shared" si="175"/>
        <v>0</v>
      </c>
      <c r="O1181">
        <f t="shared" si="175"/>
        <v>0</v>
      </c>
    </row>
    <row r="1182" spans="1:15" x14ac:dyDescent="0.3">
      <c r="A1182">
        <v>4</v>
      </c>
      <c r="B1182">
        <v>2016</v>
      </c>
      <c r="C1182">
        <v>177</v>
      </c>
      <c r="D1182">
        <v>95</v>
      </c>
      <c r="E1182">
        <v>10</v>
      </c>
      <c r="F1182">
        <v>1</v>
      </c>
      <c r="G1182">
        <f t="shared" ref="G1182:L1191" si="177">IF($B1182=G$1,1,0)</f>
        <v>0</v>
      </c>
      <c r="H1182">
        <f t="shared" si="177"/>
        <v>0</v>
      </c>
      <c r="I1182">
        <f t="shared" si="177"/>
        <v>0</v>
      </c>
      <c r="J1182">
        <f t="shared" si="177"/>
        <v>0</v>
      </c>
      <c r="K1182">
        <f t="shared" si="177"/>
        <v>1</v>
      </c>
      <c r="L1182">
        <f t="shared" si="177"/>
        <v>0</v>
      </c>
      <c r="M1182">
        <f t="shared" ref="M1182:O1204" si="178">IF($A1182=M$1,1,0)</f>
        <v>0</v>
      </c>
      <c r="N1182">
        <f t="shared" si="178"/>
        <v>0</v>
      </c>
      <c r="O1182">
        <f t="shared" si="178"/>
        <v>1</v>
      </c>
    </row>
    <row r="1183" spans="1:15" x14ac:dyDescent="0.3">
      <c r="A1183">
        <v>4</v>
      </c>
      <c r="B1183">
        <v>2017</v>
      </c>
      <c r="C1183">
        <v>170</v>
      </c>
      <c r="D1183">
        <v>125</v>
      </c>
      <c r="E1183">
        <v>78</v>
      </c>
      <c r="F1183">
        <v>9</v>
      </c>
      <c r="G1183">
        <f t="shared" si="177"/>
        <v>0</v>
      </c>
      <c r="H1183">
        <f t="shared" si="177"/>
        <v>0</v>
      </c>
      <c r="I1183">
        <f t="shared" si="177"/>
        <v>0</v>
      </c>
      <c r="J1183">
        <f t="shared" si="177"/>
        <v>0</v>
      </c>
      <c r="K1183">
        <f t="shared" si="177"/>
        <v>0</v>
      </c>
      <c r="L1183">
        <f t="shared" si="177"/>
        <v>1</v>
      </c>
      <c r="M1183">
        <f t="shared" si="178"/>
        <v>0</v>
      </c>
      <c r="N1183">
        <f t="shared" si="178"/>
        <v>0</v>
      </c>
      <c r="O1183">
        <f t="shared" si="178"/>
        <v>1</v>
      </c>
    </row>
    <row r="1184" spans="1:15" x14ac:dyDescent="0.3">
      <c r="A1184">
        <v>4</v>
      </c>
      <c r="B1184">
        <v>2016</v>
      </c>
      <c r="C1184">
        <v>166</v>
      </c>
      <c r="D1184">
        <v>50</v>
      </c>
      <c r="E1184">
        <v>37</v>
      </c>
      <c r="F1184">
        <v>2.5</v>
      </c>
      <c r="G1184">
        <f t="shared" si="177"/>
        <v>0</v>
      </c>
      <c r="H1184">
        <f t="shared" si="177"/>
        <v>0</v>
      </c>
      <c r="I1184">
        <f t="shared" si="177"/>
        <v>0</v>
      </c>
      <c r="J1184">
        <f t="shared" si="177"/>
        <v>0</v>
      </c>
      <c r="K1184">
        <f t="shared" si="177"/>
        <v>1</v>
      </c>
      <c r="L1184">
        <f t="shared" si="177"/>
        <v>0</v>
      </c>
      <c r="M1184">
        <f t="shared" si="178"/>
        <v>0</v>
      </c>
      <c r="N1184">
        <f t="shared" si="178"/>
        <v>0</v>
      </c>
      <c r="O1184">
        <f t="shared" si="178"/>
        <v>1</v>
      </c>
    </row>
    <row r="1185" spans="1:15" x14ac:dyDescent="0.3">
      <c r="A1185">
        <v>1</v>
      </c>
      <c r="B1185">
        <v>2017</v>
      </c>
      <c r="C1185">
        <v>165</v>
      </c>
      <c r="D1185">
        <v>50</v>
      </c>
      <c r="E1185">
        <v>28</v>
      </c>
      <c r="F1185">
        <v>3</v>
      </c>
      <c r="G1185">
        <f t="shared" si="177"/>
        <v>0</v>
      </c>
      <c r="H1185">
        <f t="shared" si="177"/>
        <v>0</v>
      </c>
      <c r="I1185">
        <f t="shared" si="177"/>
        <v>0</v>
      </c>
      <c r="J1185">
        <f t="shared" si="177"/>
        <v>0</v>
      </c>
      <c r="K1185">
        <f t="shared" si="177"/>
        <v>0</v>
      </c>
      <c r="L1185">
        <f t="shared" si="177"/>
        <v>1</v>
      </c>
      <c r="M1185">
        <f t="shared" si="178"/>
        <v>1</v>
      </c>
      <c r="N1185">
        <f t="shared" si="178"/>
        <v>0</v>
      </c>
      <c r="O1185">
        <f t="shared" si="178"/>
        <v>0</v>
      </c>
    </row>
    <row r="1186" spans="1:15" x14ac:dyDescent="0.3">
      <c r="A1186">
        <v>2</v>
      </c>
      <c r="B1186">
        <v>2017</v>
      </c>
      <c r="C1186">
        <v>155</v>
      </c>
      <c r="D1186">
        <v>200</v>
      </c>
      <c r="E1186">
        <v>37</v>
      </c>
      <c r="F1186">
        <v>6</v>
      </c>
      <c r="G1186">
        <f t="shared" si="177"/>
        <v>0</v>
      </c>
      <c r="H1186">
        <f t="shared" si="177"/>
        <v>0</v>
      </c>
      <c r="I1186">
        <f t="shared" si="177"/>
        <v>0</v>
      </c>
      <c r="J1186">
        <f t="shared" si="177"/>
        <v>0</v>
      </c>
      <c r="K1186">
        <f t="shared" si="177"/>
        <v>0</v>
      </c>
      <c r="L1186">
        <f t="shared" si="177"/>
        <v>1</v>
      </c>
      <c r="M1186">
        <f t="shared" si="178"/>
        <v>0</v>
      </c>
      <c r="N1186">
        <f t="shared" si="178"/>
        <v>1</v>
      </c>
      <c r="O1186">
        <f t="shared" si="178"/>
        <v>0</v>
      </c>
    </row>
    <row r="1187" spans="1:15" x14ac:dyDescent="0.3">
      <c r="A1187">
        <v>4</v>
      </c>
      <c r="B1187">
        <v>2016</v>
      </c>
      <c r="C1187">
        <v>151</v>
      </c>
      <c r="D1187">
        <v>20</v>
      </c>
      <c r="E1187">
        <v>30</v>
      </c>
      <c r="F1187">
        <v>5</v>
      </c>
      <c r="G1187">
        <f t="shared" si="177"/>
        <v>0</v>
      </c>
      <c r="H1187">
        <f t="shared" si="177"/>
        <v>0</v>
      </c>
      <c r="I1187">
        <f t="shared" si="177"/>
        <v>0</v>
      </c>
      <c r="J1187">
        <f t="shared" si="177"/>
        <v>0</v>
      </c>
      <c r="K1187">
        <f t="shared" si="177"/>
        <v>1</v>
      </c>
      <c r="L1187">
        <f t="shared" si="177"/>
        <v>0</v>
      </c>
      <c r="M1187">
        <f t="shared" si="178"/>
        <v>0</v>
      </c>
      <c r="N1187">
        <f t="shared" si="178"/>
        <v>0</v>
      </c>
      <c r="O1187">
        <f t="shared" si="178"/>
        <v>1</v>
      </c>
    </row>
    <row r="1188" spans="1:15" x14ac:dyDescent="0.3">
      <c r="A1188">
        <v>4</v>
      </c>
      <c r="B1188">
        <v>2015</v>
      </c>
      <c r="C1188">
        <v>130</v>
      </c>
      <c r="D1188">
        <v>20</v>
      </c>
      <c r="E1188">
        <v>20</v>
      </c>
      <c r="F1188">
        <v>0.61666666999999997</v>
      </c>
      <c r="G1188">
        <f t="shared" si="177"/>
        <v>0</v>
      </c>
      <c r="H1188">
        <f t="shared" si="177"/>
        <v>0</v>
      </c>
      <c r="I1188">
        <f t="shared" si="177"/>
        <v>0</v>
      </c>
      <c r="J1188">
        <f t="shared" si="177"/>
        <v>1</v>
      </c>
      <c r="K1188">
        <f t="shared" si="177"/>
        <v>0</v>
      </c>
      <c r="L1188">
        <f t="shared" si="177"/>
        <v>0</v>
      </c>
      <c r="M1188">
        <f t="shared" si="178"/>
        <v>0</v>
      </c>
      <c r="N1188">
        <f t="shared" si="178"/>
        <v>0</v>
      </c>
      <c r="O1188">
        <f t="shared" si="178"/>
        <v>1</v>
      </c>
    </row>
    <row r="1189" spans="1:15" x14ac:dyDescent="0.3">
      <c r="A1189">
        <v>1</v>
      </c>
      <c r="B1189">
        <v>2017</v>
      </c>
      <c r="C1189">
        <v>122</v>
      </c>
      <c r="D1189">
        <v>50</v>
      </c>
      <c r="E1189">
        <v>116</v>
      </c>
      <c r="F1189">
        <v>10.5</v>
      </c>
      <c r="G1189">
        <f t="shared" si="177"/>
        <v>0</v>
      </c>
      <c r="H1189">
        <f t="shared" si="177"/>
        <v>0</v>
      </c>
      <c r="I1189">
        <f t="shared" si="177"/>
        <v>0</v>
      </c>
      <c r="J1189">
        <f t="shared" si="177"/>
        <v>0</v>
      </c>
      <c r="K1189">
        <f t="shared" si="177"/>
        <v>0</v>
      </c>
      <c r="L1189">
        <f t="shared" si="177"/>
        <v>1</v>
      </c>
      <c r="M1189">
        <f t="shared" si="178"/>
        <v>1</v>
      </c>
      <c r="N1189">
        <f t="shared" si="178"/>
        <v>0</v>
      </c>
      <c r="O1189">
        <f t="shared" si="178"/>
        <v>0</v>
      </c>
    </row>
    <row r="1190" spans="1:15" x14ac:dyDescent="0.3">
      <c r="A1190">
        <v>1</v>
      </c>
      <c r="B1190">
        <v>2017</v>
      </c>
      <c r="C1190">
        <v>119</v>
      </c>
      <c r="D1190">
        <v>50</v>
      </c>
      <c r="E1190">
        <v>70</v>
      </c>
      <c r="F1190">
        <v>10.5</v>
      </c>
      <c r="G1190">
        <f t="shared" si="177"/>
        <v>0</v>
      </c>
      <c r="H1190">
        <f t="shared" si="177"/>
        <v>0</v>
      </c>
      <c r="I1190">
        <f t="shared" si="177"/>
        <v>0</v>
      </c>
      <c r="J1190">
        <f t="shared" si="177"/>
        <v>0</v>
      </c>
      <c r="K1190">
        <f t="shared" si="177"/>
        <v>0</v>
      </c>
      <c r="L1190">
        <f t="shared" si="177"/>
        <v>1</v>
      </c>
      <c r="M1190">
        <f t="shared" si="178"/>
        <v>1</v>
      </c>
      <c r="N1190">
        <f t="shared" si="178"/>
        <v>0</v>
      </c>
      <c r="O1190">
        <f t="shared" si="178"/>
        <v>0</v>
      </c>
    </row>
    <row r="1191" spans="1:15" x14ac:dyDescent="0.3">
      <c r="A1191">
        <v>1</v>
      </c>
      <c r="B1191">
        <v>2016</v>
      </c>
      <c r="C1191">
        <v>116</v>
      </c>
      <c r="D1191">
        <v>30</v>
      </c>
      <c r="E1191">
        <v>7</v>
      </c>
      <c r="F1191">
        <v>1</v>
      </c>
      <c r="G1191">
        <f t="shared" si="177"/>
        <v>0</v>
      </c>
      <c r="H1191">
        <f t="shared" si="177"/>
        <v>0</v>
      </c>
      <c r="I1191">
        <f t="shared" si="177"/>
        <v>0</v>
      </c>
      <c r="J1191">
        <f t="shared" si="177"/>
        <v>0</v>
      </c>
      <c r="K1191">
        <f t="shared" si="177"/>
        <v>1</v>
      </c>
      <c r="L1191">
        <f t="shared" si="177"/>
        <v>0</v>
      </c>
      <c r="M1191">
        <f t="shared" si="178"/>
        <v>1</v>
      </c>
      <c r="N1191">
        <f t="shared" si="178"/>
        <v>0</v>
      </c>
      <c r="O1191">
        <f t="shared" si="178"/>
        <v>0</v>
      </c>
    </row>
    <row r="1192" spans="1:15" x14ac:dyDescent="0.3">
      <c r="A1192">
        <v>4</v>
      </c>
      <c r="B1192">
        <v>2017</v>
      </c>
      <c r="C1192">
        <v>109</v>
      </c>
      <c r="D1192">
        <v>175</v>
      </c>
      <c r="E1192">
        <v>69</v>
      </c>
      <c r="F1192">
        <v>9.5</v>
      </c>
      <c r="G1192">
        <f t="shared" ref="G1192:L1204" si="179">IF($B1192=G$1,1,0)</f>
        <v>0</v>
      </c>
      <c r="H1192">
        <f t="shared" si="179"/>
        <v>0</v>
      </c>
      <c r="I1192">
        <f t="shared" si="179"/>
        <v>0</v>
      </c>
      <c r="J1192">
        <f t="shared" si="179"/>
        <v>0</v>
      </c>
      <c r="K1192">
        <f t="shared" si="179"/>
        <v>0</v>
      </c>
      <c r="L1192">
        <f t="shared" si="179"/>
        <v>1</v>
      </c>
      <c r="M1192">
        <f t="shared" si="178"/>
        <v>0</v>
      </c>
      <c r="N1192">
        <f t="shared" si="178"/>
        <v>0</v>
      </c>
      <c r="O1192">
        <f t="shared" si="178"/>
        <v>1</v>
      </c>
    </row>
    <row r="1193" spans="1:15" x14ac:dyDescent="0.3">
      <c r="A1193">
        <v>4</v>
      </c>
      <c r="B1193">
        <v>2017</v>
      </c>
      <c r="C1193">
        <v>103</v>
      </c>
      <c r="D1193">
        <v>200</v>
      </c>
      <c r="E1193">
        <v>72</v>
      </c>
      <c r="F1193">
        <v>5.5</v>
      </c>
      <c r="G1193">
        <f t="shared" si="179"/>
        <v>0</v>
      </c>
      <c r="H1193">
        <f t="shared" si="179"/>
        <v>0</v>
      </c>
      <c r="I1193">
        <f t="shared" si="179"/>
        <v>0</v>
      </c>
      <c r="J1193">
        <f t="shared" si="179"/>
        <v>0</v>
      </c>
      <c r="K1193">
        <f t="shared" si="179"/>
        <v>0</v>
      </c>
      <c r="L1193">
        <f t="shared" si="179"/>
        <v>1</v>
      </c>
      <c r="M1193">
        <f t="shared" si="178"/>
        <v>0</v>
      </c>
      <c r="N1193">
        <f t="shared" si="178"/>
        <v>0</v>
      </c>
      <c r="O1193">
        <f t="shared" si="178"/>
        <v>1</v>
      </c>
    </row>
    <row r="1194" spans="1:15" x14ac:dyDescent="0.3">
      <c r="A1194">
        <v>4</v>
      </c>
      <c r="B1194">
        <v>2016</v>
      </c>
      <c r="C1194">
        <v>102</v>
      </c>
      <c r="D1194">
        <v>25</v>
      </c>
      <c r="E1194">
        <v>36</v>
      </c>
      <c r="F1194">
        <v>2.5</v>
      </c>
      <c r="G1194">
        <f t="shared" si="179"/>
        <v>0</v>
      </c>
      <c r="H1194">
        <f t="shared" si="179"/>
        <v>0</v>
      </c>
      <c r="I1194">
        <f t="shared" si="179"/>
        <v>0</v>
      </c>
      <c r="J1194">
        <f t="shared" si="179"/>
        <v>0</v>
      </c>
      <c r="K1194">
        <f t="shared" si="179"/>
        <v>1</v>
      </c>
      <c r="L1194">
        <f t="shared" si="179"/>
        <v>0</v>
      </c>
      <c r="M1194">
        <f t="shared" si="178"/>
        <v>0</v>
      </c>
      <c r="N1194">
        <f t="shared" si="178"/>
        <v>0</v>
      </c>
      <c r="O1194">
        <f t="shared" si="178"/>
        <v>1</v>
      </c>
    </row>
    <row r="1195" spans="1:15" x14ac:dyDescent="0.3">
      <c r="A1195">
        <v>1</v>
      </c>
      <c r="B1195">
        <v>2017</v>
      </c>
      <c r="C1195">
        <v>91</v>
      </c>
      <c r="D1195">
        <v>200</v>
      </c>
      <c r="E1195">
        <v>53</v>
      </c>
      <c r="F1195">
        <v>6.5</v>
      </c>
      <c r="G1195">
        <f t="shared" si="179"/>
        <v>0</v>
      </c>
      <c r="H1195">
        <f t="shared" si="179"/>
        <v>0</v>
      </c>
      <c r="I1195">
        <f t="shared" si="179"/>
        <v>0</v>
      </c>
      <c r="J1195">
        <f t="shared" si="179"/>
        <v>0</v>
      </c>
      <c r="K1195">
        <f t="shared" si="179"/>
        <v>0</v>
      </c>
      <c r="L1195">
        <f t="shared" si="179"/>
        <v>1</v>
      </c>
      <c r="M1195">
        <f t="shared" si="178"/>
        <v>1</v>
      </c>
      <c r="N1195">
        <f t="shared" si="178"/>
        <v>0</v>
      </c>
      <c r="O1195">
        <f t="shared" si="178"/>
        <v>0</v>
      </c>
    </row>
    <row r="1196" spans="1:15" x14ac:dyDescent="0.3">
      <c r="A1196">
        <v>1</v>
      </c>
      <c r="B1196">
        <v>2017</v>
      </c>
      <c r="C1196">
        <v>88</v>
      </c>
      <c r="D1196">
        <v>200</v>
      </c>
      <c r="E1196">
        <v>55</v>
      </c>
      <c r="F1196">
        <v>4.5</v>
      </c>
      <c r="G1196">
        <f t="shared" si="179"/>
        <v>0</v>
      </c>
      <c r="H1196">
        <f t="shared" si="179"/>
        <v>0</v>
      </c>
      <c r="I1196">
        <f t="shared" si="179"/>
        <v>0</v>
      </c>
      <c r="J1196">
        <f t="shared" si="179"/>
        <v>0</v>
      </c>
      <c r="K1196">
        <f t="shared" si="179"/>
        <v>0</v>
      </c>
      <c r="L1196">
        <f t="shared" si="179"/>
        <v>1</v>
      </c>
      <c r="M1196">
        <f t="shared" si="178"/>
        <v>1</v>
      </c>
      <c r="N1196">
        <f t="shared" si="178"/>
        <v>0</v>
      </c>
      <c r="O1196">
        <f t="shared" si="178"/>
        <v>0</v>
      </c>
    </row>
    <row r="1197" spans="1:15" x14ac:dyDescent="0.3">
      <c r="A1197">
        <v>4</v>
      </c>
      <c r="B1197">
        <v>2017</v>
      </c>
      <c r="C1197">
        <v>81</v>
      </c>
      <c r="D1197">
        <v>35</v>
      </c>
      <c r="E1197">
        <v>33</v>
      </c>
      <c r="F1197">
        <v>1</v>
      </c>
      <c r="G1197">
        <f t="shared" si="179"/>
        <v>0</v>
      </c>
      <c r="H1197">
        <f t="shared" si="179"/>
        <v>0</v>
      </c>
      <c r="I1197">
        <f t="shared" si="179"/>
        <v>0</v>
      </c>
      <c r="J1197">
        <f t="shared" si="179"/>
        <v>0</v>
      </c>
      <c r="K1197">
        <f t="shared" si="179"/>
        <v>0</v>
      </c>
      <c r="L1197">
        <f t="shared" si="179"/>
        <v>1</v>
      </c>
      <c r="M1197">
        <f t="shared" si="178"/>
        <v>0</v>
      </c>
      <c r="N1197">
        <f t="shared" si="178"/>
        <v>0</v>
      </c>
      <c r="O1197">
        <f t="shared" si="178"/>
        <v>1</v>
      </c>
    </row>
    <row r="1198" spans="1:15" x14ac:dyDescent="0.3">
      <c r="A1198">
        <v>4</v>
      </c>
      <c r="B1198">
        <v>2017</v>
      </c>
      <c r="C1198">
        <v>61</v>
      </c>
      <c r="D1198">
        <v>100</v>
      </c>
      <c r="E1198">
        <v>44</v>
      </c>
      <c r="F1198">
        <v>2</v>
      </c>
      <c r="G1198">
        <f t="shared" si="179"/>
        <v>0</v>
      </c>
      <c r="H1198">
        <f t="shared" si="179"/>
        <v>0</v>
      </c>
      <c r="I1198">
        <f t="shared" si="179"/>
        <v>0</v>
      </c>
      <c r="J1198">
        <f t="shared" si="179"/>
        <v>0</v>
      </c>
      <c r="K1198">
        <f t="shared" si="179"/>
        <v>0</v>
      </c>
      <c r="L1198">
        <f t="shared" si="179"/>
        <v>1</v>
      </c>
      <c r="M1198">
        <f t="shared" si="178"/>
        <v>0</v>
      </c>
      <c r="N1198">
        <f t="shared" si="178"/>
        <v>0</v>
      </c>
      <c r="O1198">
        <f t="shared" si="178"/>
        <v>1</v>
      </c>
    </row>
    <row r="1199" spans="1:15" x14ac:dyDescent="0.3">
      <c r="A1199">
        <v>4</v>
      </c>
      <c r="B1199">
        <v>2017</v>
      </c>
      <c r="C1199">
        <v>55</v>
      </c>
      <c r="D1199">
        <v>30</v>
      </c>
      <c r="E1199">
        <v>31</v>
      </c>
      <c r="F1199">
        <v>1.5</v>
      </c>
      <c r="G1199">
        <f t="shared" si="179"/>
        <v>0</v>
      </c>
      <c r="H1199">
        <f t="shared" si="179"/>
        <v>0</v>
      </c>
      <c r="I1199">
        <f t="shared" si="179"/>
        <v>0</v>
      </c>
      <c r="J1199">
        <f t="shared" si="179"/>
        <v>0</v>
      </c>
      <c r="K1199">
        <f t="shared" si="179"/>
        <v>0</v>
      </c>
      <c r="L1199">
        <f t="shared" si="179"/>
        <v>1</v>
      </c>
      <c r="M1199">
        <f t="shared" si="178"/>
        <v>0</v>
      </c>
      <c r="N1199">
        <f t="shared" si="178"/>
        <v>0</v>
      </c>
      <c r="O1199">
        <f t="shared" si="178"/>
        <v>1</v>
      </c>
    </row>
    <row r="1200" spans="1:15" x14ac:dyDescent="0.3">
      <c r="A1200">
        <v>1</v>
      </c>
      <c r="B1200">
        <v>2017</v>
      </c>
      <c r="C1200">
        <v>50</v>
      </c>
      <c r="D1200">
        <v>200</v>
      </c>
      <c r="E1200">
        <v>60</v>
      </c>
      <c r="F1200">
        <v>5</v>
      </c>
      <c r="G1200">
        <f t="shared" si="179"/>
        <v>0</v>
      </c>
      <c r="H1200">
        <f t="shared" si="179"/>
        <v>0</v>
      </c>
      <c r="I1200">
        <f t="shared" si="179"/>
        <v>0</v>
      </c>
      <c r="J1200">
        <f t="shared" si="179"/>
        <v>0</v>
      </c>
      <c r="K1200">
        <f t="shared" si="179"/>
        <v>0</v>
      </c>
      <c r="L1200">
        <f t="shared" si="179"/>
        <v>1</v>
      </c>
      <c r="M1200">
        <f t="shared" si="178"/>
        <v>1</v>
      </c>
      <c r="N1200">
        <f t="shared" si="178"/>
        <v>0</v>
      </c>
      <c r="O1200">
        <f t="shared" si="178"/>
        <v>0</v>
      </c>
    </row>
    <row r="1201" spans="1:15" x14ac:dyDescent="0.3">
      <c r="A1201">
        <v>4</v>
      </c>
      <c r="B1201">
        <v>2017</v>
      </c>
      <c r="C1201">
        <v>44</v>
      </c>
      <c r="D1201">
        <v>40</v>
      </c>
      <c r="E1201">
        <v>68</v>
      </c>
      <c r="F1201">
        <v>8.5</v>
      </c>
      <c r="G1201">
        <f t="shared" si="179"/>
        <v>0</v>
      </c>
      <c r="H1201">
        <f t="shared" si="179"/>
        <v>0</v>
      </c>
      <c r="I1201">
        <f t="shared" si="179"/>
        <v>0</v>
      </c>
      <c r="J1201">
        <f t="shared" si="179"/>
        <v>0</v>
      </c>
      <c r="K1201">
        <f t="shared" si="179"/>
        <v>0</v>
      </c>
      <c r="L1201">
        <f t="shared" si="179"/>
        <v>1</v>
      </c>
      <c r="M1201">
        <f t="shared" si="178"/>
        <v>0</v>
      </c>
      <c r="N1201">
        <f t="shared" si="178"/>
        <v>0</v>
      </c>
      <c r="O1201">
        <f t="shared" si="178"/>
        <v>1</v>
      </c>
    </row>
    <row r="1202" spans="1:15" x14ac:dyDescent="0.3">
      <c r="A1202">
        <v>1</v>
      </c>
      <c r="B1202">
        <v>2017</v>
      </c>
      <c r="C1202">
        <v>34</v>
      </c>
      <c r="D1202">
        <v>125</v>
      </c>
      <c r="E1202">
        <v>21</v>
      </c>
      <c r="F1202">
        <v>1.5</v>
      </c>
      <c r="G1202">
        <f t="shared" si="179"/>
        <v>0</v>
      </c>
      <c r="H1202">
        <f t="shared" si="179"/>
        <v>0</v>
      </c>
      <c r="I1202">
        <f t="shared" si="179"/>
        <v>0</v>
      </c>
      <c r="J1202">
        <f t="shared" si="179"/>
        <v>0</v>
      </c>
      <c r="K1202">
        <f t="shared" si="179"/>
        <v>0</v>
      </c>
      <c r="L1202">
        <f t="shared" si="179"/>
        <v>1</v>
      </c>
      <c r="M1202">
        <f t="shared" si="178"/>
        <v>1</v>
      </c>
      <c r="N1202">
        <f t="shared" si="178"/>
        <v>0</v>
      </c>
      <c r="O1202">
        <f t="shared" si="178"/>
        <v>0</v>
      </c>
    </row>
    <row r="1203" spans="1:15" x14ac:dyDescent="0.3">
      <c r="A1203">
        <v>1</v>
      </c>
      <c r="B1203">
        <v>2017</v>
      </c>
      <c r="C1203">
        <v>25</v>
      </c>
      <c r="D1203">
        <v>100</v>
      </c>
      <c r="E1203">
        <v>66</v>
      </c>
      <c r="F1203">
        <v>12.5</v>
      </c>
      <c r="G1203">
        <f t="shared" si="179"/>
        <v>0</v>
      </c>
      <c r="H1203">
        <f t="shared" si="179"/>
        <v>0</v>
      </c>
      <c r="I1203">
        <f t="shared" si="179"/>
        <v>0</v>
      </c>
      <c r="J1203">
        <f t="shared" si="179"/>
        <v>0</v>
      </c>
      <c r="K1203">
        <f t="shared" si="179"/>
        <v>0</v>
      </c>
      <c r="L1203">
        <f t="shared" si="179"/>
        <v>1</v>
      </c>
      <c r="M1203">
        <f t="shared" si="178"/>
        <v>1</v>
      </c>
      <c r="N1203">
        <f t="shared" si="178"/>
        <v>0</v>
      </c>
      <c r="O1203">
        <f t="shared" si="178"/>
        <v>0</v>
      </c>
    </row>
    <row r="1204" spans="1:15" x14ac:dyDescent="0.3">
      <c r="A1204">
        <v>1</v>
      </c>
      <c r="B1204">
        <v>2017</v>
      </c>
      <c r="C1204">
        <v>19</v>
      </c>
      <c r="D1204">
        <v>200</v>
      </c>
      <c r="E1204">
        <v>33</v>
      </c>
      <c r="F1204">
        <v>4</v>
      </c>
      <c r="G1204">
        <f t="shared" si="179"/>
        <v>0</v>
      </c>
      <c r="H1204">
        <f t="shared" si="179"/>
        <v>0</v>
      </c>
      <c r="I1204">
        <f t="shared" si="179"/>
        <v>0</v>
      </c>
      <c r="J1204">
        <f t="shared" si="179"/>
        <v>0</v>
      </c>
      <c r="K1204">
        <f t="shared" si="179"/>
        <v>0</v>
      </c>
      <c r="L1204">
        <f t="shared" si="179"/>
        <v>1</v>
      </c>
      <c r="M1204">
        <f t="shared" si="178"/>
        <v>1</v>
      </c>
      <c r="N1204">
        <f t="shared" si="178"/>
        <v>0</v>
      </c>
      <c r="O1204">
        <f t="shared" si="178"/>
        <v>0</v>
      </c>
    </row>
  </sheetData>
  <autoFilter ref="C1:F1204" xr:uid="{BCAF95BB-7C5D-4E61-91A3-6205C80ADD84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8145C-940E-4AAB-BD5B-D6AD8741B56F}">
  <dimension ref="A1:W1204"/>
  <sheetViews>
    <sheetView workbookViewId="0">
      <selection activeCell="O19" sqref="O19"/>
    </sheetView>
  </sheetViews>
  <sheetFormatPr defaultRowHeight="14.4" x14ac:dyDescent="0.3"/>
  <cols>
    <col min="1" max="1" width="19.6640625" bestFit="1" customWidth="1"/>
    <col min="2" max="2" width="12.6640625" bestFit="1" customWidth="1"/>
    <col min="3" max="3" width="14.21875" bestFit="1" customWidth="1"/>
    <col min="4" max="4" width="17.5546875" bestFit="1" customWidth="1"/>
    <col min="5" max="5" width="6.77734375" bestFit="1" customWidth="1"/>
    <col min="6" max="13" width="6.77734375" customWidth="1"/>
    <col min="15" max="15" width="17.44140625" bestFit="1" customWidth="1"/>
    <col min="16" max="16" width="13.33203125" bestFit="1" customWidth="1"/>
    <col min="17" max="17" width="13.5546875" bestFit="1" customWidth="1"/>
    <col min="18" max="18" width="14.33203125" bestFit="1" customWidth="1"/>
    <col min="19" max="19" width="12.5546875" bestFit="1" customWidth="1"/>
    <col min="20" max="20" width="13.33203125" bestFit="1" customWidth="1"/>
    <col min="21" max="21" width="13.6640625" bestFit="1" customWidth="1"/>
    <col min="22" max="22" width="13.33203125" bestFit="1" customWidth="1"/>
    <col min="23" max="23" width="13.6640625" bestFit="1" customWidth="1"/>
  </cols>
  <sheetData>
    <row r="1" spans="1:23" x14ac:dyDescent="0.3">
      <c r="A1" s="3" t="s">
        <v>2412</v>
      </c>
      <c r="B1" s="3" t="s">
        <v>2413</v>
      </c>
      <c r="C1" s="3" t="s">
        <v>6</v>
      </c>
      <c r="D1" s="3" t="s">
        <v>8</v>
      </c>
      <c r="E1" s="3">
        <v>2012</v>
      </c>
      <c r="F1" s="3">
        <v>2013</v>
      </c>
      <c r="G1" s="3">
        <v>2014</v>
      </c>
      <c r="H1" s="3">
        <v>2015</v>
      </c>
      <c r="I1" s="3">
        <v>2016</v>
      </c>
      <c r="J1" s="3">
        <v>2017</v>
      </c>
      <c r="K1" s="3">
        <v>1</v>
      </c>
      <c r="L1" s="3">
        <v>2</v>
      </c>
      <c r="M1" s="3">
        <v>4</v>
      </c>
      <c r="O1" t="s">
        <v>2451</v>
      </c>
    </row>
    <row r="2" spans="1:23" ht="15" thickBot="1" x14ac:dyDescent="0.35">
      <c r="A2">
        <v>12.502180372254795</v>
      </c>
      <c r="B2">
        <v>-4.6051701859880909</v>
      </c>
      <c r="C2">
        <v>45</v>
      </c>
      <c r="D2">
        <v>10.5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1</v>
      </c>
      <c r="L2">
        <v>0</v>
      </c>
      <c r="M2">
        <v>0</v>
      </c>
    </row>
    <row r="3" spans="1:23" x14ac:dyDescent="0.3">
      <c r="A3">
        <v>11.989339751969782</v>
      </c>
      <c r="B3">
        <v>-4.6051701859880909</v>
      </c>
      <c r="C3">
        <v>27</v>
      </c>
      <c r="D3">
        <v>3.5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O3" s="8" t="s">
        <v>2452</v>
      </c>
      <c r="P3" s="8"/>
    </row>
    <row r="4" spans="1:23" x14ac:dyDescent="0.3">
      <c r="A4">
        <v>11.708360660909566</v>
      </c>
      <c r="B4">
        <v>5.2983673652980787</v>
      </c>
      <c r="C4">
        <v>342</v>
      </c>
      <c r="D4">
        <v>43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1</v>
      </c>
      <c r="L4">
        <v>0</v>
      </c>
      <c r="M4">
        <v>0</v>
      </c>
      <c r="O4" t="s">
        <v>2453</v>
      </c>
      <c r="P4">
        <v>0.47900263132966725</v>
      </c>
    </row>
    <row r="5" spans="1:23" x14ac:dyDescent="0.3">
      <c r="A5">
        <v>11.69766908619656</v>
      </c>
      <c r="B5">
        <v>-4.6051701859880909</v>
      </c>
      <c r="C5">
        <v>30</v>
      </c>
      <c r="D5">
        <v>3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  <c r="O5" t="s">
        <v>2454</v>
      </c>
      <c r="P5">
        <v>0.22944352082074512</v>
      </c>
    </row>
    <row r="6" spans="1:23" x14ac:dyDescent="0.3">
      <c r="A6">
        <v>11.648434899978378</v>
      </c>
      <c r="B6">
        <v>5.2983673652980787</v>
      </c>
      <c r="C6">
        <v>304</v>
      </c>
      <c r="D6">
        <v>30.5</v>
      </c>
      <c r="E6">
        <v>0</v>
      </c>
      <c r="F6">
        <v>0</v>
      </c>
      <c r="G6">
        <v>0</v>
      </c>
      <c r="H6">
        <v>0</v>
      </c>
      <c r="I6">
        <v>1</v>
      </c>
      <c r="J6">
        <v>0</v>
      </c>
      <c r="K6">
        <v>1</v>
      </c>
      <c r="L6">
        <v>0</v>
      </c>
      <c r="M6">
        <v>0</v>
      </c>
      <c r="O6" t="s">
        <v>2455</v>
      </c>
      <c r="P6">
        <v>0.22167320338364341</v>
      </c>
    </row>
    <row r="7" spans="1:23" x14ac:dyDescent="0.3">
      <c r="A7">
        <v>11.501530791556343</v>
      </c>
      <c r="B7">
        <v>-4.6051701859880909</v>
      </c>
      <c r="C7">
        <v>20</v>
      </c>
      <c r="D7">
        <v>3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1</v>
      </c>
      <c r="O7" t="s">
        <v>2419</v>
      </c>
      <c r="P7">
        <v>1.1776272839262689</v>
      </c>
    </row>
    <row r="8" spans="1:23" ht="15" thickBot="1" x14ac:dyDescent="0.35">
      <c r="A8">
        <v>11.349194035986073</v>
      </c>
      <c r="B8">
        <v>3.4015306594522756</v>
      </c>
      <c r="C8">
        <v>10</v>
      </c>
      <c r="D8">
        <v>2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O8" s="1" t="s">
        <v>2436</v>
      </c>
      <c r="P8" s="1">
        <v>1203</v>
      </c>
    </row>
    <row r="9" spans="1:23" x14ac:dyDescent="0.3">
      <c r="A9">
        <v>11.335436213758243</v>
      </c>
      <c r="B9">
        <v>-4.6051701859880909</v>
      </c>
      <c r="C9">
        <v>45</v>
      </c>
      <c r="D9">
        <v>6.5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</row>
    <row r="10" spans="1:23" ht="15" thickBot="1" x14ac:dyDescent="0.35">
      <c r="A10">
        <v>11.28492011423911</v>
      </c>
      <c r="B10">
        <v>5.1648431151480656</v>
      </c>
      <c r="C10">
        <v>85</v>
      </c>
      <c r="D10">
        <v>11.5</v>
      </c>
      <c r="E10">
        <v>0</v>
      </c>
      <c r="F10">
        <v>0</v>
      </c>
      <c r="G10">
        <v>0</v>
      </c>
      <c r="H10">
        <v>1</v>
      </c>
      <c r="I10">
        <v>0</v>
      </c>
      <c r="J10">
        <v>0</v>
      </c>
      <c r="K10">
        <v>0</v>
      </c>
      <c r="L10">
        <v>0</v>
      </c>
      <c r="M10">
        <v>1</v>
      </c>
      <c r="O10" t="s">
        <v>2456</v>
      </c>
    </row>
    <row r="11" spans="1:23" x14ac:dyDescent="0.3">
      <c r="A11">
        <v>11.208883631749874</v>
      </c>
      <c r="B11">
        <v>5.2470767023544402</v>
      </c>
      <c r="C11">
        <v>329</v>
      </c>
      <c r="D11">
        <v>22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0</v>
      </c>
      <c r="M11">
        <v>0</v>
      </c>
      <c r="O11" s="2"/>
      <c r="P11" s="2" t="s">
        <v>2438</v>
      </c>
      <c r="Q11" s="2" t="s">
        <v>2461</v>
      </c>
      <c r="R11" s="2" t="s">
        <v>2462</v>
      </c>
      <c r="S11" s="2" t="s">
        <v>2446</v>
      </c>
      <c r="T11" s="2" t="s">
        <v>2463</v>
      </c>
    </row>
    <row r="12" spans="1:23" x14ac:dyDescent="0.3">
      <c r="A12">
        <v>11.199720435287361</v>
      </c>
      <c r="B12">
        <v>-4.6051701859880909</v>
      </c>
      <c r="C12">
        <v>22</v>
      </c>
      <c r="D12">
        <v>2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</v>
      </c>
      <c r="O12" t="s">
        <v>2457</v>
      </c>
      <c r="P12">
        <v>12</v>
      </c>
      <c r="Q12">
        <v>491.39869787545626</v>
      </c>
      <c r="R12">
        <v>40.949891489621358</v>
      </c>
      <c r="S12">
        <v>29.528204307998752</v>
      </c>
      <c r="T12">
        <v>1.8565220732962265E-59</v>
      </c>
    </row>
    <row r="13" spans="1:23" x14ac:dyDescent="0.3">
      <c r="A13">
        <v>11.197282779159096</v>
      </c>
      <c r="B13">
        <v>-4.6051701859880909</v>
      </c>
      <c r="C13">
        <v>21</v>
      </c>
      <c r="D13">
        <v>1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O13" t="s">
        <v>2458</v>
      </c>
      <c r="P13">
        <v>1190</v>
      </c>
      <c r="Q13">
        <v>1650.2991636185977</v>
      </c>
      <c r="R13">
        <v>1.3868060198475611</v>
      </c>
    </row>
    <row r="14" spans="1:23" ht="15" thickBot="1" x14ac:dyDescent="0.35">
      <c r="A14">
        <v>11.167232851014942</v>
      </c>
      <c r="B14">
        <v>-4.6051701859880909</v>
      </c>
      <c r="C14">
        <v>50</v>
      </c>
      <c r="D14">
        <v>6</v>
      </c>
      <c r="E14">
        <v>0</v>
      </c>
      <c r="F14">
        <v>0</v>
      </c>
      <c r="G14">
        <v>0</v>
      </c>
      <c r="H14">
        <v>1</v>
      </c>
      <c r="I14">
        <v>0</v>
      </c>
      <c r="J14">
        <v>0</v>
      </c>
      <c r="K14">
        <v>0</v>
      </c>
      <c r="L14">
        <v>0</v>
      </c>
      <c r="M14">
        <v>1</v>
      </c>
      <c r="O14" s="1" t="s">
        <v>2459</v>
      </c>
      <c r="P14" s="1">
        <v>1202</v>
      </c>
      <c r="Q14" s="1">
        <v>2141.697861494054</v>
      </c>
      <c r="R14" s="1"/>
      <c r="S14" s="1"/>
      <c r="T14" s="1"/>
    </row>
    <row r="15" spans="1:23" ht="15" thickBot="1" x14ac:dyDescent="0.35">
      <c r="A15">
        <v>11.144553808999172</v>
      </c>
      <c r="B15">
        <v>4.7875750726433504</v>
      </c>
      <c r="C15">
        <v>197</v>
      </c>
      <c r="D15">
        <v>27.5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</v>
      </c>
    </row>
    <row r="16" spans="1:23" x14ac:dyDescent="0.3">
      <c r="A16">
        <v>11.068636365004481</v>
      </c>
      <c r="B16">
        <v>-4.6051701859880909</v>
      </c>
      <c r="C16">
        <v>17</v>
      </c>
      <c r="D16">
        <v>1.5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O16" s="2"/>
      <c r="P16" s="2" t="s">
        <v>2464</v>
      </c>
      <c r="Q16" s="2" t="s">
        <v>2419</v>
      </c>
      <c r="R16" s="2" t="s">
        <v>2439</v>
      </c>
      <c r="S16" s="2" t="s">
        <v>2465</v>
      </c>
      <c r="T16" s="2" t="s">
        <v>2466</v>
      </c>
      <c r="U16" s="2" t="s">
        <v>2467</v>
      </c>
      <c r="V16" s="2" t="s">
        <v>2468</v>
      </c>
      <c r="W16" s="2" t="s">
        <v>2469</v>
      </c>
    </row>
    <row r="17" spans="1:23" x14ac:dyDescent="0.3">
      <c r="A17">
        <v>10.996065001467814</v>
      </c>
      <c r="B17">
        <v>-4.6051701859880909</v>
      </c>
      <c r="C17">
        <v>24</v>
      </c>
      <c r="D17">
        <v>4.5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O17" t="s">
        <v>2460</v>
      </c>
      <c r="P17" s="13">
        <v>9.7519920522972505</v>
      </c>
      <c r="Q17" s="13">
        <v>0.61852273044766581</v>
      </c>
      <c r="R17" s="13">
        <v>15.766586371432281</v>
      </c>
      <c r="S17" s="13">
        <v>5.2763963021100051E-51</v>
      </c>
      <c r="T17" s="13">
        <v>8.5384755149523297</v>
      </c>
      <c r="U17" s="13">
        <v>10.965508589642171</v>
      </c>
      <c r="V17" s="13">
        <v>8.5384755149523297</v>
      </c>
      <c r="W17" s="13">
        <v>10.965508589642171</v>
      </c>
    </row>
    <row r="18" spans="1:23" x14ac:dyDescent="0.3">
      <c r="A18">
        <v>10.99139272406055</v>
      </c>
      <c r="B18">
        <v>5.1648431151480656</v>
      </c>
      <c r="C18">
        <v>55</v>
      </c>
      <c r="D18">
        <v>7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1</v>
      </c>
      <c r="L18">
        <v>0</v>
      </c>
      <c r="M18">
        <v>0</v>
      </c>
      <c r="O18" t="s">
        <v>2413</v>
      </c>
      <c r="P18" s="13">
        <v>-0.15435115942035874</v>
      </c>
      <c r="Q18" s="13">
        <v>1.240454432682527E-2</v>
      </c>
      <c r="R18" s="13">
        <v>-12.443114019639467</v>
      </c>
      <c r="S18" s="13">
        <v>1.6744052938685155E-33</v>
      </c>
      <c r="T18" s="13">
        <v>-0.17868837281255801</v>
      </c>
      <c r="U18" s="13">
        <v>-0.13001394602815947</v>
      </c>
      <c r="V18" s="13">
        <v>-0.17868837281255801</v>
      </c>
      <c r="W18" s="13">
        <v>-0.13001394602815947</v>
      </c>
    </row>
    <row r="19" spans="1:23" x14ac:dyDescent="0.3">
      <c r="A19">
        <v>10.971778081317849</v>
      </c>
      <c r="B19">
        <v>5.273050839300149</v>
      </c>
      <c r="C19">
        <v>98</v>
      </c>
      <c r="D19">
        <v>13</v>
      </c>
      <c r="E19">
        <v>0</v>
      </c>
      <c r="F19">
        <v>0</v>
      </c>
      <c r="G19">
        <v>0</v>
      </c>
      <c r="H19">
        <v>1</v>
      </c>
      <c r="I19">
        <v>0</v>
      </c>
      <c r="J19">
        <v>0</v>
      </c>
      <c r="K19">
        <v>1</v>
      </c>
      <c r="L19">
        <v>0</v>
      </c>
      <c r="M19">
        <v>0</v>
      </c>
      <c r="O19" t="s">
        <v>6</v>
      </c>
      <c r="P19" s="13">
        <v>1.6423110937803787E-3</v>
      </c>
      <c r="Q19" s="13">
        <v>1.0683067123203954E-3</v>
      </c>
      <c r="R19" s="13">
        <v>1.5373029812882368</v>
      </c>
      <c r="S19" s="13">
        <v>0.12448496499805098</v>
      </c>
      <c r="T19" s="13">
        <v>-4.5366339274994995E-4</v>
      </c>
      <c r="U19" s="13">
        <v>3.7382855803107075E-3</v>
      </c>
      <c r="V19" s="13">
        <v>-4.5366339274994995E-4</v>
      </c>
      <c r="W19" s="13">
        <v>3.7382855803107075E-3</v>
      </c>
    </row>
    <row r="20" spans="1:23" x14ac:dyDescent="0.3">
      <c r="A20">
        <v>10.958182784137781</v>
      </c>
      <c r="B20">
        <v>5.273050839300149</v>
      </c>
      <c r="C20">
        <v>84</v>
      </c>
      <c r="D20">
        <v>7.5</v>
      </c>
      <c r="E20">
        <v>0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1</v>
      </c>
      <c r="O20" t="s">
        <v>8</v>
      </c>
      <c r="P20" s="13">
        <v>2.1661352790370909E-2</v>
      </c>
      <c r="Q20" s="13">
        <v>9.2205726839448641E-3</v>
      </c>
      <c r="R20" s="13">
        <v>2.3492415854048092</v>
      </c>
      <c r="S20" s="13">
        <v>1.897448465918716E-2</v>
      </c>
      <c r="T20" s="13">
        <v>3.5709627611160595E-3</v>
      </c>
      <c r="U20" s="13">
        <v>3.9751742819625763E-2</v>
      </c>
      <c r="V20" s="13">
        <v>3.5709627611160595E-3</v>
      </c>
      <c r="W20" s="13">
        <v>3.9751742819625763E-2</v>
      </c>
    </row>
    <row r="21" spans="1:23" x14ac:dyDescent="0.3">
      <c r="A21">
        <v>10.921106681994706</v>
      </c>
      <c r="B21">
        <v>5.273050839300149</v>
      </c>
      <c r="C21">
        <v>144</v>
      </c>
      <c r="D21">
        <v>20</v>
      </c>
      <c r="E21">
        <v>0</v>
      </c>
      <c r="F21">
        <v>0</v>
      </c>
      <c r="G21">
        <v>0</v>
      </c>
      <c r="H21">
        <v>1</v>
      </c>
      <c r="I21">
        <v>0</v>
      </c>
      <c r="J21">
        <v>0</v>
      </c>
      <c r="K21">
        <v>0</v>
      </c>
      <c r="L21">
        <v>1</v>
      </c>
      <c r="M21">
        <v>0</v>
      </c>
      <c r="O21">
        <v>2012</v>
      </c>
      <c r="P21" s="13">
        <v>-0.55551845418235546</v>
      </c>
      <c r="Q21" s="13">
        <v>0.59251676668522746</v>
      </c>
      <c r="R21" s="13">
        <v>-0.93755735772701398</v>
      </c>
      <c r="S21" s="13">
        <v>0.34866217267662369</v>
      </c>
      <c r="T21" s="13">
        <v>-1.7180123442714992</v>
      </c>
      <c r="U21" s="13">
        <v>0.60697543590678826</v>
      </c>
      <c r="V21" s="13">
        <v>-1.7180123442714992</v>
      </c>
      <c r="W21" s="13">
        <v>0.60697543590678826</v>
      </c>
    </row>
    <row r="22" spans="1:23" x14ac:dyDescent="0.3">
      <c r="A22">
        <v>10.844607473039577</v>
      </c>
      <c r="B22">
        <v>4.9768027055598036</v>
      </c>
      <c r="C22">
        <v>77</v>
      </c>
      <c r="D22">
        <v>8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  <c r="O22">
        <v>2013</v>
      </c>
      <c r="P22" s="13">
        <v>-0.59184859910361898</v>
      </c>
      <c r="Q22" s="13">
        <v>0.55170330034996451</v>
      </c>
      <c r="R22" s="13">
        <v>-1.072766102229566</v>
      </c>
      <c r="S22" s="13">
        <v>0.28359356860579676</v>
      </c>
      <c r="T22" s="13">
        <v>-1.6742681218233284</v>
      </c>
      <c r="U22" s="13">
        <v>0.49057092361609056</v>
      </c>
      <c r="V22" s="13">
        <v>-1.6742681218233284</v>
      </c>
      <c r="W22" s="13">
        <v>0.49057092361609056</v>
      </c>
    </row>
    <row r="23" spans="1:23" x14ac:dyDescent="0.3">
      <c r="A23">
        <v>10.835946865571866</v>
      </c>
      <c r="B23">
        <v>5.1930124049026132</v>
      </c>
      <c r="C23">
        <v>150</v>
      </c>
      <c r="D23">
        <v>26.5</v>
      </c>
      <c r="E23">
        <v>0</v>
      </c>
      <c r="F23">
        <v>0</v>
      </c>
      <c r="G23">
        <v>0</v>
      </c>
      <c r="H23">
        <v>1</v>
      </c>
      <c r="I23">
        <v>0</v>
      </c>
      <c r="J23">
        <v>0</v>
      </c>
      <c r="K23">
        <v>0</v>
      </c>
      <c r="L23">
        <v>0</v>
      </c>
      <c r="M23">
        <v>1</v>
      </c>
      <c r="O23">
        <v>2014</v>
      </c>
      <c r="P23" s="13">
        <v>-1.1421994064226133</v>
      </c>
      <c r="Q23" s="13">
        <v>0.5403634597899134</v>
      </c>
      <c r="R23" s="13">
        <v>-2.1137613688140315</v>
      </c>
      <c r="S23" s="13">
        <v>3.4743283812160096E-2</v>
      </c>
      <c r="T23" s="13">
        <v>-2.2023706214034675</v>
      </c>
      <c r="U23" s="13">
        <v>-8.202819144175888E-2</v>
      </c>
      <c r="V23" s="13">
        <v>-2.2023706214034675</v>
      </c>
      <c r="W23" s="13">
        <v>-8.202819144175888E-2</v>
      </c>
    </row>
    <row r="24" spans="1:23" x14ac:dyDescent="0.3">
      <c r="A24">
        <v>10.792407087614151</v>
      </c>
      <c r="B24">
        <v>-4.6051701859880909</v>
      </c>
      <c r="C24">
        <v>9</v>
      </c>
      <c r="D24">
        <v>2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1</v>
      </c>
      <c r="O24">
        <v>2015</v>
      </c>
      <c r="P24" s="13">
        <v>-1.3783081693535479</v>
      </c>
      <c r="Q24" s="13">
        <v>0.53215042567259463</v>
      </c>
      <c r="R24" s="13">
        <v>-2.5900724736083394</v>
      </c>
      <c r="S24" s="13">
        <v>9.7127860398374087E-3</v>
      </c>
      <c r="T24" s="13">
        <v>-2.4223657441518807</v>
      </c>
      <c r="U24" s="13">
        <v>-0.334250594555215</v>
      </c>
      <c r="V24" s="13">
        <v>-2.4223657441518807</v>
      </c>
      <c r="W24" s="13">
        <v>-0.334250594555215</v>
      </c>
    </row>
    <row r="25" spans="1:23" x14ac:dyDescent="0.3">
      <c r="A25">
        <v>10.776578465104064</v>
      </c>
      <c r="B25">
        <v>3.9122229854308124</v>
      </c>
      <c r="C25">
        <v>125</v>
      </c>
      <c r="D25">
        <v>12.5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O25">
        <v>2016</v>
      </c>
      <c r="P25" s="13">
        <v>-1.7521647399413831</v>
      </c>
      <c r="Q25" s="13">
        <v>0.53109446726749721</v>
      </c>
      <c r="R25" s="13">
        <v>-3.2991583379814564</v>
      </c>
      <c r="S25" s="13">
        <v>9.9845916186793349E-4</v>
      </c>
      <c r="T25" s="13">
        <v>-2.7941505671316587</v>
      </c>
      <c r="U25" s="13">
        <v>-0.71017891275110756</v>
      </c>
      <c r="V25" s="13">
        <v>-2.7941505671316587</v>
      </c>
      <c r="W25" s="13">
        <v>-0.71017891275110756</v>
      </c>
    </row>
    <row r="26" spans="1:23" x14ac:dyDescent="0.3">
      <c r="A26">
        <v>10.759221160315827</v>
      </c>
      <c r="B26">
        <v>-4.6051701859880909</v>
      </c>
      <c r="C26">
        <v>41</v>
      </c>
      <c r="D26">
        <v>8.5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0</v>
      </c>
      <c r="M26">
        <v>1</v>
      </c>
      <c r="O26">
        <v>2017</v>
      </c>
      <c r="P26" s="13">
        <v>-2.2314897357643564</v>
      </c>
      <c r="Q26" s="13">
        <v>0.53430538967302998</v>
      </c>
      <c r="R26" s="13">
        <v>-4.1764312673879713</v>
      </c>
      <c r="S26" s="13">
        <v>3.177263305311944E-5</v>
      </c>
      <c r="T26" s="13">
        <v>-3.2797752626219752</v>
      </c>
      <c r="U26" s="13">
        <v>-1.1832042089067376</v>
      </c>
      <c r="V26" s="13">
        <v>-3.2797752626219752</v>
      </c>
      <c r="W26" s="13">
        <v>-1.1832042089067376</v>
      </c>
    </row>
    <row r="27" spans="1:23" x14ac:dyDescent="0.3">
      <c r="A27">
        <v>10.69142204895814</v>
      </c>
      <c r="B27">
        <v>5.273050839300149</v>
      </c>
      <c r="C27">
        <v>77</v>
      </c>
      <c r="D27">
        <v>12</v>
      </c>
      <c r="E27">
        <v>0</v>
      </c>
      <c r="F27">
        <v>0</v>
      </c>
      <c r="G27">
        <v>0</v>
      </c>
      <c r="H27">
        <v>1</v>
      </c>
      <c r="I27">
        <v>0</v>
      </c>
      <c r="J27">
        <v>0</v>
      </c>
      <c r="K27">
        <v>0</v>
      </c>
      <c r="L27">
        <v>0</v>
      </c>
      <c r="M27">
        <v>1</v>
      </c>
      <c r="O27">
        <v>1</v>
      </c>
      <c r="P27" s="13">
        <v>2.11682473468764E-2</v>
      </c>
      <c r="Q27" s="13">
        <v>0.32081187891593282</v>
      </c>
      <c r="R27" s="13">
        <v>6.598336513724741E-2</v>
      </c>
      <c r="S27" s="13">
        <v>0.94740215243372417</v>
      </c>
      <c r="T27" s="13">
        <v>-0.60825166121397989</v>
      </c>
      <c r="U27" s="13">
        <v>0.65058815590773267</v>
      </c>
      <c r="V27" s="13">
        <v>-0.60825166121397989</v>
      </c>
      <c r="W27" s="13">
        <v>0.65058815590773267</v>
      </c>
    </row>
    <row r="28" spans="1:23" x14ac:dyDescent="0.3">
      <c r="A28">
        <v>10.675561433649873</v>
      </c>
      <c r="B28">
        <v>4.3176214379815452</v>
      </c>
      <c r="C28">
        <v>24</v>
      </c>
      <c r="D28">
        <v>4</v>
      </c>
      <c r="E28">
        <v>0</v>
      </c>
      <c r="F28">
        <v>1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O28">
        <v>2</v>
      </c>
      <c r="P28" s="13">
        <v>0.15162135181444308</v>
      </c>
      <c r="Q28" s="13">
        <v>0.33151395128771749</v>
      </c>
      <c r="R28" s="13">
        <v>0.45736039531818223</v>
      </c>
      <c r="S28" s="13">
        <v>0.64749551037211672</v>
      </c>
      <c r="T28" s="13">
        <v>-0.49879558913942362</v>
      </c>
      <c r="U28" s="13">
        <v>0.80203829276830985</v>
      </c>
      <c r="V28" s="13">
        <v>-0.49879558913942362</v>
      </c>
      <c r="W28" s="13">
        <v>0.80203829276830985</v>
      </c>
    </row>
    <row r="29" spans="1:23" ht="15" thickBot="1" x14ac:dyDescent="0.35">
      <c r="A29">
        <v>10.632918445173321</v>
      </c>
      <c r="B29">
        <v>-4.6051701859880909</v>
      </c>
      <c r="C29">
        <v>13</v>
      </c>
      <c r="D29">
        <v>3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1</v>
      </c>
      <c r="O29" s="1">
        <v>4</v>
      </c>
      <c r="P29" s="14">
        <v>-3.2319967024262261E-3</v>
      </c>
      <c r="Q29" s="14">
        <v>0.31903408775869074</v>
      </c>
      <c r="R29" s="14">
        <v>-1.0130568570687738E-2</v>
      </c>
      <c r="S29" s="14">
        <v>0.99191881202405385</v>
      </c>
      <c r="T29" s="14">
        <v>-0.62916395104097378</v>
      </c>
      <c r="U29" s="14">
        <v>0.62269995763612129</v>
      </c>
      <c r="V29" s="14">
        <v>-0.62916395104097378</v>
      </c>
      <c r="W29" s="14">
        <v>0.62269995763612129</v>
      </c>
    </row>
    <row r="30" spans="1:23" x14ac:dyDescent="0.3">
      <c r="A30">
        <v>10.59838320363019</v>
      </c>
      <c r="B30">
        <v>5.0107019585407988</v>
      </c>
      <c r="C30">
        <v>194</v>
      </c>
      <c r="D30">
        <v>9.5</v>
      </c>
      <c r="E30">
        <v>0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1</v>
      </c>
    </row>
    <row r="31" spans="1:23" x14ac:dyDescent="0.3">
      <c r="A31">
        <v>10.52247675969231</v>
      </c>
      <c r="B31">
        <v>5.273050839300149</v>
      </c>
      <c r="C31">
        <v>316</v>
      </c>
      <c r="D31">
        <v>51</v>
      </c>
      <c r="E31">
        <v>0</v>
      </c>
      <c r="F31">
        <v>0</v>
      </c>
      <c r="G31">
        <v>0</v>
      </c>
      <c r="H31">
        <v>0</v>
      </c>
      <c r="I31">
        <v>1</v>
      </c>
      <c r="J31">
        <v>0</v>
      </c>
      <c r="K31">
        <v>1</v>
      </c>
      <c r="L31">
        <v>0</v>
      </c>
      <c r="M31">
        <v>0</v>
      </c>
    </row>
    <row r="32" spans="1:23" x14ac:dyDescent="0.3">
      <c r="A32">
        <v>10.500178897278444</v>
      </c>
      <c r="B32">
        <v>-4.6051701859880909</v>
      </c>
      <c r="C32">
        <v>32</v>
      </c>
      <c r="D32">
        <v>4.5</v>
      </c>
      <c r="E32">
        <v>0</v>
      </c>
      <c r="F32">
        <v>0</v>
      </c>
      <c r="G32">
        <v>0</v>
      </c>
      <c r="H32">
        <v>0</v>
      </c>
      <c r="I32">
        <v>1</v>
      </c>
      <c r="J32">
        <v>0</v>
      </c>
      <c r="K32">
        <v>0</v>
      </c>
      <c r="L32">
        <v>0</v>
      </c>
      <c r="M32">
        <v>1</v>
      </c>
    </row>
    <row r="33" spans="1:13" x14ac:dyDescent="0.3">
      <c r="A33">
        <v>10.470702961489399</v>
      </c>
      <c r="B33">
        <v>3.9122229854308124</v>
      </c>
      <c r="C33">
        <v>53</v>
      </c>
      <c r="D33">
        <v>4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1</v>
      </c>
      <c r="L33">
        <v>0</v>
      </c>
      <c r="M33">
        <v>0</v>
      </c>
    </row>
    <row r="34" spans="1:13" x14ac:dyDescent="0.3">
      <c r="A34">
        <v>10.427860988847387</v>
      </c>
      <c r="B34">
        <v>5.2983673652980787</v>
      </c>
      <c r="C34">
        <v>246</v>
      </c>
      <c r="D34">
        <v>32.5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1</v>
      </c>
      <c r="L34">
        <v>0</v>
      </c>
      <c r="M34">
        <v>0</v>
      </c>
    </row>
    <row r="35" spans="1:13" x14ac:dyDescent="0.3">
      <c r="A35">
        <v>10.424570390754766</v>
      </c>
      <c r="B35">
        <v>5.273050839300149</v>
      </c>
      <c r="C35">
        <v>283</v>
      </c>
      <c r="D35">
        <v>31.5</v>
      </c>
      <c r="E35">
        <v>0</v>
      </c>
      <c r="F35">
        <v>0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</row>
    <row r="36" spans="1:13" x14ac:dyDescent="0.3">
      <c r="A36">
        <v>10.395008025244113</v>
      </c>
      <c r="B36">
        <v>5.273050839300149</v>
      </c>
      <c r="C36">
        <v>67</v>
      </c>
      <c r="D36">
        <v>10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1</v>
      </c>
      <c r="L36">
        <v>0</v>
      </c>
      <c r="M36">
        <v>0</v>
      </c>
    </row>
    <row r="37" spans="1:13" x14ac:dyDescent="0.3">
      <c r="A37">
        <v>10.3815833516792</v>
      </c>
      <c r="B37">
        <v>-4.6051701859880909</v>
      </c>
      <c r="C37">
        <v>12</v>
      </c>
      <c r="D37">
        <v>1.5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</row>
    <row r="38" spans="1:13" x14ac:dyDescent="0.3">
      <c r="A38">
        <v>10.357711078278063</v>
      </c>
      <c r="B38">
        <v>5.273050839300149</v>
      </c>
      <c r="C38">
        <v>46</v>
      </c>
      <c r="D38">
        <v>4</v>
      </c>
      <c r="E38">
        <v>0</v>
      </c>
      <c r="F38">
        <v>0</v>
      </c>
      <c r="G38">
        <v>0</v>
      </c>
      <c r="H38">
        <v>1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 x14ac:dyDescent="0.3">
      <c r="A39">
        <v>10.343998002387092</v>
      </c>
      <c r="B39">
        <v>2.996232148595642</v>
      </c>
      <c r="C39">
        <v>195</v>
      </c>
      <c r="D39">
        <v>18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</v>
      </c>
      <c r="L39">
        <v>0</v>
      </c>
      <c r="M39">
        <v>0</v>
      </c>
    </row>
    <row r="40" spans="1:13" x14ac:dyDescent="0.3">
      <c r="A40">
        <v>10.326497839860041</v>
      </c>
      <c r="B40">
        <v>-4.6051701859880909</v>
      </c>
      <c r="C40">
        <v>53</v>
      </c>
      <c r="D40">
        <v>3</v>
      </c>
      <c r="E40">
        <v>0</v>
      </c>
      <c r="F40">
        <v>0</v>
      </c>
      <c r="G40">
        <v>0</v>
      </c>
      <c r="H40">
        <v>1</v>
      </c>
      <c r="I40">
        <v>0</v>
      </c>
      <c r="J40">
        <v>0</v>
      </c>
      <c r="K40">
        <v>0</v>
      </c>
      <c r="L40">
        <v>0</v>
      </c>
      <c r="M40">
        <v>1</v>
      </c>
    </row>
    <row r="41" spans="1:13" x14ac:dyDescent="0.3">
      <c r="A41">
        <v>10.308619271743055</v>
      </c>
      <c r="B41">
        <v>-4.6051701859880909</v>
      </c>
      <c r="C41">
        <v>87</v>
      </c>
      <c r="D41">
        <v>17.5</v>
      </c>
      <c r="E41">
        <v>0</v>
      </c>
      <c r="F41">
        <v>0</v>
      </c>
      <c r="G41">
        <v>1</v>
      </c>
      <c r="H41">
        <v>0</v>
      </c>
      <c r="I41">
        <v>0</v>
      </c>
      <c r="J41">
        <v>0</v>
      </c>
      <c r="K41">
        <v>1</v>
      </c>
      <c r="L41">
        <v>0</v>
      </c>
      <c r="M41">
        <v>0</v>
      </c>
    </row>
    <row r="42" spans="1:13" x14ac:dyDescent="0.3">
      <c r="A42">
        <v>10.286979679833886</v>
      </c>
      <c r="B42">
        <v>5.273050839300149</v>
      </c>
      <c r="C42">
        <v>66</v>
      </c>
      <c r="D42">
        <v>3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1</v>
      </c>
      <c r="L42">
        <v>0</v>
      </c>
      <c r="M42">
        <v>0</v>
      </c>
    </row>
    <row r="43" spans="1:13" x14ac:dyDescent="0.3">
      <c r="A43">
        <v>10.270904593006762</v>
      </c>
      <c r="B43">
        <v>5.2983673652980787</v>
      </c>
      <c r="C43">
        <v>286</v>
      </c>
      <c r="D43">
        <v>30.5</v>
      </c>
      <c r="E43">
        <v>0</v>
      </c>
      <c r="F43">
        <v>0</v>
      </c>
      <c r="G43">
        <v>0</v>
      </c>
      <c r="H43">
        <v>1</v>
      </c>
      <c r="I43">
        <v>0</v>
      </c>
      <c r="J43">
        <v>0</v>
      </c>
      <c r="K43">
        <v>1</v>
      </c>
      <c r="L43">
        <v>0</v>
      </c>
      <c r="M43">
        <v>0</v>
      </c>
    </row>
    <row r="44" spans="1:13" x14ac:dyDescent="0.3">
      <c r="A44">
        <v>10.264443320658335</v>
      </c>
      <c r="B44">
        <v>5.273050839300149</v>
      </c>
      <c r="C44">
        <v>77</v>
      </c>
      <c r="D44">
        <v>11.5</v>
      </c>
      <c r="E44">
        <v>0</v>
      </c>
      <c r="F44">
        <v>0</v>
      </c>
      <c r="G44">
        <v>0</v>
      </c>
      <c r="H44">
        <v>0</v>
      </c>
      <c r="I44">
        <v>1</v>
      </c>
      <c r="J44">
        <v>0</v>
      </c>
      <c r="K44">
        <v>0</v>
      </c>
      <c r="L44">
        <v>0</v>
      </c>
      <c r="M44">
        <v>1</v>
      </c>
    </row>
    <row r="45" spans="1:13" x14ac:dyDescent="0.3">
      <c r="A45">
        <v>10.244414139506722</v>
      </c>
      <c r="B45">
        <v>4.3821516268620329</v>
      </c>
      <c r="C45">
        <v>21</v>
      </c>
      <c r="D45">
        <v>2</v>
      </c>
      <c r="E45">
        <v>0</v>
      </c>
      <c r="F45">
        <v>0</v>
      </c>
      <c r="G45">
        <v>0</v>
      </c>
      <c r="H45">
        <v>1</v>
      </c>
      <c r="I45">
        <v>0</v>
      </c>
      <c r="J45">
        <v>0</v>
      </c>
      <c r="K45">
        <v>1</v>
      </c>
      <c r="L45">
        <v>0</v>
      </c>
      <c r="M45">
        <v>0</v>
      </c>
    </row>
    <row r="46" spans="1:13" x14ac:dyDescent="0.3">
      <c r="A46">
        <v>10.2328272702548</v>
      </c>
      <c r="B46">
        <v>5.273050839300149</v>
      </c>
      <c r="C46">
        <v>113</v>
      </c>
      <c r="D46">
        <v>17.5</v>
      </c>
      <c r="E46">
        <v>0</v>
      </c>
      <c r="F46">
        <v>0</v>
      </c>
      <c r="G46">
        <v>0</v>
      </c>
      <c r="H46">
        <v>0</v>
      </c>
      <c r="I46">
        <v>1</v>
      </c>
      <c r="J46">
        <v>0</v>
      </c>
      <c r="K46">
        <v>1</v>
      </c>
      <c r="L46">
        <v>0</v>
      </c>
      <c r="M46">
        <v>0</v>
      </c>
    </row>
    <row r="47" spans="1:13" x14ac:dyDescent="0.3">
      <c r="A47">
        <v>10.196157166498947</v>
      </c>
      <c r="B47">
        <v>2.996232148595642</v>
      </c>
      <c r="C47">
        <v>55</v>
      </c>
      <c r="D47">
        <v>3</v>
      </c>
      <c r="E47">
        <v>0</v>
      </c>
      <c r="F47">
        <v>0</v>
      </c>
      <c r="G47">
        <v>1</v>
      </c>
      <c r="H47">
        <v>0</v>
      </c>
      <c r="I47">
        <v>0</v>
      </c>
      <c r="J47">
        <v>0</v>
      </c>
      <c r="K47">
        <v>0</v>
      </c>
      <c r="L47">
        <v>0</v>
      </c>
      <c r="M47">
        <v>1</v>
      </c>
    </row>
    <row r="48" spans="1:13" x14ac:dyDescent="0.3">
      <c r="A48">
        <v>10.192306478524971</v>
      </c>
      <c r="B48">
        <v>-4.6051701859880909</v>
      </c>
      <c r="C48">
        <v>20</v>
      </c>
      <c r="D48">
        <v>1</v>
      </c>
      <c r="E48">
        <v>0</v>
      </c>
      <c r="F48">
        <v>0</v>
      </c>
      <c r="G48">
        <v>0</v>
      </c>
      <c r="H48">
        <v>1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 x14ac:dyDescent="0.3">
      <c r="A49">
        <v>10.191407096789248</v>
      </c>
      <c r="B49">
        <v>4.6052701809884251</v>
      </c>
      <c r="C49">
        <v>185</v>
      </c>
      <c r="D49">
        <v>12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</v>
      </c>
    </row>
    <row r="50" spans="1:13" x14ac:dyDescent="0.3">
      <c r="A50">
        <v>10.186445986151496</v>
      </c>
      <c r="B50">
        <v>-4.6051701859880909</v>
      </c>
      <c r="C50">
        <v>38</v>
      </c>
      <c r="D50">
        <v>3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  <c r="M50">
        <v>1</v>
      </c>
    </row>
    <row r="51" spans="1:13" x14ac:dyDescent="0.3">
      <c r="A51">
        <v>10.160607319405269</v>
      </c>
      <c r="B51">
        <v>2.996232148595642</v>
      </c>
      <c r="C51">
        <v>32</v>
      </c>
      <c r="D51">
        <v>5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</v>
      </c>
    </row>
    <row r="52" spans="1:13" x14ac:dyDescent="0.3">
      <c r="A52">
        <v>10.160220606843893</v>
      </c>
      <c r="B52">
        <v>2.996232148595642</v>
      </c>
      <c r="C52">
        <v>17</v>
      </c>
      <c r="D52">
        <v>2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</row>
    <row r="53" spans="1:13" x14ac:dyDescent="0.3">
      <c r="A53">
        <v>10.15809101046861</v>
      </c>
      <c r="B53">
        <v>5.273050839300149</v>
      </c>
      <c r="C53">
        <v>42</v>
      </c>
      <c r="D53">
        <v>4.5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0</v>
      </c>
      <c r="L53">
        <v>1</v>
      </c>
      <c r="M53">
        <v>0</v>
      </c>
    </row>
    <row r="54" spans="1:13" x14ac:dyDescent="0.3">
      <c r="A54">
        <v>10.125750716423031</v>
      </c>
      <c r="B54">
        <v>5.273050839300149</v>
      </c>
      <c r="C54">
        <v>67</v>
      </c>
      <c r="D54">
        <v>7</v>
      </c>
      <c r="E54">
        <v>0</v>
      </c>
      <c r="F54">
        <v>0</v>
      </c>
      <c r="G54">
        <v>0</v>
      </c>
      <c r="H54">
        <v>1</v>
      </c>
      <c r="I54">
        <v>0</v>
      </c>
      <c r="J54">
        <v>0</v>
      </c>
      <c r="K54">
        <v>0</v>
      </c>
      <c r="L54">
        <v>0</v>
      </c>
      <c r="M54">
        <v>1</v>
      </c>
    </row>
    <row r="55" spans="1:13" x14ac:dyDescent="0.3">
      <c r="A55">
        <v>10.121055589517152</v>
      </c>
      <c r="B55">
        <v>5.2983673652980787</v>
      </c>
      <c r="C55">
        <v>281</v>
      </c>
      <c r="D55">
        <v>22.5</v>
      </c>
      <c r="E55">
        <v>0</v>
      </c>
      <c r="F55">
        <v>0</v>
      </c>
      <c r="G55">
        <v>0</v>
      </c>
      <c r="H55">
        <v>1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 x14ac:dyDescent="0.3">
      <c r="A56">
        <v>10.109484945015367</v>
      </c>
      <c r="B56">
        <v>5.0107019585407988</v>
      </c>
      <c r="C56">
        <v>98</v>
      </c>
      <c r="D56">
        <v>19.5</v>
      </c>
      <c r="E56">
        <v>0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0</v>
      </c>
      <c r="M56">
        <v>1</v>
      </c>
    </row>
    <row r="57" spans="1:13" x14ac:dyDescent="0.3">
      <c r="A57">
        <v>10.075927109475632</v>
      </c>
      <c r="B57">
        <v>2.996232148595642</v>
      </c>
      <c r="C57">
        <v>58</v>
      </c>
      <c r="D57">
        <v>5.5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1</v>
      </c>
      <c r="L57">
        <v>0</v>
      </c>
      <c r="M57">
        <v>0</v>
      </c>
    </row>
    <row r="58" spans="1:13" x14ac:dyDescent="0.3">
      <c r="A58">
        <v>10.07192145404481</v>
      </c>
      <c r="B58">
        <v>-4.6051701859880909</v>
      </c>
      <c r="C58">
        <v>9</v>
      </c>
      <c r="D58">
        <v>1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 x14ac:dyDescent="0.3">
      <c r="A59">
        <v>10.067814845957804</v>
      </c>
      <c r="B59">
        <v>4.5539821492186583</v>
      </c>
      <c r="C59">
        <v>20</v>
      </c>
      <c r="D59">
        <v>2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0</v>
      </c>
      <c r="M59">
        <v>1</v>
      </c>
    </row>
    <row r="60" spans="1:13" x14ac:dyDescent="0.3">
      <c r="A60">
        <v>10.061003990411111</v>
      </c>
      <c r="B60">
        <v>5.273050839300149</v>
      </c>
      <c r="C60">
        <v>251</v>
      </c>
      <c r="D60">
        <v>45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</v>
      </c>
    </row>
    <row r="61" spans="1:13" x14ac:dyDescent="0.3">
      <c r="A61">
        <v>10.043206015705211</v>
      </c>
      <c r="B61">
        <v>5.2983673652980787</v>
      </c>
      <c r="C61">
        <v>18</v>
      </c>
      <c r="D61">
        <v>1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</v>
      </c>
    </row>
    <row r="62" spans="1:13" x14ac:dyDescent="0.3">
      <c r="A62">
        <v>10.026722366870757</v>
      </c>
      <c r="B62">
        <v>4.5539821492186583</v>
      </c>
      <c r="C62">
        <v>73</v>
      </c>
      <c r="D62">
        <v>8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0</v>
      </c>
      <c r="M62">
        <v>1</v>
      </c>
    </row>
    <row r="63" spans="1:13" x14ac:dyDescent="0.3">
      <c r="A63">
        <v>10.014805288668081</v>
      </c>
      <c r="B63">
        <v>4.3176214379815452</v>
      </c>
      <c r="C63">
        <v>26</v>
      </c>
      <c r="D63">
        <v>1.5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1</v>
      </c>
      <c r="L63">
        <v>0</v>
      </c>
      <c r="M63">
        <v>0</v>
      </c>
    </row>
    <row r="64" spans="1:13" x14ac:dyDescent="0.3">
      <c r="A64">
        <v>10.008432982057622</v>
      </c>
      <c r="B64">
        <v>4.6052701809884251</v>
      </c>
      <c r="C64">
        <v>16</v>
      </c>
      <c r="D64">
        <v>1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0</v>
      </c>
      <c r="M64">
        <v>1</v>
      </c>
    </row>
    <row r="65" spans="1:13" x14ac:dyDescent="0.3">
      <c r="A65">
        <v>9.9987068191170625</v>
      </c>
      <c r="B65">
        <v>4.941713848629834</v>
      </c>
      <c r="C65">
        <v>119</v>
      </c>
      <c r="D65">
        <v>12</v>
      </c>
      <c r="E65">
        <v>0</v>
      </c>
      <c r="F65">
        <v>0</v>
      </c>
      <c r="G65">
        <v>0</v>
      </c>
      <c r="H65">
        <v>0</v>
      </c>
      <c r="I65">
        <v>1</v>
      </c>
      <c r="J65">
        <v>0</v>
      </c>
      <c r="K65">
        <v>0</v>
      </c>
      <c r="L65">
        <v>0</v>
      </c>
      <c r="M65">
        <v>1</v>
      </c>
    </row>
    <row r="66" spans="1:13" x14ac:dyDescent="0.3">
      <c r="A66">
        <v>9.9864490732504745</v>
      </c>
      <c r="B66">
        <v>5.2983673652980787</v>
      </c>
      <c r="C66">
        <v>35</v>
      </c>
      <c r="D66">
        <v>2.5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</v>
      </c>
    </row>
    <row r="67" spans="1:13" x14ac:dyDescent="0.3">
      <c r="A67">
        <v>9.9845604985626064</v>
      </c>
      <c r="B67">
        <v>-4.6051701859880909</v>
      </c>
      <c r="C67">
        <v>13</v>
      </c>
      <c r="D67">
        <v>1</v>
      </c>
      <c r="E67">
        <v>0</v>
      </c>
      <c r="F67">
        <v>0</v>
      </c>
      <c r="G67">
        <v>0</v>
      </c>
      <c r="H67">
        <v>0</v>
      </c>
      <c r="I67">
        <v>1</v>
      </c>
      <c r="J67">
        <v>0</v>
      </c>
      <c r="K67">
        <v>1</v>
      </c>
      <c r="L67">
        <v>0</v>
      </c>
      <c r="M67">
        <v>0</v>
      </c>
    </row>
    <row r="68" spans="1:13" x14ac:dyDescent="0.3">
      <c r="A68">
        <v>9.9842377022212379</v>
      </c>
      <c r="B68">
        <v>-4.6051701859880909</v>
      </c>
      <c r="C68">
        <v>8</v>
      </c>
      <c r="D68">
        <v>0.73333333000000001</v>
      </c>
      <c r="E68">
        <v>0</v>
      </c>
      <c r="F68">
        <v>0</v>
      </c>
      <c r="G68">
        <v>0</v>
      </c>
      <c r="H68">
        <v>0</v>
      </c>
      <c r="I68">
        <v>1</v>
      </c>
      <c r="J68">
        <v>0</v>
      </c>
      <c r="K68">
        <v>1</v>
      </c>
      <c r="L68">
        <v>0</v>
      </c>
      <c r="M68">
        <v>0</v>
      </c>
    </row>
    <row r="69" spans="1:13" x14ac:dyDescent="0.3">
      <c r="A69">
        <v>9.9828992919602904</v>
      </c>
      <c r="B69">
        <v>4.3176214379815452</v>
      </c>
      <c r="C69">
        <v>35</v>
      </c>
      <c r="D69">
        <v>7</v>
      </c>
      <c r="E69">
        <v>0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1</v>
      </c>
    </row>
    <row r="70" spans="1:13" x14ac:dyDescent="0.3">
      <c r="A70">
        <v>9.9638768525489123</v>
      </c>
      <c r="B70">
        <v>-4.6051701859880909</v>
      </c>
      <c r="C70">
        <v>9</v>
      </c>
      <c r="D70">
        <v>1</v>
      </c>
      <c r="E70">
        <v>0</v>
      </c>
      <c r="F70">
        <v>0</v>
      </c>
      <c r="G70">
        <v>0</v>
      </c>
      <c r="H70">
        <v>0</v>
      </c>
      <c r="I70">
        <v>1</v>
      </c>
      <c r="J70">
        <v>0</v>
      </c>
      <c r="K70">
        <v>0</v>
      </c>
      <c r="L70">
        <v>0</v>
      </c>
      <c r="M70">
        <v>1</v>
      </c>
    </row>
    <row r="71" spans="1:13" x14ac:dyDescent="0.3">
      <c r="A71">
        <v>9.9592533304419852</v>
      </c>
      <c r="B71">
        <v>-4.6051701859880909</v>
      </c>
      <c r="C71">
        <v>16</v>
      </c>
      <c r="D71">
        <v>1.5</v>
      </c>
      <c r="E71">
        <v>0</v>
      </c>
      <c r="F71">
        <v>0</v>
      </c>
      <c r="G71">
        <v>0</v>
      </c>
      <c r="H71">
        <v>1</v>
      </c>
      <c r="I71">
        <v>0</v>
      </c>
      <c r="J71">
        <v>0</v>
      </c>
      <c r="K71">
        <v>1</v>
      </c>
      <c r="L71">
        <v>0</v>
      </c>
      <c r="M71">
        <v>0</v>
      </c>
    </row>
    <row r="72" spans="1:13" x14ac:dyDescent="0.3">
      <c r="A72">
        <v>9.9564120158440144</v>
      </c>
      <c r="B72">
        <v>-4.6051701859880909</v>
      </c>
      <c r="C72">
        <v>24</v>
      </c>
      <c r="D72">
        <v>3.5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</row>
    <row r="73" spans="1:13" x14ac:dyDescent="0.3">
      <c r="A73">
        <v>9.9470258545506116</v>
      </c>
      <c r="B73">
        <v>-4.6051701859880909</v>
      </c>
      <c r="C73">
        <v>21</v>
      </c>
      <c r="D73">
        <v>3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1</v>
      </c>
      <c r="L73">
        <v>0</v>
      </c>
      <c r="M73">
        <v>0</v>
      </c>
    </row>
    <row r="74" spans="1:13" x14ac:dyDescent="0.3">
      <c r="A74">
        <v>9.9355674459995402</v>
      </c>
      <c r="B74">
        <v>5.2470767023544402</v>
      </c>
      <c r="C74">
        <v>138</v>
      </c>
      <c r="D74">
        <v>7.5</v>
      </c>
      <c r="E74">
        <v>0</v>
      </c>
      <c r="F74">
        <v>0</v>
      </c>
      <c r="G74">
        <v>0</v>
      </c>
      <c r="H74">
        <v>0</v>
      </c>
      <c r="I74">
        <v>1</v>
      </c>
      <c r="J74">
        <v>0</v>
      </c>
      <c r="K74">
        <v>1</v>
      </c>
      <c r="L74">
        <v>0</v>
      </c>
      <c r="M74">
        <v>0</v>
      </c>
    </row>
    <row r="75" spans="1:13" x14ac:dyDescent="0.3">
      <c r="A75">
        <v>9.9071309074509273</v>
      </c>
      <c r="B75">
        <v>-4.6051701859880909</v>
      </c>
      <c r="C75">
        <v>28</v>
      </c>
      <c r="D75">
        <v>1.5</v>
      </c>
      <c r="E75">
        <v>0</v>
      </c>
      <c r="F75">
        <v>0</v>
      </c>
      <c r="G75">
        <v>0</v>
      </c>
      <c r="H75">
        <v>0</v>
      </c>
      <c r="I75">
        <v>1</v>
      </c>
      <c r="J75">
        <v>0</v>
      </c>
      <c r="K75">
        <v>0</v>
      </c>
      <c r="L75">
        <v>1</v>
      </c>
      <c r="M75">
        <v>0</v>
      </c>
    </row>
    <row r="76" spans="1:13" x14ac:dyDescent="0.3">
      <c r="A76">
        <v>9.898927169779796</v>
      </c>
      <c r="B76">
        <v>-4.6051701859880909</v>
      </c>
      <c r="C76">
        <v>17</v>
      </c>
      <c r="D76">
        <v>3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</row>
    <row r="77" spans="1:13" x14ac:dyDescent="0.3">
      <c r="A77">
        <v>9.8631862557626029</v>
      </c>
      <c r="B77">
        <v>3.4015306594522756</v>
      </c>
      <c r="C77">
        <v>44</v>
      </c>
      <c r="D77">
        <v>3</v>
      </c>
      <c r="E77">
        <v>0</v>
      </c>
      <c r="F77">
        <v>0</v>
      </c>
      <c r="G77">
        <v>0</v>
      </c>
      <c r="H77">
        <v>0</v>
      </c>
      <c r="I77">
        <v>1</v>
      </c>
      <c r="J77">
        <v>0</v>
      </c>
      <c r="K77">
        <v>0</v>
      </c>
      <c r="L77">
        <v>0</v>
      </c>
      <c r="M77">
        <v>1</v>
      </c>
    </row>
    <row r="78" spans="1:13" x14ac:dyDescent="0.3">
      <c r="A78">
        <v>9.842569137566711</v>
      </c>
      <c r="B78">
        <v>3.9122229854308124</v>
      </c>
      <c r="C78">
        <v>80</v>
      </c>
      <c r="D78">
        <v>11</v>
      </c>
      <c r="E78">
        <v>0</v>
      </c>
      <c r="F78">
        <v>0</v>
      </c>
      <c r="G78">
        <v>1</v>
      </c>
      <c r="H78">
        <v>0</v>
      </c>
      <c r="I78">
        <v>0</v>
      </c>
      <c r="J78">
        <v>0</v>
      </c>
      <c r="K78">
        <v>1</v>
      </c>
      <c r="L78">
        <v>0</v>
      </c>
      <c r="M78">
        <v>0</v>
      </c>
    </row>
    <row r="79" spans="1:13" x14ac:dyDescent="0.3">
      <c r="A79">
        <v>9.8403879955928115</v>
      </c>
      <c r="B79">
        <v>2.996232148595642</v>
      </c>
      <c r="C79">
        <v>21</v>
      </c>
      <c r="D79">
        <v>1.5</v>
      </c>
      <c r="E79">
        <v>0</v>
      </c>
      <c r="F79">
        <v>0</v>
      </c>
      <c r="G79">
        <v>0</v>
      </c>
      <c r="H79">
        <v>1</v>
      </c>
      <c r="I79">
        <v>0</v>
      </c>
      <c r="J79">
        <v>0</v>
      </c>
      <c r="K79">
        <v>1</v>
      </c>
      <c r="L79">
        <v>0</v>
      </c>
      <c r="M79">
        <v>0</v>
      </c>
    </row>
    <row r="80" spans="1:13" x14ac:dyDescent="0.3">
      <c r="A80">
        <v>9.8253097714721047</v>
      </c>
      <c r="B80">
        <v>-4.6051701859880909</v>
      </c>
      <c r="C80">
        <v>30</v>
      </c>
      <c r="D80">
        <v>2</v>
      </c>
      <c r="E80">
        <v>0</v>
      </c>
      <c r="F80">
        <v>0</v>
      </c>
      <c r="G80">
        <v>1</v>
      </c>
      <c r="H80">
        <v>0</v>
      </c>
      <c r="I80">
        <v>0</v>
      </c>
      <c r="J80">
        <v>0</v>
      </c>
      <c r="K80">
        <v>0</v>
      </c>
      <c r="L80">
        <v>0</v>
      </c>
      <c r="M80">
        <v>1</v>
      </c>
    </row>
    <row r="81" spans="1:13" x14ac:dyDescent="0.3">
      <c r="A81">
        <v>9.8159669550066333</v>
      </c>
      <c r="B81">
        <v>4.6052701809884251</v>
      </c>
      <c r="C81">
        <v>16</v>
      </c>
      <c r="D81">
        <v>1</v>
      </c>
      <c r="E81">
        <v>0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1</v>
      </c>
    </row>
    <row r="82" spans="1:13" x14ac:dyDescent="0.3">
      <c r="A82">
        <v>9.8075271613902171</v>
      </c>
      <c r="B82">
        <v>5.2983673652980787</v>
      </c>
      <c r="C82">
        <v>779</v>
      </c>
      <c r="D82">
        <v>44.5</v>
      </c>
      <c r="E82">
        <v>0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1</v>
      </c>
    </row>
    <row r="83" spans="1:13" x14ac:dyDescent="0.3">
      <c r="A83">
        <v>9.8060400903701623</v>
      </c>
      <c r="B83">
        <v>2.996232148595642</v>
      </c>
      <c r="C83">
        <v>15</v>
      </c>
      <c r="D83">
        <v>2</v>
      </c>
      <c r="E83">
        <v>0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1</v>
      </c>
    </row>
    <row r="84" spans="1:13" x14ac:dyDescent="0.3">
      <c r="A84">
        <v>9.8037224643465528</v>
      </c>
      <c r="B84">
        <v>5.0107019585407988</v>
      </c>
      <c r="C84">
        <v>68</v>
      </c>
      <c r="D84">
        <v>5.5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1</v>
      </c>
    </row>
    <row r="85" spans="1:13" x14ac:dyDescent="0.3">
      <c r="A85">
        <v>9.7922766232001255</v>
      </c>
      <c r="B85">
        <v>5.273050839300149</v>
      </c>
      <c r="C85">
        <v>30</v>
      </c>
      <c r="D85">
        <v>4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1</v>
      </c>
      <c r="L85">
        <v>0</v>
      </c>
      <c r="M85">
        <v>0</v>
      </c>
    </row>
    <row r="86" spans="1:13" x14ac:dyDescent="0.3">
      <c r="A86">
        <v>9.787066089518877</v>
      </c>
      <c r="B86">
        <v>4.3176214379815452</v>
      </c>
      <c r="C86">
        <v>113</v>
      </c>
      <c r="D86">
        <v>10</v>
      </c>
      <c r="E86">
        <v>0</v>
      </c>
      <c r="F86">
        <v>0</v>
      </c>
      <c r="G86">
        <v>1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</row>
    <row r="87" spans="1:13" x14ac:dyDescent="0.3">
      <c r="A87">
        <v>9.7860544556440328</v>
      </c>
      <c r="B87">
        <v>5.273050839300149</v>
      </c>
      <c r="C87">
        <v>61</v>
      </c>
      <c r="D87">
        <v>12.5</v>
      </c>
      <c r="E87">
        <v>0</v>
      </c>
      <c r="F87">
        <v>0</v>
      </c>
      <c r="G87">
        <v>0</v>
      </c>
      <c r="H87">
        <v>0</v>
      </c>
      <c r="I87">
        <v>0</v>
      </c>
      <c r="J87">
        <v>1</v>
      </c>
      <c r="K87">
        <v>1</v>
      </c>
      <c r="L87">
        <v>0</v>
      </c>
      <c r="M87">
        <v>0</v>
      </c>
    </row>
    <row r="88" spans="1:13" x14ac:dyDescent="0.3">
      <c r="A88">
        <v>9.784647708654596</v>
      </c>
      <c r="B88">
        <v>4.7875750726433504</v>
      </c>
      <c r="C88">
        <v>37</v>
      </c>
      <c r="D88">
        <v>3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0</v>
      </c>
      <c r="L88">
        <v>0</v>
      </c>
      <c r="M88">
        <v>1</v>
      </c>
    </row>
    <row r="89" spans="1:13" x14ac:dyDescent="0.3">
      <c r="A89">
        <v>9.7821105663695285</v>
      </c>
      <c r="B89">
        <v>4.2486380889891064</v>
      </c>
      <c r="C89">
        <v>23</v>
      </c>
      <c r="D89">
        <v>3.5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0</v>
      </c>
      <c r="M89">
        <v>1</v>
      </c>
    </row>
    <row r="90" spans="1:13" x14ac:dyDescent="0.3">
      <c r="A90">
        <v>9.7796801568080554</v>
      </c>
      <c r="B90">
        <v>5.2470767023544402</v>
      </c>
      <c r="C90">
        <v>329</v>
      </c>
      <c r="D90">
        <v>18</v>
      </c>
      <c r="E90">
        <v>0</v>
      </c>
      <c r="F90">
        <v>0</v>
      </c>
      <c r="G90">
        <v>0</v>
      </c>
      <c r="H90">
        <v>0</v>
      </c>
      <c r="I90">
        <v>1</v>
      </c>
      <c r="J90">
        <v>0</v>
      </c>
      <c r="K90">
        <v>0</v>
      </c>
      <c r="L90">
        <v>1</v>
      </c>
      <c r="M90">
        <v>0</v>
      </c>
    </row>
    <row r="91" spans="1:13" x14ac:dyDescent="0.3">
      <c r="A91">
        <v>9.7730371231520632</v>
      </c>
      <c r="B91">
        <v>2.996232148595642</v>
      </c>
      <c r="C91">
        <v>16</v>
      </c>
      <c r="D91">
        <v>1.5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1</v>
      </c>
    </row>
    <row r="92" spans="1:13" x14ac:dyDescent="0.3">
      <c r="A92">
        <v>9.7678396359398452</v>
      </c>
      <c r="B92">
        <v>-4.6051701859880909</v>
      </c>
      <c r="C92">
        <v>30</v>
      </c>
      <c r="D92">
        <v>1.5</v>
      </c>
      <c r="E92">
        <v>0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0</v>
      </c>
      <c r="M92">
        <v>1</v>
      </c>
    </row>
    <row r="93" spans="1:13" x14ac:dyDescent="0.3">
      <c r="A93">
        <v>9.7604251696942903</v>
      </c>
      <c r="B93">
        <v>4.6052701809884251</v>
      </c>
      <c r="C93">
        <v>96</v>
      </c>
      <c r="D93">
        <v>17</v>
      </c>
      <c r="E93">
        <v>0</v>
      </c>
      <c r="F93">
        <v>0</v>
      </c>
      <c r="G93">
        <v>0</v>
      </c>
      <c r="H93">
        <v>1</v>
      </c>
      <c r="I93">
        <v>0</v>
      </c>
      <c r="J93">
        <v>0</v>
      </c>
      <c r="K93">
        <v>0</v>
      </c>
      <c r="L93">
        <v>0</v>
      </c>
      <c r="M93">
        <v>1</v>
      </c>
    </row>
    <row r="94" spans="1:13" x14ac:dyDescent="0.3">
      <c r="A94">
        <v>9.7582883550439234</v>
      </c>
      <c r="B94">
        <v>5.0107019585407988</v>
      </c>
      <c r="C94">
        <v>111</v>
      </c>
      <c r="D94">
        <v>8.5</v>
      </c>
      <c r="E94">
        <v>0</v>
      </c>
      <c r="F94">
        <v>0</v>
      </c>
      <c r="G94">
        <v>0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 x14ac:dyDescent="0.3">
      <c r="A95">
        <v>9.7475936875774511</v>
      </c>
      <c r="B95">
        <v>3.9122229854308124</v>
      </c>
      <c r="C95">
        <v>93</v>
      </c>
      <c r="D95">
        <v>9.5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  <c r="K95">
        <v>1</v>
      </c>
      <c r="L95">
        <v>0</v>
      </c>
      <c r="M95">
        <v>0</v>
      </c>
    </row>
    <row r="96" spans="1:13" x14ac:dyDescent="0.3">
      <c r="A96">
        <v>9.7451363963807527</v>
      </c>
      <c r="B96">
        <v>5.2983673652980787</v>
      </c>
      <c r="C96">
        <v>15</v>
      </c>
      <c r="D96">
        <v>1.5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1</v>
      </c>
      <c r="M96">
        <v>0</v>
      </c>
    </row>
    <row r="97" spans="1:13" x14ac:dyDescent="0.3">
      <c r="A97">
        <v>9.7366061802300514</v>
      </c>
      <c r="B97">
        <v>3.9122229854308124</v>
      </c>
      <c r="C97">
        <v>33</v>
      </c>
      <c r="D97">
        <v>4.5</v>
      </c>
      <c r="E97">
        <v>0</v>
      </c>
      <c r="F97">
        <v>0</v>
      </c>
      <c r="G97">
        <v>0</v>
      </c>
      <c r="H97">
        <v>0</v>
      </c>
      <c r="I97">
        <v>1</v>
      </c>
      <c r="J97">
        <v>0</v>
      </c>
      <c r="K97">
        <v>1</v>
      </c>
      <c r="L97">
        <v>0</v>
      </c>
      <c r="M97">
        <v>0</v>
      </c>
    </row>
    <row r="98" spans="1:13" x14ac:dyDescent="0.3">
      <c r="A98">
        <v>9.7308588677130725</v>
      </c>
      <c r="B98">
        <v>4.0945112150014218</v>
      </c>
      <c r="C98">
        <v>77</v>
      </c>
      <c r="D98">
        <v>5</v>
      </c>
      <c r="E98">
        <v>0</v>
      </c>
      <c r="F98">
        <v>0</v>
      </c>
      <c r="G98">
        <v>0</v>
      </c>
      <c r="H98">
        <v>0</v>
      </c>
      <c r="I98">
        <v>0</v>
      </c>
      <c r="J98">
        <v>1</v>
      </c>
      <c r="K98">
        <v>0</v>
      </c>
      <c r="L98">
        <v>0</v>
      </c>
      <c r="M98">
        <v>1</v>
      </c>
    </row>
    <row r="99" spans="1:13" x14ac:dyDescent="0.3">
      <c r="A99">
        <v>9.7250185650576633</v>
      </c>
      <c r="B99">
        <v>4.3176214379815452</v>
      </c>
      <c r="C99">
        <v>10</v>
      </c>
      <c r="D99">
        <v>1</v>
      </c>
      <c r="E99">
        <v>0</v>
      </c>
      <c r="F99">
        <v>0</v>
      </c>
      <c r="G99">
        <v>0</v>
      </c>
      <c r="H99">
        <v>1</v>
      </c>
      <c r="I99">
        <v>0</v>
      </c>
      <c r="J99">
        <v>0</v>
      </c>
      <c r="K99">
        <v>0</v>
      </c>
      <c r="L99">
        <v>0</v>
      </c>
      <c r="M99">
        <v>1</v>
      </c>
    </row>
    <row r="100" spans="1:13" x14ac:dyDescent="0.3">
      <c r="A100">
        <v>9.71655538318449</v>
      </c>
      <c r="B100">
        <v>4.3176214379815452</v>
      </c>
      <c r="C100">
        <v>27</v>
      </c>
      <c r="D100">
        <v>2.5</v>
      </c>
      <c r="E100">
        <v>0</v>
      </c>
      <c r="F100">
        <v>0</v>
      </c>
      <c r="G100">
        <v>0</v>
      </c>
      <c r="H100">
        <v>1</v>
      </c>
      <c r="I100">
        <v>0</v>
      </c>
      <c r="J100">
        <v>0</v>
      </c>
      <c r="K100">
        <v>0</v>
      </c>
      <c r="L100">
        <v>0</v>
      </c>
      <c r="M100">
        <v>1</v>
      </c>
    </row>
    <row r="101" spans="1:13" x14ac:dyDescent="0.3">
      <c r="A101">
        <v>9.7127506861408257</v>
      </c>
      <c r="B101">
        <v>-4.6051701859880909</v>
      </c>
      <c r="C101">
        <v>17</v>
      </c>
      <c r="D101">
        <v>2</v>
      </c>
      <c r="E101">
        <v>0</v>
      </c>
      <c r="F101">
        <v>0</v>
      </c>
      <c r="G101">
        <v>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</row>
    <row r="102" spans="1:13" x14ac:dyDescent="0.3">
      <c r="A102">
        <v>9.7102668148731723</v>
      </c>
      <c r="B102">
        <v>2.996232148595642</v>
      </c>
      <c r="C102">
        <v>34</v>
      </c>
      <c r="D102">
        <v>6.5</v>
      </c>
      <c r="E102">
        <v>0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1</v>
      </c>
      <c r="L102">
        <v>0</v>
      </c>
      <c r="M102">
        <v>0</v>
      </c>
    </row>
    <row r="103" spans="1:13" x14ac:dyDescent="0.3">
      <c r="A103">
        <v>9.7055852437751504</v>
      </c>
      <c r="B103">
        <v>4.6052701809884251</v>
      </c>
      <c r="C103">
        <v>74</v>
      </c>
      <c r="D103">
        <v>4</v>
      </c>
      <c r="E103">
        <v>0</v>
      </c>
      <c r="F103">
        <v>0</v>
      </c>
      <c r="G103">
        <v>0</v>
      </c>
      <c r="H103">
        <v>0</v>
      </c>
      <c r="I103">
        <v>1</v>
      </c>
      <c r="J103">
        <v>0</v>
      </c>
      <c r="K103">
        <v>0</v>
      </c>
      <c r="L103">
        <v>1</v>
      </c>
      <c r="M103">
        <v>0</v>
      </c>
    </row>
    <row r="104" spans="1:13" x14ac:dyDescent="0.3">
      <c r="A104">
        <v>9.6978154821339224</v>
      </c>
      <c r="B104">
        <v>5.273050839300149</v>
      </c>
      <c r="C104">
        <v>159</v>
      </c>
      <c r="D104">
        <v>18.5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0</v>
      </c>
      <c r="M104">
        <v>0</v>
      </c>
    </row>
    <row r="105" spans="1:13" x14ac:dyDescent="0.3">
      <c r="A105">
        <v>9.693506987748199</v>
      </c>
      <c r="B105">
        <v>5.2983673652980787</v>
      </c>
      <c r="C105">
        <v>20</v>
      </c>
      <c r="D105">
        <v>1</v>
      </c>
      <c r="E105">
        <v>0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1</v>
      </c>
      <c r="L105">
        <v>0</v>
      </c>
      <c r="M105">
        <v>0</v>
      </c>
    </row>
    <row r="106" spans="1:13" x14ac:dyDescent="0.3">
      <c r="A106">
        <v>9.6901705620396541</v>
      </c>
      <c r="B106">
        <v>5.2983673652980787</v>
      </c>
      <c r="C106">
        <v>125</v>
      </c>
      <c r="D106">
        <v>19.5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0</v>
      </c>
      <c r="L106">
        <v>0</v>
      </c>
      <c r="M106">
        <v>1</v>
      </c>
    </row>
    <row r="107" spans="1:13" x14ac:dyDescent="0.3">
      <c r="A107">
        <v>9.6629434865417512</v>
      </c>
      <c r="B107">
        <v>3.6891294228691436</v>
      </c>
      <c r="C107">
        <v>29</v>
      </c>
      <c r="D107">
        <v>1.5</v>
      </c>
      <c r="E107">
        <v>0</v>
      </c>
      <c r="F107">
        <v>0</v>
      </c>
      <c r="G107">
        <v>0</v>
      </c>
      <c r="H107">
        <v>0</v>
      </c>
      <c r="I107">
        <v>1</v>
      </c>
      <c r="J107">
        <v>0</v>
      </c>
      <c r="K107">
        <v>1</v>
      </c>
      <c r="L107">
        <v>0</v>
      </c>
      <c r="M107">
        <v>0</v>
      </c>
    </row>
    <row r="108" spans="1:13" x14ac:dyDescent="0.3">
      <c r="A108">
        <v>9.6623709492316685</v>
      </c>
      <c r="B108">
        <v>-4.6051701859880909</v>
      </c>
      <c r="C108">
        <v>28</v>
      </c>
      <c r="D108">
        <v>3.5</v>
      </c>
      <c r="E108">
        <v>0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</row>
    <row r="109" spans="1:13" x14ac:dyDescent="0.3">
      <c r="A109">
        <v>9.6481435879962927</v>
      </c>
      <c r="B109">
        <v>-4.6051701859880909</v>
      </c>
      <c r="C109">
        <v>25</v>
      </c>
      <c r="D109">
        <v>2</v>
      </c>
      <c r="E109">
        <v>0</v>
      </c>
      <c r="F109">
        <v>0</v>
      </c>
      <c r="G109">
        <v>1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</v>
      </c>
    </row>
    <row r="110" spans="1:13" x14ac:dyDescent="0.3">
      <c r="A110">
        <v>9.6461406798804195</v>
      </c>
      <c r="B110">
        <v>-4.6051701859880909</v>
      </c>
      <c r="C110">
        <v>60</v>
      </c>
      <c r="D110">
        <v>4.5</v>
      </c>
      <c r="E110">
        <v>0</v>
      </c>
      <c r="F110">
        <v>0</v>
      </c>
      <c r="G110">
        <v>0</v>
      </c>
      <c r="H110">
        <v>1</v>
      </c>
      <c r="I110">
        <v>0</v>
      </c>
      <c r="J110">
        <v>0</v>
      </c>
      <c r="K110">
        <v>1</v>
      </c>
      <c r="L110">
        <v>0</v>
      </c>
      <c r="M110">
        <v>0</v>
      </c>
    </row>
    <row r="111" spans="1:13" x14ac:dyDescent="0.3">
      <c r="A111">
        <v>9.6340382483454068</v>
      </c>
      <c r="B111">
        <v>5.2983673652980787</v>
      </c>
      <c r="C111">
        <v>19</v>
      </c>
      <c r="D111">
        <v>1.5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</v>
      </c>
      <c r="K111">
        <v>0</v>
      </c>
      <c r="L111">
        <v>0</v>
      </c>
      <c r="M111">
        <v>1</v>
      </c>
    </row>
    <row r="112" spans="1:13" x14ac:dyDescent="0.3">
      <c r="A112">
        <v>9.6281950777302701</v>
      </c>
      <c r="B112">
        <v>3.5556337349665741</v>
      </c>
      <c r="C112">
        <v>64</v>
      </c>
      <c r="D112">
        <v>10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 spans="1:13" x14ac:dyDescent="0.3">
      <c r="A113">
        <v>9.6246991472544661</v>
      </c>
      <c r="B113">
        <v>-4.6051701859880909</v>
      </c>
      <c r="C113">
        <v>12</v>
      </c>
      <c r="D113">
        <v>2.5</v>
      </c>
      <c r="E113">
        <v>0</v>
      </c>
      <c r="F113">
        <v>0</v>
      </c>
      <c r="G113">
        <v>1</v>
      </c>
      <c r="H113">
        <v>0</v>
      </c>
      <c r="I113">
        <v>0</v>
      </c>
      <c r="J113">
        <v>0</v>
      </c>
      <c r="K113">
        <v>1</v>
      </c>
      <c r="L113">
        <v>0</v>
      </c>
      <c r="M113">
        <v>0</v>
      </c>
    </row>
    <row r="114" spans="1:13" x14ac:dyDescent="0.3">
      <c r="A114">
        <v>9.6228472948733934</v>
      </c>
      <c r="B114">
        <v>4.3176214379815452</v>
      </c>
      <c r="C114">
        <v>16</v>
      </c>
      <c r="D114">
        <v>1.5</v>
      </c>
      <c r="E114">
        <v>0</v>
      </c>
      <c r="F114">
        <v>0</v>
      </c>
      <c r="G114">
        <v>0</v>
      </c>
      <c r="H114">
        <v>1</v>
      </c>
      <c r="I114">
        <v>0</v>
      </c>
      <c r="J114">
        <v>0</v>
      </c>
      <c r="K114">
        <v>1</v>
      </c>
      <c r="L114">
        <v>0</v>
      </c>
      <c r="M114">
        <v>0</v>
      </c>
    </row>
    <row r="115" spans="1:13" x14ac:dyDescent="0.3">
      <c r="A115">
        <v>9.6219200810842018</v>
      </c>
      <c r="B115">
        <v>-4.6051701859880909</v>
      </c>
      <c r="C115">
        <v>65</v>
      </c>
      <c r="D115">
        <v>5.5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1</v>
      </c>
    </row>
    <row r="116" spans="1:13" x14ac:dyDescent="0.3">
      <c r="A116">
        <v>9.6200630703369878</v>
      </c>
      <c r="B116">
        <v>4.9053488497691546</v>
      </c>
      <c r="C116">
        <v>15</v>
      </c>
      <c r="D116">
        <v>1.5</v>
      </c>
      <c r="E116">
        <v>0</v>
      </c>
      <c r="F116">
        <v>0</v>
      </c>
      <c r="G116">
        <v>1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 spans="1:13" x14ac:dyDescent="0.3">
      <c r="A117">
        <v>9.6052162785300794</v>
      </c>
      <c r="B117">
        <v>5.2983673652980787</v>
      </c>
      <c r="C117">
        <v>17</v>
      </c>
      <c r="D117">
        <v>1</v>
      </c>
      <c r="E117">
        <v>0</v>
      </c>
      <c r="F117">
        <v>0</v>
      </c>
      <c r="G117">
        <v>0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1</v>
      </c>
    </row>
    <row r="118" spans="1:13" x14ac:dyDescent="0.3">
      <c r="A118">
        <v>9.6032604525820524</v>
      </c>
      <c r="B118">
        <v>4.0945112150014218</v>
      </c>
      <c r="C118">
        <v>74</v>
      </c>
      <c r="D118">
        <v>13.5</v>
      </c>
      <c r="E118">
        <v>0</v>
      </c>
      <c r="F118">
        <v>0</v>
      </c>
      <c r="G118">
        <v>0</v>
      </c>
      <c r="H118">
        <v>1</v>
      </c>
      <c r="I118">
        <v>0</v>
      </c>
      <c r="J118">
        <v>0</v>
      </c>
      <c r="K118">
        <v>1</v>
      </c>
      <c r="L118">
        <v>0</v>
      </c>
      <c r="M118">
        <v>0</v>
      </c>
    </row>
    <row r="119" spans="1:13" x14ac:dyDescent="0.3">
      <c r="A119">
        <v>9.5891876821800555</v>
      </c>
      <c r="B119">
        <v>5.0107019585407988</v>
      </c>
      <c r="C119">
        <v>21</v>
      </c>
      <c r="D119">
        <v>3</v>
      </c>
      <c r="E119">
        <v>0</v>
      </c>
      <c r="F119">
        <v>0</v>
      </c>
      <c r="G119">
        <v>1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</row>
    <row r="120" spans="1:13" x14ac:dyDescent="0.3">
      <c r="A120">
        <v>9.5854149987602781</v>
      </c>
      <c r="B120">
        <v>2.996232148595642</v>
      </c>
      <c r="C120">
        <v>14</v>
      </c>
      <c r="D120">
        <v>1.5</v>
      </c>
      <c r="E120">
        <v>0</v>
      </c>
      <c r="F120">
        <v>1</v>
      </c>
      <c r="G120">
        <v>0</v>
      </c>
      <c r="H120">
        <v>0</v>
      </c>
      <c r="I120">
        <v>0</v>
      </c>
      <c r="J120">
        <v>0</v>
      </c>
      <c r="K120">
        <v>1</v>
      </c>
      <c r="L120">
        <v>0</v>
      </c>
      <c r="M120">
        <v>0</v>
      </c>
    </row>
    <row r="121" spans="1:13" x14ac:dyDescent="0.3">
      <c r="A121">
        <v>9.5652136939682872</v>
      </c>
      <c r="B121">
        <v>4.6052701809884251</v>
      </c>
      <c r="C121">
        <v>43</v>
      </c>
      <c r="D121">
        <v>3</v>
      </c>
      <c r="E121">
        <v>0</v>
      </c>
      <c r="F121">
        <v>0</v>
      </c>
      <c r="G121">
        <v>0</v>
      </c>
      <c r="H121">
        <v>1</v>
      </c>
      <c r="I121">
        <v>0</v>
      </c>
      <c r="J121">
        <v>0</v>
      </c>
      <c r="K121">
        <v>1</v>
      </c>
      <c r="L121">
        <v>0</v>
      </c>
      <c r="M121">
        <v>0</v>
      </c>
    </row>
    <row r="122" spans="1:13" x14ac:dyDescent="0.3">
      <c r="A122">
        <v>9.5647928480618152</v>
      </c>
      <c r="B122">
        <v>4.3176214379815452</v>
      </c>
      <c r="C122">
        <v>20</v>
      </c>
      <c r="D122">
        <v>1.5</v>
      </c>
      <c r="E122">
        <v>0</v>
      </c>
      <c r="F122">
        <v>0</v>
      </c>
      <c r="G122">
        <v>0</v>
      </c>
      <c r="H122">
        <v>1</v>
      </c>
      <c r="I122">
        <v>0</v>
      </c>
      <c r="J122">
        <v>0</v>
      </c>
      <c r="K122">
        <v>0</v>
      </c>
      <c r="L122">
        <v>0</v>
      </c>
      <c r="M122">
        <v>1</v>
      </c>
    </row>
    <row r="123" spans="1:13" x14ac:dyDescent="0.3">
      <c r="A123">
        <v>9.5552058579554178</v>
      </c>
      <c r="B123">
        <v>4.7875750726433504</v>
      </c>
      <c r="C123">
        <v>27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1</v>
      </c>
    </row>
    <row r="124" spans="1:13" x14ac:dyDescent="0.3">
      <c r="A124">
        <v>9.55414281969224</v>
      </c>
      <c r="B124">
        <v>5.2470767023544402</v>
      </c>
      <c r="C124">
        <v>197</v>
      </c>
      <c r="D124">
        <v>21.5</v>
      </c>
      <c r="E124">
        <v>0</v>
      </c>
      <c r="F124">
        <v>0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0</v>
      </c>
      <c r="M124">
        <v>1</v>
      </c>
    </row>
    <row r="125" spans="1:13" x14ac:dyDescent="0.3">
      <c r="A125">
        <v>9.5520844025264946</v>
      </c>
      <c r="B125">
        <v>3.6891294228691436</v>
      </c>
      <c r="C125">
        <v>46</v>
      </c>
      <c r="D125">
        <v>12</v>
      </c>
      <c r="E125">
        <v>0</v>
      </c>
      <c r="F125">
        <v>1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</row>
    <row r="126" spans="1:13" x14ac:dyDescent="0.3">
      <c r="A126">
        <v>9.5486680290968557</v>
      </c>
      <c r="B126">
        <v>-4.6051701859880909</v>
      </c>
      <c r="C126">
        <v>25</v>
      </c>
      <c r="D126">
        <v>1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1</v>
      </c>
    </row>
    <row r="127" spans="1:13" x14ac:dyDescent="0.3">
      <c r="A127">
        <v>9.5439513763163628</v>
      </c>
      <c r="B127">
        <v>2.996232148595642</v>
      </c>
      <c r="C127">
        <v>19</v>
      </c>
      <c r="D127">
        <v>2.5</v>
      </c>
      <c r="E127">
        <v>0</v>
      </c>
      <c r="F127">
        <v>0</v>
      </c>
      <c r="G127">
        <v>1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</v>
      </c>
    </row>
    <row r="128" spans="1:13" x14ac:dyDescent="0.3">
      <c r="A128">
        <v>9.5410819338884103</v>
      </c>
      <c r="B128">
        <v>4.3176214379815452</v>
      </c>
      <c r="C128">
        <v>28</v>
      </c>
      <c r="D128">
        <v>2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1</v>
      </c>
    </row>
    <row r="129" spans="1:13" x14ac:dyDescent="0.3">
      <c r="A129">
        <v>9.5383483158995297</v>
      </c>
      <c r="B129">
        <v>5.0107019585407988</v>
      </c>
      <c r="C129">
        <v>47</v>
      </c>
      <c r="D129">
        <v>3</v>
      </c>
      <c r="E129">
        <v>0</v>
      </c>
      <c r="F129">
        <v>0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0</v>
      </c>
      <c r="M129">
        <v>0</v>
      </c>
    </row>
    <row r="130" spans="1:13" x14ac:dyDescent="0.3">
      <c r="A130">
        <v>9.5257348829944988</v>
      </c>
      <c r="B130">
        <v>4.3821516268620329</v>
      </c>
      <c r="C130">
        <v>62</v>
      </c>
      <c r="D130">
        <v>9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1</v>
      </c>
    </row>
    <row r="131" spans="1:13" x14ac:dyDescent="0.3">
      <c r="A131">
        <v>9.5130342020484022</v>
      </c>
      <c r="B131">
        <v>-4.6051701859880909</v>
      </c>
      <c r="C131">
        <v>18</v>
      </c>
      <c r="D131">
        <v>1.5</v>
      </c>
      <c r="E131">
        <v>0</v>
      </c>
      <c r="F131">
        <v>0</v>
      </c>
      <c r="G131">
        <v>0</v>
      </c>
      <c r="H131">
        <v>0</v>
      </c>
      <c r="I131">
        <v>1</v>
      </c>
      <c r="J131">
        <v>0</v>
      </c>
      <c r="K131">
        <v>1</v>
      </c>
      <c r="L131">
        <v>0</v>
      </c>
      <c r="M131">
        <v>0</v>
      </c>
    </row>
    <row r="132" spans="1:13" x14ac:dyDescent="0.3">
      <c r="A132">
        <v>9.5072546957415422</v>
      </c>
      <c r="B132">
        <v>4.3821516268620329</v>
      </c>
      <c r="C132">
        <v>69</v>
      </c>
      <c r="D132">
        <v>4.5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1</v>
      </c>
    </row>
    <row r="133" spans="1:13" x14ac:dyDescent="0.3">
      <c r="A133">
        <v>9.5059162065470648</v>
      </c>
      <c r="B133">
        <v>5.0107019585407988</v>
      </c>
      <c r="C133">
        <v>89</v>
      </c>
      <c r="D133">
        <v>20.5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0</v>
      </c>
      <c r="K133">
        <v>1</v>
      </c>
      <c r="L133">
        <v>0</v>
      </c>
      <c r="M133">
        <v>0</v>
      </c>
    </row>
    <row r="134" spans="1:13" x14ac:dyDescent="0.3">
      <c r="A134">
        <v>9.5034576469179033</v>
      </c>
      <c r="B134">
        <v>4.6052701809884251</v>
      </c>
      <c r="C134">
        <v>44</v>
      </c>
      <c r="D134">
        <v>1.5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0</v>
      </c>
      <c r="K134">
        <v>0</v>
      </c>
      <c r="L134">
        <v>0</v>
      </c>
      <c r="M134">
        <v>1</v>
      </c>
    </row>
    <row r="135" spans="1:13" x14ac:dyDescent="0.3">
      <c r="A135">
        <v>9.4911488754847912</v>
      </c>
      <c r="B135">
        <v>-4.6051701859880909</v>
      </c>
      <c r="C135">
        <v>24</v>
      </c>
      <c r="D135">
        <v>1</v>
      </c>
      <c r="E135">
        <v>0</v>
      </c>
      <c r="F135">
        <v>0</v>
      </c>
      <c r="G135">
        <v>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</v>
      </c>
    </row>
    <row r="136" spans="1:13" x14ac:dyDescent="0.3">
      <c r="A136">
        <v>9.4887293975163711</v>
      </c>
      <c r="B136">
        <v>-4.6051701859880909</v>
      </c>
      <c r="C136">
        <v>8</v>
      </c>
      <c r="D136">
        <v>0.55000000000000004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0</v>
      </c>
      <c r="K136">
        <v>1</v>
      </c>
      <c r="L136">
        <v>0</v>
      </c>
      <c r="M136">
        <v>0</v>
      </c>
    </row>
    <row r="137" spans="1:13" x14ac:dyDescent="0.3">
      <c r="A137">
        <v>9.4826549672968419</v>
      </c>
      <c r="B137">
        <v>-4.6051701859880909</v>
      </c>
      <c r="C137">
        <v>88</v>
      </c>
      <c r="D137">
        <v>6.5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</row>
    <row r="138" spans="1:13" x14ac:dyDescent="0.3">
      <c r="A138">
        <v>9.473934648898874</v>
      </c>
      <c r="B138">
        <v>-4.6051701859880909</v>
      </c>
      <c r="C138">
        <v>15</v>
      </c>
      <c r="D138">
        <v>1.5</v>
      </c>
      <c r="E138">
        <v>0</v>
      </c>
      <c r="F138">
        <v>0</v>
      </c>
      <c r="G138">
        <v>0</v>
      </c>
      <c r="H138">
        <v>0</v>
      </c>
      <c r="I138">
        <v>1</v>
      </c>
      <c r="J138">
        <v>0</v>
      </c>
      <c r="K138">
        <v>0</v>
      </c>
      <c r="L138">
        <v>1</v>
      </c>
      <c r="M138">
        <v>0</v>
      </c>
    </row>
    <row r="139" spans="1:13" x14ac:dyDescent="0.3">
      <c r="A139">
        <v>9.4734735715065508</v>
      </c>
      <c r="B139">
        <v>4.3821516268620329</v>
      </c>
      <c r="C139">
        <v>68</v>
      </c>
      <c r="D139">
        <v>6.5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1</v>
      </c>
    </row>
    <row r="140" spans="1:13" x14ac:dyDescent="0.3">
      <c r="A140">
        <v>9.4707026337730014</v>
      </c>
      <c r="B140">
        <v>-4.6051701859880909</v>
      </c>
      <c r="C140">
        <v>13</v>
      </c>
      <c r="D140">
        <v>1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1</v>
      </c>
      <c r="L140">
        <v>0</v>
      </c>
      <c r="M140">
        <v>0</v>
      </c>
    </row>
    <row r="141" spans="1:13" x14ac:dyDescent="0.3">
      <c r="A141">
        <v>9.4690827005302562</v>
      </c>
      <c r="B141">
        <v>4.1745411042163774</v>
      </c>
      <c r="C141">
        <v>22</v>
      </c>
      <c r="D141">
        <v>1.5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1</v>
      </c>
    </row>
    <row r="142" spans="1:13" x14ac:dyDescent="0.3">
      <c r="A142">
        <v>9.4690054953574716</v>
      </c>
      <c r="B142">
        <v>-4.6051701859880909</v>
      </c>
      <c r="C142">
        <v>22</v>
      </c>
      <c r="D142">
        <v>1</v>
      </c>
      <c r="E142">
        <v>0</v>
      </c>
      <c r="F142">
        <v>0</v>
      </c>
      <c r="G142">
        <v>0</v>
      </c>
      <c r="H142">
        <v>1</v>
      </c>
      <c r="I142">
        <v>0</v>
      </c>
      <c r="J142">
        <v>0</v>
      </c>
      <c r="K142">
        <v>0</v>
      </c>
      <c r="L142">
        <v>0</v>
      </c>
      <c r="M142">
        <v>1</v>
      </c>
    </row>
    <row r="143" spans="1:13" x14ac:dyDescent="0.3">
      <c r="A143">
        <v>9.4644398074108373</v>
      </c>
      <c r="B143">
        <v>4.3176214379815452</v>
      </c>
      <c r="C143">
        <v>95</v>
      </c>
      <c r="D143">
        <v>8.5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0</v>
      </c>
      <c r="K143">
        <v>1</v>
      </c>
      <c r="L143">
        <v>0</v>
      </c>
      <c r="M143">
        <v>0</v>
      </c>
    </row>
    <row r="144" spans="1:13" x14ac:dyDescent="0.3">
      <c r="A144">
        <v>9.4635862671068356</v>
      </c>
      <c r="B144">
        <v>4.3176214379815452</v>
      </c>
      <c r="C144">
        <v>20</v>
      </c>
      <c r="D144">
        <v>1.5</v>
      </c>
      <c r="E144">
        <v>0</v>
      </c>
      <c r="F144">
        <v>0</v>
      </c>
      <c r="G144">
        <v>0</v>
      </c>
      <c r="H144">
        <v>1</v>
      </c>
      <c r="I144">
        <v>0</v>
      </c>
      <c r="J144">
        <v>0</v>
      </c>
      <c r="K144">
        <v>0</v>
      </c>
      <c r="L144">
        <v>0</v>
      </c>
      <c r="M144">
        <v>1</v>
      </c>
    </row>
    <row r="145" spans="1:13" x14ac:dyDescent="0.3">
      <c r="A145">
        <v>9.4628873736596351</v>
      </c>
      <c r="B145">
        <v>5.2983673652980787</v>
      </c>
      <c r="C145">
        <v>38</v>
      </c>
      <c r="D145">
        <v>2.5</v>
      </c>
      <c r="E145">
        <v>0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 x14ac:dyDescent="0.3">
      <c r="A146">
        <v>9.4601648018717235</v>
      </c>
      <c r="B146">
        <v>5.0107019585407988</v>
      </c>
      <c r="C146">
        <v>22</v>
      </c>
      <c r="D146">
        <v>1.5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1</v>
      </c>
      <c r="M146">
        <v>0</v>
      </c>
    </row>
    <row r="147" spans="1:13" x14ac:dyDescent="0.3">
      <c r="A147">
        <v>9.4583716387981713</v>
      </c>
      <c r="B147">
        <v>5.1648431151480656</v>
      </c>
      <c r="C147">
        <v>53</v>
      </c>
      <c r="D147">
        <v>8.5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1</v>
      </c>
      <c r="K147">
        <v>0</v>
      </c>
      <c r="L147">
        <v>0</v>
      </c>
      <c r="M147">
        <v>1</v>
      </c>
    </row>
    <row r="148" spans="1:13" x14ac:dyDescent="0.3">
      <c r="A148">
        <v>9.4557149721317142</v>
      </c>
      <c r="B148">
        <v>2.996232148595642</v>
      </c>
      <c r="C148">
        <v>22</v>
      </c>
      <c r="D148">
        <v>2.5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0</v>
      </c>
      <c r="L148">
        <v>1</v>
      </c>
      <c r="M148">
        <v>0</v>
      </c>
    </row>
    <row r="149" spans="1:13" x14ac:dyDescent="0.3">
      <c r="A149">
        <v>9.4437510356461694</v>
      </c>
      <c r="B149">
        <v>4.3176214379815452</v>
      </c>
      <c r="C149">
        <v>36</v>
      </c>
      <c r="D149">
        <v>1.5</v>
      </c>
      <c r="E149">
        <v>0</v>
      </c>
      <c r="F149">
        <v>0</v>
      </c>
      <c r="G149">
        <v>0</v>
      </c>
      <c r="H149">
        <v>1</v>
      </c>
      <c r="I149">
        <v>0</v>
      </c>
      <c r="J149">
        <v>0</v>
      </c>
      <c r="K149">
        <v>1</v>
      </c>
      <c r="L149">
        <v>0</v>
      </c>
      <c r="M149">
        <v>0</v>
      </c>
    </row>
    <row r="150" spans="1:13" x14ac:dyDescent="0.3">
      <c r="A150">
        <v>9.4385112650044185</v>
      </c>
      <c r="B150">
        <v>-4.6051701859880909</v>
      </c>
      <c r="C150">
        <v>11</v>
      </c>
      <c r="D150">
        <v>0.56666667000000004</v>
      </c>
      <c r="E150">
        <v>0</v>
      </c>
      <c r="F150">
        <v>0</v>
      </c>
      <c r="G150">
        <v>1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</row>
    <row r="151" spans="1:13" x14ac:dyDescent="0.3">
      <c r="A151">
        <v>9.430118265814091</v>
      </c>
      <c r="B151">
        <v>2.996232148595642</v>
      </c>
      <c r="C151">
        <v>82</v>
      </c>
      <c r="D151">
        <v>4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 x14ac:dyDescent="0.3">
      <c r="A152">
        <v>9.4228677708272031</v>
      </c>
      <c r="B152">
        <v>5.273050839300149</v>
      </c>
      <c r="C152">
        <v>26</v>
      </c>
      <c r="D152">
        <v>3.5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0</v>
      </c>
      <c r="L152">
        <v>1</v>
      </c>
      <c r="M152">
        <v>0</v>
      </c>
    </row>
    <row r="153" spans="1:13" x14ac:dyDescent="0.3">
      <c r="A153">
        <v>9.4227060501185136</v>
      </c>
      <c r="B153">
        <v>4.7875750726433504</v>
      </c>
      <c r="C153">
        <v>120</v>
      </c>
      <c r="D153">
        <v>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</v>
      </c>
      <c r="K153">
        <v>1</v>
      </c>
      <c r="L153">
        <v>0</v>
      </c>
      <c r="M153">
        <v>0</v>
      </c>
    </row>
    <row r="154" spans="1:13" x14ac:dyDescent="0.3">
      <c r="A154">
        <v>9.4202770958031099</v>
      </c>
      <c r="B154">
        <v>-4.6051701859880909</v>
      </c>
      <c r="C154">
        <v>26</v>
      </c>
      <c r="D154">
        <v>3.5</v>
      </c>
      <c r="E154">
        <v>0</v>
      </c>
      <c r="F154">
        <v>0</v>
      </c>
      <c r="G154">
        <v>0</v>
      </c>
      <c r="H154">
        <v>0</v>
      </c>
      <c r="I154">
        <v>1</v>
      </c>
      <c r="J154">
        <v>0</v>
      </c>
      <c r="K154">
        <v>1</v>
      </c>
      <c r="L154">
        <v>0</v>
      </c>
      <c r="M154">
        <v>0</v>
      </c>
    </row>
    <row r="155" spans="1:13" x14ac:dyDescent="0.3">
      <c r="A155">
        <v>9.4196283769999525</v>
      </c>
      <c r="B155">
        <v>3.9122229854308124</v>
      </c>
      <c r="C155">
        <v>32</v>
      </c>
      <c r="D155">
        <v>2</v>
      </c>
      <c r="E155">
        <v>0</v>
      </c>
      <c r="F155">
        <v>0</v>
      </c>
      <c r="G155">
        <v>1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1</v>
      </c>
    </row>
    <row r="156" spans="1:13" x14ac:dyDescent="0.3">
      <c r="A156">
        <v>9.4167852736673403</v>
      </c>
      <c r="B156">
        <v>-4.6051701859880909</v>
      </c>
      <c r="C156">
        <v>18</v>
      </c>
      <c r="D156">
        <v>3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0</v>
      </c>
      <c r="K156">
        <v>1</v>
      </c>
      <c r="L156">
        <v>0</v>
      </c>
      <c r="M156">
        <v>0</v>
      </c>
    </row>
    <row r="157" spans="1:13" x14ac:dyDescent="0.3">
      <c r="A157">
        <v>9.4092731945753343</v>
      </c>
      <c r="B157">
        <v>-4.6051701859880909</v>
      </c>
      <c r="C157">
        <v>24</v>
      </c>
      <c r="D157">
        <v>5.5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1</v>
      </c>
    </row>
    <row r="158" spans="1:13" x14ac:dyDescent="0.3">
      <c r="A158">
        <v>9.4013738693721596</v>
      </c>
      <c r="B158">
        <v>3.5556337349665741</v>
      </c>
      <c r="C158">
        <v>54</v>
      </c>
      <c r="D158">
        <v>7.5</v>
      </c>
      <c r="E158">
        <v>0</v>
      </c>
      <c r="F158">
        <v>1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 x14ac:dyDescent="0.3">
      <c r="A159">
        <v>9.3983126002789525</v>
      </c>
      <c r="B159">
        <v>5.273050839300149</v>
      </c>
      <c r="C159">
        <v>12</v>
      </c>
      <c r="D159">
        <v>1.5</v>
      </c>
      <c r="E159">
        <v>0</v>
      </c>
      <c r="F159">
        <v>0</v>
      </c>
      <c r="G159">
        <v>0</v>
      </c>
      <c r="H159">
        <v>0</v>
      </c>
      <c r="I159">
        <v>1</v>
      </c>
      <c r="J159">
        <v>0</v>
      </c>
      <c r="K159">
        <v>0</v>
      </c>
      <c r="L159">
        <v>1</v>
      </c>
      <c r="M159">
        <v>0</v>
      </c>
    </row>
    <row r="160" spans="1:13" x14ac:dyDescent="0.3">
      <c r="A160">
        <v>9.3944103993042543</v>
      </c>
      <c r="B160">
        <v>5.273050839300149</v>
      </c>
      <c r="C160">
        <v>41</v>
      </c>
      <c r="D160">
        <v>4</v>
      </c>
      <c r="E160">
        <v>0</v>
      </c>
      <c r="F160">
        <v>0</v>
      </c>
      <c r="G160">
        <v>0</v>
      </c>
      <c r="H160">
        <v>0</v>
      </c>
      <c r="I160">
        <v>1</v>
      </c>
      <c r="J160">
        <v>0</v>
      </c>
      <c r="K160">
        <v>0</v>
      </c>
      <c r="L160">
        <v>0</v>
      </c>
      <c r="M160">
        <v>1</v>
      </c>
    </row>
    <row r="161" spans="1:13" x14ac:dyDescent="0.3">
      <c r="A161">
        <v>9.3836211841179882</v>
      </c>
      <c r="B161">
        <v>4.6052701809884251</v>
      </c>
      <c r="C161">
        <v>28</v>
      </c>
      <c r="D161">
        <v>2.5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</v>
      </c>
      <c r="M161">
        <v>0</v>
      </c>
    </row>
    <row r="162" spans="1:13" x14ac:dyDescent="0.3">
      <c r="A162">
        <v>9.3798299499547593</v>
      </c>
      <c r="B162">
        <v>3.9122229854308124</v>
      </c>
      <c r="C162">
        <v>57</v>
      </c>
      <c r="D162">
        <v>7.5</v>
      </c>
      <c r="E162">
        <v>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</row>
    <row r="163" spans="1:13" x14ac:dyDescent="0.3">
      <c r="A163">
        <v>9.3785630043906352</v>
      </c>
      <c r="B163">
        <v>5.2983673652980787</v>
      </c>
      <c r="C163">
        <v>191</v>
      </c>
      <c r="D163">
        <v>31.5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1</v>
      </c>
      <c r="L163">
        <v>0</v>
      </c>
      <c r="M163">
        <v>0</v>
      </c>
    </row>
    <row r="164" spans="1:13" x14ac:dyDescent="0.3">
      <c r="A164">
        <v>9.3768712428638139</v>
      </c>
      <c r="B164">
        <v>-4.6051701859880909</v>
      </c>
      <c r="C164">
        <v>19</v>
      </c>
      <c r="D164">
        <v>2</v>
      </c>
      <c r="E164">
        <v>0</v>
      </c>
      <c r="F164">
        <v>0</v>
      </c>
      <c r="G164">
        <v>0</v>
      </c>
      <c r="H164">
        <v>1</v>
      </c>
      <c r="I164">
        <v>0</v>
      </c>
      <c r="J164">
        <v>0</v>
      </c>
      <c r="K164">
        <v>0</v>
      </c>
      <c r="L164">
        <v>0</v>
      </c>
      <c r="M164">
        <v>1</v>
      </c>
    </row>
    <row r="165" spans="1:13" x14ac:dyDescent="0.3">
      <c r="A165">
        <v>9.3722891389622003</v>
      </c>
      <c r="B165">
        <v>-4.6051701859880909</v>
      </c>
      <c r="C165">
        <v>8</v>
      </c>
      <c r="D165">
        <v>1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1</v>
      </c>
      <c r="L165">
        <v>0</v>
      </c>
      <c r="M165">
        <v>0</v>
      </c>
    </row>
    <row r="166" spans="1:13" x14ac:dyDescent="0.3">
      <c r="A166">
        <v>9.3644339073135825</v>
      </c>
      <c r="B166">
        <v>-4.6051701859880909</v>
      </c>
      <c r="C166">
        <v>20</v>
      </c>
      <c r="D166">
        <v>4</v>
      </c>
      <c r="E166">
        <v>0</v>
      </c>
      <c r="F166">
        <v>0</v>
      </c>
      <c r="G166">
        <v>0</v>
      </c>
      <c r="H166">
        <v>0</v>
      </c>
      <c r="I166">
        <v>1</v>
      </c>
      <c r="J166">
        <v>0</v>
      </c>
      <c r="K166">
        <v>0</v>
      </c>
      <c r="L166">
        <v>0</v>
      </c>
      <c r="M166">
        <v>1</v>
      </c>
    </row>
    <row r="167" spans="1:13" x14ac:dyDescent="0.3">
      <c r="A167">
        <v>9.3624604200370154</v>
      </c>
      <c r="B167">
        <v>4.6052701809884251</v>
      </c>
      <c r="C167">
        <v>21</v>
      </c>
      <c r="D167">
        <v>1</v>
      </c>
      <c r="E167">
        <v>0</v>
      </c>
      <c r="F167">
        <v>1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1</v>
      </c>
    </row>
    <row r="168" spans="1:13" x14ac:dyDescent="0.3">
      <c r="A168">
        <v>9.3565164821337845</v>
      </c>
      <c r="B168">
        <v>5.2983673652980787</v>
      </c>
      <c r="C168">
        <v>15</v>
      </c>
      <c r="D168">
        <v>1</v>
      </c>
      <c r="E168">
        <v>0</v>
      </c>
      <c r="F168">
        <v>0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 x14ac:dyDescent="0.3">
      <c r="A169">
        <v>9.3532278595247309</v>
      </c>
      <c r="B169">
        <v>2.996232148595642</v>
      </c>
      <c r="C169">
        <v>60</v>
      </c>
      <c r="D169">
        <v>6.5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1</v>
      </c>
    </row>
    <row r="170" spans="1:13" x14ac:dyDescent="0.3">
      <c r="A170">
        <v>9.3529677702259395</v>
      </c>
      <c r="B170">
        <v>-4.6051701859880909</v>
      </c>
      <c r="C170">
        <v>18</v>
      </c>
      <c r="D170">
        <v>2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1</v>
      </c>
      <c r="L170">
        <v>0</v>
      </c>
      <c r="M170">
        <v>0</v>
      </c>
    </row>
    <row r="171" spans="1:13" x14ac:dyDescent="0.3">
      <c r="A171">
        <v>9.3494064200991804</v>
      </c>
      <c r="B171">
        <v>5.2983673652980787</v>
      </c>
      <c r="C171">
        <v>118</v>
      </c>
      <c r="D171">
        <v>24.5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1</v>
      </c>
    </row>
    <row r="172" spans="1:13" x14ac:dyDescent="0.3">
      <c r="A172">
        <v>9.3399641397696875</v>
      </c>
      <c r="B172">
        <v>3.9122229854308124</v>
      </c>
      <c r="C172">
        <v>80</v>
      </c>
      <c r="D172">
        <v>5.5</v>
      </c>
      <c r="E172">
        <v>0</v>
      </c>
      <c r="F172">
        <v>0</v>
      </c>
      <c r="G172">
        <v>0</v>
      </c>
      <c r="H172">
        <v>0</v>
      </c>
      <c r="I172">
        <v>1</v>
      </c>
      <c r="J172">
        <v>0</v>
      </c>
      <c r="K172">
        <v>1</v>
      </c>
      <c r="L172">
        <v>0</v>
      </c>
      <c r="M172">
        <v>0</v>
      </c>
    </row>
    <row r="173" spans="1:13" x14ac:dyDescent="0.3">
      <c r="A173">
        <v>9.3360033899718395</v>
      </c>
      <c r="B173">
        <v>4.007514986887367</v>
      </c>
      <c r="C173">
        <v>26</v>
      </c>
      <c r="D173">
        <v>3.5</v>
      </c>
      <c r="E173">
        <v>0</v>
      </c>
      <c r="F173">
        <v>0</v>
      </c>
      <c r="G173">
        <v>0</v>
      </c>
      <c r="H173">
        <v>1</v>
      </c>
      <c r="I173">
        <v>0</v>
      </c>
      <c r="J173">
        <v>0</v>
      </c>
      <c r="K173">
        <v>0</v>
      </c>
      <c r="L173">
        <v>0</v>
      </c>
      <c r="M173">
        <v>1</v>
      </c>
    </row>
    <row r="174" spans="1:13" x14ac:dyDescent="0.3">
      <c r="A174">
        <v>9.3312296892516358</v>
      </c>
      <c r="B174">
        <v>5.273050839300149</v>
      </c>
      <c r="C174">
        <v>77</v>
      </c>
      <c r="D174">
        <v>5.5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1</v>
      </c>
      <c r="M174">
        <v>0</v>
      </c>
    </row>
    <row r="175" spans="1:13" x14ac:dyDescent="0.3">
      <c r="A175">
        <v>9.3312296892516358</v>
      </c>
      <c r="B175">
        <v>5.273050839300149</v>
      </c>
      <c r="C175">
        <v>77</v>
      </c>
      <c r="D175">
        <v>5.5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</v>
      </c>
      <c r="K175">
        <v>0</v>
      </c>
      <c r="L175">
        <v>1</v>
      </c>
      <c r="M175">
        <v>0</v>
      </c>
    </row>
    <row r="176" spans="1:13" x14ac:dyDescent="0.3">
      <c r="A176">
        <v>9.3291895058145631</v>
      </c>
      <c r="B176">
        <v>3.9122229854308124</v>
      </c>
      <c r="C176">
        <v>18</v>
      </c>
      <c r="D176">
        <v>2</v>
      </c>
      <c r="E176">
        <v>0</v>
      </c>
      <c r="F176">
        <v>0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0</v>
      </c>
      <c r="M176">
        <v>0</v>
      </c>
    </row>
    <row r="177" spans="1:13" x14ac:dyDescent="0.3">
      <c r="A177">
        <v>9.3209868920632459</v>
      </c>
      <c r="B177">
        <v>4.5539821492186583</v>
      </c>
      <c r="C177">
        <v>19</v>
      </c>
      <c r="D177">
        <v>2.5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0</v>
      </c>
      <c r="K177">
        <v>1</v>
      </c>
      <c r="L177">
        <v>0</v>
      </c>
      <c r="M177">
        <v>0</v>
      </c>
    </row>
    <row r="178" spans="1:13" x14ac:dyDescent="0.3">
      <c r="A178">
        <v>9.3209868920632459</v>
      </c>
      <c r="B178">
        <v>4.5539821492186583</v>
      </c>
      <c r="C178">
        <v>19</v>
      </c>
      <c r="D178">
        <v>2.5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0</v>
      </c>
      <c r="M178">
        <v>0</v>
      </c>
    </row>
    <row r="179" spans="1:13" x14ac:dyDescent="0.3">
      <c r="A179">
        <v>9.3207182794457921</v>
      </c>
      <c r="B179">
        <v>2.996232148595642</v>
      </c>
      <c r="C179">
        <v>13</v>
      </c>
      <c r="D179">
        <v>2</v>
      </c>
      <c r="E179">
        <v>0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1</v>
      </c>
      <c r="L179">
        <v>0</v>
      </c>
      <c r="M179">
        <v>0</v>
      </c>
    </row>
    <row r="180" spans="1:13" x14ac:dyDescent="0.3">
      <c r="A180">
        <v>9.3207182794457921</v>
      </c>
      <c r="B180">
        <v>2.996232148595642</v>
      </c>
      <c r="C180">
        <v>13</v>
      </c>
      <c r="D180">
        <v>2</v>
      </c>
      <c r="E180">
        <v>0</v>
      </c>
      <c r="F180">
        <v>0</v>
      </c>
      <c r="G180">
        <v>1</v>
      </c>
      <c r="H180">
        <v>0</v>
      </c>
      <c r="I180">
        <v>0</v>
      </c>
      <c r="J180">
        <v>0</v>
      </c>
      <c r="K180">
        <v>1</v>
      </c>
      <c r="L180">
        <v>0</v>
      </c>
      <c r="M180">
        <v>0</v>
      </c>
    </row>
    <row r="181" spans="1:13" x14ac:dyDescent="0.3">
      <c r="A181">
        <v>9.3128969603012752</v>
      </c>
      <c r="B181">
        <v>-4.6051701859880909</v>
      </c>
      <c r="C181">
        <v>7</v>
      </c>
      <c r="D181">
        <v>1</v>
      </c>
      <c r="E181">
        <v>0</v>
      </c>
      <c r="F181">
        <v>0</v>
      </c>
      <c r="G181">
        <v>1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1</v>
      </c>
    </row>
    <row r="182" spans="1:13" x14ac:dyDescent="0.3">
      <c r="A182">
        <v>9.3080113991496294</v>
      </c>
      <c r="B182">
        <v>-4.6051701859880909</v>
      </c>
      <c r="C182">
        <v>13</v>
      </c>
      <c r="D182">
        <v>1</v>
      </c>
      <c r="E182">
        <v>0</v>
      </c>
      <c r="F182">
        <v>0</v>
      </c>
      <c r="G182">
        <v>1</v>
      </c>
      <c r="H182">
        <v>0</v>
      </c>
      <c r="I182">
        <v>0</v>
      </c>
      <c r="J182">
        <v>0</v>
      </c>
      <c r="K182">
        <v>1</v>
      </c>
      <c r="L182">
        <v>0</v>
      </c>
      <c r="M182">
        <v>0</v>
      </c>
    </row>
    <row r="183" spans="1:13" x14ac:dyDescent="0.3">
      <c r="A183">
        <v>9.3080113991496294</v>
      </c>
      <c r="B183">
        <v>-4.6051701859880909</v>
      </c>
      <c r="C183">
        <v>13</v>
      </c>
      <c r="D183">
        <v>1</v>
      </c>
      <c r="E183">
        <v>0</v>
      </c>
      <c r="F183">
        <v>0</v>
      </c>
      <c r="G183">
        <v>1</v>
      </c>
      <c r="H183">
        <v>0</v>
      </c>
      <c r="I183">
        <v>0</v>
      </c>
      <c r="J183">
        <v>0</v>
      </c>
      <c r="K183">
        <v>1</v>
      </c>
      <c r="L183">
        <v>0</v>
      </c>
      <c r="M183">
        <v>0</v>
      </c>
    </row>
    <row r="184" spans="1:13" x14ac:dyDescent="0.3">
      <c r="A184">
        <v>9.3066500521135911</v>
      </c>
      <c r="B184">
        <v>5.2983673652980787</v>
      </c>
      <c r="C184">
        <v>36</v>
      </c>
      <c r="D184">
        <v>2.5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1</v>
      </c>
    </row>
    <row r="185" spans="1:13" x14ac:dyDescent="0.3">
      <c r="A185">
        <v>9.3006380099569625</v>
      </c>
      <c r="B185">
        <v>5.0107019585407988</v>
      </c>
      <c r="C185">
        <v>129</v>
      </c>
      <c r="D185">
        <v>13.5</v>
      </c>
      <c r="E185">
        <v>0</v>
      </c>
      <c r="F185">
        <v>0</v>
      </c>
      <c r="G185">
        <v>0</v>
      </c>
      <c r="H185">
        <v>0</v>
      </c>
      <c r="I185">
        <v>1</v>
      </c>
      <c r="J185">
        <v>0</v>
      </c>
      <c r="K185">
        <v>0</v>
      </c>
      <c r="L185">
        <v>0</v>
      </c>
      <c r="M185">
        <v>1</v>
      </c>
    </row>
    <row r="186" spans="1:13" x14ac:dyDescent="0.3">
      <c r="A186">
        <v>9.2980764862802694</v>
      </c>
      <c r="B186">
        <v>-4.6051701859880909</v>
      </c>
      <c r="C186">
        <v>25</v>
      </c>
      <c r="D186">
        <v>2</v>
      </c>
      <c r="E186">
        <v>0</v>
      </c>
      <c r="F186">
        <v>0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0</v>
      </c>
      <c r="M186">
        <v>1</v>
      </c>
    </row>
    <row r="187" spans="1:13" x14ac:dyDescent="0.3">
      <c r="A187">
        <v>9.2956002159270064</v>
      </c>
      <c r="B187">
        <v>4.3176214379815452</v>
      </c>
      <c r="C187">
        <v>33</v>
      </c>
      <c r="D187">
        <v>5</v>
      </c>
      <c r="E187">
        <v>0</v>
      </c>
      <c r="F187">
        <v>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</v>
      </c>
    </row>
    <row r="188" spans="1:13" x14ac:dyDescent="0.3">
      <c r="A188">
        <v>9.2941298977058668</v>
      </c>
      <c r="B188">
        <v>5.273050839300149</v>
      </c>
      <c r="C188">
        <v>59</v>
      </c>
      <c r="D188">
        <v>7.5</v>
      </c>
      <c r="E188">
        <v>0</v>
      </c>
      <c r="F188">
        <v>0</v>
      </c>
      <c r="G188">
        <v>0</v>
      </c>
      <c r="H188">
        <v>0</v>
      </c>
      <c r="I188">
        <v>1</v>
      </c>
      <c r="J188">
        <v>0</v>
      </c>
      <c r="K188">
        <v>0</v>
      </c>
      <c r="L188">
        <v>0</v>
      </c>
      <c r="M188">
        <v>1</v>
      </c>
    </row>
    <row r="189" spans="1:13" x14ac:dyDescent="0.3">
      <c r="A189">
        <v>9.2932098497984779</v>
      </c>
      <c r="B189">
        <v>3.9122229854308124</v>
      </c>
      <c r="C189">
        <v>26</v>
      </c>
      <c r="D189">
        <v>2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0</v>
      </c>
      <c r="M189">
        <v>0</v>
      </c>
    </row>
    <row r="190" spans="1:13" x14ac:dyDescent="0.3">
      <c r="A190">
        <v>9.285447844462988</v>
      </c>
      <c r="B190">
        <v>-4.6051701859880909</v>
      </c>
      <c r="C190">
        <v>19</v>
      </c>
      <c r="D190">
        <v>1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0</v>
      </c>
      <c r="K190">
        <v>0</v>
      </c>
      <c r="L190">
        <v>0</v>
      </c>
      <c r="M190">
        <v>1</v>
      </c>
    </row>
    <row r="191" spans="1:13" x14ac:dyDescent="0.3">
      <c r="A191">
        <v>9.2769704542739451</v>
      </c>
      <c r="B191">
        <v>2.996232148595642</v>
      </c>
      <c r="C191">
        <v>17</v>
      </c>
      <c r="D191">
        <v>2</v>
      </c>
      <c r="E191">
        <v>0</v>
      </c>
      <c r="F191">
        <v>0</v>
      </c>
      <c r="G191">
        <v>1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1</v>
      </c>
    </row>
    <row r="192" spans="1:13" x14ac:dyDescent="0.3">
      <c r="A192">
        <v>9.2755661568938894</v>
      </c>
      <c r="B192">
        <v>5.2983673652980787</v>
      </c>
      <c r="C192">
        <v>26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1</v>
      </c>
      <c r="J192">
        <v>0</v>
      </c>
      <c r="K192">
        <v>1</v>
      </c>
      <c r="L192">
        <v>0</v>
      </c>
      <c r="M192">
        <v>0</v>
      </c>
    </row>
    <row r="193" spans="1:13" x14ac:dyDescent="0.3">
      <c r="A193">
        <v>9.2695522316080297</v>
      </c>
      <c r="B193">
        <v>2.996232148595642</v>
      </c>
      <c r="C193">
        <v>10</v>
      </c>
      <c r="D193">
        <v>1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1</v>
      </c>
    </row>
    <row r="194" spans="1:13" x14ac:dyDescent="0.3">
      <c r="A194">
        <v>9.2691751576970756</v>
      </c>
      <c r="B194">
        <v>4.0945112150014218</v>
      </c>
      <c r="C194">
        <v>88</v>
      </c>
      <c r="D194">
        <v>23</v>
      </c>
      <c r="E194">
        <v>0</v>
      </c>
      <c r="F194">
        <v>0</v>
      </c>
      <c r="G194">
        <v>1</v>
      </c>
      <c r="H194">
        <v>0</v>
      </c>
      <c r="I194">
        <v>0</v>
      </c>
      <c r="J194">
        <v>0</v>
      </c>
      <c r="K194">
        <v>1</v>
      </c>
      <c r="L194">
        <v>0</v>
      </c>
      <c r="M194">
        <v>0</v>
      </c>
    </row>
    <row r="195" spans="1:13" x14ac:dyDescent="0.3">
      <c r="A195">
        <v>9.2663425620914683</v>
      </c>
      <c r="B195">
        <v>4.9768027055598036</v>
      </c>
      <c r="C195">
        <v>23</v>
      </c>
      <c r="D195">
        <v>2.5</v>
      </c>
      <c r="E195">
        <v>0</v>
      </c>
      <c r="F195">
        <v>0</v>
      </c>
      <c r="G195">
        <v>0</v>
      </c>
      <c r="H195">
        <v>1</v>
      </c>
      <c r="I195">
        <v>0</v>
      </c>
      <c r="J195">
        <v>0</v>
      </c>
      <c r="K195">
        <v>1</v>
      </c>
      <c r="L195">
        <v>0</v>
      </c>
      <c r="M195">
        <v>0</v>
      </c>
    </row>
    <row r="196" spans="1:13" x14ac:dyDescent="0.3">
      <c r="A196">
        <v>9.2608433541492889</v>
      </c>
      <c r="B196">
        <v>5.273050839300149</v>
      </c>
      <c r="C196">
        <v>57</v>
      </c>
      <c r="D196">
        <v>4.5</v>
      </c>
      <c r="E196">
        <v>0</v>
      </c>
      <c r="F196">
        <v>0</v>
      </c>
      <c r="G196">
        <v>0</v>
      </c>
      <c r="H196">
        <v>1</v>
      </c>
      <c r="I196">
        <v>0</v>
      </c>
      <c r="J196">
        <v>0</v>
      </c>
      <c r="K196">
        <v>0</v>
      </c>
      <c r="L196">
        <v>0</v>
      </c>
      <c r="M196">
        <v>1</v>
      </c>
    </row>
    <row r="197" spans="1:13" x14ac:dyDescent="0.3">
      <c r="A197">
        <v>9.2489839955683877</v>
      </c>
      <c r="B197">
        <v>4.4999207752689943</v>
      </c>
      <c r="C197">
        <v>34</v>
      </c>
      <c r="D197">
        <v>3.5</v>
      </c>
      <c r="E197">
        <v>0</v>
      </c>
      <c r="F197">
        <v>0</v>
      </c>
      <c r="G197">
        <v>0</v>
      </c>
      <c r="H197">
        <v>1</v>
      </c>
      <c r="I197">
        <v>0</v>
      </c>
      <c r="J197">
        <v>0</v>
      </c>
      <c r="K197">
        <v>1</v>
      </c>
      <c r="L197">
        <v>0</v>
      </c>
      <c r="M197">
        <v>0</v>
      </c>
    </row>
    <row r="198" spans="1:13" x14ac:dyDescent="0.3">
      <c r="A198">
        <v>9.234740258799718</v>
      </c>
      <c r="B198">
        <v>2.996232148595642</v>
      </c>
      <c r="C198">
        <v>15</v>
      </c>
      <c r="D198">
        <v>1.5</v>
      </c>
      <c r="E198">
        <v>0</v>
      </c>
      <c r="F198">
        <v>0</v>
      </c>
      <c r="G198">
        <v>1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</row>
    <row r="199" spans="1:13" x14ac:dyDescent="0.3">
      <c r="A199">
        <v>9.22808205345234</v>
      </c>
      <c r="B199">
        <v>-4.6051701859880909</v>
      </c>
      <c r="C199">
        <v>21</v>
      </c>
      <c r="D199">
        <v>1.5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1</v>
      </c>
    </row>
    <row r="200" spans="1:13" x14ac:dyDescent="0.3">
      <c r="A200">
        <v>9.22808205345234</v>
      </c>
      <c r="B200">
        <v>4.5539821492186583</v>
      </c>
      <c r="C200">
        <v>17</v>
      </c>
      <c r="D200">
        <v>1.5</v>
      </c>
      <c r="E200">
        <v>0</v>
      </c>
      <c r="F200">
        <v>0</v>
      </c>
      <c r="G200">
        <v>0</v>
      </c>
      <c r="H200">
        <v>1</v>
      </c>
      <c r="I200">
        <v>0</v>
      </c>
      <c r="J200">
        <v>0</v>
      </c>
      <c r="K200">
        <v>1</v>
      </c>
      <c r="L200">
        <v>0</v>
      </c>
      <c r="M200">
        <v>0</v>
      </c>
    </row>
    <row r="201" spans="1:13" x14ac:dyDescent="0.3">
      <c r="A201">
        <v>9.2252289844699327</v>
      </c>
      <c r="B201">
        <v>3.9122229854308124</v>
      </c>
      <c r="C201">
        <v>90</v>
      </c>
      <c r="D201">
        <v>16</v>
      </c>
      <c r="E201">
        <v>0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1</v>
      </c>
      <c r="L201">
        <v>0</v>
      </c>
      <c r="M201">
        <v>0</v>
      </c>
    </row>
    <row r="202" spans="1:13" x14ac:dyDescent="0.3">
      <c r="A202">
        <v>9.2212803120145175</v>
      </c>
      <c r="B202">
        <v>-4.6051701859880909</v>
      </c>
      <c r="C202">
        <v>12</v>
      </c>
      <c r="D202">
        <v>2.5</v>
      </c>
      <c r="E202">
        <v>0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1</v>
      </c>
    </row>
    <row r="203" spans="1:13" x14ac:dyDescent="0.3">
      <c r="A203">
        <v>9.2205876884277327</v>
      </c>
      <c r="B203">
        <v>4.7450190811044903</v>
      </c>
      <c r="C203">
        <v>20</v>
      </c>
      <c r="D203">
        <v>1.5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0</v>
      </c>
      <c r="M203">
        <v>1</v>
      </c>
    </row>
    <row r="204" spans="1:13" x14ac:dyDescent="0.3">
      <c r="A204">
        <v>9.2111400521467477</v>
      </c>
      <c r="B204">
        <v>2.996232148595642</v>
      </c>
      <c r="C204">
        <v>26</v>
      </c>
      <c r="D204">
        <v>2.5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1</v>
      </c>
    </row>
    <row r="205" spans="1:13" x14ac:dyDescent="0.3">
      <c r="A205">
        <v>9.204825191288073</v>
      </c>
      <c r="B205">
        <v>5.2983673652980787</v>
      </c>
      <c r="C205">
        <v>43</v>
      </c>
      <c r="D205">
        <v>2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1</v>
      </c>
      <c r="K205">
        <v>0</v>
      </c>
      <c r="L205">
        <v>1</v>
      </c>
      <c r="M205">
        <v>0</v>
      </c>
    </row>
    <row r="206" spans="1:13" x14ac:dyDescent="0.3">
      <c r="A206">
        <v>9.1983690001949636</v>
      </c>
      <c r="B206">
        <v>3.9122229854308124</v>
      </c>
      <c r="C206">
        <v>136</v>
      </c>
      <c r="D206">
        <v>12</v>
      </c>
      <c r="E206">
        <v>0</v>
      </c>
      <c r="F206">
        <v>1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</row>
    <row r="207" spans="1:13" x14ac:dyDescent="0.3">
      <c r="A207">
        <v>9.1934993547801565</v>
      </c>
      <c r="B207">
        <v>-4.6051701859880909</v>
      </c>
      <c r="C207">
        <v>15</v>
      </c>
      <c r="D207">
        <v>1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 x14ac:dyDescent="0.3">
      <c r="A208">
        <v>9.1933976512458706</v>
      </c>
      <c r="B208">
        <v>4.5539821492186583</v>
      </c>
      <c r="C208">
        <v>59</v>
      </c>
      <c r="D208">
        <v>2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</v>
      </c>
      <c r="K208">
        <v>0</v>
      </c>
      <c r="L208">
        <v>0</v>
      </c>
      <c r="M208">
        <v>1</v>
      </c>
    </row>
    <row r="209" spans="1:13" x14ac:dyDescent="0.3">
      <c r="A209">
        <v>9.1932959373669245</v>
      </c>
      <c r="B209">
        <v>5.273050839300149</v>
      </c>
      <c r="C209">
        <v>74</v>
      </c>
      <c r="D209">
        <v>14.5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1</v>
      </c>
      <c r="K209">
        <v>0</v>
      </c>
      <c r="L209">
        <v>1</v>
      </c>
      <c r="M209">
        <v>0</v>
      </c>
    </row>
    <row r="210" spans="1:13" x14ac:dyDescent="0.3">
      <c r="A210">
        <v>9.188708071849069</v>
      </c>
      <c r="B210">
        <v>-4.6051701859880909</v>
      </c>
      <c r="C210">
        <v>7</v>
      </c>
      <c r="D210">
        <v>0.7</v>
      </c>
      <c r="E210">
        <v>0</v>
      </c>
      <c r="F210">
        <v>0</v>
      </c>
      <c r="G210">
        <v>0</v>
      </c>
      <c r="H210">
        <v>1</v>
      </c>
      <c r="I210">
        <v>0</v>
      </c>
      <c r="J210">
        <v>0</v>
      </c>
      <c r="K210">
        <v>1</v>
      </c>
      <c r="L210">
        <v>0</v>
      </c>
      <c r="M210">
        <v>0</v>
      </c>
    </row>
    <row r="211" spans="1:13" x14ac:dyDescent="0.3">
      <c r="A211">
        <v>9.1873787603388362</v>
      </c>
      <c r="B211">
        <v>5.2983673652980787</v>
      </c>
      <c r="C211">
        <v>65</v>
      </c>
      <c r="D211">
        <v>4.5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0</v>
      </c>
      <c r="K211">
        <v>1</v>
      </c>
      <c r="L211">
        <v>0</v>
      </c>
      <c r="M211">
        <v>0</v>
      </c>
    </row>
    <row r="212" spans="1:13" x14ac:dyDescent="0.3">
      <c r="A212">
        <v>9.1862525764470924</v>
      </c>
      <c r="B212">
        <v>2.996232148595642</v>
      </c>
      <c r="C212">
        <v>112</v>
      </c>
      <c r="D212">
        <v>13.5</v>
      </c>
      <c r="E212">
        <v>0</v>
      </c>
      <c r="F212">
        <v>0</v>
      </c>
      <c r="G212">
        <v>0</v>
      </c>
      <c r="H212">
        <v>0</v>
      </c>
      <c r="I212">
        <v>1</v>
      </c>
      <c r="J212">
        <v>0</v>
      </c>
      <c r="K212">
        <v>0</v>
      </c>
      <c r="L212">
        <v>1</v>
      </c>
      <c r="M212">
        <v>0</v>
      </c>
    </row>
    <row r="213" spans="1:13" x14ac:dyDescent="0.3">
      <c r="A213">
        <v>9.1785400594263855</v>
      </c>
      <c r="B213">
        <v>5.273050839300149</v>
      </c>
      <c r="C213">
        <v>59</v>
      </c>
      <c r="D213">
        <v>5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1</v>
      </c>
      <c r="L213">
        <v>0</v>
      </c>
      <c r="M213">
        <v>0</v>
      </c>
    </row>
    <row r="214" spans="1:13" x14ac:dyDescent="0.3">
      <c r="A214">
        <v>9.1765767418233732</v>
      </c>
      <c r="B214">
        <v>4.6052701809884251</v>
      </c>
      <c r="C214">
        <v>52</v>
      </c>
      <c r="D214">
        <v>4</v>
      </c>
      <c r="E214">
        <v>0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1</v>
      </c>
    </row>
    <row r="215" spans="1:13" x14ac:dyDescent="0.3">
      <c r="A215">
        <v>9.1702472784097377</v>
      </c>
      <c r="B215">
        <v>3.9122229854308124</v>
      </c>
      <c r="C215">
        <v>40</v>
      </c>
      <c r="D215">
        <v>5.5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1</v>
      </c>
    </row>
    <row r="216" spans="1:13" x14ac:dyDescent="0.3">
      <c r="A216">
        <v>9.1647151939499079</v>
      </c>
      <c r="B216">
        <v>2.996232148595642</v>
      </c>
      <c r="C216">
        <v>16</v>
      </c>
      <c r="D216">
        <v>1.5</v>
      </c>
      <c r="E216">
        <v>0</v>
      </c>
      <c r="F216">
        <v>0</v>
      </c>
      <c r="G216">
        <v>0</v>
      </c>
      <c r="H216">
        <v>1</v>
      </c>
      <c r="I216">
        <v>0</v>
      </c>
      <c r="J216">
        <v>0</v>
      </c>
      <c r="K216">
        <v>0</v>
      </c>
      <c r="L216">
        <v>1</v>
      </c>
      <c r="M216">
        <v>0</v>
      </c>
    </row>
    <row r="217" spans="1:13" x14ac:dyDescent="0.3">
      <c r="A217">
        <v>9.1511210123162119</v>
      </c>
      <c r="B217">
        <v>2.996232148595642</v>
      </c>
      <c r="C217">
        <v>14</v>
      </c>
      <c r="D217">
        <v>1.5</v>
      </c>
      <c r="E217">
        <v>0</v>
      </c>
      <c r="F217">
        <v>0</v>
      </c>
      <c r="G217">
        <v>0</v>
      </c>
      <c r="H217">
        <v>0</v>
      </c>
      <c r="I217">
        <v>1</v>
      </c>
      <c r="J217">
        <v>0</v>
      </c>
      <c r="K217">
        <v>0</v>
      </c>
      <c r="L217">
        <v>0</v>
      </c>
      <c r="M217">
        <v>1</v>
      </c>
    </row>
    <row r="218" spans="1:13" x14ac:dyDescent="0.3">
      <c r="A218">
        <v>9.1506965190486671</v>
      </c>
      <c r="B218">
        <v>5.273050839300149</v>
      </c>
      <c r="C218">
        <v>36</v>
      </c>
      <c r="D218">
        <v>3.5</v>
      </c>
      <c r="E218">
        <v>0</v>
      </c>
      <c r="F218">
        <v>0</v>
      </c>
      <c r="G218">
        <v>0</v>
      </c>
      <c r="H218">
        <v>1</v>
      </c>
      <c r="I218">
        <v>0</v>
      </c>
      <c r="J218">
        <v>0</v>
      </c>
      <c r="K218">
        <v>1</v>
      </c>
      <c r="L218">
        <v>0</v>
      </c>
      <c r="M218">
        <v>0</v>
      </c>
    </row>
    <row r="219" spans="1:13" x14ac:dyDescent="0.3">
      <c r="A219">
        <v>9.146761390333312</v>
      </c>
      <c r="B219">
        <v>5.0107019585407988</v>
      </c>
      <c r="C219">
        <v>16</v>
      </c>
      <c r="D219">
        <v>1.5</v>
      </c>
      <c r="E219">
        <v>0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1</v>
      </c>
    </row>
    <row r="220" spans="1:13" x14ac:dyDescent="0.3">
      <c r="A220">
        <v>9.1464416461259503</v>
      </c>
      <c r="B220">
        <v>2.996232148595642</v>
      </c>
      <c r="C220">
        <v>131</v>
      </c>
      <c r="D220">
        <v>11</v>
      </c>
      <c r="E220">
        <v>0</v>
      </c>
      <c r="F220">
        <v>0</v>
      </c>
      <c r="G220">
        <v>1</v>
      </c>
      <c r="H220">
        <v>0</v>
      </c>
      <c r="I220">
        <v>0</v>
      </c>
      <c r="J220">
        <v>0</v>
      </c>
      <c r="K220">
        <v>1</v>
      </c>
      <c r="L220">
        <v>0</v>
      </c>
      <c r="M220">
        <v>0</v>
      </c>
    </row>
    <row r="221" spans="1:13" x14ac:dyDescent="0.3">
      <c r="A221">
        <v>9.1458018508386107</v>
      </c>
      <c r="B221">
        <v>4.5539821492186583</v>
      </c>
      <c r="C221">
        <v>43</v>
      </c>
      <c r="D221">
        <v>7</v>
      </c>
      <c r="E221">
        <v>0</v>
      </c>
      <c r="F221">
        <v>0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0</v>
      </c>
    </row>
    <row r="222" spans="1:13" x14ac:dyDescent="0.3">
      <c r="A222">
        <v>9.1446278286108011</v>
      </c>
      <c r="B222">
        <v>-4.6051701859880909</v>
      </c>
      <c r="C222">
        <v>10</v>
      </c>
      <c r="D222">
        <v>0.53333333000000005</v>
      </c>
      <c r="E222">
        <v>0</v>
      </c>
      <c r="F222">
        <v>0</v>
      </c>
      <c r="G222">
        <v>0</v>
      </c>
      <c r="H222">
        <v>1</v>
      </c>
      <c r="I222">
        <v>0</v>
      </c>
      <c r="J222">
        <v>0</v>
      </c>
      <c r="K222">
        <v>0</v>
      </c>
      <c r="L222">
        <v>0</v>
      </c>
      <c r="M222">
        <v>1</v>
      </c>
    </row>
    <row r="223" spans="1:13" x14ac:dyDescent="0.3">
      <c r="A223">
        <v>9.1440937261572568</v>
      </c>
      <c r="B223">
        <v>5.2983673652980787</v>
      </c>
      <c r="C223">
        <v>402</v>
      </c>
      <c r="D223">
        <v>32.5</v>
      </c>
      <c r="E223">
        <v>0</v>
      </c>
      <c r="F223">
        <v>0</v>
      </c>
      <c r="G223">
        <v>0</v>
      </c>
      <c r="H223">
        <v>0</v>
      </c>
      <c r="I223">
        <v>1</v>
      </c>
      <c r="J223">
        <v>0</v>
      </c>
      <c r="K223">
        <v>0</v>
      </c>
      <c r="L223">
        <v>1</v>
      </c>
      <c r="M223">
        <v>0</v>
      </c>
    </row>
    <row r="224" spans="1:13" x14ac:dyDescent="0.3">
      <c r="A224">
        <v>9.1436662387081906</v>
      </c>
      <c r="B224">
        <v>5.2983673652980787</v>
      </c>
      <c r="C224">
        <v>177</v>
      </c>
      <c r="D224">
        <v>16.5</v>
      </c>
      <c r="E224">
        <v>0</v>
      </c>
      <c r="F224">
        <v>0</v>
      </c>
      <c r="G224">
        <v>0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1</v>
      </c>
    </row>
    <row r="225" spans="1:13" x14ac:dyDescent="0.3">
      <c r="A225">
        <v>9.1430246646913158</v>
      </c>
      <c r="B225">
        <v>2.996232148595642</v>
      </c>
      <c r="C225">
        <v>69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0</v>
      </c>
      <c r="K225">
        <v>0</v>
      </c>
      <c r="L225">
        <v>1</v>
      </c>
      <c r="M225">
        <v>0</v>
      </c>
    </row>
    <row r="226" spans="1:13" x14ac:dyDescent="0.3">
      <c r="A226">
        <v>9.1412046331413208</v>
      </c>
      <c r="B226">
        <v>5.1358572588496374</v>
      </c>
      <c r="C226">
        <v>33</v>
      </c>
      <c r="D226">
        <v>3.5</v>
      </c>
      <c r="E226">
        <v>0</v>
      </c>
      <c r="F226">
        <v>0</v>
      </c>
      <c r="G226">
        <v>0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1</v>
      </c>
    </row>
    <row r="227" spans="1:13" x14ac:dyDescent="0.3">
      <c r="A227">
        <v>9.119540007649686</v>
      </c>
      <c r="B227">
        <v>4.7005712707513441</v>
      </c>
      <c r="C227">
        <v>137</v>
      </c>
      <c r="D227">
        <v>7</v>
      </c>
      <c r="E227">
        <v>0</v>
      </c>
      <c r="F227">
        <v>0</v>
      </c>
      <c r="G227">
        <v>0</v>
      </c>
      <c r="H227">
        <v>0</v>
      </c>
      <c r="I227">
        <v>1</v>
      </c>
      <c r="J227">
        <v>0</v>
      </c>
      <c r="K227">
        <v>0</v>
      </c>
      <c r="L227">
        <v>0</v>
      </c>
      <c r="M227">
        <v>1</v>
      </c>
    </row>
    <row r="228" spans="1:13" x14ac:dyDescent="0.3">
      <c r="A228">
        <v>9.1171279902540032</v>
      </c>
      <c r="B228">
        <v>-4.6051701859880909</v>
      </c>
      <c r="C228">
        <v>22</v>
      </c>
      <c r="D228">
        <v>2.5</v>
      </c>
      <c r="E228">
        <v>0</v>
      </c>
      <c r="F228">
        <v>0</v>
      </c>
      <c r="G228">
        <v>1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</row>
    <row r="229" spans="1:13" x14ac:dyDescent="0.3">
      <c r="A229">
        <v>9.1170182147448102</v>
      </c>
      <c r="B229">
        <v>4.0945112150014218</v>
      </c>
      <c r="C229">
        <v>50</v>
      </c>
      <c r="D229">
        <v>9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</v>
      </c>
    </row>
    <row r="230" spans="1:13" x14ac:dyDescent="0.3">
      <c r="A230">
        <v>9.1163593085052881</v>
      </c>
      <c r="B230">
        <v>4.6052701809884251</v>
      </c>
      <c r="C230">
        <v>58</v>
      </c>
      <c r="D230">
        <v>9</v>
      </c>
      <c r="E230">
        <v>0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1</v>
      </c>
      <c r="L230">
        <v>0</v>
      </c>
      <c r="M230">
        <v>0</v>
      </c>
    </row>
    <row r="231" spans="1:13" x14ac:dyDescent="0.3">
      <c r="A231">
        <v>9.1123967276460558</v>
      </c>
      <c r="B231">
        <v>4.6052701809884251</v>
      </c>
      <c r="C231">
        <v>27</v>
      </c>
      <c r="D231">
        <v>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1</v>
      </c>
    </row>
    <row r="232" spans="1:13" x14ac:dyDescent="0.3">
      <c r="A232">
        <v>9.1111828004429647</v>
      </c>
      <c r="B232">
        <v>5.273050839300149</v>
      </c>
      <c r="C232">
        <v>31</v>
      </c>
      <c r="D232">
        <v>1.5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0</v>
      </c>
      <c r="K232">
        <v>0</v>
      </c>
      <c r="L232">
        <v>0</v>
      </c>
      <c r="M232">
        <v>1</v>
      </c>
    </row>
    <row r="233" spans="1:13" x14ac:dyDescent="0.3">
      <c r="A233">
        <v>9.1080861379374269</v>
      </c>
      <c r="B233">
        <v>2.996232148595642</v>
      </c>
      <c r="C233">
        <v>12</v>
      </c>
      <c r="D233">
        <v>1.5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1</v>
      </c>
    </row>
    <row r="234" spans="1:13" x14ac:dyDescent="0.3">
      <c r="A234">
        <v>9.1014179647519953</v>
      </c>
      <c r="B234">
        <v>4.6052701809884251</v>
      </c>
      <c r="C234">
        <v>25</v>
      </c>
      <c r="D234">
        <v>2</v>
      </c>
      <c r="E234">
        <v>0</v>
      </c>
      <c r="F234">
        <v>0</v>
      </c>
      <c r="G234">
        <v>0</v>
      </c>
      <c r="H234">
        <v>0</v>
      </c>
      <c r="I234">
        <v>1</v>
      </c>
      <c r="J234">
        <v>0</v>
      </c>
      <c r="K234">
        <v>1</v>
      </c>
      <c r="L234">
        <v>0</v>
      </c>
      <c r="M234">
        <v>0</v>
      </c>
    </row>
    <row r="235" spans="1:13" x14ac:dyDescent="0.3">
      <c r="A235">
        <v>9.1009718349208182</v>
      </c>
      <c r="B235">
        <v>4.3176214379815452</v>
      </c>
      <c r="C235">
        <v>56</v>
      </c>
      <c r="D235">
        <v>5.5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</v>
      </c>
      <c r="K235">
        <v>1</v>
      </c>
      <c r="L235">
        <v>0</v>
      </c>
      <c r="M235">
        <v>0</v>
      </c>
    </row>
    <row r="236" spans="1:13" x14ac:dyDescent="0.3">
      <c r="A236">
        <v>9.0798899425921178</v>
      </c>
      <c r="B236">
        <v>4.0945112150014218</v>
      </c>
      <c r="C236">
        <v>75</v>
      </c>
      <c r="D236">
        <v>15.5</v>
      </c>
      <c r="E236">
        <v>0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1</v>
      </c>
    </row>
    <row r="237" spans="1:13" x14ac:dyDescent="0.3">
      <c r="A237">
        <v>9.0790920853662289</v>
      </c>
      <c r="B237">
        <v>-4.6051701859880909</v>
      </c>
      <c r="C237">
        <v>13</v>
      </c>
      <c r="D237">
        <v>0.53333333000000005</v>
      </c>
      <c r="E237">
        <v>0</v>
      </c>
      <c r="F237">
        <v>0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1</v>
      </c>
    </row>
    <row r="238" spans="1:13" x14ac:dyDescent="0.3">
      <c r="A238">
        <v>9.0788640091877966</v>
      </c>
      <c r="B238">
        <v>-4.6051701859880909</v>
      </c>
      <c r="C238">
        <v>8</v>
      </c>
      <c r="D238">
        <v>1</v>
      </c>
      <c r="E238">
        <v>0</v>
      </c>
      <c r="F238">
        <v>0</v>
      </c>
      <c r="G238">
        <v>0</v>
      </c>
      <c r="H238">
        <v>0</v>
      </c>
      <c r="I238">
        <v>1</v>
      </c>
      <c r="J238">
        <v>0</v>
      </c>
      <c r="K238">
        <v>0</v>
      </c>
      <c r="L238">
        <v>0</v>
      </c>
      <c r="M238">
        <v>1</v>
      </c>
    </row>
    <row r="239" spans="1:13" x14ac:dyDescent="0.3">
      <c r="A239">
        <v>9.0773802447199525</v>
      </c>
      <c r="B239">
        <v>3.9122229854308124</v>
      </c>
      <c r="C239">
        <v>133</v>
      </c>
      <c r="D239">
        <v>15.5</v>
      </c>
      <c r="E239">
        <v>0</v>
      </c>
      <c r="F239">
        <v>0</v>
      </c>
      <c r="G239">
        <v>1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</row>
    <row r="240" spans="1:13" x14ac:dyDescent="0.3">
      <c r="A240">
        <v>9.0723418738188926</v>
      </c>
      <c r="B240">
        <v>4.4427688966292678</v>
      </c>
      <c r="C240">
        <v>22</v>
      </c>
      <c r="D240">
        <v>1.5</v>
      </c>
      <c r="E240">
        <v>0</v>
      </c>
      <c r="F240">
        <v>0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0</v>
      </c>
      <c r="M240">
        <v>1</v>
      </c>
    </row>
    <row r="241" spans="1:13" x14ac:dyDescent="0.3">
      <c r="A241">
        <v>9.0723418738188926</v>
      </c>
      <c r="B241">
        <v>3.6891294228691436</v>
      </c>
      <c r="C241">
        <v>12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0</v>
      </c>
      <c r="K241">
        <v>0</v>
      </c>
      <c r="L241">
        <v>0</v>
      </c>
      <c r="M241">
        <v>1</v>
      </c>
    </row>
    <row r="242" spans="1:13" x14ac:dyDescent="0.3">
      <c r="A242">
        <v>9.0702733830790638</v>
      </c>
      <c r="B242">
        <v>-4.6051701859880909</v>
      </c>
      <c r="C242">
        <v>11</v>
      </c>
      <c r="D242">
        <v>1.5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1</v>
      </c>
      <c r="K242">
        <v>0</v>
      </c>
      <c r="L242">
        <v>0</v>
      </c>
      <c r="M242">
        <v>1</v>
      </c>
    </row>
    <row r="243" spans="1:13" x14ac:dyDescent="0.3">
      <c r="A243">
        <v>9.0700432864374605</v>
      </c>
      <c r="B243">
        <v>4.6052701809884251</v>
      </c>
      <c r="C243">
        <v>63</v>
      </c>
      <c r="D243">
        <v>11</v>
      </c>
      <c r="E243">
        <v>0</v>
      </c>
      <c r="F243">
        <v>0</v>
      </c>
      <c r="G243">
        <v>0</v>
      </c>
      <c r="H243">
        <v>1</v>
      </c>
      <c r="I243">
        <v>0</v>
      </c>
      <c r="J243">
        <v>0</v>
      </c>
      <c r="K243">
        <v>0</v>
      </c>
      <c r="L243">
        <v>0</v>
      </c>
      <c r="M243">
        <v>1</v>
      </c>
    </row>
    <row r="244" spans="1:13" x14ac:dyDescent="0.3">
      <c r="A244">
        <v>9.0624202418995612</v>
      </c>
      <c r="B244">
        <v>5.1358572588496374</v>
      </c>
      <c r="C244">
        <v>73</v>
      </c>
      <c r="D244">
        <v>5</v>
      </c>
      <c r="E244">
        <v>0</v>
      </c>
      <c r="F244">
        <v>0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0</v>
      </c>
      <c r="M244">
        <v>1</v>
      </c>
    </row>
    <row r="245" spans="1:13" x14ac:dyDescent="0.3">
      <c r="A245">
        <v>9.0588195643349412</v>
      </c>
      <c r="B245">
        <v>4.5539821492186583</v>
      </c>
      <c r="C245">
        <v>18</v>
      </c>
      <c r="D245">
        <v>2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1</v>
      </c>
      <c r="L245">
        <v>0</v>
      </c>
      <c r="M245">
        <v>0</v>
      </c>
    </row>
    <row r="246" spans="1:13" x14ac:dyDescent="0.3">
      <c r="A246">
        <v>9.0585868167486456</v>
      </c>
      <c r="B246">
        <v>-4.6051701859880909</v>
      </c>
      <c r="C246">
        <v>35</v>
      </c>
      <c r="D246">
        <v>2.5</v>
      </c>
      <c r="E246">
        <v>0</v>
      </c>
      <c r="F246">
        <v>1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0</v>
      </c>
      <c r="M246">
        <v>0</v>
      </c>
    </row>
    <row r="247" spans="1:13" x14ac:dyDescent="0.3">
      <c r="A247">
        <v>9.0568394809904209</v>
      </c>
      <c r="B247">
        <v>5.2983673652980787</v>
      </c>
      <c r="C247">
        <v>31</v>
      </c>
      <c r="D247">
        <v>1.5</v>
      </c>
      <c r="E247">
        <v>0</v>
      </c>
      <c r="F247">
        <v>0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0</v>
      </c>
      <c r="M247">
        <v>1</v>
      </c>
    </row>
    <row r="248" spans="1:13" x14ac:dyDescent="0.3">
      <c r="A248">
        <v>9.0473507434817204</v>
      </c>
      <c r="B248">
        <v>5.0107019585407988</v>
      </c>
      <c r="C248">
        <v>308</v>
      </c>
      <c r="D248">
        <v>29.5</v>
      </c>
      <c r="E248">
        <v>0</v>
      </c>
      <c r="F248">
        <v>0</v>
      </c>
      <c r="G248">
        <v>0</v>
      </c>
      <c r="H248">
        <v>0</v>
      </c>
      <c r="I248">
        <v>1</v>
      </c>
      <c r="J248">
        <v>0</v>
      </c>
      <c r="K248">
        <v>0</v>
      </c>
      <c r="L248">
        <v>0</v>
      </c>
      <c r="M248">
        <v>1</v>
      </c>
    </row>
    <row r="249" spans="1:13" x14ac:dyDescent="0.3">
      <c r="A249">
        <v>9.0433408312800125</v>
      </c>
      <c r="B249">
        <v>2.996232148595642</v>
      </c>
      <c r="C249">
        <v>21</v>
      </c>
      <c r="D249">
        <v>2</v>
      </c>
      <c r="E249">
        <v>0</v>
      </c>
      <c r="F249">
        <v>0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</row>
    <row r="250" spans="1:13" x14ac:dyDescent="0.3">
      <c r="A250">
        <v>9.0377711066249056</v>
      </c>
      <c r="B250">
        <v>-4.6051701859880909</v>
      </c>
      <c r="C250">
        <v>13</v>
      </c>
      <c r="D250">
        <v>1</v>
      </c>
      <c r="E250">
        <v>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</row>
    <row r="251" spans="1:13" x14ac:dyDescent="0.3">
      <c r="A251">
        <v>9.0325286306600567</v>
      </c>
      <c r="B251">
        <v>-4.6051701859880909</v>
      </c>
      <c r="C251">
        <v>18</v>
      </c>
      <c r="D251">
        <v>1.5</v>
      </c>
      <c r="E251">
        <v>0</v>
      </c>
      <c r="F251">
        <v>0</v>
      </c>
      <c r="G251">
        <v>1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1</v>
      </c>
    </row>
    <row r="252" spans="1:13" x14ac:dyDescent="0.3">
      <c r="A252">
        <v>9.0284587184106133</v>
      </c>
      <c r="B252">
        <v>-4.6051701859880909</v>
      </c>
      <c r="C252">
        <v>129</v>
      </c>
      <c r="D252">
        <v>20.5</v>
      </c>
      <c r="E252">
        <v>0</v>
      </c>
      <c r="F252">
        <v>0</v>
      </c>
      <c r="G252">
        <v>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</row>
    <row r="253" spans="1:13" x14ac:dyDescent="0.3">
      <c r="A253">
        <v>9.0264175338152537</v>
      </c>
      <c r="B253">
        <v>2.996232148595642</v>
      </c>
      <c r="C253">
        <v>11</v>
      </c>
      <c r="D253">
        <v>0.71666666999999995</v>
      </c>
      <c r="E253">
        <v>0</v>
      </c>
      <c r="F253">
        <v>0</v>
      </c>
      <c r="G253">
        <v>0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1</v>
      </c>
    </row>
    <row r="254" spans="1:13" x14ac:dyDescent="0.3">
      <c r="A254">
        <v>9.01602720232985</v>
      </c>
      <c r="B254">
        <v>3.2192757448895279</v>
      </c>
      <c r="C254">
        <v>110</v>
      </c>
      <c r="D254">
        <v>7.5</v>
      </c>
      <c r="E254">
        <v>0</v>
      </c>
      <c r="F254">
        <v>0</v>
      </c>
      <c r="G254">
        <v>0</v>
      </c>
      <c r="H254">
        <v>1</v>
      </c>
      <c r="I254">
        <v>0</v>
      </c>
      <c r="J254">
        <v>0</v>
      </c>
      <c r="K254">
        <v>0</v>
      </c>
      <c r="L254">
        <v>0</v>
      </c>
      <c r="M254">
        <v>1</v>
      </c>
    </row>
    <row r="255" spans="1:13" x14ac:dyDescent="0.3">
      <c r="A255">
        <v>8.9955369449369744</v>
      </c>
      <c r="B255">
        <v>4.3176214379815452</v>
      </c>
      <c r="C255">
        <v>44</v>
      </c>
      <c r="D255">
        <v>3.5</v>
      </c>
      <c r="E255">
        <v>0</v>
      </c>
      <c r="F255">
        <v>0</v>
      </c>
      <c r="G255">
        <v>0</v>
      </c>
      <c r="H255">
        <v>1</v>
      </c>
      <c r="I255">
        <v>0</v>
      </c>
      <c r="J255">
        <v>0</v>
      </c>
      <c r="K255">
        <v>0</v>
      </c>
      <c r="L255">
        <v>0</v>
      </c>
      <c r="M255">
        <v>1</v>
      </c>
    </row>
    <row r="256" spans="1:13" x14ac:dyDescent="0.3">
      <c r="A256">
        <v>8.9945447583245119</v>
      </c>
      <c r="B256">
        <v>3.6891294228691436</v>
      </c>
      <c r="C256">
        <v>39</v>
      </c>
      <c r="D256">
        <v>2</v>
      </c>
      <c r="E256">
        <v>0</v>
      </c>
      <c r="F256">
        <v>0</v>
      </c>
      <c r="G256">
        <v>0</v>
      </c>
      <c r="H256">
        <v>0</v>
      </c>
      <c r="I256">
        <v>1</v>
      </c>
      <c r="J256">
        <v>0</v>
      </c>
      <c r="K256">
        <v>0</v>
      </c>
      <c r="L256">
        <v>0</v>
      </c>
      <c r="M256">
        <v>1</v>
      </c>
    </row>
    <row r="257" spans="1:13" x14ac:dyDescent="0.3">
      <c r="A257">
        <v>8.9773989781818617</v>
      </c>
      <c r="B257">
        <v>-4.6051701859880909</v>
      </c>
      <c r="C257">
        <v>16</v>
      </c>
      <c r="D257">
        <v>1.5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1</v>
      </c>
      <c r="K257">
        <v>1</v>
      </c>
      <c r="L257">
        <v>0</v>
      </c>
      <c r="M257">
        <v>0</v>
      </c>
    </row>
    <row r="258" spans="1:13" x14ac:dyDescent="0.3">
      <c r="A258">
        <v>8.9752507496435729</v>
      </c>
      <c r="B258">
        <v>-4.6051701859880909</v>
      </c>
      <c r="C258">
        <v>5</v>
      </c>
      <c r="D258">
        <v>0.68333332999999996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0</v>
      </c>
      <c r="K258">
        <v>0</v>
      </c>
      <c r="L258">
        <v>0</v>
      </c>
      <c r="M258">
        <v>1</v>
      </c>
    </row>
    <row r="259" spans="1:13" x14ac:dyDescent="0.3">
      <c r="A259">
        <v>8.9725906682726109</v>
      </c>
      <c r="B259">
        <v>5.0107019585407988</v>
      </c>
      <c r="C259">
        <v>28</v>
      </c>
      <c r="D259">
        <v>2</v>
      </c>
      <c r="E259">
        <v>0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1</v>
      </c>
      <c r="L259">
        <v>0</v>
      </c>
      <c r="M259">
        <v>0</v>
      </c>
    </row>
    <row r="260" spans="1:13" x14ac:dyDescent="0.3">
      <c r="A260">
        <v>8.9704320743292421</v>
      </c>
      <c r="B260">
        <v>2.996232148595642</v>
      </c>
      <c r="C260">
        <v>23</v>
      </c>
      <c r="D260">
        <v>3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0</v>
      </c>
      <c r="M260">
        <v>0</v>
      </c>
    </row>
    <row r="261" spans="1:13" x14ac:dyDescent="0.3">
      <c r="A261">
        <v>8.970177815492379</v>
      </c>
      <c r="B261">
        <v>-4.6051701859880909</v>
      </c>
      <c r="C261">
        <v>36</v>
      </c>
      <c r="D261">
        <v>5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0</v>
      </c>
      <c r="L261">
        <v>0</v>
      </c>
      <c r="M261">
        <v>1</v>
      </c>
    </row>
    <row r="262" spans="1:13" x14ac:dyDescent="0.3">
      <c r="A262">
        <v>8.9685235553963523</v>
      </c>
      <c r="B262">
        <v>4.8283937341024714</v>
      </c>
      <c r="C262">
        <v>31</v>
      </c>
      <c r="D262">
        <v>3.5</v>
      </c>
      <c r="E262">
        <v>0</v>
      </c>
      <c r="F262">
        <v>0</v>
      </c>
      <c r="G262">
        <v>0</v>
      </c>
      <c r="H262">
        <v>1</v>
      </c>
      <c r="I262">
        <v>0</v>
      </c>
      <c r="J262">
        <v>0</v>
      </c>
      <c r="K262">
        <v>0</v>
      </c>
      <c r="L262">
        <v>0</v>
      </c>
      <c r="M262">
        <v>0</v>
      </c>
    </row>
    <row r="263" spans="1:13" x14ac:dyDescent="0.3">
      <c r="A263">
        <v>8.9653345738048387</v>
      </c>
      <c r="B263">
        <v>5.273050839300149</v>
      </c>
      <c r="C263">
        <v>66</v>
      </c>
      <c r="D263">
        <v>11</v>
      </c>
      <c r="E263">
        <v>0</v>
      </c>
      <c r="F263">
        <v>0</v>
      </c>
      <c r="G263">
        <v>0</v>
      </c>
      <c r="H263">
        <v>0</v>
      </c>
      <c r="I263">
        <v>1</v>
      </c>
      <c r="J263">
        <v>0</v>
      </c>
      <c r="K263">
        <v>0</v>
      </c>
      <c r="L263">
        <v>0</v>
      </c>
      <c r="M263">
        <v>1</v>
      </c>
    </row>
    <row r="264" spans="1:13" x14ac:dyDescent="0.3">
      <c r="A264">
        <v>8.9604677609199488</v>
      </c>
      <c r="B264">
        <v>4.4999207752689943</v>
      </c>
      <c r="C264">
        <v>23</v>
      </c>
      <c r="D264">
        <v>1.5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0</v>
      </c>
      <c r="L264">
        <v>1</v>
      </c>
      <c r="M264">
        <v>0</v>
      </c>
    </row>
    <row r="265" spans="1:13" x14ac:dyDescent="0.3">
      <c r="A265">
        <v>8.959954084268098</v>
      </c>
      <c r="B265">
        <v>4.3176214379815452</v>
      </c>
      <c r="C265">
        <v>33</v>
      </c>
      <c r="D265">
        <v>4.5</v>
      </c>
      <c r="E265">
        <v>0</v>
      </c>
      <c r="F265">
        <v>0</v>
      </c>
      <c r="G265">
        <v>1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1</v>
      </c>
    </row>
    <row r="266" spans="1:13" x14ac:dyDescent="0.3">
      <c r="A266">
        <v>8.954286157204713</v>
      </c>
      <c r="B266">
        <v>4.941713848629834</v>
      </c>
      <c r="C266">
        <v>36</v>
      </c>
      <c r="D266">
        <v>2.5</v>
      </c>
      <c r="E266">
        <v>0</v>
      </c>
      <c r="F266">
        <v>0</v>
      </c>
      <c r="G266">
        <v>0</v>
      </c>
      <c r="H266">
        <v>0</v>
      </c>
      <c r="I266">
        <v>1</v>
      </c>
      <c r="J266">
        <v>0</v>
      </c>
      <c r="K266">
        <v>0</v>
      </c>
      <c r="L266">
        <v>0</v>
      </c>
      <c r="M266">
        <v>1</v>
      </c>
    </row>
    <row r="267" spans="1:13" x14ac:dyDescent="0.3">
      <c r="A267">
        <v>8.9515696430188214</v>
      </c>
      <c r="B267">
        <v>5.0107019585407988</v>
      </c>
      <c r="C267">
        <v>17</v>
      </c>
      <c r="D267">
        <v>1.5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1</v>
      </c>
      <c r="L267">
        <v>0</v>
      </c>
      <c r="M267">
        <v>0</v>
      </c>
    </row>
    <row r="268" spans="1:13" x14ac:dyDescent="0.3">
      <c r="A268">
        <v>8.949754525186103</v>
      </c>
      <c r="B268">
        <v>3.9122229854308124</v>
      </c>
      <c r="C268">
        <v>45</v>
      </c>
      <c r="D268">
        <v>5</v>
      </c>
      <c r="E268">
        <v>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</v>
      </c>
    </row>
    <row r="269" spans="1:13" x14ac:dyDescent="0.3">
      <c r="A269">
        <v>8.943767262734637</v>
      </c>
      <c r="B269">
        <v>3.9122229854308124</v>
      </c>
      <c r="C269">
        <v>19</v>
      </c>
      <c r="D269">
        <v>2</v>
      </c>
      <c r="E269">
        <v>0</v>
      </c>
      <c r="F269">
        <v>0</v>
      </c>
      <c r="G269">
        <v>1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1</v>
      </c>
    </row>
    <row r="270" spans="1:13" x14ac:dyDescent="0.3">
      <c r="A270">
        <v>8.9249224011774686</v>
      </c>
      <c r="B270">
        <v>4.5539821492186583</v>
      </c>
      <c r="C270">
        <v>47</v>
      </c>
      <c r="D270">
        <v>4.5</v>
      </c>
      <c r="E270">
        <v>0</v>
      </c>
      <c r="F270">
        <v>0</v>
      </c>
      <c r="G270">
        <v>1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</row>
    <row r="271" spans="1:13" x14ac:dyDescent="0.3">
      <c r="A271">
        <v>8.922791623969637</v>
      </c>
      <c r="B271">
        <v>5.2983673652980787</v>
      </c>
      <c r="C271">
        <v>384</v>
      </c>
      <c r="D271">
        <v>76.5</v>
      </c>
      <c r="E271">
        <v>0</v>
      </c>
      <c r="F271">
        <v>0</v>
      </c>
      <c r="G271">
        <v>0</v>
      </c>
      <c r="H271">
        <v>1</v>
      </c>
      <c r="I271">
        <v>0</v>
      </c>
      <c r="J271">
        <v>0</v>
      </c>
      <c r="K271">
        <v>0</v>
      </c>
      <c r="L271">
        <v>0</v>
      </c>
      <c r="M271">
        <v>1</v>
      </c>
    </row>
    <row r="272" spans="1:13" x14ac:dyDescent="0.3">
      <c r="A272">
        <v>8.9211905562493676</v>
      </c>
      <c r="B272">
        <v>4.7005712707513441</v>
      </c>
      <c r="C272">
        <v>173</v>
      </c>
      <c r="D272">
        <v>16</v>
      </c>
      <c r="E272">
        <v>0</v>
      </c>
      <c r="F272">
        <v>0</v>
      </c>
      <c r="G272">
        <v>0</v>
      </c>
      <c r="H272">
        <v>1</v>
      </c>
      <c r="I272">
        <v>0</v>
      </c>
      <c r="J272">
        <v>0</v>
      </c>
      <c r="K272">
        <v>0</v>
      </c>
      <c r="L272">
        <v>0</v>
      </c>
      <c r="M272">
        <v>1</v>
      </c>
    </row>
    <row r="273" spans="1:13" x14ac:dyDescent="0.3">
      <c r="A273">
        <v>8.92052268739398</v>
      </c>
      <c r="B273">
        <v>-4.6051701859880909</v>
      </c>
      <c r="C273">
        <v>5</v>
      </c>
      <c r="D273">
        <v>1</v>
      </c>
      <c r="E273">
        <v>0</v>
      </c>
      <c r="F273">
        <v>0</v>
      </c>
      <c r="G273">
        <v>0</v>
      </c>
      <c r="H273">
        <v>1</v>
      </c>
      <c r="I273">
        <v>0</v>
      </c>
      <c r="J273">
        <v>0</v>
      </c>
      <c r="K273">
        <v>1</v>
      </c>
      <c r="L273">
        <v>0</v>
      </c>
      <c r="M273">
        <v>0</v>
      </c>
    </row>
    <row r="274" spans="1:13" x14ac:dyDescent="0.3">
      <c r="A274">
        <v>8.9158350741762771</v>
      </c>
      <c r="B274">
        <v>2.996232148595642</v>
      </c>
      <c r="C274">
        <v>13</v>
      </c>
      <c r="D274">
        <v>1</v>
      </c>
      <c r="E274">
        <v>0</v>
      </c>
      <c r="F274">
        <v>0</v>
      </c>
      <c r="G274">
        <v>1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</row>
    <row r="275" spans="1:13" x14ac:dyDescent="0.3">
      <c r="A275">
        <v>8.9158350741762771</v>
      </c>
      <c r="B275">
        <v>5.2983673652980787</v>
      </c>
      <c r="C275">
        <v>32</v>
      </c>
      <c r="D275">
        <v>4</v>
      </c>
      <c r="E275">
        <v>0</v>
      </c>
      <c r="F275">
        <v>0</v>
      </c>
      <c r="G275">
        <v>0</v>
      </c>
      <c r="H275">
        <v>1</v>
      </c>
      <c r="I275">
        <v>0</v>
      </c>
      <c r="J275">
        <v>0</v>
      </c>
      <c r="K275">
        <v>1</v>
      </c>
      <c r="L275">
        <v>0</v>
      </c>
      <c r="M275">
        <v>0</v>
      </c>
    </row>
    <row r="276" spans="1:13" x14ac:dyDescent="0.3">
      <c r="A276">
        <v>8.914357274485015</v>
      </c>
      <c r="B276">
        <v>-4.6051701859880909</v>
      </c>
      <c r="C276">
        <v>37</v>
      </c>
      <c r="D276">
        <v>2.5</v>
      </c>
      <c r="E276">
        <v>0</v>
      </c>
      <c r="F276">
        <v>0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</row>
    <row r="277" spans="1:13" x14ac:dyDescent="0.3">
      <c r="A277">
        <v>8.9113951072456903</v>
      </c>
      <c r="B277">
        <v>2.996232148595642</v>
      </c>
      <c r="C277">
        <v>14</v>
      </c>
      <c r="D277">
        <v>0.65</v>
      </c>
      <c r="E277">
        <v>0</v>
      </c>
      <c r="F277">
        <v>0</v>
      </c>
      <c r="G277">
        <v>0</v>
      </c>
      <c r="H277">
        <v>1</v>
      </c>
      <c r="I277">
        <v>0</v>
      </c>
      <c r="J277">
        <v>0</v>
      </c>
      <c r="K277">
        <v>0</v>
      </c>
      <c r="L277">
        <v>0</v>
      </c>
      <c r="M277">
        <v>1</v>
      </c>
    </row>
    <row r="278" spans="1:13" x14ac:dyDescent="0.3">
      <c r="A278">
        <v>8.9101807780132898</v>
      </c>
      <c r="B278">
        <v>3.9122229854308124</v>
      </c>
      <c r="C278">
        <v>147</v>
      </c>
      <c r="D278">
        <v>20</v>
      </c>
      <c r="E278">
        <v>0</v>
      </c>
      <c r="F278">
        <v>0</v>
      </c>
      <c r="G278">
        <v>1</v>
      </c>
      <c r="H278">
        <v>0</v>
      </c>
      <c r="I278">
        <v>0</v>
      </c>
      <c r="J278">
        <v>0</v>
      </c>
      <c r="K278">
        <v>1</v>
      </c>
      <c r="L278">
        <v>0</v>
      </c>
      <c r="M278">
        <v>0</v>
      </c>
    </row>
    <row r="279" spans="1:13" x14ac:dyDescent="0.3">
      <c r="A279">
        <v>8.9065289175945175</v>
      </c>
      <c r="B279">
        <v>4.3176214379815452</v>
      </c>
      <c r="C279">
        <v>59</v>
      </c>
      <c r="D279">
        <v>2.5</v>
      </c>
      <c r="E279">
        <v>0</v>
      </c>
      <c r="F279">
        <v>0</v>
      </c>
      <c r="G279">
        <v>0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</row>
    <row r="280" spans="1:13" x14ac:dyDescent="0.3">
      <c r="A280">
        <v>8.9058511812080212</v>
      </c>
      <c r="B280">
        <v>3.6891294228691436</v>
      </c>
      <c r="C280">
        <v>17</v>
      </c>
      <c r="D280">
        <v>1.5</v>
      </c>
      <c r="E280">
        <v>0</v>
      </c>
      <c r="F280">
        <v>0</v>
      </c>
      <c r="G280">
        <v>0</v>
      </c>
      <c r="H280">
        <v>0</v>
      </c>
      <c r="I280">
        <v>1</v>
      </c>
      <c r="J280">
        <v>0</v>
      </c>
      <c r="K280">
        <v>1</v>
      </c>
      <c r="L280">
        <v>0</v>
      </c>
      <c r="M280">
        <v>0</v>
      </c>
    </row>
    <row r="281" spans="1:13" x14ac:dyDescent="0.3">
      <c r="A281">
        <v>8.9049015779351421</v>
      </c>
      <c r="B281">
        <v>2.996232148595642</v>
      </c>
      <c r="C281">
        <v>52</v>
      </c>
      <c r="D281">
        <v>2</v>
      </c>
      <c r="E281">
        <v>0</v>
      </c>
      <c r="F281">
        <v>1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</row>
    <row r="282" spans="1:13" x14ac:dyDescent="0.3">
      <c r="A282">
        <v>8.8998672112235866</v>
      </c>
      <c r="B282">
        <v>5.2983673652980787</v>
      </c>
      <c r="C282">
        <v>18</v>
      </c>
      <c r="D282">
        <v>1.5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1</v>
      </c>
      <c r="K282">
        <v>0</v>
      </c>
      <c r="L282">
        <v>0</v>
      </c>
      <c r="M282">
        <v>1</v>
      </c>
    </row>
    <row r="283" spans="1:13" x14ac:dyDescent="0.3">
      <c r="A283">
        <v>8.898092345579153</v>
      </c>
      <c r="B283">
        <v>-4.6051701859880909</v>
      </c>
      <c r="C283">
        <v>8</v>
      </c>
      <c r="D283">
        <v>0.58333332999999998</v>
      </c>
      <c r="E283">
        <v>0</v>
      </c>
      <c r="F283">
        <v>0</v>
      </c>
      <c r="G283">
        <v>1</v>
      </c>
      <c r="H283">
        <v>0</v>
      </c>
      <c r="I283">
        <v>0</v>
      </c>
      <c r="J283">
        <v>0</v>
      </c>
      <c r="K283">
        <v>1</v>
      </c>
      <c r="L283">
        <v>0</v>
      </c>
      <c r="M283">
        <v>0</v>
      </c>
    </row>
    <row r="284" spans="1:13" x14ac:dyDescent="0.3">
      <c r="A284">
        <v>8.8961774222748051</v>
      </c>
      <c r="B284">
        <v>-4.6051701859880909</v>
      </c>
      <c r="C284">
        <v>28</v>
      </c>
      <c r="D284">
        <v>2</v>
      </c>
      <c r="E284">
        <v>0</v>
      </c>
      <c r="F284">
        <v>0</v>
      </c>
      <c r="G284">
        <v>0</v>
      </c>
      <c r="H284">
        <v>0</v>
      </c>
      <c r="I284">
        <v>1</v>
      </c>
      <c r="J284">
        <v>0</v>
      </c>
      <c r="K284">
        <v>1</v>
      </c>
      <c r="L284">
        <v>0</v>
      </c>
      <c r="M284">
        <v>0</v>
      </c>
    </row>
    <row r="285" spans="1:13" x14ac:dyDescent="0.3">
      <c r="A285">
        <v>8.883640232503673</v>
      </c>
      <c r="B285">
        <v>4.6052701809884251</v>
      </c>
      <c r="C285">
        <v>38</v>
      </c>
      <c r="D285">
        <v>3</v>
      </c>
      <c r="E285">
        <v>0</v>
      </c>
      <c r="F285">
        <v>0</v>
      </c>
      <c r="G285">
        <v>0</v>
      </c>
      <c r="H285">
        <v>0</v>
      </c>
      <c r="I285">
        <v>1</v>
      </c>
      <c r="J285">
        <v>0</v>
      </c>
      <c r="K285">
        <v>0</v>
      </c>
      <c r="L285">
        <v>0</v>
      </c>
      <c r="M285">
        <v>1</v>
      </c>
    </row>
    <row r="286" spans="1:13" x14ac:dyDescent="0.3">
      <c r="A286">
        <v>8.8833629169167594</v>
      </c>
      <c r="B286">
        <v>5.2983673652980787</v>
      </c>
      <c r="C286">
        <v>491</v>
      </c>
      <c r="D286">
        <v>57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0</v>
      </c>
      <c r="M286">
        <v>1</v>
      </c>
    </row>
    <row r="287" spans="1:13" x14ac:dyDescent="0.3">
      <c r="A287">
        <v>8.8812805950704234</v>
      </c>
      <c r="B287">
        <v>3.4015306594522756</v>
      </c>
      <c r="C287">
        <v>38</v>
      </c>
      <c r="D287">
        <v>6.5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</v>
      </c>
      <c r="K287">
        <v>0</v>
      </c>
      <c r="L287">
        <v>0</v>
      </c>
      <c r="M287">
        <v>1</v>
      </c>
    </row>
    <row r="288" spans="1:13" x14ac:dyDescent="0.3">
      <c r="A288">
        <v>8.8796116099820352</v>
      </c>
      <c r="B288">
        <v>4.2486380889891064</v>
      </c>
      <c r="C288">
        <v>29</v>
      </c>
      <c r="D288">
        <v>4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0</v>
      </c>
      <c r="K288">
        <v>0</v>
      </c>
      <c r="L288">
        <v>0</v>
      </c>
      <c r="M288">
        <v>1</v>
      </c>
    </row>
    <row r="289" spans="1:13" x14ac:dyDescent="0.3">
      <c r="A289">
        <v>8.8775214538528715</v>
      </c>
      <c r="B289">
        <v>4.3821516268620329</v>
      </c>
      <c r="C289">
        <v>20</v>
      </c>
      <c r="D289">
        <v>1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1</v>
      </c>
    </row>
    <row r="290" spans="1:13" x14ac:dyDescent="0.3">
      <c r="A290">
        <v>8.8743080385833544</v>
      </c>
      <c r="B290">
        <v>3.6891294228691436</v>
      </c>
      <c r="C290">
        <v>77</v>
      </c>
      <c r="D290">
        <v>14.5</v>
      </c>
      <c r="E290">
        <v>0</v>
      </c>
      <c r="F290">
        <v>0</v>
      </c>
      <c r="G290">
        <v>0</v>
      </c>
      <c r="H290">
        <v>1</v>
      </c>
      <c r="I290">
        <v>0</v>
      </c>
      <c r="J290">
        <v>0</v>
      </c>
      <c r="K290">
        <v>1</v>
      </c>
      <c r="L290">
        <v>0</v>
      </c>
      <c r="M290">
        <v>0</v>
      </c>
    </row>
    <row r="291" spans="1:13" x14ac:dyDescent="0.3">
      <c r="A291">
        <v>8.8737481281543946</v>
      </c>
      <c r="B291">
        <v>-4.6051701859880909</v>
      </c>
      <c r="C291">
        <v>25</v>
      </c>
      <c r="D291">
        <v>4</v>
      </c>
      <c r="E291">
        <v>0</v>
      </c>
      <c r="F291">
        <v>0</v>
      </c>
      <c r="G291">
        <v>0</v>
      </c>
      <c r="H291">
        <v>0</v>
      </c>
      <c r="I291">
        <v>1</v>
      </c>
      <c r="J291">
        <v>0</v>
      </c>
      <c r="K291">
        <v>0</v>
      </c>
      <c r="L291">
        <v>0</v>
      </c>
      <c r="M291">
        <v>1</v>
      </c>
    </row>
    <row r="292" spans="1:13" x14ac:dyDescent="0.3">
      <c r="A292">
        <v>8.8720665134083418</v>
      </c>
      <c r="B292">
        <v>4.6052701809884251</v>
      </c>
      <c r="C292">
        <v>17</v>
      </c>
      <c r="D292">
        <v>1</v>
      </c>
      <c r="E292">
        <v>0</v>
      </c>
      <c r="F292">
        <v>1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0</v>
      </c>
    </row>
    <row r="293" spans="1:13" x14ac:dyDescent="0.3">
      <c r="A293">
        <v>8.8720665134083418</v>
      </c>
      <c r="B293">
        <v>4.5539821492186583</v>
      </c>
      <c r="C293">
        <v>24</v>
      </c>
      <c r="D293">
        <v>2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0</v>
      </c>
      <c r="L293">
        <v>1</v>
      </c>
      <c r="M293">
        <v>0</v>
      </c>
    </row>
    <row r="294" spans="1:13" x14ac:dyDescent="0.3">
      <c r="A294">
        <v>8.8664406195261734</v>
      </c>
      <c r="B294">
        <v>3.9122229854308124</v>
      </c>
      <c r="C294">
        <v>30</v>
      </c>
      <c r="D294">
        <v>8.5</v>
      </c>
      <c r="E294">
        <v>0</v>
      </c>
      <c r="F294">
        <v>0</v>
      </c>
      <c r="G294">
        <v>1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</v>
      </c>
    </row>
    <row r="295" spans="1:13" x14ac:dyDescent="0.3">
      <c r="A295">
        <v>8.8624835764883318</v>
      </c>
      <c r="B295">
        <v>5.2983673652980787</v>
      </c>
      <c r="C295">
        <v>172</v>
      </c>
      <c r="D295">
        <v>11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1</v>
      </c>
      <c r="K295">
        <v>1</v>
      </c>
      <c r="L295">
        <v>0</v>
      </c>
      <c r="M295">
        <v>0</v>
      </c>
    </row>
    <row r="296" spans="1:13" x14ac:dyDescent="0.3">
      <c r="A296">
        <v>8.8620586773954724</v>
      </c>
      <c r="B296">
        <v>4.6052701809884251</v>
      </c>
      <c r="C296">
        <v>58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1</v>
      </c>
      <c r="L296">
        <v>0</v>
      </c>
      <c r="M296">
        <v>0</v>
      </c>
    </row>
    <row r="297" spans="1:13" x14ac:dyDescent="0.3">
      <c r="A297">
        <v>8.8617753110008302</v>
      </c>
      <c r="B297">
        <v>5.1060060781247136</v>
      </c>
      <c r="C297">
        <v>65</v>
      </c>
      <c r="D297">
        <v>18.5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1</v>
      </c>
      <c r="L297">
        <v>0</v>
      </c>
      <c r="M297">
        <v>0</v>
      </c>
    </row>
    <row r="298" spans="1:13" x14ac:dyDescent="0.3">
      <c r="A298">
        <v>8.8614918642869149</v>
      </c>
      <c r="B298">
        <v>-4.6051701859880909</v>
      </c>
      <c r="C298">
        <v>24</v>
      </c>
      <c r="D298">
        <v>2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</v>
      </c>
      <c r="K298">
        <v>0</v>
      </c>
      <c r="L298">
        <v>0</v>
      </c>
      <c r="M298">
        <v>1</v>
      </c>
    </row>
    <row r="299" spans="1:13" x14ac:dyDescent="0.3">
      <c r="A299">
        <v>8.8562335561431595</v>
      </c>
      <c r="B299">
        <v>2.996232148595642</v>
      </c>
      <c r="C299">
        <v>38</v>
      </c>
      <c r="D299">
        <v>3</v>
      </c>
      <c r="E299">
        <v>0</v>
      </c>
      <c r="F299">
        <v>0</v>
      </c>
      <c r="G299">
        <v>0</v>
      </c>
      <c r="H299">
        <v>1</v>
      </c>
      <c r="I299">
        <v>0</v>
      </c>
      <c r="J299">
        <v>0</v>
      </c>
      <c r="K299">
        <v>0</v>
      </c>
      <c r="L299">
        <v>0</v>
      </c>
      <c r="M299">
        <v>1</v>
      </c>
    </row>
    <row r="300" spans="1:13" x14ac:dyDescent="0.3">
      <c r="A300">
        <v>8.8560910552522891</v>
      </c>
      <c r="B300">
        <v>2.996232148595642</v>
      </c>
      <c r="C300">
        <v>28</v>
      </c>
      <c r="D300">
        <v>3.5</v>
      </c>
      <c r="E300">
        <v>0</v>
      </c>
      <c r="F300">
        <v>0</v>
      </c>
      <c r="G300">
        <v>0</v>
      </c>
      <c r="H300">
        <v>1</v>
      </c>
      <c r="I300">
        <v>0</v>
      </c>
      <c r="J300">
        <v>0</v>
      </c>
      <c r="K300">
        <v>0</v>
      </c>
      <c r="L300">
        <v>1</v>
      </c>
      <c r="M300">
        <v>0</v>
      </c>
    </row>
    <row r="301" spans="1:13" x14ac:dyDescent="0.3">
      <c r="A301">
        <v>8.8556634307001243</v>
      </c>
      <c r="B301">
        <v>3.9122229854308124</v>
      </c>
      <c r="C301">
        <v>62</v>
      </c>
      <c r="D301">
        <v>4.5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</row>
    <row r="302" spans="1:13" x14ac:dyDescent="0.3">
      <c r="A302">
        <v>8.8476473557118869</v>
      </c>
      <c r="B302">
        <v>-4.6051701859880909</v>
      </c>
      <c r="C302">
        <v>30</v>
      </c>
      <c r="D302">
        <v>3.5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1</v>
      </c>
    </row>
    <row r="303" spans="1:13" x14ac:dyDescent="0.3">
      <c r="A303">
        <v>8.8446246833853017</v>
      </c>
      <c r="B303">
        <v>3.2192757448895279</v>
      </c>
      <c r="C303">
        <v>7</v>
      </c>
      <c r="D303">
        <v>1</v>
      </c>
      <c r="E303">
        <v>0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1</v>
      </c>
      <c r="L303">
        <v>0</v>
      </c>
      <c r="M303">
        <v>0</v>
      </c>
    </row>
    <row r="304" spans="1:13" x14ac:dyDescent="0.3">
      <c r="A304">
        <v>8.8405801884887953</v>
      </c>
      <c r="B304">
        <v>-4.6051701859880909</v>
      </c>
      <c r="C304">
        <v>14</v>
      </c>
      <c r="D304">
        <v>2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0</v>
      </c>
      <c r="M304">
        <v>0</v>
      </c>
    </row>
    <row r="305" spans="1:13" x14ac:dyDescent="0.3">
      <c r="A305">
        <v>8.8378263640077037</v>
      </c>
      <c r="B305">
        <v>4.6052701809884251</v>
      </c>
      <c r="C305">
        <v>90</v>
      </c>
      <c r="D305">
        <v>10.5</v>
      </c>
      <c r="E305">
        <v>0</v>
      </c>
      <c r="F305">
        <v>0</v>
      </c>
      <c r="G305">
        <v>0</v>
      </c>
      <c r="H305">
        <v>1</v>
      </c>
      <c r="I305">
        <v>0</v>
      </c>
      <c r="J305">
        <v>0</v>
      </c>
      <c r="K305">
        <v>1</v>
      </c>
      <c r="L305">
        <v>0</v>
      </c>
      <c r="M305">
        <v>0</v>
      </c>
    </row>
    <row r="306" spans="1:13" x14ac:dyDescent="0.3">
      <c r="A306">
        <v>8.8328794602776153</v>
      </c>
      <c r="B306">
        <v>-4.6051701859880909</v>
      </c>
      <c r="C306">
        <v>19</v>
      </c>
      <c r="D306">
        <v>2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1</v>
      </c>
    </row>
    <row r="307" spans="1:13" x14ac:dyDescent="0.3">
      <c r="A307">
        <v>8.8321499060028987</v>
      </c>
      <c r="B307">
        <v>5.2983673652980787</v>
      </c>
      <c r="C307">
        <v>454</v>
      </c>
      <c r="D307">
        <v>60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</row>
    <row r="308" spans="1:13" x14ac:dyDescent="0.3">
      <c r="A308">
        <v>8.8187781690370102</v>
      </c>
      <c r="B308">
        <v>2.996232148595642</v>
      </c>
      <c r="C308">
        <v>27</v>
      </c>
      <c r="D308">
        <v>3</v>
      </c>
      <c r="E308">
        <v>0</v>
      </c>
      <c r="F308">
        <v>1</v>
      </c>
      <c r="G308">
        <v>0</v>
      </c>
      <c r="H308">
        <v>0</v>
      </c>
      <c r="I308">
        <v>0</v>
      </c>
      <c r="J308">
        <v>0</v>
      </c>
      <c r="K308">
        <v>1</v>
      </c>
      <c r="L308">
        <v>0</v>
      </c>
      <c r="M308">
        <v>0</v>
      </c>
    </row>
    <row r="309" spans="1:13" x14ac:dyDescent="0.3">
      <c r="A309">
        <v>8.8174459210418696</v>
      </c>
      <c r="B309">
        <v>5.2983673652980787</v>
      </c>
      <c r="C309">
        <v>353</v>
      </c>
      <c r="D309">
        <v>48.5</v>
      </c>
      <c r="E309">
        <v>0</v>
      </c>
      <c r="F309">
        <v>0</v>
      </c>
      <c r="G309">
        <v>1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</row>
    <row r="310" spans="1:13" x14ac:dyDescent="0.3">
      <c r="A310">
        <v>8.8161118957940054</v>
      </c>
      <c r="B310">
        <v>-4.6051701859880909</v>
      </c>
      <c r="C310">
        <v>6</v>
      </c>
      <c r="D310">
        <v>0.68333332999999996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0</v>
      </c>
      <c r="K310">
        <v>1</v>
      </c>
      <c r="L310">
        <v>0</v>
      </c>
      <c r="M310">
        <v>0</v>
      </c>
    </row>
    <row r="311" spans="1:13" x14ac:dyDescent="0.3">
      <c r="A311">
        <v>8.8020713365352847</v>
      </c>
      <c r="B311">
        <v>3.6891294228691436</v>
      </c>
      <c r="C311">
        <v>22</v>
      </c>
      <c r="D311">
        <v>1.5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1</v>
      </c>
    </row>
    <row r="312" spans="1:13" x14ac:dyDescent="0.3">
      <c r="A312">
        <v>8.8002646513103358</v>
      </c>
      <c r="B312">
        <v>5.273050839300149</v>
      </c>
      <c r="C312">
        <v>50</v>
      </c>
      <c r="D312">
        <v>6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0</v>
      </c>
      <c r="M312">
        <v>1</v>
      </c>
    </row>
    <row r="313" spans="1:13" x14ac:dyDescent="0.3">
      <c r="A313">
        <v>8.7990583785464533</v>
      </c>
      <c r="B313">
        <v>2.996232148595642</v>
      </c>
      <c r="C313">
        <v>19</v>
      </c>
      <c r="D313">
        <v>1</v>
      </c>
      <c r="E313">
        <v>0</v>
      </c>
      <c r="F313">
        <v>1</v>
      </c>
      <c r="G313">
        <v>0</v>
      </c>
      <c r="H313">
        <v>0</v>
      </c>
      <c r="I313">
        <v>0</v>
      </c>
      <c r="J313">
        <v>0</v>
      </c>
      <c r="K313">
        <v>1</v>
      </c>
      <c r="L313">
        <v>0</v>
      </c>
      <c r="M313">
        <v>0</v>
      </c>
    </row>
    <row r="314" spans="1:13" x14ac:dyDescent="0.3">
      <c r="A314">
        <v>8.7949764316887702</v>
      </c>
      <c r="B314">
        <v>5.2983673652980787</v>
      </c>
      <c r="C314">
        <v>26</v>
      </c>
      <c r="D314">
        <v>3.5</v>
      </c>
      <c r="E314">
        <v>0</v>
      </c>
      <c r="F314">
        <v>0</v>
      </c>
      <c r="G314">
        <v>0</v>
      </c>
      <c r="H314">
        <v>1</v>
      </c>
      <c r="I314">
        <v>0</v>
      </c>
      <c r="J314">
        <v>0</v>
      </c>
      <c r="K314">
        <v>1</v>
      </c>
      <c r="L314">
        <v>0</v>
      </c>
      <c r="M314">
        <v>0</v>
      </c>
    </row>
    <row r="315" spans="1:13" x14ac:dyDescent="0.3">
      <c r="A315">
        <v>8.7930050912975304</v>
      </c>
      <c r="B315">
        <v>2.996232148595642</v>
      </c>
      <c r="C315">
        <v>36</v>
      </c>
      <c r="D315">
        <v>2</v>
      </c>
      <c r="E315">
        <v>0</v>
      </c>
      <c r="F315">
        <v>0</v>
      </c>
      <c r="G315">
        <v>1</v>
      </c>
      <c r="H315">
        <v>0</v>
      </c>
      <c r="I315">
        <v>0</v>
      </c>
      <c r="J315">
        <v>0</v>
      </c>
      <c r="K315">
        <v>1</v>
      </c>
      <c r="L315">
        <v>0</v>
      </c>
      <c r="M315">
        <v>0</v>
      </c>
    </row>
    <row r="316" spans="1:13" x14ac:dyDescent="0.3">
      <c r="A316">
        <v>8.7869149384910248</v>
      </c>
      <c r="B316">
        <v>2.996232148595642</v>
      </c>
      <c r="C316">
        <v>38</v>
      </c>
      <c r="D316">
        <v>4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1</v>
      </c>
    </row>
    <row r="317" spans="1:13" x14ac:dyDescent="0.3">
      <c r="A317">
        <v>8.7837026986352171</v>
      </c>
      <c r="B317">
        <v>4.941713848629834</v>
      </c>
      <c r="C317">
        <v>111</v>
      </c>
      <c r="D317">
        <v>9</v>
      </c>
      <c r="E317">
        <v>0</v>
      </c>
      <c r="F317">
        <v>0</v>
      </c>
      <c r="G317">
        <v>0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1</v>
      </c>
    </row>
    <row r="318" spans="1:13" x14ac:dyDescent="0.3">
      <c r="A318">
        <v>8.7810947352026147</v>
      </c>
      <c r="B318">
        <v>5.273050839300149</v>
      </c>
      <c r="C318">
        <v>22</v>
      </c>
      <c r="D318">
        <v>2</v>
      </c>
      <c r="E318">
        <v>0</v>
      </c>
      <c r="F318">
        <v>0</v>
      </c>
      <c r="G318">
        <v>0</v>
      </c>
      <c r="H318">
        <v>1</v>
      </c>
      <c r="I318">
        <v>0</v>
      </c>
      <c r="J318">
        <v>0</v>
      </c>
      <c r="K318">
        <v>0</v>
      </c>
      <c r="L318">
        <v>0</v>
      </c>
      <c r="M318">
        <v>1</v>
      </c>
    </row>
    <row r="319" spans="1:13" x14ac:dyDescent="0.3">
      <c r="A319">
        <v>8.7807874683389286</v>
      </c>
      <c r="B319">
        <v>5.2983673652980787</v>
      </c>
      <c r="C319">
        <v>90</v>
      </c>
      <c r="D319">
        <v>6.5</v>
      </c>
      <c r="E319">
        <v>0</v>
      </c>
      <c r="F319">
        <v>0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0</v>
      </c>
      <c r="M319">
        <v>0</v>
      </c>
    </row>
    <row r="320" spans="1:13" x14ac:dyDescent="0.3">
      <c r="A320">
        <v>8.7790958108805306</v>
      </c>
      <c r="B320">
        <v>5.2983673652980787</v>
      </c>
      <c r="C320">
        <v>221</v>
      </c>
      <c r="D320">
        <v>18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</v>
      </c>
      <c r="M320">
        <v>0</v>
      </c>
    </row>
    <row r="321" spans="1:13" x14ac:dyDescent="0.3">
      <c r="A321">
        <v>8.7755494344861891</v>
      </c>
      <c r="B321">
        <v>-4.6051701859880909</v>
      </c>
      <c r="C321">
        <v>15</v>
      </c>
      <c r="D321">
        <v>1</v>
      </c>
      <c r="E321">
        <v>0</v>
      </c>
      <c r="F321">
        <v>0</v>
      </c>
      <c r="G321">
        <v>0</v>
      </c>
      <c r="H321">
        <v>1</v>
      </c>
      <c r="I321">
        <v>0</v>
      </c>
      <c r="J321">
        <v>0</v>
      </c>
      <c r="K321">
        <v>1</v>
      </c>
      <c r="L321">
        <v>0</v>
      </c>
      <c r="M321">
        <v>0</v>
      </c>
    </row>
    <row r="322" spans="1:13" x14ac:dyDescent="0.3">
      <c r="A322">
        <v>8.7698178720526165</v>
      </c>
      <c r="B322">
        <v>-4.6051701859880909</v>
      </c>
      <c r="C322">
        <v>22</v>
      </c>
      <c r="D322">
        <v>1.5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</v>
      </c>
      <c r="K322">
        <v>0</v>
      </c>
      <c r="L322">
        <v>0</v>
      </c>
      <c r="M322">
        <v>1</v>
      </c>
    </row>
    <row r="323" spans="1:13" x14ac:dyDescent="0.3">
      <c r="A323">
        <v>8.7671733966840062</v>
      </c>
      <c r="B323">
        <v>5.2983673652980787</v>
      </c>
      <c r="C323">
        <v>188</v>
      </c>
      <c r="D323">
        <v>22.5</v>
      </c>
      <c r="E323">
        <v>0</v>
      </c>
      <c r="F323">
        <v>0</v>
      </c>
      <c r="G323">
        <v>0</v>
      </c>
      <c r="H323">
        <v>0</v>
      </c>
      <c r="I323">
        <v>1</v>
      </c>
      <c r="J323">
        <v>0</v>
      </c>
      <c r="K323">
        <v>0</v>
      </c>
      <c r="L323">
        <v>0</v>
      </c>
      <c r="M323">
        <v>1</v>
      </c>
    </row>
    <row r="324" spans="1:13" x14ac:dyDescent="0.3">
      <c r="A324">
        <v>8.7660824591488637</v>
      </c>
      <c r="B324">
        <v>3.4015306594522756</v>
      </c>
      <c r="C324">
        <v>123</v>
      </c>
      <c r="D324">
        <v>9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1</v>
      </c>
    </row>
    <row r="325" spans="1:13" x14ac:dyDescent="0.3">
      <c r="A325">
        <v>8.7659265137294433</v>
      </c>
      <c r="B325">
        <v>5.0107019585407988</v>
      </c>
      <c r="C325">
        <v>114</v>
      </c>
      <c r="D325">
        <v>13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1</v>
      </c>
      <c r="L325">
        <v>0</v>
      </c>
      <c r="M325">
        <v>0</v>
      </c>
    </row>
    <row r="326" spans="1:13" x14ac:dyDescent="0.3">
      <c r="A326">
        <v>8.764365720529808</v>
      </c>
      <c r="B326">
        <v>-4.6051701859880909</v>
      </c>
      <c r="C326">
        <v>23</v>
      </c>
      <c r="D326">
        <v>1.5</v>
      </c>
      <c r="E326">
        <v>0</v>
      </c>
      <c r="F326">
        <v>0</v>
      </c>
      <c r="G326">
        <v>0</v>
      </c>
      <c r="H326">
        <v>0</v>
      </c>
      <c r="I326">
        <v>1</v>
      </c>
      <c r="J326">
        <v>0</v>
      </c>
      <c r="K326">
        <v>1</v>
      </c>
      <c r="L326">
        <v>0</v>
      </c>
      <c r="M326">
        <v>0</v>
      </c>
    </row>
    <row r="327" spans="1:13" x14ac:dyDescent="0.3">
      <c r="A327">
        <v>8.7506830347845916</v>
      </c>
      <c r="B327">
        <v>-4.6051701859880909</v>
      </c>
      <c r="C327">
        <v>16</v>
      </c>
      <c r="D327">
        <v>1.5</v>
      </c>
      <c r="E327">
        <v>0</v>
      </c>
      <c r="F327">
        <v>0</v>
      </c>
      <c r="G327">
        <v>1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</v>
      </c>
    </row>
    <row r="328" spans="1:13" x14ac:dyDescent="0.3">
      <c r="A328">
        <v>8.7471931835269334</v>
      </c>
      <c r="B328">
        <v>4.1745411042163774</v>
      </c>
      <c r="C328">
        <v>8</v>
      </c>
      <c r="D328">
        <v>1</v>
      </c>
      <c r="E328">
        <v>0</v>
      </c>
      <c r="F328">
        <v>0</v>
      </c>
      <c r="G328">
        <v>0</v>
      </c>
      <c r="H328">
        <v>1</v>
      </c>
      <c r="I328">
        <v>0</v>
      </c>
      <c r="J328">
        <v>0</v>
      </c>
      <c r="K328">
        <v>1</v>
      </c>
      <c r="L328">
        <v>0</v>
      </c>
      <c r="M328">
        <v>0</v>
      </c>
    </row>
    <row r="329" spans="1:13" x14ac:dyDescent="0.3">
      <c r="A329">
        <v>8.7261566791566132</v>
      </c>
      <c r="B329">
        <v>4.7875750726433504</v>
      </c>
      <c r="C329">
        <v>43</v>
      </c>
      <c r="D329">
        <v>4</v>
      </c>
      <c r="E329">
        <v>0</v>
      </c>
      <c r="F329">
        <v>1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</row>
    <row r="330" spans="1:13" x14ac:dyDescent="0.3">
      <c r="A330">
        <v>8.7246950467404911</v>
      </c>
      <c r="B330">
        <v>5.0107019585407988</v>
      </c>
      <c r="C330">
        <v>84</v>
      </c>
      <c r="D330">
        <v>5</v>
      </c>
      <c r="E330">
        <v>0</v>
      </c>
      <c r="F330">
        <v>0</v>
      </c>
      <c r="G330">
        <v>0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1</v>
      </c>
    </row>
    <row r="331" spans="1:13" x14ac:dyDescent="0.3">
      <c r="A331">
        <v>8.7216023446741975</v>
      </c>
      <c r="B331">
        <v>3.9122229854308124</v>
      </c>
      <c r="C331">
        <v>15</v>
      </c>
      <c r="D331">
        <v>2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1</v>
      </c>
      <c r="L331">
        <v>0</v>
      </c>
      <c r="M331">
        <v>0</v>
      </c>
    </row>
    <row r="332" spans="1:13" x14ac:dyDescent="0.3">
      <c r="A332">
        <v>8.7216023446741975</v>
      </c>
      <c r="B332">
        <v>5.273050839300149</v>
      </c>
      <c r="C332">
        <v>50</v>
      </c>
      <c r="D332">
        <v>6.5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0</v>
      </c>
      <c r="M332">
        <v>1</v>
      </c>
    </row>
    <row r="333" spans="1:13" x14ac:dyDescent="0.3">
      <c r="A333">
        <v>8.7188270592425656</v>
      </c>
      <c r="B333">
        <v>3.8068846873048412</v>
      </c>
      <c r="C333">
        <v>28</v>
      </c>
      <c r="D333">
        <v>2.5</v>
      </c>
      <c r="E333">
        <v>0</v>
      </c>
      <c r="F333">
        <v>0</v>
      </c>
      <c r="G333">
        <v>1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</v>
      </c>
    </row>
    <row r="334" spans="1:13" x14ac:dyDescent="0.3">
      <c r="A334">
        <v>8.7130888682373104</v>
      </c>
      <c r="B334">
        <v>5.2470767023544402</v>
      </c>
      <c r="C334">
        <v>135</v>
      </c>
      <c r="D334">
        <v>9.5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1</v>
      </c>
      <c r="L334">
        <v>0</v>
      </c>
      <c r="M334">
        <v>0</v>
      </c>
    </row>
    <row r="335" spans="1:13" x14ac:dyDescent="0.3">
      <c r="A335">
        <v>8.711607995897575</v>
      </c>
      <c r="B335">
        <v>5.273050839300149</v>
      </c>
      <c r="C335">
        <v>66</v>
      </c>
      <c r="D335">
        <v>9</v>
      </c>
      <c r="E335">
        <v>0</v>
      </c>
      <c r="F335">
        <v>0</v>
      </c>
      <c r="G335">
        <v>1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</v>
      </c>
    </row>
    <row r="336" spans="1:13" x14ac:dyDescent="0.3">
      <c r="A336">
        <v>8.7008471934439715</v>
      </c>
      <c r="B336">
        <v>2.996232148595642</v>
      </c>
      <c r="C336">
        <v>35</v>
      </c>
      <c r="D336">
        <v>4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0</v>
      </c>
      <c r="M336">
        <v>1</v>
      </c>
    </row>
    <row r="337" spans="1:13" x14ac:dyDescent="0.3">
      <c r="A337">
        <v>8.6995147482101913</v>
      </c>
      <c r="B337">
        <v>4.5539821492186583</v>
      </c>
      <c r="C337">
        <v>25</v>
      </c>
      <c r="D337">
        <v>1.5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1</v>
      </c>
    </row>
    <row r="338" spans="1:13" x14ac:dyDescent="0.3">
      <c r="A338">
        <v>8.6931612742380171</v>
      </c>
      <c r="B338">
        <v>4.6052701809884251</v>
      </c>
      <c r="C338">
        <v>132</v>
      </c>
      <c r="D338">
        <v>16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1</v>
      </c>
      <c r="L338">
        <v>0</v>
      </c>
      <c r="M338">
        <v>0</v>
      </c>
    </row>
    <row r="339" spans="1:13" x14ac:dyDescent="0.3">
      <c r="A339">
        <v>8.6862606325317753</v>
      </c>
      <c r="B339">
        <v>3.9122229854308124</v>
      </c>
      <c r="C339">
        <v>42</v>
      </c>
      <c r="D339">
        <v>4.5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</row>
    <row r="340" spans="1:13" x14ac:dyDescent="0.3">
      <c r="A340">
        <v>8.6675079520751055</v>
      </c>
      <c r="B340">
        <v>4.7005712707513441</v>
      </c>
      <c r="C340">
        <v>114</v>
      </c>
      <c r="D340">
        <v>6</v>
      </c>
      <c r="E340">
        <v>0</v>
      </c>
      <c r="F340">
        <v>0</v>
      </c>
      <c r="G340">
        <v>0</v>
      </c>
      <c r="H340">
        <v>0</v>
      </c>
      <c r="I340">
        <v>1</v>
      </c>
      <c r="J340">
        <v>0</v>
      </c>
      <c r="K340">
        <v>0</v>
      </c>
      <c r="L340">
        <v>0</v>
      </c>
      <c r="M340">
        <v>1</v>
      </c>
    </row>
    <row r="341" spans="1:13" x14ac:dyDescent="0.3">
      <c r="A341">
        <v>8.6671637179925334</v>
      </c>
      <c r="B341">
        <v>5.2983673652980787</v>
      </c>
      <c r="C341">
        <v>61</v>
      </c>
      <c r="D341">
        <v>15</v>
      </c>
      <c r="E341">
        <v>0</v>
      </c>
      <c r="F341">
        <v>0</v>
      </c>
      <c r="G341">
        <v>0</v>
      </c>
      <c r="H341">
        <v>0</v>
      </c>
      <c r="I341">
        <v>1</v>
      </c>
      <c r="J341">
        <v>0</v>
      </c>
      <c r="K341">
        <v>0</v>
      </c>
      <c r="L341">
        <v>0</v>
      </c>
      <c r="M341">
        <v>1</v>
      </c>
    </row>
    <row r="342" spans="1:13" x14ac:dyDescent="0.3">
      <c r="A342">
        <v>8.66561319653451</v>
      </c>
      <c r="B342">
        <v>4.6052701809884251</v>
      </c>
      <c r="C342">
        <v>32</v>
      </c>
      <c r="D342">
        <v>3.5</v>
      </c>
      <c r="E342">
        <v>0</v>
      </c>
      <c r="F342">
        <v>0</v>
      </c>
      <c r="G342">
        <v>0</v>
      </c>
      <c r="H342">
        <v>1</v>
      </c>
      <c r="I342">
        <v>0</v>
      </c>
      <c r="J342">
        <v>0</v>
      </c>
      <c r="K342">
        <v>0</v>
      </c>
      <c r="L342">
        <v>1</v>
      </c>
      <c r="M342">
        <v>0</v>
      </c>
    </row>
    <row r="343" spans="1:13" x14ac:dyDescent="0.3">
      <c r="A343">
        <v>8.6647507557738521</v>
      </c>
      <c r="B343">
        <v>2.996232148595642</v>
      </c>
      <c r="C343">
        <v>29</v>
      </c>
      <c r="D343">
        <v>2.5</v>
      </c>
      <c r="E343">
        <v>0</v>
      </c>
      <c r="F343">
        <v>1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</row>
    <row r="344" spans="1:13" x14ac:dyDescent="0.3">
      <c r="A344">
        <v>8.6550402581083627</v>
      </c>
      <c r="B344">
        <v>5.2983673652980787</v>
      </c>
      <c r="C344">
        <v>29</v>
      </c>
      <c r="D344">
        <v>2.5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</v>
      </c>
      <c r="K344">
        <v>1</v>
      </c>
      <c r="L344">
        <v>0</v>
      </c>
      <c r="M344">
        <v>0</v>
      </c>
    </row>
    <row r="345" spans="1:13" x14ac:dyDescent="0.3">
      <c r="A345">
        <v>8.6548659965413108</v>
      </c>
      <c r="B345">
        <v>4.5539821492186583</v>
      </c>
      <c r="C345">
        <v>35</v>
      </c>
      <c r="D345">
        <v>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0</v>
      </c>
      <c r="L345">
        <v>0</v>
      </c>
      <c r="M345">
        <v>1</v>
      </c>
    </row>
    <row r="346" spans="1:13" x14ac:dyDescent="0.3">
      <c r="A346">
        <v>8.6508495762289108</v>
      </c>
      <c r="B346">
        <v>4.6052701809884251</v>
      </c>
      <c r="C346">
        <v>31</v>
      </c>
      <c r="D346">
        <v>3</v>
      </c>
      <c r="E346">
        <v>0</v>
      </c>
      <c r="F346">
        <v>0</v>
      </c>
      <c r="G346">
        <v>0</v>
      </c>
      <c r="H346">
        <v>1</v>
      </c>
      <c r="I346">
        <v>0</v>
      </c>
      <c r="J346">
        <v>0</v>
      </c>
      <c r="K346">
        <v>0</v>
      </c>
      <c r="L346">
        <v>1</v>
      </c>
      <c r="M346">
        <v>0</v>
      </c>
    </row>
    <row r="347" spans="1:13" x14ac:dyDescent="0.3">
      <c r="A347">
        <v>8.6310574475652846</v>
      </c>
      <c r="B347">
        <v>5.2983673652980787</v>
      </c>
      <c r="C347">
        <v>47</v>
      </c>
      <c r="D347">
        <v>4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1</v>
      </c>
      <c r="L347">
        <v>0</v>
      </c>
      <c r="M347">
        <v>0</v>
      </c>
    </row>
    <row r="348" spans="1:13" x14ac:dyDescent="0.3">
      <c r="A348">
        <v>8.6231735149534696</v>
      </c>
      <c r="B348">
        <v>5.2983673652980787</v>
      </c>
      <c r="C348">
        <v>21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</v>
      </c>
      <c r="K348">
        <v>0</v>
      </c>
      <c r="L348">
        <v>0</v>
      </c>
      <c r="M348">
        <v>1</v>
      </c>
    </row>
    <row r="349" spans="1:13" x14ac:dyDescent="0.3">
      <c r="A349">
        <v>8.6213730103259021</v>
      </c>
      <c r="B349">
        <v>3.9122229854308124</v>
      </c>
      <c r="C349">
        <v>143</v>
      </c>
      <c r="D349">
        <v>15.5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</row>
    <row r="350" spans="1:13" x14ac:dyDescent="0.3">
      <c r="A350">
        <v>8.6210125200552348</v>
      </c>
      <c r="B350">
        <v>3.6891294228691436</v>
      </c>
      <c r="C350">
        <v>40</v>
      </c>
      <c r="D350">
        <v>3.5</v>
      </c>
      <c r="E350">
        <v>0</v>
      </c>
      <c r="F350">
        <v>0</v>
      </c>
      <c r="G350">
        <v>1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</row>
    <row r="351" spans="1:13" x14ac:dyDescent="0.3">
      <c r="A351">
        <v>8.6201107254229239</v>
      </c>
      <c r="B351">
        <v>-4.6051701859880909</v>
      </c>
      <c r="C351">
        <v>9</v>
      </c>
      <c r="D351">
        <v>1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1</v>
      </c>
      <c r="K351">
        <v>0</v>
      </c>
      <c r="L351">
        <v>0</v>
      </c>
      <c r="M351">
        <v>1</v>
      </c>
    </row>
    <row r="352" spans="1:13" x14ac:dyDescent="0.3">
      <c r="A352">
        <v>8.618485442898109</v>
      </c>
      <c r="B352">
        <v>-4.6051701859880909</v>
      </c>
      <c r="C352">
        <v>11</v>
      </c>
      <c r="D352">
        <v>1</v>
      </c>
      <c r="E352">
        <v>0</v>
      </c>
      <c r="F352">
        <v>0</v>
      </c>
      <c r="G352">
        <v>0</v>
      </c>
      <c r="H352">
        <v>1</v>
      </c>
      <c r="I352">
        <v>0</v>
      </c>
      <c r="J352">
        <v>0</v>
      </c>
      <c r="K352">
        <v>1</v>
      </c>
      <c r="L352">
        <v>0</v>
      </c>
      <c r="M352">
        <v>0</v>
      </c>
    </row>
    <row r="353" spans="1:13" x14ac:dyDescent="0.3">
      <c r="A353">
        <v>8.6115938668377225</v>
      </c>
      <c r="B353">
        <v>5.0107019585407988</v>
      </c>
      <c r="C353">
        <v>18</v>
      </c>
      <c r="D353">
        <v>1.5</v>
      </c>
      <c r="E353">
        <v>0</v>
      </c>
      <c r="F353">
        <v>0</v>
      </c>
      <c r="G353">
        <v>0</v>
      </c>
      <c r="H353">
        <v>0</v>
      </c>
      <c r="I353">
        <v>1</v>
      </c>
      <c r="J353">
        <v>0</v>
      </c>
      <c r="K353">
        <v>1</v>
      </c>
      <c r="L353">
        <v>0</v>
      </c>
      <c r="M353">
        <v>0</v>
      </c>
    </row>
    <row r="354" spans="1:13" x14ac:dyDescent="0.3">
      <c r="A354">
        <v>8.609590040682205</v>
      </c>
      <c r="B354">
        <v>4.8283937341024714</v>
      </c>
      <c r="C354">
        <v>92</v>
      </c>
      <c r="D354">
        <v>12.5</v>
      </c>
      <c r="E354">
        <v>0</v>
      </c>
      <c r="F354">
        <v>0</v>
      </c>
      <c r="G354">
        <v>0</v>
      </c>
      <c r="H354">
        <v>1</v>
      </c>
      <c r="I354">
        <v>0</v>
      </c>
      <c r="J354">
        <v>0</v>
      </c>
      <c r="K354">
        <v>0</v>
      </c>
      <c r="L354">
        <v>0</v>
      </c>
      <c r="M354">
        <v>1</v>
      </c>
    </row>
    <row r="355" spans="1:13" x14ac:dyDescent="0.3">
      <c r="A355">
        <v>8.6044711995232976</v>
      </c>
      <c r="B355">
        <v>4.6052701809884251</v>
      </c>
      <c r="C355">
        <v>25</v>
      </c>
      <c r="D355">
        <v>1</v>
      </c>
      <c r="E355">
        <v>0</v>
      </c>
      <c r="F355">
        <v>1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</row>
    <row r="356" spans="1:13" x14ac:dyDescent="0.3">
      <c r="A356">
        <v>8.6013504994229599</v>
      </c>
      <c r="B356">
        <v>5.2983673652980787</v>
      </c>
      <c r="C356">
        <v>24</v>
      </c>
      <c r="D356">
        <v>4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</v>
      </c>
      <c r="K356">
        <v>1</v>
      </c>
      <c r="L356">
        <v>0</v>
      </c>
      <c r="M356">
        <v>0</v>
      </c>
    </row>
    <row r="357" spans="1:13" x14ac:dyDescent="0.3">
      <c r="A357">
        <v>8.5980355792603387</v>
      </c>
      <c r="B357">
        <v>-4.6051701859880909</v>
      </c>
      <c r="C357">
        <v>20</v>
      </c>
      <c r="D357">
        <v>1.5</v>
      </c>
      <c r="E357">
        <v>0</v>
      </c>
      <c r="F357">
        <v>0</v>
      </c>
      <c r="G357">
        <v>0</v>
      </c>
      <c r="H357">
        <v>1</v>
      </c>
      <c r="I357">
        <v>0</v>
      </c>
      <c r="J357">
        <v>0</v>
      </c>
      <c r="K357">
        <v>1</v>
      </c>
      <c r="L357">
        <v>0</v>
      </c>
      <c r="M357">
        <v>0</v>
      </c>
    </row>
    <row r="358" spans="1:13" x14ac:dyDescent="0.3">
      <c r="A358">
        <v>8.5937837935779502</v>
      </c>
      <c r="B358">
        <v>3.9122229854308124</v>
      </c>
      <c r="C358">
        <v>83</v>
      </c>
      <c r="D358">
        <v>10.5</v>
      </c>
      <c r="E358">
        <v>0</v>
      </c>
      <c r="F358">
        <v>0</v>
      </c>
      <c r="G358">
        <v>1</v>
      </c>
      <c r="H358">
        <v>0</v>
      </c>
      <c r="I358">
        <v>0</v>
      </c>
      <c r="J358">
        <v>0</v>
      </c>
      <c r="K358">
        <v>1</v>
      </c>
      <c r="L358">
        <v>0</v>
      </c>
      <c r="M358">
        <v>0</v>
      </c>
    </row>
    <row r="359" spans="1:13" x14ac:dyDescent="0.3">
      <c r="A359">
        <v>8.5935985226186435</v>
      </c>
      <c r="B359">
        <v>-4.6051701859880909</v>
      </c>
      <c r="C359">
        <v>36</v>
      </c>
      <c r="D359">
        <v>2.5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0</v>
      </c>
      <c r="L359">
        <v>0</v>
      </c>
      <c r="M359">
        <v>1</v>
      </c>
    </row>
    <row r="360" spans="1:13" x14ac:dyDescent="0.3">
      <c r="A360">
        <v>8.5917439226805339</v>
      </c>
      <c r="B360">
        <v>3.6891294228691436</v>
      </c>
      <c r="C360">
        <v>15</v>
      </c>
      <c r="D360">
        <v>1</v>
      </c>
      <c r="E360">
        <v>0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1</v>
      </c>
    </row>
    <row r="361" spans="1:13" x14ac:dyDescent="0.3">
      <c r="A361">
        <v>8.5882106786515173</v>
      </c>
      <c r="B361">
        <v>3.5556337349665741</v>
      </c>
      <c r="C361">
        <v>20</v>
      </c>
      <c r="D361">
        <v>2</v>
      </c>
      <c r="E361">
        <v>0</v>
      </c>
      <c r="F361">
        <v>0</v>
      </c>
      <c r="G361">
        <v>0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1</v>
      </c>
    </row>
    <row r="362" spans="1:13" x14ac:dyDescent="0.3">
      <c r="A362">
        <v>8.5850387383113045</v>
      </c>
      <c r="B362">
        <v>-4.6051701859880909</v>
      </c>
      <c r="C362">
        <v>13</v>
      </c>
      <c r="D362">
        <v>1.5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1</v>
      </c>
      <c r="M362">
        <v>0</v>
      </c>
    </row>
    <row r="363" spans="1:13" x14ac:dyDescent="0.3">
      <c r="A363">
        <v>8.5820441637358531</v>
      </c>
      <c r="B363">
        <v>5.273050839300149</v>
      </c>
      <c r="C363">
        <v>117</v>
      </c>
      <c r="D363">
        <v>14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1</v>
      </c>
    </row>
    <row r="364" spans="1:13" x14ac:dyDescent="0.3">
      <c r="A364">
        <v>8.5814816812985999</v>
      </c>
      <c r="B364">
        <v>5.2470767023544402</v>
      </c>
      <c r="C364">
        <v>160</v>
      </c>
      <c r="D364">
        <v>10.5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</v>
      </c>
      <c r="K364">
        <v>1</v>
      </c>
      <c r="L364">
        <v>0</v>
      </c>
      <c r="M364">
        <v>0</v>
      </c>
    </row>
    <row r="365" spans="1:13" x14ac:dyDescent="0.3">
      <c r="A365">
        <v>8.5807312122202255</v>
      </c>
      <c r="B365">
        <v>2.996232148595642</v>
      </c>
      <c r="C365">
        <v>28</v>
      </c>
      <c r="D365">
        <v>3.5</v>
      </c>
      <c r="E365">
        <v>0</v>
      </c>
      <c r="F365">
        <v>0</v>
      </c>
      <c r="G365">
        <v>0</v>
      </c>
      <c r="H365">
        <v>0</v>
      </c>
      <c r="I365">
        <v>1</v>
      </c>
      <c r="J365">
        <v>0</v>
      </c>
      <c r="K365">
        <v>1</v>
      </c>
      <c r="L365">
        <v>0</v>
      </c>
      <c r="M365">
        <v>0</v>
      </c>
    </row>
    <row r="366" spans="1:13" x14ac:dyDescent="0.3">
      <c r="A366">
        <v>8.5799801795150028</v>
      </c>
      <c r="B366">
        <v>3.4015306594522756</v>
      </c>
      <c r="C366">
        <v>14</v>
      </c>
      <c r="D366">
        <v>2.5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</v>
      </c>
      <c r="K366">
        <v>0</v>
      </c>
      <c r="L366">
        <v>0</v>
      </c>
      <c r="M366">
        <v>1</v>
      </c>
    </row>
    <row r="367" spans="1:13" x14ac:dyDescent="0.3">
      <c r="A367">
        <v>8.5788525718029653</v>
      </c>
      <c r="B367">
        <v>2.996232148595642</v>
      </c>
      <c r="C367">
        <v>13</v>
      </c>
      <c r="D367">
        <v>1.5</v>
      </c>
      <c r="E367">
        <v>0</v>
      </c>
      <c r="F367">
        <v>0</v>
      </c>
      <c r="G367">
        <v>0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1</v>
      </c>
    </row>
    <row r="368" spans="1:13" x14ac:dyDescent="0.3">
      <c r="A368">
        <v>8.5756507609878057</v>
      </c>
      <c r="B368">
        <v>-4.6051701859880909</v>
      </c>
      <c r="C368">
        <v>6</v>
      </c>
      <c r="D368">
        <v>0.5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</v>
      </c>
      <c r="K368">
        <v>1</v>
      </c>
      <c r="L368">
        <v>0</v>
      </c>
      <c r="M368">
        <v>0</v>
      </c>
    </row>
    <row r="369" spans="1:13" x14ac:dyDescent="0.3">
      <c r="A369">
        <v>8.5714919648236165</v>
      </c>
      <c r="B369">
        <v>3.9122229854308124</v>
      </c>
      <c r="C369">
        <v>123</v>
      </c>
      <c r="D369">
        <v>14.5</v>
      </c>
      <c r="E369">
        <v>0</v>
      </c>
      <c r="F369">
        <v>0</v>
      </c>
      <c r="G369">
        <v>0</v>
      </c>
      <c r="H369">
        <v>0</v>
      </c>
      <c r="I369">
        <v>1</v>
      </c>
      <c r="J369">
        <v>0</v>
      </c>
      <c r="K369">
        <v>1</v>
      </c>
      <c r="L369">
        <v>0</v>
      </c>
      <c r="M369">
        <v>0</v>
      </c>
    </row>
    <row r="370" spans="1:13" x14ac:dyDescent="0.3">
      <c r="A370">
        <v>8.5701650761823434</v>
      </c>
      <c r="B370">
        <v>2.996232148595642</v>
      </c>
      <c r="C370">
        <v>24</v>
      </c>
      <c r="D370">
        <v>2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1</v>
      </c>
      <c r="L370">
        <v>0</v>
      </c>
      <c r="M370">
        <v>0</v>
      </c>
    </row>
    <row r="371" spans="1:13" x14ac:dyDescent="0.3">
      <c r="A371">
        <v>8.5684564853537797</v>
      </c>
      <c r="B371">
        <v>4.3176214379815452</v>
      </c>
      <c r="C371">
        <v>29</v>
      </c>
      <c r="D371">
        <v>2</v>
      </c>
      <c r="E371">
        <v>0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0</v>
      </c>
      <c r="L371">
        <v>0</v>
      </c>
      <c r="M371">
        <v>1</v>
      </c>
    </row>
    <row r="372" spans="1:13" x14ac:dyDescent="0.3">
      <c r="A372">
        <v>8.5617840747441125</v>
      </c>
      <c r="B372">
        <v>2.996232148595642</v>
      </c>
      <c r="C372">
        <v>27</v>
      </c>
      <c r="D372">
        <v>2.5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0</v>
      </c>
      <c r="M372">
        <v>1</v>
      </c>
    </row>
    <row r="373" spans="1:13" x14ac:dyDescent="0.3">
      <c r="A373">
        <v>8.5585270549092147</v>
      </c>
      <c r="B373">
        <v>5.2983673652980787</v>
      </c>
      <c r="C373">
        <v>133</v>
      </c>
      <c r="D373">
        <v>19.5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1</v>
      </c>
    </row>
    <row r="374" spans="1:13" x14ac:dyDescent="0.3">
      <c r="A374">
        <v>8.5527533668147875</v>
      </c>
      <c r="B374">
        <v>-4.6051701859880909</v>
      </c>
      <c r="C374">
        <v>22</v>
      </c>
      <c r="D374">
        <v>2.5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1</v>
      </c>
      <c r="K374">
        <v>1</v>
      </c>
      <c r="L374">
        <v>0</v>
      </c>
      <c r="M374">
        <v>0</v>
      </c>
    </row>
    <row r="375" spans="1:13" x14ac:dyDescent="0.3">
      <c r="A375">
        <v>8.5519810169019017</v>
      </c>
      <c r="B375">
        <v>4.5539821492186583</v>
      </c>
      <c r="C375">
        <v>70</v>
      </c>
      <c r="D375">
        <v>13.5</v>
      </c>
      <c r="E375">
        <v>0</v>
      </c>
      <c r="F375">
        <v>0</v>
      </c>
      <c r="G375">
        <v>0</v>
      </c>
      <c r="H375">
        <v>1</v>
      </c>
      <c r="I375">
        <v>0</v>
      </c>
      <c r="J375">
        <v>0</v>
      </c>
      <c r="K375">
        <v>1</v>
      </c>
      <c r="L375">
        <v>0</v>
      </c>
      <c r="M375">
        <v>0</v>
      </c>
    </row>
    <row r="376" spans="1:13" x14ac:dyDescent="0.3">
      <c r="A376">
        <v>8.546946149565585</v>
      </c>
      <c r="B376">
        <v>4.7005712707513441</v>
      </c>
      <c r="C376">
        <v>115</v>
      </c>
      <c r="D376">
        <v>12.5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1</v>
      </c>
    </row>
    <row r="377" spans="1:13" x14ac:dyDescent="0.3">
      <c r="A377">
        <v>8.5453918457749154</v>
      </c>
      <c r="B377">
        <v>3.9122229854308124</v>
      </c>
      <c r="C377">
        <v>80</v>
      </c>
      <c r="D377">
        <v>12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1</v>
      </c>
      <c r="L377">
        <v>0</v>
      </c>
      <c r="M377">
        <v>0</v>
      </c>
    </row>
    <row r="378" spans="1:13" x14ac:dyDescent="0.3">
      <c r="A378">
        <v>8.5426659873892685</v>
      </c>
      <c r="B378">
        <v>5.2983673652980787</v>
      </c>
      <c r="C378">
        <v>35</v>
      </c>
      <c r="D378">
        <v>1.5</v>
      </c>
      <c r="E378">
        <v>0</v>
      </c>
      <c r="F378">
        <v>0</v>
      </c>
      <c r="G378">
        <v>0</v>
      </c>
      <c r="H378">
        <v>1</v>
      </c>
      <c r="I378">
        <v>0</v>
      </c>
      <c r="J378">
        <v>0</v>
      </c>
      <c r="K378">
        <v>1</v>
      </c>
      <c r="L378">
        <v>0</v>
      </c>
      <c r="M378">
        <v>0</v>
      </c>
    </row>
    <row r="379" spans="1:13" x14ac:dyDescent="0.3">
      <c r="A379">
        <v>8.5418858040066095</v>
      </c>
      <c r="B379">
        <v>2.996232148595642</v>
      </c>
      <c r="C379">
        <v>53</v>
      </c>
      <c r="D379">
        <v>7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0</v>
      </c>
      <c r="K379">
        <v>0</v>
      </c>
      <c r="L379">
        <v>0</v>
      </c>
      <c r="M379">
        <v>0</v>
      </c>
    </row>
    <row r="380" spans="1:13" x14ac:dyDescent="0.3">
      <c r="A380">
        <v>8.5403236088050924</v>
      </c>
      <c r="B380">
        <v>4.6052701809884251</v>
      </c>
      <c r="C380">
        <v>138</v>
      </c>
      <c r="D380">
        <v>14.5</v>
      </c>
      <c r="E380">
        <v>0</v>
      </c>
      <c r="F380">
        <v>0</v>
      </c>
      <c r="G380">
        <v>0</v>
      </c>
      <c r="H380">
        <v>1</v>
      </c>
      <c r="I380">
        <v>0</v>
      </c>
      <c r="J380">
        <v>0</v>
      </c>
      <c r="K380">
        <v>1</v>
      </c>
      <c r="L380">
        <v>0</v>
      </c>
      <c r="M380">
        <v>0</v>
      </c>
    </row>
    <row r="381" spans="1:13" x14ac:dyDescent="0.3">
      <c r="A381">
        <v>8.5364074103400416</v>
      </c>
      <c r="B381">
        <v>4.6052701809884251</v>
      </c>
      <c r="C381">
        <v>37</v>
      </c>
      <c r="D381">
        <v>2</v>
      </c>
      <c r="E381">
        <v>0</v>
      </c>
      <c r="F381">
        <v>0</v>
      </c>
      <c r="G381">
        <v>0</v>
      </c>
      <c r="H381">
        <v>0</v>
      </c>
      <c r="I381">
        <v>1</v>
      </c>
      <c r="J381">
        <v>0</v>
      </c>
      <c r="K381">
        <v>1</v>
      </c>
      <c r="L381">
        <v>0</v>
      </c>
      <c r="M381">
        <v>0</v>
      </c>
    </row>
    <row r="382" spans="1:13" x14ac:dyDescent="0.3">
      <c r="A382">
        <v>8.5348366265888327</v>
      </c>
      <c r="B382">
        <v>4.6052701809884251</v>
      </c>
      <c r="C382">
        <v>29</v>
      </c>
      <c r="D382">
        <v>3.5</v>
      </c>
      <c r="E382">
        <v>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0</v>
      </c>
      <c r="L382">
        <v>0</v>
      </c>
      <c r="M382">
        <v>1</v>
      </c>
    </row>
    <row r="383" spans="1:13" x14ac:dyDescent="0.3">
      <c r="A383">
        <v>8.5340503084826604</v>
      </c>
      <c r="B383">
        <v>5.273050839300149</v>
      </c>
      <c r="C383">
        <v>27</v>
      </c>
      <c r="D383">
        <v>6.5</v>
      </c>
      <c r="E383">
        <v>0</v>
      </c>
      <c r="F383">
        <v>0</v>
      </c>
      <c r="G383">
        <v>1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</row>
    <row r="384" spans="1:13" x14ac:dyDescent="0.3">
      <c r="A384">
        <v>8.5324758149473947</v>
      </c>
      <c r="B384">
        <v>3.8068846873048412</v>
      </c>
      <c r="C384">
        <v>66</v>
      </c>
      <c r="D384">
        <v>3.5</v>
      </c>
      <c r="E384">
        <v>0</v>
      </c>
      <c r="F384">
        <v>0</v>
      </c>
      <c r="G384">
        <v>0</v>
      </c>
      <c r="H384">
        <v>1</v>
      </c>
      <c r="I384">
        <v>0</v>
      </c>
      <c r="J384">
        <v>0</v>
      </c>
      <c r="K384">
        <v>0</v>
      </c>
      <c r="L384">
        <v>0</v>
      </c>
      <c r="M384">
        <v>1</v>
      </c>
    </row>
    <row r="385" spans="1:13" x14ac:dyDescent="0.3">
      <c r="A385">
        <v>8.5301094166827838</v>
      </c>
      <c r="B385">
        <v>4.5539821492186583</v>
      </c>
      <c r="C385">
        <v>12</v>
      </c>
      <c r="D385">
        <v>0.53333333000000005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0</v>
      </c>
      <c r="L385">
        <v>0</v>
      </c>
      <c r="M385">
        <v>1</v>
      </c>
    </row>
    <row r="386" spans="1:13" x14ac:dyDescent="0.3">
      <c r="A386">
        <v>8.528330935826693</v>
      </c>
      <c r="B386">
        <v>2.996232148595642</v>
      </c>
      <c r="C386">
        <v>11</v>
      </c>
      <c r="D386">
        <v>2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1</v>
      </c>
    </row>
    <row r="387" spans="1:13" x14ac:dyDescent="0.3">
      <c r="A387">
        <v>8.527539483470381</v>
      </c>
      <c r="B387">
        <v>-4.6051701859880909</v>
      </c>
      <c r="C387">
        <v>23</v>
      </c>
      <c r="D387">
        <v>1.5</v>
      </c>
      <c r="E387">
        <v>0</v>
      </c>
      <c r="F387">
        <v>0</v>
      </c>
      <c r="G387">
        <v>1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0</v>
      </c>
    </row>
    <row r="388" spans="1:13" x14ac:dyDescent="0.3">
      <c r="A388">
        <v>8.5223797181035383</v>
      </c>
      <c r="B388">
        <v>4.3821516268620329</v>
      </c>
      <c r="C388">
        <v>43</v>
      </c>
      <c r="D388">
        <v>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1</v>
      </c>
      <c r="M388">
        <v>0</v>
      </c>
    </row>
    <row r="389" spans="1:13" x14ac:dyDescent="0.3">
      <c r="A389">
        <v>8.5215835397175308</v>
      </c>
      <c r="B389">
        <v>4.3176214379815452</v>
      </c>
      <c r="C389">
        <v>13</v>
      </c>
      <c r="D389">
        <v>1</v>
      </c>
      <c r="E389">
        <v>0</v>
      </c>
      <c r="F389">
        <v>0</v>
      </c>
      <c r="G389">
        <v>0</v>
      </c>
      <c r="H389">
        <v>0</v>
      </c>
      <c r="I389">
        <v>1</v>
      </c>
      <c r="J389">
        <v>0</v>
      </c>
      <c r="K389">
        <v>1</v>
      </c>
      <c r="L389">
        <v>0</v>
      </c>
      <c r="M389">
        <v>0</v>
      </c>
    </row>
    <row r="390" spans="1:13" x14ac:dyDescent="0.3">
      <c r="A390">
        <v>8.5199892787182385</v>
      </c>
      <c r="B390">
        <v>-4.6051701859880909</v>
      </c>
      <c r="C390">
        <v>32</v>
      </c>
      <c r="D390">
        <v>3</v>
      </c>
      <c r="E390">
        <v>0</v>
      </c>
      <c r="F390">
        <v>0</v>
      </c>
      <c r="G390">
        <v>0</v>
      </c>
      <c r="H390">
        <v>1</v>
      </c>
      <c r="I390">
        <v>0</v>
      </c>
      <c r="J390">
        <v>0</v>
      </c>
      <c r="K390">
        <v>0</v>
      </c>
      <c r="L390">
        <v>1</v>
      </c>
      <c r="M390">
        <v>0</v>
      </c>
    </row>
    <row r="391" spans="1:13" x14ac:dyDescent="0.3">
      <c r="A391">
        <v>8.5179928715868023</v>
      </c>
      <c r="B391">
        <v>-4.6051701859880909</v>
      </c>
      <c r="C391">
        <v>21</v>
      </c>
      <c r="D391">
        <v>3</v>
      </c>
      <c r="E391">
        <v>0</v>
      </c>
      <c r="F391">
        <v>0</v>
      </c>
      <c r="G391">
        <v>0</v>
      </c>
      <c r="H391">
        <v>1</v>
      </c>
      <c r="I391">
        <v>0</v>
      </c>
      <c r="J391">
        <v>0</v>
      </c>
      <c r="K391">
        <v>0</v>
      </c>
      <c r="L391">
        <v>0</v>
      </c>
      <c r="M391">
        <v>1</v>
      </c>
    </row>
    <row r="392" spans="1:13" x14ac:dyDescent="0.3">
      <c r="A392">
        <v>8.5085559980205741</v>
      </c>
      <c r="B392">
        <v>4.4999207752689943</v>
      </c>
      <c r="C392">
        <v>60</v>
      </c>
      <c r="D392">
        <v>5.5</v>
      </c>
      <c r="E392">
        <v>0</v>
      </c>
      <c r="F392">
        <v>0</v>
      </c>
      <c r="G392">
        <v>1</v>
      </c>
      <c r="H392">
        <v>0</v>
      </c>
      <c r="I392">
        <v>0</v>
      </c>
      <c r="J392">
        <v>0</v>
      </c>
      <c r="K392">
        <v>1</v>
      </c>
      <c r="L392">
        <v>0</v>
      </c>
      <c r="M392">
        <v>0</v>
      </c>
    </row>
    <row r="393" spans="1:13" x14ac:dyDescent="0.3">
      <c r="A393">
        <v>8.4980103719994631</v>
      </c>
      <c r="B393">
        <v>-4.6051701859880909</v>
      </c>
      <c r="C393">
        <v>13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1</v>
      </c>
      <c r="L393">
        <v>0</v>
      </c>
      <c r="M393">
        <v>0</v>
      </c>
    </row>
    <row r="394" spans="1:13" x14ac:dyDescent="0.3">
      <c r="A394">
        <v>8.4953564968070623</v>
      </c>
      <c r="B394">
        <v>3.9122229854308124</v>
      </c>
      <c r="C394">
        <v>32</v>
      </c>
      <c r="D394">
        <v>2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1</v>
      </c>
      <c r="L394">
        <v>0</v>
      </c>
      <c r="M394">
        <v>0</v>
      </c>
    </row>
    <row r="395" spans="1:13" x14ac:dyDescent="0.3">
      <c r="A395">
        <v>8.4912598093897333</v>
      </c>
      <c r="B395">
        <v>4.1745411042163774</v>
      </c>
      <c r="C395">
        <v>171</v>
      </c>
      <c r="D395">
        <v>19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</v>
      </c>
      <c r="K395">
        <v>0</v>
      </c>
      <c r="L395">
        <v>0</v>
      </c>
      <c r="M395">
        <v>1</v>
      </c>
    </row>
    <row r="396" spans="1:13" x14ac:dyDescent="0.3">
      <c r="A396">
        <v>8.4902330098334549</v>
      </c>
      <c r="B396">
        <v>2.996232148595642</v>
      </c>
      <c r="C396">
        <v>12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1</v>
      </c>
      <c r="J396">
        <v>0</v>
      </c>
      <c r="K396">
        <v>0</v>
      </c>
      <c r="L396">
        <v>0</v>
      </c>
      <c r="M396">
        <v>1</v>
      </c>
    </row>
    <row r="397" spans="1:13" x14ac:dyDescent="0.3">
      <c r="A397">
        <v>8.4863215277491495</v>
      </c>
      <c r="B397">
        <v>2.996232148595642</v>
      </c>
      <c r="C397">
        <v>17</v>
      </c>
      <c r="D397">
        <v>1.5</v>
      </c>
      <c r="E397">
        <v>0</v>
      </c>
      <c r="F397">
        <v>0</v>
      </c>
      <c r="G397">
        <v>0</v>
      </c>
      <c r="H397">
        <v>0</v>
      </c>
      <c r="I397">
        <v>1</v>
      </c>
      <c r="J397">
        <v>0</v>
      </c>
      <c r="K397">
        <v>1</v>
      </c>
      <c r="L397">
        <v>0</v>
      </c>
      <c r="M397">
        <v>0</v>
      </c>
    </row>
    <row r="398" spans="1:13" x14ac:dyDescent="0.3">
      <c r="A398">
        <v>8.4863215277491495</v>
      </c>
      <c r="B398">
        <v>3.4015306594522756</v>
      </c>
      <c r="C398">
        <v>123</v>
      </c>
      <c r="D398">
        <v>16.5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1</v>
      </c>
    </row>
    <row r="399" spans="1:13" x14ac:dyDescent="0.3">
      <c r="A399">
        <v>8.4844633667933191</v>
      </c>
      <c r="B399">
        <v>3.5556337349665741</v>
      </c>
      <c r="C399">
        <v>84</v>
      </c>
      <c r="D399">
        <v>4</v>
      </c>
      <c r="E399">
        <v>0</v>
      </c>
      <c r="F399">
        <v>0</v>
      </c>
      <c r="G399">
        <v>0</v>
      </c>
      <c r="H399">
        <v>1</v>
      </c>
      <c r="I399">
        <v>0</v>
      </c>
      <c r="J399">
        <v>0</v>
      </c>
      <c r="K399">
        <v>1</v>
      </c>
      <c r="L399">
        <v>0</v>
      </c>
      <c r="M399">
        <v>0</v>
      </c>
    </row>
    <row r="400" spans="1:13" x14ac:dyDescent="0.3">
      <c r="A400">
        <v>8.482601746646619</v>
      </c>
      <c r="B400">
        <v>-4.6051701859880909</v>
      </c>
      <c r="C400">
        <v>7</v>
      </c>
      <c r="D400">
        <v>0.53333333000000005</v>
      </c>
      <c r="E400">
        <v>0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1</v>
      </c>
      <c r="L400">
        <v>0</v>
      </c>
      <c r="M400">
        <v>0</v>
      </c>
    </row>
    <row r="401" spans="1:13" x14ac:dyDescent="0.3">
      <c r="A401">
        <v>8.4805292070446452</v>
      </c>
      <c r="B401">
        <v>4.3176214379815452</v>
      </c>
      <c r="C401">
        <v>53</v>
      </c>
      <c r="D401">
        <v>11.5</v>
      </c>
      <c r="E401">
        <v>0</v>
      </c>
      <c r="F401">
        <v>0</v>
      </c>
      <c r="G401">
        <v>0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1</v>
      </c>
    </row>
    <row r="402" spans="1:13" x14ac:dyDescent="0.3">
      <c r="A402">
        <v>8.4757460015020634</v>
      </c>
      <c r="B402">
        <v>4.1745411042163774</v>
      </c>
      <c r="C402">
        <v>11</v>
      </c>
      <c r="D402">
        <v>1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1</v>
      </c>
    </row>
    <row r="403" spans="1:13" x14ac:dyDescent="0.3">
      <c r="A403">
        <v>8.4728232436802973</v>
      </c>
      <c r="B403">
        <v>5.1648431151480656</v>
      </c>
      <c r="C403">
        <v>48</v>
      </c>
      <c r="D403">
        <v>7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</v>
      </c>
      <c r="K403">
        <v>0</v>
      </c>
      <c r="L403">
        <v>0</v>
      </c>
      <c r="M403">
        <v>1</v>
      </c>
    </row>
    <row r="404" spans="1:13" x14ac:dyDescent="0.3">
      <c r="A404">
        <v>8.4644251258775824</v>
      </c>
      <c r="B404">
        <v>4.3176214379815452</v>
      </c>
      <c r="C404">
        <v>28</v>
      </c>
      <c r="D404">
        <v>3</v>
      </c>
      <c r="E404">
        <v>0</v>
      </c>
      <c r="F404">
        <v>1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</row>
    <row r="405" spans="1:13" x14ac:dyDescent="0.3">
      <c r="A405">
        <v>8.4627370056201787</v>
      </c>
      <c r="B405">
        <v>-4.6051701859880909</v>
      </c>
      <c r="C405">
        <v>69</v>
      </c>
      <c r="D405">
        <v>5</v>
      </c>
      <c r="E405">
        <v>0</v>
      </c>
      <c r="F405">
        <v>0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1</v>
      </c>
      <c r="M405">
        <v>0</v>
      </c>
    </row>
    <row r="406" spans="1:13" x14ac:dyDescent="0.3">
      <c r="A406">
        <v>8.4621032250982768</v>
      </c>
      <c r="B406">
        <v>3.9122229854308124</v>
      </c>
      <c r="C406">
        <v>14</v>
      </c>
      <c r="D406">
        <v>2</v>
      </c>
      <c r="E406">
        <v>0</v>
      </c>
      <c r="F406">
        <v>0</v>
      </c>
      <c r="G406">
        <v>0</v>
      </c>
      <c r="H406">
        <v>1</v>
      </c>
      <c r="I406">
        <v>0</v>
      </c>
      <c r="J406">
        <v>0</v>
      </c>
      <c r="K406">
        <v>0</v>
      </c>
      <c r="L406">
        <v>0</v>
      </c>
      <c r="M406">
        <v>1</v>
      </c>
    </row>
    <row r="407" spans="1:13" x14ac:dyDescent="0.3">
      <c r="A407">
        <v>8.4595640785796018</v>
      </c>
      <c r="B407">
        <v>4.7005712707513441</v>
      </c>
      <c r="C407">
        <v>126</v>
      </c>
      <c r="D407">
        <v>7.5</v>
      </c>
      <c r="E407">
        <v>0</v>
      </c>
      <c r="F407">
        <v>0</v>
      </c>
      <c r="G407">
        <v>0</v>
      </c>
      <c r="H407">
        <v>0</v>
      </c>
      <c r="I407">
        <v>1</v>
      </c>
      <c r="J407">
        <v>0</v>
      </c>
      <c r="K407">
        <v>1</v>
      </c>
      <c r="L407">
        <v>0</v>
      </c>
      <c r="M407">
        <v>0</v>
      </c>
    </row>
    <row r="408" spans="1:13" x14ac:dyDescent="0.3">
      <c r="A408">
        <v>8.458292083496076</v>
      </c>
      <c r="B408">
        <v>5.2983673652980787</v>
      </c>
      <c r="C408">
        <v>28</v>
      </c>
      <c r="D408">
        <v>4</v>
      </c>
      <c r="E408">
        <v>0</v>
      </c>
      <c r="F408">
        <v>0</v>
      </c>
      <c r="G408">
        <v>0</v>
      </c>
      <c r="H408">
        <v>1</v>
      </c>
      <c r="I408">
        <v>0</v>
      </c>
      <c r="J408">
        <v>0</v>
      </c>
      <c r="K408">
        <v>1</v>
      </c>
      <c r="L408">
        <v>0</v>
      </c>
      <c r="M408">
        <v>0</v>
      </c>
    </row>
    <row r="409" spans="1:13" x14ac:dyDescent="0.3">
      <c r="A409">
        <v>8.4570184683801681</v>
      </c>
      <c r="B409">
        <v>5.273050839300149</v>
      </c>
      <c r="C409">
        <v>18</v>
      </c>
      <c r="D409">
        <v>2.5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0</v>
      </c>
      <c r="K409">
        <v>1</v>
      </c>
      <c r="L409">
        <v>0</v>
      </c>
      <c r="M409">
        <v>0</v>
      </c>
    </row>
    <row r="410" spans="1:13" x14ac:dyDescent="0.3">
      <c r="A410">
        <v>8.452974619089586</v>
      </c>
      <c r="B410">
        <v>4.0945112150014218</v>
      </c>
      <c r="C410">
        <v>54</v>
      </c>
      <c r="D410">
        <v>10</v>
      </c>
      <c r="E410">
        <v>0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1</v>
      </c>
      <c r="L410">
        <v>0</v>
      </c>
      <c r="M410">
        <v>0</v>
      </c>
    </row>
    <row r="411" spans="1:13" x14ac:dyDescent="0.3">
      <c r="A411">
        <v>8.4525479979227054</v>
      </c>
      <c r="B411">
        <v>5.273050839300149</v>
      </c>
      <c r="C411">
        <v>24</v>
      </c>
      <c r="D411">
        <v>4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1</v>
      </c>
    </row>
    <row r="412" spans="1:13" x14ac:dyDescent="0.3">
      <c r="A412">
        <v>8.449984441722787</v>
      </c>
      <c r="B412">
        <v>4.5539821492186583</v>
      </c>
      <c r="C412">
        <v>56</v>
      </c>
      <c r="D412">
        <v>6</v>
      </c>
      <c r="E412">
        <v>0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</row>
    <row r="413" spans="1:13" x14ac:dyDescent="0.3">
      <c r="A413">
        <v>8.4435466512479387</v>
      </c>
      <c r="B413">
        <v>-4.6051701859880909</v>
      </c>
      <c r="C413">
        <v>19</v>
      </c>
      <c r="D413">
        <v>2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1</v>
      </c>
      <c r="K413">
        <v>0</v>
      </c>
      <c r="L413">
        <v>0</v>
      </c>
      <c r="M413">
        <v>1</v>
      </c>
    </row>
    <row r="414" spans="1:13" x14ac:dyDescent="0.3">
      <c r="A414">
        <v>8.4398800883135667</v>
      </c>
      <c r="B414">
        <v>3.9122229854308124</v>
      </c>
      <c r="C414">
        <v>93</v>
      </c>
      <c r="D414">
        <v>12</v>
      </c>
      <c r="E414">
        <v>0</v>
      </c>
      <c r="F414">
        <v>0</v>
      </c>
      <c r="G414">
        <v>0</v>
      </c>
      <c r="H414">
        <v>1</v>
      </c>
      <c r="I414">
        <v>0</v>
      </c>
      <c r="J414">
        <v>0</v>
      </c>
      <c r="K414">
        <v>0</v>
      </c>
      <c r="L414">
        <v>1</v>
      </c>
      <c r="M414">
        <v>0</v>
      </c>
    </row>
    <row r="415" spans="1:13" x14ac:dyDescent="0.3">
      <c r="A415">
        <v>8.4372838081879351</v>
      </c>
      <c r="B415">
        <v>4.3821516268620329</v>
      </c>
      <c r="C415">
        <v>19</v>
      </c>
      <c r="D415">
        <v>2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1</v>
      </c>
    </row>
    <row r="416" spans="1:13" x14ac:dyDescent="0.3">
      <c r="A416">
        <v>8.4309814945971713</v>
      </c>
      <c r="B416">
        <v>5.273050839300149</v>
      </c>
      <c r="C416">
        <v>49</v>
      </c>
      <c r="D416">
        <v>4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1</v>
      </c>
      <c r="L416">
        <v>0</v>
      </c>
      <c r="M416">
        <v>0</v>
      </c>
    </row>
    <row r="417" spans="1:13" x14ac:dyDescent="0.3">
      <c r="A417">
        <v>8.4270496415632721</v>
      </c>
      <c r="B417">
        <v>-4.6051701859880909</v>
      </c>
      <c r="C417">
        <v>18</v>
      </c>
      <c r="D417">
        <v>1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1</v>
      </c>
    </row>
    <row r="418" spans="1:13" x14ac:dyDescent="0.3">
      <c r="A418">
        <v>8.4257355809274017</v>
      </c>
      <c r="B418">
        <v>4.6052701809884251</v>
      </c>
      <c r="C418">
        <v>13</v>
      </c>
      <c r="D418">
        <v>1.5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1</v>
      </c>
      <c r="L418">
        <v>0</v>
      </c>
      <c r="M418">
        <v>0</v>
      </c>
    </row>
    <row r="419" spans="1:13" x14ac:dyDescent="0.3">
      <c r="A419">
        <v>8.4200212796639633</v>
      </c>
      <c r="B419">
        <v>4.6052701809884251</v>
      </c>
      <c r="C419">
        <v>49</v>
      </c>
      <c r="D419">
        <v>9</v>
      </c>
      <c r="E419">
        <v>0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1</v>
      </c>
      <c r="L419">
        <v>0</v>
      </c>
      <c r="M419">
        <v>0</v>
      </c>
    </row>
    <row r="420" spans="1:13" x14ac:dyDescent="0.3">
      <c r="A420">
        <v>8.4182564435562135</v>
      </c>
      <c r="B420">
        <v>5.2983673652980787</v>
      </c>
      <c r="C420">
        <v>29</v>
      </c>
      <c r="D420">
        <v>2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0</v>
      </c>
      <c r="K420">
        <v>0</v>
      </c>
      <c r="L420">
        <v>0</v>
      </c>
      <c r="M420">
        <v>1</v>
      </c>
    </row>
    <row r="421" spans="1:13" x14ac:dyDescent="0.3">
      <c r="A421">
        <v>8.4124991203015718</v>
      </c>
      <c r="B421">
        <v>-4.6051701859880909</v>
      </c>
      <c r="C421">
        <v>122</v>
      </c>
      <c r="D421">
        <v>21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0</v>
      </c>
      <c r="K421">
        <v>0</v>
      </c>
      <c r="L421">
        <v>0</v>
      </c>
      <c r="M421">
        <v>1</v>
      </c>
    </row>
    <row r="422" spans="1:13" x14ac:dyDescent="0.3">
      <c r="A422">
        <v>8.4116104288411719</v>
      </c>
      <c r="B422">
        <v>-4.6051701859880909</v>
      </c>
      <c r="C422">
        <v>20</v>
      </c>
      <c r="D422">
        <v>2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1</v>
      </c>
      <c r="L422">
        <v>0</v>
      </c>
      <c r="M422">
        <v>0</v>
      </c>
    </row>
    <row r="423" spans="1:13" x14ac:dyDescent="0.3">
      <c r="A423">
        <v>8.4035764646292694</v>
      </c>
      <c r="B423">
        <v>4.5539821492186583</v>
      </c>
      <c r="C423">
        <v>36</v>
      </c>
      <c r="D423">
        <v>5.5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1</v>
      </c>
      <c r="L423">
        <v>0</v>
      </c>
      <c r="M423">
        <v>0</v>
      </c>
    </row>
    <row r="424" spans="1:13" x14ac:dyDescent="0.3">
      <c r="A424">
        <v>8.3999849905106956</v>
      </c>
      <c r="B424">
        <v>3.9122229854308124</v>
      </c>
      <c r="C424">
        <v>24</v>
      </c>
      <c r="D424">
        <v>4</v>
      </c>
      <c r="E424">
        <v>0</v>
      </c>
      <c r="F424">
        <v>0</v>
      </c>
      <c r="G424">
        <v>0</v>
      </c>
      <c r="H424">
        <v>0</v>
      </c>
      <c r="I424">
        <v>1</v>
      </c>
      <c r="J424">
        <v>0</v>
      </c>
      <c r="K424">
        <v>1</v>
      </c>
      <c r="L424">
        <v>0</v>
      </c>
      <c r="M424">
        <v>0</v>
      </c>
    </row>
    <row r="425" spans="1:13" x14ac:dyDescent="0.3">
      <c r="A425">
        <v>8.398860004454372</v>
      </c>
      <c r="B425">
        <v>4.6052701809884251</v>
      </c>
      <c r="C425">
        <v>28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1</v>
      </c>
      <c r="J425">
        <v>0</v>
      </c>
      <c r="K425">
        <v>1</v>
      </c>
      <c r="L425">
        <v>0</v>
      </c>
      <c r="M425">
        <v>0</v>
      </c>
    </row>
    <row r="426" spans="1:13" x14ac:dyDescent="0.3">
      <c r="A426">
        <v>8.3916299684408919</v>
      </c>
      <c r="B426">
        <v>-4.6051701859880909</v>
      </c>
      <c r="C426">
        <v>26</v>
      </c>
      <c r="D426">
        <v>3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</v>
      </c>
      <c r="K426">
        <v>1</v>
      </c>
      <c r="L426">
        <v>0</v>
      </c>
      <c r="M426">
        <v>0</v>
      </c>
    </row>
    <row r="427" spans="1:13" x14ac:dyDescent="0.3">
      <c r="A427">
        <v>8.3914031853579374</v>
      </c>
      <c r="B427">
        <v>-4.6051701859880909</v>
      </c>
      <c r="C427">
        <v>100</v>
      </c>
      <c r="D427">
        <v>5</v>
      </c>
      <c r="E427">
        <v>0</v>
      </c>
      <c r="F427">
        <v>0</v>
      </c>
      <c r="G427">
        <v>0</v>
      </c>
      <c r="H427">
        <v>0</v>
      </c>
      <c r="I427">
        <v>1</v>
      </c>
      <c r="J427">
        <v>0</v>
      </c>
      <c r="K427">
        <v>0</v>
      </c>
      <c r="L427">
        <v>0</v>
      </c>
      <c r="M427">
        <v>1</v>
      </c>
    </row>
    <row r="428" spans="1:13" x14ac:dyDescent="0.3">
      <c r="A428">
        <v>8.3909494648419862</v>
      </c>
      <c r="B428">
        <v>3.9122229854308124</v>
      </c>
      <c r="C428">
        <v>29</v>
      </c>
      <c r="D428">
        <v>2.5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1</v>
      </c>
    </row>
    <row r="429" spans="1:13" x14ac:dyDescent="0.3">
      <c r="A429">
        <v>8.3904955383702795</v>
      </c>
      <c r="B429">
        <v>-4.6051701859880909</v>
      </c>
      <c r="C429">
        <v>12</v>
      </c>
      <c r="D429">
        <v>1.5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1</v>
      </c>
      <c r="K429">
        <v>1</v>
      </c>
      <c r="L429">
        <v>0</v>
      </c>
      <c r="M429">
        <v>0</v>
      </c>
    </row>
    <row r="430" spans="1:13" x14ac:dyDescent="0.3">
      <c r="A430">
        <v>8.3836617987917155</v>
      </c>
      <c r="B430">
        <v>5.2983673652980787</v>
      </c>
      <c r="C430">
        <v>129</v>
      </c>
      <c r="D430">
        <v>15.5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1</v>
      </c>
      <c r="L430">
        <v>0</v>
      </c>
      <c r="M430">
        <v>0</v>
      </c>
    </row>
    <row r="431" spans="1:13" x14ac:dyDescent="0.3">
      <c r="A431">
        <v>8.3740154217399088</v>
      </c>
      <c r="B431">
        <v>2.996232148595642</v>
      </c>
      <c r="C431">
        <v>17</v>
      </c>
      <c r="D431">
        <v>1</v>
      </c>
      <c r="E431">
        <v>0</v>
      </c>
      <c r="F431">
        <v>0</v>
      </c>
      <c r="G431">
        <v>1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</v>
      </c>
    </row>
    <row r="432" spans="1:13" x14ac:dyDescent="0.3">
      <c r="A432">
        <v>8.367764677924308</v>
      </c>
      <c r="B432">
        <v>-4.6051701859880909</v>
      </c>
      <c r="C432">
        <v>12</v>
      </c>
      <c r="D432">
        <v>0.51666666999999999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1</v>
      </c>
      <c r="L432">
        <v>0</v>
      </c>
      <c r="M432">
        <v>0</v>
      </c>
    </row>
    <row r="433" spans="1:13" x14ac:dyDescent="0.3">
      <c r="A433">
        <v>8.3640420119220629</v>
      </c>
      <c r="B433">
        <v>-4.6051701859880909</v>
      </c>
      <c r="C433">
        <v>15</v>
      </c>
      <c r="D433">
        <v>0.61666666999999997</v>
      </c>
      <c r="E433">
        <v>0</v>
      </c>
      <c r="F433">
        <v>0</v>
      </c>
      <c r="G433">
        <v>0</v>
      </c>
      <c r="H433">
        <v>1</v>
      </c>
      <c r="I433">
        <v>0</v>
      </c>
      <c r="J433">
        <v>0</v>
      </c>
      <c r="K433">
        <v>0</v>
      </c>
      <c r="L433">
        <v>0</v>
      </c>
      <c r="M433">
        <v>1</v>
      </c>
    </row>
    <row r="434" spans="1:13" x14ac:dyDescent="0.3">
      <c r="A434">
        <v>8.3567896699232129</v>
      </c>
      <c r="B434">
        <v>2.996232148595642</v>
      </c>
      <c r="C434">
        <v>11</v>
      </c>
      <c r="D434">
        <v>1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1</v>
      </c>
    </row>
    <row r="435" spans="1:13" x14ac:dyDescent="0.3">
      <c r="A435">
        <v>8.3423635003805785</v>
      </c>
      <c r="B435">
        <v>5.273050839300149</v>
      </c>
      <c r="C435">
        <v>161</v>
      </c>
      <c r="D435">
        <v>26</v>
      </c>
      <c r="E435">
        <v>0</v>
      </c>
      <c r="F435">
        <v>1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1</v>
      </c>
    </row>
    <row r="436" spans="1:13" x14ac:dyDescent="0.3">
      <c r="A436">
        <v>8.3411717471707618</v>
      </c>
      <c r="B436">
        <v>2.996232148595642</v>
      </c>
      <c r="C436">
        <v>44</v>
      </c>
      <c r="D436">
        <v>2.5</v>
      </c>
      <c r="E436">
        <v>0</v>
      </c>
      <c r="F436">
        <v>0</v>
      </c>
      <c r="G436">
        <v>0</v>
      </c>
      <c r="H436">
        <v>1</v>
      </c>
      <c r="I436">
        <v>0</v>
      </c>
      <c r="J436">
        <v>0</v>
      </c>
      <c r="K436">
        <v>1</v>
      </c>
      <c r="L436">
        <v>0</v>
      </c>
      <c r="M436">
        <v>0</v>
      </c>
    </row>
    <row r="437" spans="1:13" x14ac:dyDescent="0.3">
      <c r="A437">
        <v>8.338783971442199</v>
      </c>
      <c r="B437">
        <v>3.5556337349665741</v>
      </c>
      <c r="C437">
        <v>86</v>
      </c>
      <c r="D437">
        <v>14</v>
      </c>
      <c r="E437">
        <v>0</v>
      </c>
      <c r="F437">
        <v>0</v>
      </c>
      <c r="G437">
        <v>1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</row>
    <row r="438" spans="1:13" x14ac:dyDescent="0.3">
      <c r="A438">
        <v>8.338783971442199</v>
      </c>
      <c r="B438">
        <v>4.2486380889891064</v>
      </c>
      <c r="C438">
        <v>38</v>
      </c>
      <c r="D438">
        <v>3.5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0</v>
      </c>
      <c r="M438">
        <v>1</v>
      </c>
    </row>
    <row r="439" spans="1:13" x14ac:dyDescent="0.3">
      <c r="A439">
        <v>8.3325489392526375</v>
      </c>
      <c r="B439">
        <v>3.4015306594522756</v>
      </c>
      <c r="C439">
        <v>80</v>
      </c>
      <c r="D439">
        <v>9.5</v>
      </c>
      <c r="E439">
        <v>0</v>
      </c>
      <c r="F439">
        <v>0</v>
      </c>
      <c r="G439">
        <v>0</v>
      </c>
      <c r="H439">
        <v>0</v>
      </c>
      <c r="I439">
        <v>1</v>
      </c>
      <c r="J439">
        <v>0</v>
      </c>
      <c r="K439">
        <v>1</v>
      </c>
      <c r="L439">
        <v>0</v>
      </c>
      <c r="M439">
        <v>0</v>
      </c>
    </row>
    <row r="440" spans="1:13" x14ac:dyDescent="0.3">
      <c r="A440">
        <v>8.3294167839393189</v>
      </c>
      <c r="B440">
        <v>3.6891294228691436</v>
      </c>
      <c r="C440">
        <v>43</v>
      </c>
      <c r="D440">
        <v>5.5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0</v>
      </c>
      <c r="M440">
        <v>1</v>
      </c>
    </row>
    <row r="441" spans="1:13" x14ac:dyDescent="0.3">
      <c r="A441">
        <v>8.3279678583054881</v>
      </c>
      <c r="B441">
        <v>4.7875750726433504</v>
      </c>
      <c r="C441">
        <v>107</v>
      </c>
      <c r="D441">
        <v>6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1</v>
      </c>
      <c r="L441">
        <v>0</v>
      </c>
      <c r="M441">
        <v>0</v>
      </c>
    </row>
    <row r="442" spans="1:13" x14ac:dyDescent="0.3">
      <c r="A442">
        <v>8.325548307161398</v>
      </c>
      <c r="B442">
        <v>4.3176214379815452</v>
      </c>
      <c r="C442">
        <v>61</v>
      </c>
      <c r="D442">
        <v>6</v>
      </c>
      <c r="E442">
        <v>0</v>
      </c>
      <c r="F442">
        <v>0</v>
      </c>
      <c r="G442">
        <v>0</v>
      </c>
      <c r="H442">
        <v>1</v>
      </c>
      <c r="I442">
        <v>0</v>
      </c>
      <c r="J442">
        <v>0</v>
      </c>
      <c r="K442">
        <v>1</v>
      </c>
      <c r="L442">
        <v>0</v>
      </c>
      <c r="M442">
        <v>0</v>
      </c>
    </row>
    <row r="443" spans="1:13" x14ac:dyDescent="0.3">
      <c r="A443">
        <v>8.3243363327069009</v>
      </c>
      <c r="B443">
        <v>3.9122229854308124</v>
      </c>
      <c r="C443">
        <v>34</v>
      </c>
      <c r="D443">
        <v>3.5</v>
      </c>
      <c r="E443">
        <v>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</row>
    <row r="444" spans="1:13" x14ac:dyDescent="0.3">
      <c r="A444">
        <v>8.3243363327069009</v>
      </c>
      <c r="B444">
        <v>3.9122229854308124</v>
      </c>
      <c r="C444">
        <v>31</v>
      </c>
      <c r="D444">
        <v>4.5</v>
      </c>
      <c r="E444">
        <v>0</v>
      </c>
      <c r="F444">
        <v>0</v>
      </c>
      <c r="G444">
        <v>1</v>
      </c>
      <c r="H444">
        <v>0</v>
      </c>
      <c r="I444">
        <v>0</v>
      </c>
      <c r="J444">
        <v>0</v>
      </c>
      <c r="K444">
        <v>1</v>
      </c>
      <c r="L444">
        <v>0</v>
      </c>
      <c r="M444">
        <v>0</v>
      </c>
    </row>
    <row r="445" spans="1:13" x14ac:dyDescent="0.3">
      <c r="A445">
        <v>8.3223941131111694</v>
      </c>
      <c r="B445">
        <v>-4.6051701859880909</v>
      </c>
      <c r="C445">
        <v>13</v>
      </c>
      <c r="D445">
        <v>2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</v>
      </c>
      <c r="K445">
        <v>0</v>
      </c>
      <c r="L445">
        <v>0</v>
      </c>
      <c r="M445">
        <v>1</v>
      </c>
    </row>
    <row r="446" spans="1:13" x14ac:dyDescent="0.3">
      <c r="A446">
        <v>8.3202045975788792</v>
      </c>
      <c r="B446">
        <v>3.9122229854308124</v>
      </c>
      <c r="C446">
        <v>15</v>
      </c>
      <c r="D446">
        <v>1</v>
      </c>
      <c r="E446">
        <v>0</v>
      </c>
      <c r="F446">
        <v>0</v>
      </c>
      <c r="G446">
        <v>0</v>
      </c>
      <c r="H446">
        <v>0</v>
      </c>
      <c r="I446">
        <v>1</v>
      </c>
      <c r="J446">
        <v>0</v>
      </c>
      <c r="K446">
        <v>0</v>
      </c>
      <c r="L446">
        <v>1</v>
      </c>
      <c r="M446">
        <v>0</v>
      </c>
    </row>
    <row r="447" spans="1:13" x14ac:dyDescent="0.3">
      <c r="A447">
        <v>8.3163002490368481</v>
      </c>
      <c r="B447">
        <v>5.2983673652980787</v>
      </c>
      <c r="C447">
        <v>348</v>
      </c>
      <c r="D447">
        <v>19.5</v>
      </c>
      <c r="E447">
        <v>0</v>
      </c>
      <c r="F447">
        <v>0</v>
      </c>
      <c r="G447">
        <v>0</v>
      </c>
      <c r="H447">
        <v>0</v>
      </c>
      <c r="I447">
        <v>1</v>
      </c>
      <c r="J447">
        <v>0</v>
      </c>
      <c r="K447">
        <v>0</v>
      </c>
      <c r="L447">
        <v>0</v>
      </c>
      <c r="M447">
        <v>1</v>
      </c>
    </row>
    <row r="448" spans="1:13" x14ac:dyDescent="0.3">
      <c r="A448">
        <v>8.3128713943426149</v>
      </c>
      <c r="B448">
        <v>3.9122229854308124</v>
      </c>
      <c r="C448">
        <v>22</v>
      </c>
      <c r="D448">
        <v>3</v>
      </c>
      <c r="E448">
        <v>0</v>
      </c>
      <c r="F448">
        <v>0</v>
      </c>
      <c r="G448">
        <v>1</v>
      </c>
      <c r="H448">
        <v>0</v>
      </c>
      <c r="I448">
        <v>0</v>
      </c>
      <c r="J448">
        <v>0</v>
      </c>
      <c r="K448">
        <v>1</v>
      </c>
      <c r="L448">
        <v>0</v>
      </c>
      <c r="M448">
        <v>0</v>
      </c>
    </row>
    <row r="449" spans="1:13" x14ac:dyDescent="0.3">
      <c r="A449">
        <v>8.3081990632064464</v>
      </c>
      <c r="B449">
        <v>5.0107019585407988</v>
      </c>
      <c r="C449">
        <v>99</v>
      </c>
      <c r="D449">
        <v>6.5</v>
      </c>
      <c r="E449">
        <v>0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1</v>
      </c>
    </row>
    <row r="450" spans="1:13" x14ac:dyDescent="0.3">
      <c r="A450">
        <v>8.3039999709551964</v>
      </c>
      <c r="B450">
        <v>5.2983673652980787</v>
      </c>
      <c r="C450">
        <v>20</v>
      </c>
      <c r="D450">
        <v>1.5</v>
      </c>
      <c r="E450">
        <v>0</v>
      </c>
      <c r="F450">
        <v>1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0</v>
      </c>
      <c r="M450">
        <v>0</v>
      </c>
    </row>
    <row r="451" spans="1:13" x14ac:dyDescent="0.3">
      <c r="A451">
        <v>8.3022657948733674</v>
      </c>
      <c r="B451">
        <v>5.2983673652980787</v>
      </c>
      <c r="C451">
        <v>25</v>
      </c>
      <c r="D451">
        <v>3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</v>
      </c>
      <c r="M451">
        <v>0</v>
      </c>
    </row>
    <row r="452" spans="1:13" x14ac:dyDescent="0.3">
      <c r="A452">
        <v>8.3015216549407285</v>
      </c>
      <c r="B452">
        <v>3.4015306594522756</v>
      </c>
      <c r="C452">
        <v>46</v>
      </c>
      <c r="D452">
        <v>9</v>
      </c>
      <c r="E452">
        <v>0</v>
      </c>
      <c r="F452">
        <v>0</v>
      </c>
      <c r="G452">
        <v>0</v>
      </c>
      <c r="H452">
        <v>0</v>
      </c>
      <c r="I452">
        <v>1</v>
      </c>
      <c r="J452">
        <v>0</v>
      </c>
      <c r="K452">
        <v>0</v>
      </c>
      <c r="L452">
        <v>0</v>
      </c>
      <c r="M452">
        <v>1</v>
      </c>
    </row>
    <row r="453" spans="1:13" x14ac:dyDescent="0.3">
      <c r="A453">
        <v>8.3010252538384535</v>
      </c>
      <c r="B453">
        <v>4.7875750726433504</v>
      </c>
      <c r="C453">
        <v>93</v>
      </c>
      <c r="D453">
        <v>9</v>
      </c>
      <c r="E453">
        <v>0</v>
      </c>
      <c r="F453">
        <v>0</v>
      </c>
      <c r="G453">
        <v>0</v>
      </c>
      <c r="H453">
        <v>0</v>
      </c>
      <c r="I453">
        <v>1</v>
      </c>
      <c r="J453">
        <v>0</v>
      </c>
      <c r="K453">
        <v>0</v>
      </c>
      <c r="L453">
        <v>1</v>
      </c>
      <c r="M453">
        <v>0</v>
      </c>
    </row>
    <row r="454" spans="1:13" x14ac:dyDescent="0.3">
      <c r="A454">
        <v>8.2990371816130661</v>
      </c>
      <c r="B454">
        <v>4.9768027055598036</v>
      </c>
      <c r="C454">
        <v>52</v>
      </c>
      <c r="D454">
        <v>3.5</v>
      </c>
      <c r="E454">
        <v>0</v>
      </c>
      <c r="F454">
        <v>0</v>
      </c>
      <c r="G454">
        <v>0</v>
      </c>
      <c r="H454">
        <v>1</v>
      </c>
      <c r="I454">
        <v>0</v>
      </c>
      <c r="J454">
        <v>0</v>
      </c>
      <c r="K454">
        <v>0</v>
      </c>
      <c r="L454">
        <v>1</v>
      </c>
      <c r="M454">
        <v>0</v>
      </c>
    </row>
    <row r="455" spans="1:13" x14ac:dyDescent="0.3">
      <c r="A455">
        <v>8.2967958657700525</v>
      </c>
      <c r="B455">
        <v>2.996232148595642</v>
      </c>
      <c r="C455">
        <v>17</v>
      </c>
      <c r="D455">
        <v>1.5</v>
      </c>
      <c r="E455">
        <v>0</v>
      </c>
      <c r="F455">
        <v>0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</v>
      </c>
      <c r="M455">
        <v>0</v>
      </c>
    </row>
    <row r="456" spans="1:13" x14ac:dyDescent="0.3">
      <c r="A456">
        <v>8.2965465203006143</v>
      </c>
      <c r="B456">
        <v>3.2192757448895279</v>
      </c>
      <c r="C456">
        <v>12</v>
      </c>
      <c r="D456">
        <v>1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1</v>
      </c>
    </row>
    <row r="457" spans="1:13" x14ac:dyDescent="0.3">
      <c r="A457">
        <v>8.2942996088572354</v>
      </c>
      <c r="B457">
        <v>5.273050839300149</v>
      </c>
      <c r="C457">
        <v>37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1</v>
      </c>
      <c r="K457">
        <v>0</v>
      </c>
      <c r="L457">
        <v>0</v>
      </c>
      <c r="M457">
        <v>1</v>
      </c>
    </row>
    <row r="458" spans="1:13" x14ac:dyDescent="0.3">
      <c r="A458">
        <v>8.2839993042485265</v>
      </c>
      <c r="B458">
        <v>3.4015306594522756</v>
      </c>
      <c r="C458">
        <v>47</v>
      </c>
      <c r="D458">
        <v>4.5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1</v>
      </c>
      <c r="L458">
        <v>0</v>
      </c>
      <c r="M458">
        <v>0</v>
      </c>
    </row>
    <row r="459" spans="1:13" x14ac:dyDescent="0.3">
      <c r="A459">
        <v>8.2771577724318099</v>
      </c>
      <c r="B459">
        <v>-4.6051701859880909</v>
      </c>
      <c r="C459">
        <v>14</v>
      </c>
      <c r="D459">
        <v>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</v>
      </c>
      <c r="K459">
        <v>0</v>
      </c>
      <c r="L459">
        <v>0</v>
      </c>
      <c r="M459">
        <v>1</v>
      </c>
    </row>
    <row r="460" spans="1:13" x14ac:dyDescent="0.3">
      <c r="A460">
        <v>8.2695007671806149</v>
      </c>
      <c r="B460">
        <v>2.996232148595642</v>
      </c>
      <c r="C460">
        <v>107</v>
      </c>
      <c r="D460">
        <v>10.5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</v>
      </c>
      <c r="K460">
        <v>1</v>
      </c>
      <c r="L460">
        <v>0</v>
      </c>
      <c r="M460">
        <v>0</v>
      </c>
    </row>
    <row r="461" spans="1:13" x14ac:dyDescent="0.3">
      <c r="A461">
        <v>8.268218880067506</v>
      </c>
      <c r="B461">
        <v>2.996232148595642</v>
      </c>
      <c r="C461">
        <v>32</v>
      </c>
      <c r="D461">
        <v>3</v>
      </c>
      <c r="E461">
        <v>0</v>
      </c>
      <c r="F461">
        <v>0</v>
      </c>
      <c r="G461">
        <v>0</v>
      </c>
      <c r="H461">
        <v>1</v>
      </c>
      <c r="I461">
        <v>0</v>
      </c>
      <c r="J461">
        <v>0</v>
      </c>
      <c r="K461">
        <v>0</v>
      </c>
      <c r="L461">
        <v>1</v>
      </c>
      <c r="M461">
        <v>0</v>
      </c>
    </row>
    <row r="462" spans="1:13" x14ac:dyDescent="0.3">
      <c r="A462">
        <v>8.2671921859321458</v>
      </c>
      <c r="B462">
        <v>-4.6051701859880909</v>
      </c>
      <c r="C462">
        <v>29</v>
      </c>
      <c r="D462">
        <v>2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0</v>
      </c>
      <c r="K462">
        <v>0</v>
      </c>
      <c r="L462">
        <v>0</v>
      </c>
      <c r="M462">
        <v>1</v>
      </c>
    </row>
    <row r="463" spans="1:13" x14ac:dyDescent="0.3">
      <c r="A463">
        <v>8.265392930852224</v>
      </c>
      <c r="B463">
        <v>5.2983673652980787</v>
      </c>
      <c r="C463">
        <v>94</v>
      </c>
      <c r="D463">
        <v>8.5</v>
      </c>
      <c r="E463">
        <v>0</v>
      </c>
      <c r="F463">
        <v>0</v>
      </c>
      <c r="G463">
        <v>0</v>
      </c>
      <c r="H463">
        <v>1</v>
      </c>
      <c r="I463">
        <v>0</v>
      </c>
      <c r="J463">
        <v>0</v>
      </c>
      <c r="K463">
        <v>0</v>
      </c>
      <c r="L463">
        <v>0</v>
      </c>
      <c r="M463">
        <v>1</v>
      </c>
    </row>
    <row r="464" spans="1:13" x14ac:dyDescent="0.3">
      <c r="A464">
        <v>8.2643633297316672</v>
      </c>
      <c r="B464">
        <v>-4.6051701859880909</v>
      </c>
      <c r="C464">
        <v>9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1</v>
      </c>
      <c r="L464">
        <v>0</v>
      </c>
      <c r="M464">
        <v>0</v>
      </c>
    </row>
    <row r="465" spans="1:13" x14ac:dyDescent="0.3">
      <c r="A465">
        <v>8.2628169376709284</v>
      </c>
      <c r="B465">
        <v>2.996232148595642</v>
      </c>
      <c r="C465">
        <v>15</v>
      </c>
      <c r="D465">
        <v>1.5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1</v>
      </c>
      <c r="L465">
        <v>0</v>
      </c>
      <c r="M465">
        <v>0</v>
      </c>
    </row>
    <row r="466" spans="1:13" x14ac:dyDescent="0.3">
      <c r="A466">
        <v>8.2568668489743118</v>
      </c>
      <c r="B466">
        <v>4.0945112150014218</v>
      </c>
      <c r="C466">
        <v>48</v>
      </c>
      <c r="D466">
        <v>3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1</v>
      </c>
      <c r="L466">
        <v>0</v>
      </c>
      <c r="M466">
        <v>0</v>
      </c>
    </row>
    <row r="467" spans="1:13" x14ac:dyDescent="0.3">
      <c r="A467">
        <v>8.2508811447006494</v>
      </c>
      <c r="B467">
        <v>5.273050839300149</v>
      </c>
      <c r="C467">
        <v>25</v>
      </c>
      <c r="D467">
        <v>1.5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1</v>
      </c>
      <c r="M467">
        <v>0</v>
      </c>
    </row>
    <row r="468" spans="1:13" x14ac:dyDescent="0.3">
      <c r="A468">
        <v>8.2430194689892495</v>
      </c>
      <c r="B468">
        <v>4.007514986887367</v>
      </c>
      <c r="C468">
        <v>12</v>
      </c>
      <c r="D468">
        <v>1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</v>
      </c>
      <c r="K468">
        <v>0</v>
      </c>
      <c r="L468">
        <v>0</v>
      </c>
      <c r="M468">
        <v>1</v>
      </c>
    </row>
    <row r="469" spans="1:13" x14ac:dyDescent="0.3">
      <c r="A469">
        <v>8.2385369301717688</v>
      </c>
      <c r="B469">
        <v>-4.6051701859880909</v>
      </c>
      <c r="C469">
        <v>32</v>
      </c>
      <c r="D469">
        <v>2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1</v>
      </c>
      <c r="M469">
        <v>0</v>
      </c>
    </row>
    <row r="470" spans="1:13" x14ac:dyDescent="0.3">
      <c r="A470">
        <v>8.238008249218403</v>
      </c>
      <c r="B470">
        <v>-4.6051701859880909</v>
      </c>
      <c r="C470">
        <v>11</v>
      </c>
      <c r="D470">
        <v>1.5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1</v>
      </c>
      <c r="K470">
        <v>1</v>
      </c>
      <c r="L470">
        <v>0</v>
      </c>
      <c r="M470">
        <v>0</v>
      </c>
    </row>
    <row r="471" spans="1:13" x14ac:dyDescent="0.3">
      <c r="A471">
        <v>8.2348302804420559</v>
      </c>
      <c r="B471">
        <v>3.9122229854308124</v>
      </c>
      <c r="C471">
        <v>72</v>
      </c>
      <c r="D471">
        <v>7</v>
      </c>
      <c r="E471">
        <v>0</v>
      </c>
      <c r="F471">
        <v>0</v>
      </c>
      <c r="G471">
        <v>0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1</v>
      </c>
    </row>
    <row r="472" spans="1:13" x14ac:dyDescent="0.3">
      <c r="A472">
        <v>8.233768709217097</v>
      </c>
      <c r="B472">
        <v>-4.6051701859880909</v>
      </c>
      <c r="C472">
        <v>14</v>
      </c>
      <c r="D472">
        <v>0.7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0</v>
      </c>
      <c r="M472">
        <v>1</v>
      </c>
    </row>
    <row r="473" spans="1:13" x14ac:dyDescent="0.3">
      <c r="A473">
        <v>8.2319082435641775</v>
      </c>
      <c r="B473">
        <v>2.996232148595642</v>
      </c>
      <c r="C473">
        <v>25</v>
      </c>
      <c r="D473">
        <v>4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0</v>
      </c>
      <c r="M473">
        <v>1</v>
      </c>
    </row>
    <row r="474" spans="1:13" x14ac:dyDescent="0.3">
      <c r="A474">
        <v>8.2313760455739686</v>
      </c>
      <c r="B474">
        <v>4.6052701809884251</v>
      </c>
      <c r="C474">
        <v>20</v>
      </c>
      <c r="D474">
        <v>1</v>
      </c>
      <c r="E474">
        <v>0</v>
      </c>
      <c r="F474">
        <v>0</v>
      </c>
      <c r="G474">
        <v>0</v>
      </c>
      <c r="H474">
        <v>1</v>
      </c>
      <c r="I474">
        <v>0</v>
      </c>
      <c r="J474">
        <v>0</v>
      </c>
      <c r="K474">
        <v>1</v>
      </c>
      <c r="L474">
        <v>0</v>
      </c>
      <c r="M474">
        <v>0</v>
      </c>
    </row>
    <row r="475" spans="1:13" x14ac:dyDescent="0.3">
      <c r="A475">
        <v>8.2171685957660703</v>
      </c>
      <c r="B475">
        <v>3.9122229854308124</v>
      </c>
      <c r="C475">
        <v>18</v>
      </c>
      <c r="D475">
        <v>2</v>
      </c>
      <c r="E475">
        <v>0</v>
      </c>
      <c r="F475">
        <v>0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</v>
      </c>
    </row>
    <row r="476" spans="1:13" x14ac:dyDescent="0.3">
      <c r="A476">
        <v>8.2163583323861555</v>
      </c>
      <c r="B476">
        <v>4.6052701809884251</v>
      </c>
      <c r="C476">
        <v>125</v>
      </c>
      <c r="D476">
        <v>10.5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0</v>
      </c>
      <c r="K476">
        <v>0</v>
      </c>
      <c r="L476">
        <v>1</v>
      </c>
      <c r="M476">
        <v>0</v>
      </c>
    </row>
    <row r="477" spans="1:13" x14ac:dyDescent="0.3">
      <c r="A477">
        <v>8.2158177918324533</v>
      </c>
      <c r="B477">
        <v>2.996232148595642</v>
      </c>
      <c r="C477">
        <v>11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0</v>
      </c>
      <c r="K477">
        <v>0</v>
      </c>
      <c r="L477">
        <v>1</v>
      </c>
      <c r="M477">
        <v>0</v>
      </c>
    </row>
    <row r="478" spans="1:13" x14ac:dyDescent="0.3">
      <c r="A478">
        <v>8.2152769589366326</v>
      </c>
      <c r="B478">
        <v>2.996232148595642</v>
      </c>
      <c r="C478">
        <v>48</v>
      </c>
      <c r="D478">
        <v>3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</v>
      </c>
    </row>
    <row r="479" spans="1:13" x14ac:dyDescent="0.3">
      <c r="A479">
        <v>8.2144651607591861</v>
      </c>
      <c r="B479">
        <v>2.996232148595642</v>
      </c>
      <c r="C479">
        <v>39</v>
      </c>
      <c r="D479">
        <v>4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1</v>
      </c>
      <c r="L479">
        <v>0</v>
      </c>
      <c r="M479">
        <v>0</v>
      </c>
    </row>
    <row r="480" spans="1:13" x14ac:dyDescent="0.3">
      <c r="A480">
        <v>8.2128395846764839</v>
      </c>
      <c r="B480">
        <v>3.9122229854308124</v>
      </c>
      <c r="C480">
        <v>11</v>
      </c>
      <c r="D480">
        <v>1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</v>
      </c>
      <c r="K480">
        <v>0</v>
      </c>
      <c r="L480">
        <v>0</v>
      </c>
      <c r="M480">
        <v>1</v>
      </c>
    </row>
    <row r="481" spans="1:13" x14ac:dyDescent="0.3">
      <c r="A481">
        <v>8.2038513721838786</v>
      </c>
      <c r="B481">
        <v>-4.6051701859880909</v>
      </c>
      <c r="C481">
        <v>44</v>
      </c>
      <c r="D481">
        <v>2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</v>
      </c>
      <c r="K481">
        <v>1</v>
      </c>
      <c r="L481">
        <v>0</v>
      </c>
      <c r="M481">
        <v>0</v>
      </c>
    </row>
    <row r="482" spans="1:13" x14ac:dyDescent="0.3">
      <c r="A482">
        <v>8.2030302417148597</v>
      </c>
      <c r="B482">
        <v>3.4015306594522756</v>
      </c>
      <c r="C482">
        <v>7</v>
      </c>
      <c r="D482">
        <v>0.66666667000000002</v>
      </c>
      <c r="E482">
        <v>0</v>
      </c>
      <c r="F482">
        <v>0</v>
      </c>
      <c r="G482">
        <v>0</v>
      </c>
      <c r="H482">
        <v>0</v>
      </c>
      <c r="I482">
        <v>1</v>
      </c>
      <c r="J482">
        <v>0</v>
      </c>
      <c r="K482">
        <v>0</v>
      </c>
      <c r="L482">
        <v>0</v>
      </c>
      <c r="M482">
        <v>1</v>
      </c>
    </row>
    <row r="483" spans="1:13" x14ac:dyDescent="0.3">
      <c r="A483">
        <v>8.1975387397211836</v>
      </c>
      <c r="B483">
        <v>5.2983673652980787</v>
      </c>
      <c r="C483">
        <v>31</v>
      </c>
      <c r="D483">
        <v>2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0</v>
      </c>
      <c r="K483">
        <v>1</v>
      </c>
      <c r="L483">
        <v>0</v>
      </c>
      <c r="M483">
        <v>0</v>
      </c>
    </row>
    <row r="484" spans="1:13" x14ac:dyDescent="0.3">
      <c r="A484">
        <v>8.1939530235637417</v>
      </c>
      <c r="B484">
        <v>4.5539821492186583</v>
      </c>
      <c r="C484">
        <v>19</v>
      </c>
      <c r="D484">
        <v>1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0</v>
      </c>
      <c r="K484">
        <v>1</v>
      </c>
      <c r="L484">
        <v>0</v>
      </c>
      <c r="M484">
        <v>0</v>
      </c>
    </row>
    <row r="485" spans="1:13" x14ac:dyDescent="0.3">
      <c r="A485">
        <v>8.1889668636488757</v>
      </c>
      <c r="B485">
        <v>3.9122229854308124</v>
      </c>
      <c r="C485">
        <v>22</v>
      </c>
      <c r="D485">
        <v>2</v>
      </c>
      <c r="E485">
        <v>0</v>
      </c>
      <c r="F485">
        <v>0</v>
      </c>
      <c r="G485">
        <v>0</v>
      </c>
      <c r="H485">
        <v>0</v>
      </c>
      <c r="I485">
        <v>1</v>
      </c>
      <c r="J485">
        <v>0</v>
      </c>
      <c r="K485">
        <v>0</v>
      </c>
      <c r="L485">
        <v>0</v>
      </c>
      <c r="M485">
        <v>1</v>
      </c>
    </row>
    <row r="486" spans="1:13" x14ac:dyDescent="0.3">
      <c r="A486">
        <v>8.1859074814823245</v>
      </c>
      <c r="B486">
        <v>4.7005712707513441</v>
      </c>
      <c r="C486">
        <v>104</v>
      </c>
      <c r="D486">
        <v>14</v>
      </c>
      <c r="E486">
        <v>0</v>
      </c>
      <c r="F486">
        <v>0</v>
      </c>
      <c r="G486">
        <v>0</v>
      </c>
      <c r="H486">
        <v>0</v>
      </c>
      <c r="I486">
        <v>1</v>
      </c>
      <c r="J486">
        <v>0</v>
      </c>
      <c r="K486">
        <v>0</v>
      </c>
      <c r="L486">
        <v>1</v>
      </c>
      <c r="M486">
        <v>0</v>
      </c>
    </row>
    <row r="487" spans="1:13" x14ac:dyDescent="0.3">
      <c r="A487">
        <v>8.1806009475944492</v>
      </c>
      <c r="B487">
        <v>-4.6051701859880909</v>
      </c>
      <c r="C487">
        <v>8</v>
      </c>
      <c r="D487">
        <v>1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1</v>
      </c>
      <c r="L487">
        <v>0</v>
      </c>
      <c r="M487">
        <v>0</v>
      </c>
    </row>
    <row r="488" spans="1:13" x14ac:dyDescent="0.3">
      <c r="A488">
        <v>8.1772348855101935</v>
      </c>
      <c r="B488">
        <v>4.6052701809884251</v>
      </c>
      <c r="C488">
        <v>18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0</v>
      </c>
      <c r="L488">
        <v>1</v>
      </c>
      <c r="M488">
        <v>0</v>
      </c>
    </row>
    <row r="489" spans="1:13" x14ac:dyDescent="0.3">
      <c r="A489">
        <v>8.1721644521119039</v>
      </c>
      <c r="B489">
        <v>3.6891294228691436</v>
      </c>
      <c r="C489">
        <v>37</v>
      </c>
      <c r="D489">
        <v>4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1</v>
      </c>
      <c r="L489">
        <v>0</v>
      </c>
      <c r="M489">
        <v>0</v>
      </c>
    </row>
    <row r="490" spans="1:13" x14ac:dyDescent="0.3">
      <c r="A490">
        <v>8.1715994803454635</v>
      </c>
      <c r="B490">
        <v>3.5556337349665741</v>
      </c>
      <c r="C490">
        <v>20</v>
      </c>
      <c r="D490">
        <v>1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</v>
      </c>
      <c r="K490">
        <v>0</v>
      </c>
      <c r="L490">
        <v>0</v>
      </c>
      <c r="M490">
        <v>1</v>
      </c>
    </row>
    <row r="491" spans="1:13" x14ac:dyDescent="0.3">
      <c r="A491">
        <v>8.1613750231974862</v>
      </c>
      <c r="B491">
        <v>3.4015306594522756</v>
      </c>
      <c r="C491">
        <v>41</v>
      </c>
      <c r="D491">
        <v>4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0</v>
      </c>
      <c r="M491">
        <v>1</v>
      </c>
    </row>
    <row r="492" spans="1:13" x14ac:dyDescent="0.3">
      <c r="A492">
        <v>8.1585162448068314</v>
      </c>
      <c r="B492">
        <v>-4.6051701859880909</v>
      </c>
      <c r="C492">
        <v>26</v>
      </c>
      <c r="D492">
        <v>4.5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1</v>
      </c>
      <c r="M492">
        <v>0</v>
      </c>
    </row>
    <row r="493" spans="1:13" x14ac:dyDescent="0.3">
      <c r="A493">
        <v>8.1582299169594936</v>
      </c>
      <c r="B493">
        <v>3.2192757448895279</v>
      </c>
      <c r="C493">
        <v>12</v>
      </c>
      <c r="D493">
        <v>1.5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1</v>
      </c>
    </row>
    <row r="494" spans="1:13" x14ac:dyDescent="0.3">
      <c r="A494">
        <v>8.1562233231946237</v>
      </c>
      <c r="B494">
        <v>3.5556337349665741</v>
      </c>
      <c r="C494">
        <v>19</v>
      </c>
      <c r="D494">
        <v>2</v>
      </c>
      <c r="E494">
        <v>0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0</v>
      </c>
      <c r="L494">
        <v>1</v>
      </c>
      <c r="M494">
        <v>0</v>
      </c>
    </row>
    <row r="495" spans="1:13" x14ac:dyDescent="0.3">
      <c r="A495">
        <v>8.1493128436353448</v>
      </c>
      <c r="B495">
        <v>2.996232148595642</v>
      </c>
      <c r="C495">
        <v>23</v>
      </c>
      <c r="D495">
        <v>1.5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0</v>
      </c>
      <c r="L495">
        <v>0</v>
      </c>
      <c r="M495">
        <v>1</v>
      </c>
    </row>
    <row r="496" spans="1:13" x14ac:dyDescent="0.3">
      <c r="A496">
        <v>8.1443888655476222</v>
      </c>
      <c r="B496">
        <v>2.996232148595642</v>
      </c>
      <c r="C496">
        <v>16</v>
      </c>
      <c r="D496">
        <v>3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</v>
      </c>
      <c r="K496">
        <v>0</v>
      </c>
      <c r="L496">
        <v>0</v>
      </c>
      <c r="M496">
        <v>1</v>
      </c>
    </row>
    <row r="497" spans="1:13" x14ac:dyDescent="0.3">
      <c r="A497">
        <v>8.1373958300566507</v>
      </c>
      <c r="B497">
        <v>4.7875750726433504</v>
      </c>
      <c r="C497">
        <v>102</v>
      </c>
      <c r="D497">
        <v>14.5</v>
      </c>
      <c r="E497">
        <v>0</v>
      </c>
      <c r="F497">
        <v>0</v>
      </c>
      <c r="G497">
        <v>0</v>
      </c>
      <c r="H497">
        <v>1</v>
      </c>
      <c r="I497">
        <v>0</v>
      </c>
      <c r="J497">
        <v>0</v>
      </c>
      <c r="K497">
        <v>0</v>
      </c>
      <c r="L497">
        <v>0</v>
      </c>
      <c r="M497">
        <v>1</v>
      </c>
    </row>
    <row r="498" spans="1:13" x14ac:dyDescent="0.3">
      <c r="A498">
        <v>8.1359327720048906</v>
      </c>
      <c r="B498">
        <v>5.0107019585407988</v>
      </c>
      <c r="C498">
        <v>160</v>
      </c>
      <c r="D498">
        <v>25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0</v>
      </c>
      <c r="K498">
        <v>0</v>
      </c>
      <c r="L498">
        <v>0</v>
      </c>
      <c r="M498">
        <v>1</v>
      </c>
    </row>
    <row r="499" spans="1:13" x14ac:dyDescent="0.3">
      <c r="A499">
        <v>8.1347607824186454</v>
      </c>
      <c r="B499">
        <v>3.9122229854308124</v>
      </c>
      <c r="C499">
        <v>22</v>
      </c>
      <c r="D499">
        <v>1</v>
      </c>
      <c r="E499">
        <v>0</v>
      </c>
      <c r="F499">
        <v>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0</v>
      </c>
    </row>
    <row r="500" spans="1:13" x14ac:dyDescent="0.3">
      <c r="A500">
        <v>8.1312365496961156</v>
      </c>
      <c r="B500">
        <v>5.2983673652980787</v>
      </c>
      <c r="C500">
        <v>15</v>
      </c>
      <c r="D500">
        <v>1.5</v>
      </c>
      <c r="E500">
        <v>0</v>
      </c>
      <c r="F500">
        <v>0</v>
      </c>
      <c r="G500">
        <v>0</v>
      </c>
      <c r="H500">
        <v>1</v>
      </c>
      <c r="I500">
        <v>0</v>
      </c>
      <c r="J500">
        <v>0</v>
      </c>
      <c r="K500">
        <v>0</v>
      </c>
      <c r="L500">
        <v>0</v>
      </c>
      <c r="M500">
        <v>1</v>
      </c>
    </row>
    <row r="501" spans="1:13" x14ac:dyDescent="0.3">
      <c r="A501">
        <v>8.1306479681605843</v>
      </c>
      <c r="B501">
        <v>5.2983673652980787</v>
      </c>
      <c r="C501">
        <v>85</v>
      </c>
      <c r="D501">
        <v>8</v>
      </c>
      <c r="E501">
        <v>0</v>
      </c>
      <c r="F501">
        <v>0</v>
      </c>
      <c r="G501">
        <v>0</v>
      </c>
      <c r="H501">
        <v>1</v>
      </c>
      <c r="I501">
        <v>0</v>
      </c>
      <c r="J501">
        <v>0</v>
      </c>
      <c r="K501">
        <v>0</v>
      </c>
      <c r="L501">
        <v>0</v>
      </c>
      <c r="M501">
        <v>1</v>
      </c>
    </row>
    <row r="502" spans="1:13" x14ac:dyDescent="0.3">
      <c r="A502">
        <v>8.129174996911793</v>
      </c>
      <c r="B502">
        <v>5.2983673652980787</v>
      </c>
      <c r="C502">
        <v>19</v>
      </c>
      <c r="D502">
        <v>1.5</v>
      </c>
      <c r="E502">
        <v>0</v>
      </c>
      <c r="F502">
        <v>0</v>
      </c>
      <c r="G502">
        <v>0</v>
      </c>
      <c r="H502">
        <v>0</v>
      </c>
      <c r="I502">
        <v>1</v>
      </c>
      <c r="J502">
        <v>0</v>
      </c>
      <c r="K502">
        <v>0</v>
      </c>
      <c r="L502">
        <v>0</v>
      </c>
      <c r="M502">
        <v>1</v>
      </c>
    </row>
    <row r="503" spans="1:13" x14ac:dyDescent="0.3">
      <c r="A503">
        <v>8.1279950557719456</v>
      </c>
      <c r="B503">
        <v>5.0107019585407988</v>
      </c>
      <c r="C503">
        <v>39</v>
      </c>
      <c r="D503">
        <v>3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1</v>
      </c>
      <c r="L503">
        <v>0</v>
      </c>
      <c r="M503">
        <v>0</v>
      </c>
    </row>
    <row r="504" spans="1:13" x14ac:dyDescent="0.3">
      <c r="A504">
        <v>8.1256309884770648</v>
      </c>
      <c r="B504">
        <v>4.1745411042163774</v>
      </c>
      <c r="C504">
        <v>16</v>
      </c>
      <c r="D504">
        <v>2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1</v>
      </c>
      <c r="L504">
        <v>0</v>
      </c>
      <c r="M504">
        <v>0</v>
      </c>
    </row>
    <row r="505" spans="1:13" x14ac:dyDescent="0.3">
      <c r="A505">
        <v>8.118802996980035</v>
      </c>
      <c r="B505">
        <v>2.996232148595642</v>
      </c>
      <c r="C505">
        <v>48</v>
      </c>
      <c r="D505">
        <v>12.5</v>
      </c>
      <c r="E505">
        <v>0</v>
      </c>
      <c r="F505">
        <v>0</v>
      </c>
      <c r="G505">
        <v>1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0</v>
      </c>
    </row>
    <row r="506" spans="1:13" x14ac:dyDescent="0.3">
      <c r="A506">
        <v>8.118802996980035</v>
      </c>
      <c r="B506">
        <v>-4.6051701859880909</v>
      </c>
      <c r="C506">
        <v>13</v>
      </c>
      <c r="D506">
        <v>0.61666666999999997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1</v>
      </c>
    </row>
    <row r="507" spans="1:13" x14ac:dyDescent="0.3">
      <c r="A507">
        <v>8.1089241559753393</v>
      </c>
      <c r="B507">
        <v>-4.6051701859880909</v>
      </c>
      <c r="C507">
        <v>19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</v>
      </c>
      <c r="K507">
        <v>1</v>
      </c>
      <c r="L507">
        <v>0</v>
      </c>
      <c r="M507">
        <v>0</v>
      </c>
    </row>
    <row r="508" spans="1:13" x14ac:dyDescent="0.3">
      <c r="A508">
        <v>8.1086232683545951</v>
      </c>
      <c r="B508">
        <v>3.8068846873048412</v>
      </c>
      <c r="C508">
        <v>7</v>
      </c>
      <c r="D508">
        <v>0.63333333000000003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</v>
      </c>
      <c r="K508">
        <v>1</v>
      </c>
      <c r="L508">
        <v>0</v>
      </c>
      <c r="M508">
        <v>0</v>
      </c>
    </row>
    <row r="509" spans="1:13" x14ac:dyDescent="0.3">
      <c r="A509">
        <v>8.1013746712285819</v>
      </c>
      <c r="B509">
        <v>2.996232148595642</v>
      </c>
      <c r="C509">
        <v>34</v>
      </c>
      <c r="D509">
        <v>4</v>
      </c>
      <c r="E509">
        <v>0</v>
      </c>
      <c r="F509">
        <v>0</v>
      </c>
      <c r="G509">
        <v>0</v>
      </c>
      <c r="H509">
        <v>1</v>
      </c>
      <c r="I509">
        <v>0</v>
      </c>
      <c r="J509">
        <v>0</v>
      </c>
      <c r="K509">
        <v>1</v>
      </c>
      <c r="L509">
        <v>0</v>
      </c>
      <c r="M509">
        <v>0</v>
      </c>
    </row>
    <row r="510" spans="1:13" x14ac:dyDescent="0.3">
      <c r="A510">
        <v>8.1001614469366068</v>
      </c>
      <c r="B510">
        <v>4.4427688966292678</v>
      </c>
      <c r="C510">
        <v>162</v>
      </c>
      <c r="D510">
        <v>31.5</v>
      </c>
      <c r="E510">
        <v>0</v>
      </c>
      <c r="F510">
        <v>0</v>
      </c>
      <c r="G510">
        <v>0</v>
      </c>
      <c r="H510">
        <v>0</v>
      </c>
      <c r="I510">
        <v>1</v>
      </c>
      <c r="J510">
        <v>0</v>
      </c>
      <c r="K510">
        <v>1</v>
      </c>
      <c r="L510">
        <v>0</v>
      </c>
      <c r="M510">
        <v>0</v>
      </c>
    </row>
    <row r="511" spans="1:13" x14ac:dyDescent="0.3">
      <c r="A511">
        <v>8.0928510275383836</v>
      </c>
      <c r="B511">
        <v>2.996232148595642</v>
      </c>
      <c r="C511">
        <v>54</v>
      </c>
      <c r="D511">
        <v>2.5</v>
      </c>
      <c r="E511">
        <v>0</v>
      </c>
      <c r="F511">
        <v>0</v>
      </c>
      <c r="G511">
        <v>0</v>
      </c>
      <c r="H511">
        <v>1</v>
      </c>
      <c r="I511">
        <v>0</v>
      </c>
      <c r="J511">
        <v>0</v>
      </c>
      <c r="K511">
        <v>1</v>
      </c>
      <c r="L511">
        <v>0</v>
      </c>
      <c r="M511">
        <v>0</v>
      </c>
    </row>
    <row r="512" spans="1:13" x14ac:dyDescent="0.3">
      <c r="A512">
        <v>8.0888687891619906</v>
      </c>
      <c r="B512">
        <v>2.996232148595642</v>
      </c>
      <c r="C512">
        <v>16</v>
      </c>
      <c r="D512">
        <v>2</v>
      </c>
      <c r="E512">
        <v>0</v>
      </c>
      <c r="F512">
        <v>0</v>
      </c>
      <c r="G512">
        <v>0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</row>
    <row r="513" spans="1:13" x14ac:dyDescent="0.3">
      <c r="A513">
        <v>8.0876402877789833</v>
      </c>
      <c r="B513">
        <v>3.6891294228691436</v>
      </c>
      <c r="C513">
        <v>16</v>
      </c>
      <c r="D513">
        <v>1.5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</row>
    <row r="514" spans="1:13" x14ac:dyDescent="0.3">
      <c r="A514">
        <v>8.0870254706677009</v>
      </c>
      <c r="B514">
        <v>5.0107019585407988</v>
      </c>
      <c r="C514">
        <v>62</v>
      </c>
      <c r="D514">
        <v>12.5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0</v>
      </c>
      <c r="K514">
        <v>0</v>
      </c>
      <c r="L514">
        <v>1</v>
      </c>
      <c r="M514">
        <v>0</v>
      </c>
    </row>
    <row r="515" spans="1:13" x14ac:dyDescent="0.3">
      <c r="A515">
        <v>8.0861025356691005</v>
      </c>
      <c r="B515">
        <v>3.2192757448895279</v>
      </c>
      <c r="C515">
        <v>60</v>
      </c>
      <c r="D515">
        <v>6.5</v>
      </c>
      <c r="E515">
        <v>0</v>
      </c>
      <c r="F515">
        <v>0</v>
      </c>
      <c r="G515">
        <v>0</v>
      </c>
      <c r="H515">
        <v>1</v>
      </c>
      <c r="I515">
        <v>0</v>
      </c>
      <c r="J515">
        <v>0</v>
      </c>
      <c r="K515">
        <v>0</v>
      </c>
      <c r="L515">
        <v>0</v>
      </c>
      <c r="M515">
        <v>1</v>
      </c>
    </row>
    <row r="516" spans="1:13" x14ac:dyDescent="0.3">
      <c r="A516">
        <v>8.0793081920519612</v>
      </c>
      <c r="B516">
        <v>-4.6051701859880909</v>
      </c>
      <c r="C516">
        <v>21</v>
      </c>
      <c r="D516">
        <v>2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</v>
      </c>
      <c r="K516">
        <v>0</v>
      </c>
      <c r="L516">
        <v>0</v>
      </c>
      <c r="M516">
        <v>1</v>
      </c>
    </row>
    <row r="517" spans="1:13" x14ac:dyDescent="0.3">
      <c r="A517">
        <v>8.0737146411098575</v>
      </c>
      <c r="B517">
        <v>5.273050839300149</v>
      </c>
      <c r="C517">
        <v>96</v>
      </c>
      <c r="D517">
        <v>12.5</v>
      </c>
      <c r="E517">
        <v>0</v>
      </c>
      <c r="F517">
        <v>0</v>
      </c>
      <c r="G517">
        <v>0</v>
      </c>
      <c r="H517">
        <v>0</v>
      </c>
      <c r="I517">
        <v>1</v>
      </c>
      <c r="J517">
        <v>0</v>
      </c>
      <c r="K517">
        <v>0</v>
      </c>
      <c r="L517">
        <v>0</v>
      </c>
      <c r="M517">
        <v>1</v>
      </c>
    </row>
    <row r="518" spans="1:13" x14ac:dyDescent="0.3">
      <c r="A518">
        <v>8.0687161927147812</v>
      </c>
      <c r="B518">
        <v>5.2983673652980787</v>
      </c>
      <c r="C518">
        <v>23</v>
      </c>
      <c r="D518">
        <v>1.5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1</v>
      </c>
      <c r="K518">
        <v>1</v>
      </c>
      <c r="L518">
        <v>0</v>
      </c>
      <c r="M518">
        <v>0</v>
      </c>
    </row>
    <row r="519" spans="1:13" x14ac:dyDescent="0.3">
      <c r="A519">
        <v>8.0662075680062646</v>
      </c>
      <c r="B519">
        <v>2.996232148595642</v>
      </c>
      <c r="C519">
        <v>94</v>
      </c>
      <c r="D519">
        <v>8</v>
      </c>
      <c r="E519">
        <v>0</v>
      </c>
      <c r="F519">
        <v>0</v>
      </c>
      <c r="G519">
        <v>0</v>
      </c>
      <c r="H519">
        <v>1</v>
      </c>
      <c r="I519">
        <v>0</v>
      </c>
      <c r="J519">
        <v>0</v>
      </c>
      <c r="K519">
        <v>1</v>
      </c>
      <c r="L519">
        <v>0</v>
      </c>
      <c r="M519">
        <v>0</v>
      </c>
    </row>
    <row r="520" spans="1:13" x14ac:dyDescent="0.3">
      <c r="A520">
        <v>8.064321960910803</v>
      </c>
      <c r="B520">
        <v>5.2983673652980787</v>
      </c>
      <c r="C520">
        <v>174</v>
      </c>
      <c r="D520">
        <v>20.5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1</v>
      </c>
    </row>
    <row r="521" spans="1:13" x14ac:dyDescent="0.3">
      <c r="A521">
        <v>8.0611713596909205</v>
      </c>
      <c r="B521">
        <v>5.273050839300149</v>
      </c>
      <c r="C521">
        <v>38</v>
      </c>
      <c r="D521">
        <v>3.5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0</v>
      </c>
      <c r="M521">
        <v>0</v>
      </c>
    </row>
    <row r="522" spans="1:13" x14ac:dyDescent="0.3">
      <c r="A522">
        <v>8.0551577318196781</v>
      </c>
      <c r="B522">
        <v>2.996232148595642</v>
      </c>
      <c r="C522">
        <v>49</v>
      </c>
      <c r="D522">
        <v>3.5</v>
      </c>
      <c r="E522">
        <v>0</v>
      </c>
      <c r="F522">
        <v>0</v>
      </c>
      <c r="G522">
        <v>0</v>
      </c>
      <c r="H522">
        <v>1</v>
      </c>
      <c r="I522">
        <v>0</v>
      </c>
      <c r="J522">
        <v>0</v>
      </c>
      <c r="K522">
        <v>0</v>
      </c>
      <c r="L522">
        <v>0</v>
      </c>
      <c r="M522">
        <v>1</v>
      </c>
    </row>
    <row r="523" spans="1:13" x14ac:dyDescent="0.3">
      <c r="A523">
        <v>8.0526148188155666</v>
      </c>
      <c r="B523">
        <v>-4.6051701859880909</v>
      </c>
      <c r="C523">
        <v>20</v>
      </c>
      <c r="D523">
        <v>0.61666666999999997</v>
      </c>
      <c r="E523">
        <v>0</v>
      </c>
      <c r="F523">
        <v>0</v>
      </c>
      <c r="G523">
        <v>0</v>
      </c>
      <c r="H523">
        <v>0</v>
      </c>
      <c r="I523">
        <v>1</v>
      </c>
      <c r="J523">
        <v>0</v>
      </c>
      <c r="K523">
        <v>1</v>
      </c>
      <c r="L523">
        <v>0</v>
      </c>
      <c r="M523">
        <v>0</v>
      </c>
    </row>
    <row r="524" spans="1:13" x14ac:dyDescent="0.3">
      <c r="A524">
        <v>8.0497462909521911</v>
      </c>
      <c r="B524">
        <v>3.2192757448895279</v>
      </c>
      <c r="C524">
        <v>63</v>
      </c>
      <c r="D524">
        <v>6</v>
      </c>
      <c r="E524">
        <v>0</v>
      </c>
      <c r="F524">
        <v>0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1</v>
      </c>
    </row>
    <row r="525" spans="1:13" x14ac:dyDescent="0.3">
      <c r="A525">
        <v>8.0452677166078033</v>
      </c>
      <c r="B525">
        <v>4.0945112150014218</v>
      </c>
      <c r="C525">
        <v>207</v>
      </c>
      <c r="D525">
        <v>33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0</v>
      </c>
      <c r="K525">
        <v>0</v>
      </c>
      <c r="L525">
        <v>0</v>
      </c>
      <c r="M525">
        <v>1</v>
      </c>
    </row>
    <row r="526" spans="1:13" x14ac:dyDescent="0.3">
      <c r="A526">
        <v>8.044947049617722</v>
      </c>
      <c r="B526">
        <v>-4.6051701859880909</v>
      </c>
      <c r="C526">
        <v>33</v>
      </c>
      <c r="D526">
        <v>1.5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1</v>
      </c>
    </row>
    <row r="527" spans="1:13" x14ac:dyDescent="0.3">
      <c r="A527">
        <v>8.0410910037086332</v>
      </c>
      <c r="B527">
        <v>2.996232148595642</v>
      </c>
      <c r="C527">
        <v>13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0</v>
      </c>
      <c r="L527">
        <v>0</v>
      </c>
      <c r="M527">
        <v>1</v>
      </c>
    </row>
    <row r="528" spans="1:13" x14ac:dyDescent="0.3">
      <c r="A528">
        <v>8.034631032923107</v>
      </c>
      <c r="B528">
        <v>2.996232148595642</v>
      </c>
      <c r="C528">
        <v>73</v>
      </c>
      <c r="D528">
        <v>7.5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</v>
      </c>
      <c r="L528">
        <v>0</v>
      </c>
      <c r="M528">
        <v>1</v>
      </c>
    </row>
    <row r="529" spans="1:13" x14ac:dyDescent="0.3">
      <c r="A529">
        <v>8.030409562130485</v>
      </c>
      <c r="B529">
        <v>4.4999207752689943</v>
      </c>
      <c r="C529">
        <v>13</v>
      </c>
      <c r="D529">
        <v>1.5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</v>
      </c>
      <c r="K529">
        <v>0</v>
      </c>
      <c r="L529">
        <v>1</v>
      </c>
      <c r="M529">
        <v>0</v>
      </c>
    </row>
    <row r="530" spans="1:13" x14ac:dyDescent="0.3">
      <c r="A530">
        <v>8.0173075076885816</v>
      </c>
      <c r="B530">
        <v>-4.6051701859880909</v>
      </c>
      <c r="C530">
        <v>9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1</v>
      </c>
      <c r="L530">
        <v>0</v>
      </c>
      <c r="M530">
        <v>0</v>
      </c>
    </row>
    <row r="531" spans="1:13" x14ac:dyDescent="0.3">
      <c r="A531">
        <v>8.0149968943483021</v>
      </c>
      <c r="B531">
        <v>3.9122229854308124</v>
      </c>
      <c r="C531">
        <v>67</v>
      </c>
      <c r="D531">
        <v>7</v>
      </c>
      <c r="E531">
        <v>1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</v>
      </c>
    </row>
    <row r="532" spans="1:13" x14ac:dyDescent="0.3">
      <c r="A532">
        <v>8.0113551091612862</v>
      </c>
      <c r="B532">
        <v>5.273050839300149</v>
      </c>
      <c r="C532">
        <v>19</v>
      </c>
      <c r="D532">
        <v>2.5</v>
      </c>
      <c r="E532">
        <v>0</v>
      </c>
      <c r="F532">
        <v>0</v>
      </c>
      <c r="G532">
        <v>0</v>
      </c>
      <c r="H532">
        <v>1</v>
      </c>
      <c r="I532">
        <v>0</v>
      </c>
      <c r="J532">
        <v>0</v>
      </c>
      <c r="K532">
        <v>0</v>
      </c>
      <c r="L532">
        <v>0</v>
      </c>
      <c r="M532">
        <v>1</v>
      </c>
    </row>
    <row r="533" spans="1:13" x14ac:dyDescent="0.3">
      <c r="A533">
        <v>8.0103595889197834</v>
      </c>
      <c r="B533">
        <v>4.1745411042163774</v>
      </c>
      <c r="C533">
        <v>330</v>
      </c>
      <c r="D533">
        <v>32.5</v>
      </c>
      <c r="E533">
        <v>0</v>
      </c>
      <c r="F533">
        <v>0</v>
      </c>
      <c r="G533">
        <v>0</v>
      </c>
      <c r="H533">
        <v>0</v>
      </c>
      <c r="I533">
        <v>1</v>
      </c>
      <c r="J533">
        <v>0</v>
      </c>
      <c r="K533">
        <v>0</v>
      </c>
      <c r="L533">
        <v>0</v>
      </c>
      <c r="M533">
        <v>1</v>
      </c>
    </row>
    <row r="534" spans="1:13" x14ac:dyDescent="0.3">
      <c r="A534">
        <v>8.0100275284817339</v>
      </c>
      <c r="B534">
        <v>3.9122229854308124</v>
      </c>
      <c r="C534">
        <v>10</v>
      </c>
      <c r="D534">
        <v>1</v>
      </c>
      <c r="E534">
        <v>0</v>
      </c>
      <c r="F534">
        <v>0</v>
      </c>
      <c r="G534">
        <v>0</v>
      </c>
      <c r="H534">
        <v>1</v>
      </c>
      <c r="I534">
        <v>0</v>
      </c>
      <c r="J534">
        <v>0</v>
      </c>
      <c r="K534">
        <v>0</v>
      </c>
      <c r="L534">
        <v>0</v>
      </c>
      <c r="M534">
        <v>1</v>
      </c>
    </row>
    <row r="535" spans="1:13" x14ac:dyDescent="0.3">
      <c r="A535">
        <v>8.0013550258267028</v>
      </c>
      <c r="B535">
        <v>2.996232148595642</v>
      </c>
      <c r="C535">
        <v>27</v>
      </c>
      <c r="D535">
        <v>1.5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0</v>
      </c>
      <c r="M535">
        <v>1</v>
      </c>
    </row>
    <row r="536" spans="1:13" x14ac:dyDescent="0.3">
      <c r="A536">
        <v>7.9966538754626075</v>
      </c>
      <c r="B536">
        <v>4.6052701809884251</v>
      </c>
      <c r="C536">
        <v>28</v>
      </c>
      <c r="D536">
        <v>3</v>
      </c>
      <c r="E536">
        <v>0</v>
      </c>
      <c r="F536">
        <v>0</v>
      </c>
      <c r="G536">
        <v>0</v>
      </c>
      <c r="H536">
        <v>1</v>
      </c>
      <c r="I536">
        <v>0</v>
      </c>
      <c r="J536">
        <v>0</v>
      </c>
      <c r="K536">
        <v>0</v>
      </c>
      <c r="L536">
        <v>1</v>
      </c>
      <c r="M536">
        <v>0</v>
      </c>
    </row>
    <row r="537" spans="1:13" x14ac:dyDescent="0.3">
      <c r="A537">
        <v>7.9946323114318254</v>
      </c>
      <c r="B537">
        <v>3.6891294228691436</v>
      </c>
      <c r="C537">
        <v>30</v>
      </c>
      <c r="D537">
        <v>2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</v>
      </c>
      <c r="K537">
        <v>1</v>
      </c>
      <c r="L537">
        <v>0</v>
      </c>
      <c r="M537">
        <v>0</v>
      </c>
    </row>
    <row r="538" spans="1:13" x14ac:dyDescent="0.3">
      <c r="A538">
        <v>7.9942949864159774</v>
      </c>
      <c r="B538">
        <v>2.996232148595642</v>
      </c>
      <c r="C538">
        <v>9</v>
      </c>
      <c r="D538">
        <v>1.5</v>
      </c>
      <c r="E538">
        <v>0</v>
      </c>
      <c r="F538">
        <v>0</v>
      </c>
      <c r="G538">
        <v>0</v>
      </c>
      <c r="H538">
        <v>0</v>
      </c>
      <c r="I538">
        <v>1</v>
      </c>
      <c r="J538">
        <v>0</v>
      </c>
      <c r="K538">
        <v>0</v>
      </c>
      <c r="L538">
        <v>0</v>
      </c>
      <c r="M538">
        <v>1</v>
      </c>
    </row>
    <row r="539" spans="1:13" x14ac:dyDescent="0.3">
      <c r="A539">
        <v>7.978996370854115</v>
      </c>
      <c r="B539">
        <v>3.4015306594522756</v>
      </c>
      <c r="C539">
        <v>70</v>
      </c>
      <c r="D539">
        <v>7</v>
      </c>
      <c r="E539">
        <v>0</v>
      </c>
      <c r="F539">
        <v>0</v>
      </c>
      <c r="G539">
        <v>0</v>
      </c>
      <c r="H539">
        <v>1</v>
      </c>
      <c r="I539">
        <v>0</v>
      </c>
      <c r="J539">
        <v>0</v>
      </c>
      <c r="K539">
        <v>0</v>
      </c>
      <c r="L539">
        <v>0</v>
      </c>
      <c r="M539">
        <v>1</v>
      </c>
    </row>
    <row r="540" spans="1:13" x14ac:dyDescent="0.3">
      <c r="A540">
        <v>7.9786537290827306</v>
      </c>
      <c r="B540">
        <v>5.2983673652980787</v>
      </c>
      <c r="C540">
        <v>17</v>
      </c>
      <c r="D540">
        <v>1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1</v>
      </c>
      <c r="L540">
        <v>0</v>
      </c>
      <c r="M540">
        <v>0</v>
      </c>
    </row>
    <row r="541" spans="1:13" x14ac:dyDescent="0.3">
      <c r="A541">
        <v>7.9765954093165767</v>
      </c>
      <c r="B541">
        <v>4.6052701809884251</v>
      </c>
      <c r="C541">
        <v>85</v>
      </c>
      <c r="D541">
        <v>6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1</v>
      </c>
    </row>
    <row r="542" spans="1:13" x14ac:dyDescent="0.3">
      <c r="A542">
        <v>7.9683195000127167</v>
      </c>
      <c r="B542">
        <v>4.5539821492186583</v>
      </c>
      <c r="C542">
        <v>24</v>
      </c>
      <c r="D542">
        <v>2.5</v>
      </c>
      <c r="E542">
        <v>0</v>
      </c>
      <c r="F542">
        <v>0</v>
      </c>
      <c r="G542">
        <v>0</v>
      </c>
      <c r="H542">
        <v>1</v>
      </c>
      <c r="I542">
        <v>0</v>
      </c>
      <c r="J542">
        <v>0</v>
      </c>
      <c r="K542">
        <v>0</v>
      </c>
      <c r="L542">
        <v>0</v>
      </c>
      <c r="M542">
        <v>1</v>
      </c>
    </row>
    <row r="543" spans="1:13" x14ac:dyDescent="0.3">
      <c r="A543">
        <v>7.9638079532314512</v>
      </c>
      <c r="B543">
        <v>5.273050839300149</v>
      </c>
      <c r="C543">
        <v>36</v>
      </c>
      <c r="D543">
        <v>4.5</v>
      </c>
      <c r="E543">
        <v>0</v>
      </c>
      <c r="F543">
        <v>0</v>
      </c>
      <c r="G543">
        <v>0</v>
      </c>
      <c r="H543">
        <v>1</v>
      </c>
      <c r="I543">
        <v>0</v>
      </c>
      <c r="J543">
        <v>0</v>
      </c>
      <c r="K543">
        <v>1</v>
      </c>
      <c r="L543">
        <v>0</v>
      </c>
      <c r="M543">
        <v>0</v>
      </c>
    </row>
    <row r="544" spans="1:13" x14ac:dyDescent="0.3">
      <c r="A544">
        <v>7.9603236291488395</v>
      </c>
      <c r="B544">
        <v>3.6891294228691436</v>
      </c>
      <c r="C544">
        <v>32</v>
      </c>
      <c r="D544">
        <v>4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1</v>
      </c>
      <c r="L544">
        <v>0</v>
      </c>
      <c r="M544">
        <v>0</v>
      </c>
    </row>
    <row r="545" spans="1:13" x14ac:dyDescent="0.3">
      <c r="A545">
        <v>7.9582271923223118</v>
      </c>
      <c r="B545">
        <v>-4.6051701859880909</v>
      </c>
      <c r="C545">
        <v>17</v>
      </c>
      <c r="D545">
        <v>0.73333333000000001</v>
      </c>
      <c r="E545">
        <v>0</v>
      </c>
      <c r="F545">
        <v>0</v>
      </c>
      <c r="G545">
        <v>0</v>
      </c>
      <c r="H545">
        <v>0</v>
      </c>
      <c r="I545">
        <v>1</v>
      </c>
      <c r="J545">
        <v>0</v>
      </c>
      <c r="K545">
        <v>0</v>
      </c>
      <c r="L545">
        <v>0</v>
      </c>
      <c r="M545">
        <v>1</v>
      </c>
    </row>
    <row r="546" spans="1:13" x14ac:dyDescent="0.3">
      <c r="A546">
        <v>7.9561263512135003</v>
      </c>
      <c r="B546">
        <v>2.996232148595642</v>
      </c>
      <c r="C546">
        <v>16</v>
      </c>
      <c r="D546">
        <v>1.5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1</v>
      </c>
      <c r="K546">
        <v>0</v>
      </c>
      <c r="L546">
        <v>0</v>
      </c>
      <c r="M546">
        <v>1</v>
      </c>
    </row>
    <row r="547" spans="1:13" x14ac:dyDescent="0.3">
      <c r="A547">
        <v>7.9505024348088513</v>
      </c>
      <c r="B547">
        <v>4.7875750726433504</v>
      </c>
      <c r="C547">
        <v>49</v>
      </c>
      <c r="D547">
        <v>7</v>
      </c>
      <c r="E547">
        <v>0</v>
      </c>
      <c r="F547">
        <v>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</row>
    <row r="548" spans="1:13" x14ac:dyDescent="0.3">
      <c r="A548">
        <v>7.9423622376743346</v>
      </c>
      <c r="B548">
        <v>4.5539821492186583</v>
      </c>
      <c r="C548">
        <v>39</v>
      </c>
      <c r="D548">
        <v>2</v>
      </c>
      <c r="E548">
        <v>0</v>
      </c>
      <c r="F548">
        <v>0</v>
      </c>
      <c r="G548">
        <v>1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</row>
    <row r="549" spans="1:13" x14ac:dyDescent="0.3">
      <c r="A549">
        <v>7.9423622376743346</v>
      </c>
      <c r="B549">
        <v>4.941713848629834</v>
      </c>
      <c r="C549">
        <v>35</v>
      </c>
      <c r="D549">
        <v>2</v>
      </c>
      <c r="E549">
        <v>0</v>
      </c>
      <c r="F549">
        <v>0</v>
      </c>
      <c r="G549">
        <v>0</v>
      </c>
      <c r="H549">
        <v>0</v>
      </c>
      <c r="I549">
        <v>1</v>
      </c>
      <c r="J549">
        <v>0</v>
      </c>
      <c r="K549">
        <v>0</v>
      </c>
      <c r="L549">
        <v>1</v>
      </c>
      <c r="M549">
        <v>0</v>
      </c>
    </row>
    <row r="550" spans="1:13" x14ac:dyDescent="0.3">
      <c r="A550">
        <v>7.9388022481544809</v>
      </c>
      <c r="B550">
        <v>5.273050839300149</v>
      </c>
      <c r="C550">
        <v>212</v>
      </c>
      <c r="D550">
        <v>37.5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1</v>
      </c>
    </row>
    <row r="551" spans="1:13" x14ac:dyDescent="0.3">
      <c r="A551">
        <v>7.9363026932019594</v>
      </c>
      <c r="B551">
        <v>3.5556337349665741</v>
      </c>
      <c r="C551">
        <v>10</v>
      </c>
      <c r="D551">
        <v>1</v>
      </c>
      <c r="E551">
        <v>0</v>
      </c>
      <c r="F551">
        <v>0</v>
      </c>
      <c r="G551">
        <v>1</v>
      </c>
      <c r="H551">
        <v>0</v>
      </c>
      <c r="I551">
        <v>0</v>
      </c>
      <c r="J551">
        <v>0</v>
      </c>
      <c r="K551">
        <v>1</v>
      </c>
      <c r="L551">
        <v>0</v>
      </c>
      <c r="M551">
        <v>0</v>
      </c>
    </row>
    <row r="552" spans="1:13" x14ac:dyDescent="0.3">
      <c r="A552">
        <v>7.933438387627489</v>
      </c>
      <c r="B552">
        <v>4.5539821492186583</v>
      </c>
      <c r="C552">
        <v>26</v>
      </c>
      <c r="D552">
        <v>3.5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0</v>
      </c>
      <c r="K552">
        <v>1</v>
      </c>
      <c r="L552">
        <v>0</v>
      </c>
      <c r="M552">
        <v>0</v>
      </c>
    </row>
    <row r="553" spans="1:13" x14ac:dyDescent="0.3">
      <c r="A553">
        <v>7.9323621543397511</v>
      </c>
      <c r="B553">
        <v>5.2983673652980787</v>
      </c>
      <c r="C553">
        <v>20</v>
      </c>
      <c r="D553">
        <v>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</v>
      </c>
      <c r="K553">
        <v>0</v>
      </c>
      <c r="L553">
        <v>1</v>
      </c>
      <c r="M553">
        <v>0</v>
      </c>
    </row>
    <row r="554" spans="1:13" x14ac:dyDescent="0.3">
      <c r="A554">
        <v>7.9316440214543107</v>
      </c>
      <c r="B554">
        <v>3.9122229854308124</v>
      </c>
      <c r="C554">
        <v>79</v>
      </c>
      <c r="D554">
        <v>15</v>
      </c>
      <c r="E554">
        <v>0</v>
      </c>
      <c r="F554">
        <v>0</v>
      </c>
      <c r="G554">
        <v>0</v>
      </c>
      <c r="H554">
        <v>1</v>
      </c>
      <c r="I554">
        <v>0</v>
      </c>
      <c r="J554">
        <v>0</v>
      </c>
      <c r="K554">
        <v>0</v>
      </c>
      <c r="L554">
        <v>1</v>
      </c>
      <c r="M554">
        <v>0</v>
      </c>
    </row>
    <row r="555" spans="1:13" x14ac:dyDescent="0.3">
      <c r="A555">
        <v>7.9316440214543107</v>
      </c>
      <c r="B555">
        <v>2.996232148595642</v>
      </c>
      <c r="C555">
        <v>29</v>
      </c>
      <c r="D555">
        <v>3.5</v>
      </c>
      <c r="E555">
        <v>0</v>
      </c>
      <c r="F555">
        <v>0</v>
      </c>
      <c r="G555">
        <v>1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1</v>
      </c>
    </row>
    <row r="556" spans="1:13" x14ac:dyDescent="0.3">
      <c r="A556">
        <v>7.931284761525891</v>
      </c>
      <c r="B556">
        <v>5.2983673652980787</v>
      </c>
      <c r="C556">
        <v>21</v>
      </c>
      <c r="D556">
        <v>1.5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1</v>
      </c>
      <c r="L556">
        <v>0</v>
      </c>
      <c r="M556">
        <v>0</v>
      </c>
    </row>
    <row r="557" spans="1:13" x14ac:dyDescent="0.3">
      <c r="A557">
        <v>7.9302062066846828</v>
      </c>
      <c r="B557">
        <v>3.6891294228691436</v>
      </c>
      <c r="C557">
        <v>29</v>
      </c>
      <c r="D557">
        <v>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1</v>
      </c>
      <c r="K557">
        <v>0</v>
      </c>
      <c r="L557">
        <v>0</v>
      </c>
      <c r="M557">
        <v>1</v>
      </c>
    </row>
    <row r="558" spans="1:13" x14ac:dyDescent="0.3">
      <c r="A558">
        <v>7.9229859587111955</v>
      </c>
      <c r="B558">
        <v>4.6052701809884251</v>
      </c>
      <c r="C558">
        <v>26</v>
      </c>
      <c r="D558">
        <v>3.5</v>
      </c>
      <c r="E558">
        <v>0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1</v>
      </c>
    </row>
    <row r="559" spans="1:13" x14ac:dyDescent="0.3">
      <c r="A559">
        <v>7.9229859587111955</v>
      </c>
      <c r="B559">
        <v>2.996232148595642</v>
      </c>
      <c r="C559">
        <v>34</v>
      </c>
      <c r="D559">
        <v>1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</v>
      </c>
      <c r="K559">
        <v>0</v>
      </c>
      <c r="L559">
        <v>0</v>
      </c>
      <c r="M559">
        <v>1</v>
      </c>
    </row>
    <row r="560" spans="1:13" x14ac:dyDescent="0.3">
      <c r="A560">
        <v>7.9211727215870145</v>
      </c>
      <c r="B560">
        <v>3.5556337349665741</v>
      </c>
      <c r="C560">
        <v>179</v>
      </c>
      <c r="D560">
        <v>17.5</v>
      </c>
      <c r="E560">
        <v>0</v>
      </c>
      <c r="F560">
        <v>0</v>
      </c>
      <c r="G560">
        <v>0</v>
      </c>
      <c r="H560">
        <v>0</v>
      </c>
      <c r="I560">
        <v>1</v>
      </c>
      <c r="J560">
        <v>0</v>
      </c>
      <c r="K560">
        <v>1</v>
      </c>
      <c r="L560">
        <v>0</v>
      </c>
      <c r="M560">
        <v>0</v>
      </c>
    </row>
    <row r="561" spans="1:13" x14ac:dyDescent="0.3">
      <c r="A561">
        <v>7.920446505142607</v>
      </c>
      <c r="B561">
        <v>3.2192757448895279</v>
      </c>
      <c r="C561">
        <v>18</v>
      </c>
      <c r="D561">
        <v>2</v>
      </c>
      <c r="E561">
        <v>0</v>
      </c>
      <c r="F561">
        <v>0</v>
      </c>
      <c r="G561">
        <v>0</v>
      </c>
      <c r="H561">
        <v>1</v>
      </c>
      <c r="I561">
        <v>0</v>
      </c>
      <c r="J561">
        <v>0</v>
      </c>
      <c r="K561">
        <v>1</v>
      </c>
      <c r="L561">
        <v>0</v>
      </c>
      <c r="M561">
        <v>0</v>
      </c>
    </row>
    <row r="562" spans="1:13" x14ac:dyDescent="0.3">
      <c r="A562">
        <v>7.9189924881652454</v>
      </c>
      <c r="B562">
        <v>2.996232148595642</v>
      </c>
      <c r="C562">
        <v>7</v>
      </c>
      <c r="D562">
        <v>0.68333332999999996</v>
      </c>
      <c r="E562">
        <v>0</v>
      </c>
      <c r="F562">
        <v>0</v>
      </c>
      <c r="G562">
        <v>0</v>
      </c>
      <c r="H562">
        <v>1</v>
      </c>
      <c r="I562">
        <v>0</v>
      </c>
      <c r="J562">
        <v>0</v>
      </c>
      <c r="K562">
        <v>0</v>
      </c>
      <c r="L562">
        <v>1</v>
      </c>
      <c r="M562">
        <v>0</v>
      </c>
    </row>
    <row r="563" spans="1:13" x14ac:dyDescent="0.3">
      <c r="A563">
        <v>7.9168074909376029</v>
      </c>
      <c r="B563">
        <v>4.5539821492186583</v>
      </c>
      <c r="C563">
        <v>61</v>
      </c>
      <c r="D563">
        <v>14.5</v>
      </c>
      <c r="E563">
        <v>0</v>
      </c>
      <c r="F563">
        <v>0</v>
      </c>
      <c r="G563">
        <v>0</v>
      </c>
      <c r="H563">
        <v>0</v>
      </c>
      <c r="I563">
        <v>1</v>
      </c>
      <c r="J563">
        <v>0</v>
      </c>
      <c r="K563">
        <v>0</v>
      </c>
      <c r="L563">
        <v>0</v>
      </c>
      <c r="M563">
        <v>1</v>
      </c>
    </row>
    <row r="564" spans="1:13" x14ac:dyDescent="0.3">
      <c r="A564">
        <v>7.9087547387832462</v>
      </c>
      <c r="B564">
        <v>4.3176214379815452</v>
      </c>
      <c r="C564">
        <v>44</v>
      </c>
      <c r="D564">
        <v>5.5</v>
      </c>
      <c r="E564">
        <v>0</v>
      </c>
      <c r="F564">
        <v>1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</row>
    <row r="565" spans="1:13" x14ac:dyDescent="0.3">
      <c r="A565">
        <v>7.9032268087307331</v>
      </c>
      <c r="B565">
        <v>5.1648431151480656</v>
      </c>
      <c r="C565">
        <v>103</v>
      </c>
      <c r="D565">
        <v>13</v>
      </c>
      <c r="E565">
        <v>0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1</v>
      </c>
      <c r="L565">
        <v>0</v>
      </c>
      <c r="M565">
        <v>0</v>
      </c>
    </row>
    <row r="566" spans="1:13" x14ac:dyDescent="0.3">
      <c r="A566">
        <v>7.9002660367677011</v>
      </c>
      <c r="B566">
        <v>5.2983673652980787</v>
      </c>
      <c r="C566">
        <v>57</v>
      </c>
      <c r="D566">
        <v>8</v>
      </c>
      <c r="E566">
        <v>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</v>
      </c>
    </row>
    <row r="567" spans="1:13" x14ac:dyDescent="0.3">
      <c r="A567">
        <v>7.89989532313973</v>
      </c>
      <c r="B567">
        <v>4.3176214379815452</v>
      </c>
      <c r="C567">
        <v>82</v>
      </c>
      <c r="D567">
        <v>11.5</v>
      </c>
      <c r="E567">
        <v>0</v>
      </c>
      <c r="F567">
        <v>1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</row>
    <row r="568" spans="1:13" x14ac:dyDescent="0.3">
      <c r="A568">
        <v>7.8961806086154915</v>
      </c>
      <c r="B568">
        <v>5.2983673652980787</v>
      </c>
      <c r="C568">
        <v>138</v>
      </c>
      <c r="D568">
        <v>25.5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1</v>
      </c>
      <c r="K568">
        <v>1</v>
      </c>
      <c r="L568">
        <v>0</v>
      </c>
      <c r="M568">
        <v>0</v>
      </c>
    </row>
    <row r="569" spans="1:13" x14ac:dyDescent="0.3">
      <c r="A569">
        <v>7.8894591494045239</v>
      </c>
      <c r="B569">
        <v>3.9122229854308124</v>
      </c>
      <c r="C569">
        <v>72</v>
      </c>
      <c r="D569">
        <v>5.5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1</v>
      </c>
      <c r="L569">
        <v>0</v>
      </c>
      <c r="M569">
        <v>0</v>
      </c>
    </row>
    <row r="570" spans="1:13" x14ac:dyDescent="0.3">
      <c r="A570">
        <v>7.886081401775745</v>
      </c>
      <c r="B570">
        <v>2.996232148595642</v>
      </c>
      <c r="C570">
        <v>16</v>
      </c>
      <c r="D570">
        <v>1.5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1</v>
      </c>
      <c r="L570">
        <v>0</v>
      </c>
      <c r="M570">
        <v>0</v>
      </c>
    </row>
    <row r="571" spans="1:13" x14ac:dyDescent="0.3">
      <c r="A571">
        <v>7.8830693513057533</v>
      </c>
      <c r="B571">
        <v>4.7875750726433504</v>
      </c>
      <c r="C571">
        <v>40</v>
      </c>
      <c r="D571">
        <v>3.5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0</v>
      </c>
      <c r="K571">
        <v>0</v>
      </c>
      <c r="L571">
        <v>0</v>
      </c>
      <c r="M571">
        <v>1</v>
      </c>
    </row>
    <row r="572" spans="1:13" x14ac:dyDescent="0.3">
      <c r="A572">
        <v>7.8823149189802679</v>
      </c>
      <c r="B572">
        <v>3.6891294228691436</v>
      </c>
      <c r="C572">
        <v>39</v>
      </c>
      <c r="D572">
        <v>2</v>
      </c>
      <c r="E572">
        <v>0</v>
      </c>
      <c r="F572">
        <v>0</v>
      </c>
      <c r="G572">
        <v>0</v>
      </c>
      <c r="H572">
        <v>1</v>
      </c>
      <c r="I572">
        <v>0</v>
      </c>
      <c r="J572">
        <v>0</v>
      </c>
      <c r="K572">
        <v>1</v>
      </c>
      <c r="L572">
        <v>0</v>
      </c>
      <c r="M572">
        <v>0</v>
      </c>
    </row>
    <row r="573" spans="1:13" x14ac:dyDescent="0.3">
      <c r="A573">
        <v>7.8823149189802679</v>
      </c>
      <c r="B573">
        <v>2.996232148595642</v>
      </c>
      <c r="C573">
        <v>304</v>
      </c>
      <c r="D573">
        <v>15.5</v>
      </c>
      <c r="E573">
        <v>0</v>
      </c>
      <c r="F573">
        <v>0</v>
      </c>
      <c r="G573">
        <v>0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1</v>
      </c>
    </row>
    <row r="574" spans="1:13" x14ac:dyDescent="0.3">
      <c r="A574">
        <v>7.8819374892720697</v>
      </c>
      <c r="B574">
        <v>-4.6051701859880909</v>
      </c>
      <c r="C574">
        <v>7</v>
      </c>
      <c r="D574">
        <v>0.58333332999999998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1</v>
      </c>
    </row>
    <row r="575" spans="1:13" x14ac:dyDescent="0.3">
      <c r="A575">
        <v>7.879669914604289</v>
      </c>
      <c r="B575">
        <v>2.996232148595642</v>
      </c>
      <c r="C575">
        <v>83</v>
      </c>
      <c r="D575">
        <v>9</v>
      </c>
      <c r="E575">
        <v>0</v>
      </c>
      <c r="F575">
        <v>0</v>
      </c>
      <c r="G575">
        <v>0</v>
      </c>
      <c r="H575">
        <v>0</v>
      </c>
      <c r="I575">
        <v>1</v>
      </c>
      <c r="J575">
        <v>0</v>
      </c>
      <c r="K575">
        <v>0</v>
      </c>
      <c r="L575">
        <v>0</v>
      </c>
      <c r="M575">
        <v>1</v>
      </c>
    </row>
    <row r="576" spans="1:13" x14ac:dyDescent="0.3">
      <c r="A576">
        <v>7.879669914604289</v>
      </c>
      <c r="B576">
        <v>3.9122229854308124</v>
      </c>
      <c r="C576">
        <v>24</v>
      </c>
      <c r="D576">
        <v>3.5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0</v>
      </c>
      <c r="K576">
        <v>0</v>
      </c>
      <c r="L576">
        <v>0</v>
      </c>
      <c r="M576">
        <v>1</v>
      </c>
    </row>
    <row r="577" spans="1:13" x14ac:dyDescent="0.3">
      <c r="A577">
        <v>7.8789129122971326</v>
      </c>
      <c r="B577">
        <v>5.0107019585407988</v>
      </c>
      <c r="C577">
        <v>15</v>
      </c>
      <c r="D577">
        <v>0.65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1</v>
      </c>
      <c r="M577">
        <v>0</v>
      </c>
    </row>
    <row r="578" spans="1:13" x14ac:dyDescent="0.3">
      <c r="A578">
        <v>7.8766384609754629</v>
      </c>
      <c r="B578">
        <v>4.5539821492186583</v>
      </c>
      <c r="C578">
        <v>30</v>
      </c>
      <c r="D578">
        <v>2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1</v>
      </c>
    </row>
    <row r="579" spans="1:13" x14ac:dyDescent="0.3">
      <c r="A579">
        <v>7.8732170548627414</v>
      </c>
      <c r="B579">
        <v>3.6891294228691436</v>
      </c>
      <c r="C579">
        <v>135</v>
      </c>
      <c r="D579">
        <v>6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1</v>
      </c>
      <c r="L579">
        <v>0</v>
      </c>
      <c r="M579">
        <v>0</v>
      </c>
    </row>
    <row r="580" spans="1:13" x14ac:dyDescent="0.3">
      <c r="A580">
        <v>7.8659554139335022</v>
      </c>
      <c r="B580">
        <v>4.6052701809884251</v>
      </c>
      <c r="C580">
        <v>49</v>
      </c>
      <c r="D580">
        <v>5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1</v>
      </c>
      <c r="L580">
        <v>0</v>
      </c>
      <c r="M580">
        <v>0</v>
      </c>
    </row>
    <row r="581" spans="1:13" x14ac:dyDescent="0.3">
      <c r="A581">
        <v>7.8655717576847906</v>
      </c>
      <c r="B581">
        <v>3.9122229854308124</v>
      </c>
      <c r="C581">
        <v>77</v>
      </c>
      <c r="D581">
        <v>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1</v>
      </c>
      <c r="K581">
        <v>0</v>
      </c>
      <c r="L581">
        <v>0</v>
      </c>
      <c r="M581">
        <v>1</v>
      </c>
    </row>
    <row r="582" spans="1:13" x14ac:dyDescent="0.3">
      <c r="A582">
        <v>7.8617270778239803</v>
      </c>
      <c r="B582">
        <v>3.4015306594522756</v>
      </c>
      <c r="C582">
        <v>39</v>
      </c>
      <c r="D582">
        <v>4</v>
      </c>
      <c r="E582">
        <v>0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1</v>
      </c>
    </row>
    <row r="583" spans="1:13" x14ac:dyDescent="0.3">
      <c r="A583">
        <v>7.8547691834991324</v>
      </c>
      <c r="B583">
        <v>3.6891294228691436</v>
      </c>
      <c r="C583">
        <v>39</v>
      </c>
      <c r="D583">
        <v>5.5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1</v>
      </c>
      <c r="L583">
        <v>0</v>
      </c>
      <c r="M583">
        <v>0</v>
      </c>
    </row>
    <row r="584" spans="1:13" x14ac:dyDescent="0.3">
      <c r="A584">
        <v>7.8543812106523649</v>
      </c>
      <c r="B584">
        <v>3.9122229854308124</v>
      </c>
      <c r="C584">
        <v>64</v>
      </c>
      <c r="D584">
        <v>4.5</v>
      </c>
      <c r="E584">
        <v>0</v>
      </c>
      <c r="F584">
        <v>0</v>
      </c>
      <c r="G584">
        <v>0</v>
      </c>
      <c r="H584">
        <v>0</v>
      </c>
      <c r="I584">
        <v>1</v>
      </c>
      <c r="J584">
        <v>0</v>
      </c>
      <c r="K584">
        <v>0</v>
      </c>
      <c r="L584">
        <v>0</v>
      </c>
      <c r="M584">
        <v>1</v>
      </c>
    </row>
    <row r="585" spans="1:13" x14ac:dyDescent="0.3">
      <c r="A585">
        <v>7.8528278122817445</v>
      </c>
      <c r="B585">
        <v>3.8068846873048412</v>
      </c>
      <c r="C585">
        <v>46</v>
      </c>
      <c r="D585">
        <v>5.5</v>
      </c>
      <c r="E585">
        <v>0</v>
      </c>
      <c r="F585">
        <v>0</v>
      </c>
      <c r="G585">
        <v>0</v>
      </c>
      <c r="H585">
        <v>1</v>
      </c>
      <c r="I585">
        <v>0</v>
      </c>
      <c r="J585">
        <v>0</v>
      </c>
      <c r="K585">
        <v>0</v>
      </c>
      <c r="L585">
        <v>1</v>
      </c>
      <c r="M585">
        <v>0</v>
      </c>
    </row>
    <row r="586" spans="1:13" x14ac:dyDescent="0.3">
      <c r="A586">
        <v>7.8516611778892651</v>
      </c>
      <c r="B586">
        <v>4.1745411042163774</v>
      </c>
      <c r="C586">
        <v>87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1</v>
      </c>
    </row>
    <row r="587" spans="1:13" x14ac:dyDescent="0.3">
      <c r="A587">
        <v>7.8497137576048699</v>
      </c>
      <c r="B587">
        <v>4.007514986887367</v>
      </c>
      <c r="C587">
        <v>41</v>
      </c>
      <c r="D587">
        <v>3</v>
      </c>
      <c r="E587">
        <v>0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</v>
      </c>
    </row>
    <row r="588" spans="1:13" x14ac:dyDescent="0.3">
      <c r="A588">
        <v>7.8469809821387884</v>
      </c>
      <c r="B588">
        <v>4.6052701809884251</v>
      </c>
      <c r="C588">
        <v>36</v>
      </c>
      <c r="D588">
        <v>3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0</v>
      </c>
      <c r="K588">
        <v>1</v>
      </c>
      <c r="L588">
        <v>0</v>
      </c>
      <c r="M588">
        <v>0</v>
      </c>
    </row>
    <row r="589" spans="1:13" x14ac:dyDescent="0.3">
      <c r="A589">
        <v>7.8426714749794568</v>
      </c>
      <c r="B589">
        <v>5.273050839300149</v>
      </c>
      <c r="C589">
        <v>18</v>
      </c>
      <c r="D589">
        <v>1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0</v>
      </c>
      <c r="K589">
        <v>0</v>
      </c>
      <c r="L589">
        <v>0</v>
      </c>
      <c r="M589">
        <v>1</v>
      </c>
    </row>
    <row r="590" spans="1:13" x14ac:dyDescent="0.3">
      <c r="A590">
        <v>7.8367647832640666</v>
      </c>
      <c r="B590">
        <v>2.996232148595642</v>
      </c>
      <c r="C590">
        <v>30</v>
      </c>
      <c r="D590">
        <v>1</v>
      </c>
      <c r="E590">
        <v>0</v>
      </c>
      <c r="F590">
        <v>0</v>
      </c>
      <c r="G590">
        <v>0</v>
      </c>
      <c r="H590">
        <v>0</v>
      </c>
      <c r="I590">
        <v>1</v>
      </c>
      <c r="J590">
        <v>0</v>
      </c>
      <c r="K590">
        <v>0</v>
      </c>
      <c r="L590">
        <v>0</v>
      </c>
      <c r="M590">
        <v>1</v>
      </c>
    </row>
    <row r="591" spans="1:13" x14ac:dyDescent="0.3">
      <c r="A591">
        <v>7.8351837552667485</v>
      </c>
      <c r="B591">
        <v>2.996232148595642</v>
      </c>
      <c r="C591">
        <v>30</v>
      </c>
      <c r="D591">
        <v>2</v>
      </c>
      <c r="E591">
        <v>0</v>
      </c>
      <c r="F591">
        <v>0</v>
      </c>
      <c r="G591">
        <v>1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1</v>
      </c>
    </row>
    <row r="592" spans="1:13" x14ac:dyDescent="0.3">
      <c r="A592">
        <v>7.8343923029104365</v>
      </c>
      <c r="B592">
        <v>5.273050839300149</v>
      </c>
      <c r="C592">
        <v>24</v>
      </c>
      <c r="D592">
        <v>5</v>
      </c>
      <c r="E592">
        <v>0</v>
      </c>
      <c r="F592">
        <v>0</v>
      </c>
      <c r="G592">
        <v>1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0</v>
      </c>
    </row>
    <row r="593" spans="1:13" x14ac:dyDescent="0.3">
      <c r="A593">
        <v>7.8320141805054693</v>
      </c>
      <c r="B593">
        <v>2.996232148595642</v>
      </c>
      <c r="C593">
        <v>34</v>
      </c>
      <c r="D593">
        <v>1.5</v>
      </c>
      <c r="E593">
        <v>0</v>
      </c>
      <c r="F593">
        <v>1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</row>
    <row r="594" spans="1:13" x14ac:dyDescent="0.3">
      <c r="A594">
        <v>7.8280380321258294</v>
      </c>
      <c r="B594">
        <v>2.996232148595642</v>
      </c>
      <c r="C594">
        <v>23</v>
      </c>
      <c r="D594">
        <v>1.5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</v>
      </c>
      <c r="K594">
        <v>0</v>
      </c>
      <c r="L594">
        <v>0</v>
      </c>
      <c r="M594">
        <v>1</v>
      </c>
    </row>
    <row r="595" spans="1:13" x14ac:dyDescent="0.3">
      <c r="A595">
        <v>7.8228452902797736</v>
      </c>
      <c r="B595">
        <v>5.273050839300149</v>
      </c>
      <c r="C595">
        <v>154</v>
      </c>
      <c r="D595">
        <v>26</v>
      </c>
      <c r="E595">
        <v>0</v>
      </c>
      <c r="F595">
        <v>0</v>
      </c>
      <c r="G595">
        <v>1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0</v>
      </c>
    </row>
    <row r="596" spans="1:13" x14ac:dyDescent="0.3">
      <c r="A596">
        <v>7.8216431262399819</v>
      </c>
      <c r="B596">
        <v>3.9122229854308124</v>
      </c>
      <c r="C596">
        <v>40</v>
      </c>
      <c r="D596">
        <v>4.5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0</v>
      </c>
      <c r="L596">
        <v>0</v>
      </c>
      <c r="M596">
        <v>1</v>
      </c>
    </row>
    <row r="597" spans="1:13" x14ac:dyDescent="0.3">
      <c r="A597">
        <v>7.8127828185775812</v>
      </c>
      <c r="B597">
        <v>3.6891294228691436</v>
      </c>
      <c r="C597">
        <v>31</v>
      </c>
      <c r="D597">
        <v>4</v>
      </c>
      <c r="E597">
        <v>0</v>
      </c>
      <c r="F597">
        <v>0</v>
      </c>
      <c r="G597">
        <v>0</v>
      </c>
      <c r="H597">
        <v>1</v>
      </c>
      <c r="I597">
        <v>0</v>
      </c>
      <c r="J597">
        <v>0</v>
      </c>
      <c r="K597">
        <v>0</v>
      </c>
      <c r="L597">
        <v>1</v>
      </c>
      <c r="M597">
        <v>0</v>
      </c>
    </row>
    <row r="598" spans="1:13" x14ac:dyDescent="0.3">
      <c r="A598">
        <v>7.8127828185775812</v>
      </c>
      <c r="B598">
        <v>3.8068846873048412</v>
      </c>
      <c r="C598">
        <v>8</v>
      </c>
      <c r="D598">
        <v>1</v>
      </c>
      <c r="E598">
        <v>0</v>
      </c>
      <c r="F598">
        <v>0</v>
      </c>
      <c r="G598">
        <v>0</v>
      </c>
      <c r="H598">
        <v>1</v>
      </c>
      <c r="I598">
        <v>0</v>
      </c>
      <c r="J598">
        <v>0</v>
      </c>
      <c r="K598">
        <v>0</v>
      </c>
      <c r="L598">
        <v>1</v>
      </c>
      <c r="M598">
        <v>0</v>
      </c>
    </row>
    <row r="599" spans="1:13" x14ac:dyDescent="0.3">
      <c r="A599">
        <v>7.8119734296220225</v>
      </c>
      <c r="B599">
        <v>3.5556337349665741</v>
      </c>
      <c r="C599">
        <v>19</v>
      </c>
      <c r="D599">
        <v>2.5</v>
      </c>
      <c r="E599">
        <v>0</v>
      </c>
      <c r="F599">
        <v>0</v>
      </c>
      <c r="G599">
        <v>0</v>
      </c>
      <c r="H599">
        <v>1</v>
      </c>
      <c r="I599">
        <v>0</v>
      </c>
      <c r="J599">
        <v>0</v>
      </c>
      <c r="K599">
        <v>0</v>
      </c>
      <c r="L599">
        <v>0</v>
      </c>
      <c r="M599">
        <v>1</v>
      </c>
    </row>
    <row r="600" spans="1:13" x14ac:dyDescent="0.3">
      <c r="A600">
        <v>7.8095413246534102</v>
      </c>
      <c r="B600">
        <v>-4.6051701859880909</v>
      </c>
      <c r="C600">
        <v>9</v>
      </c>
      <c r="D600">
        <v>0.73333333000000001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</v>
      </c>
      <c r="K600">
        <v>0</v>
      </c>
      <c r="L600">
        <v>0</v>
      </c>
      <c r="M600">
        <v>1</v>
      </c>
    </row>
    <row r="601" spans="1:13" x14ac:dyDescent="0.3">
      <c r="A601">
        <v>7.8075100422161929</v>
      </c>
      <c r="B601">
        <v>3.9122229854308124</v>
      </c>
      <c r="C601">
        <v>101</v>
      </c>
      <c r="D601">
        <v>8</v>
      </c>
      <c r="E601">
        <v>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</row>
    <row r="602" spans="1:13" x14ac:dyDescent="0.3">
      <c r="A602">
        <v>7.7985230536252059</v>
      </c>
      <c r="B602">
        <v>-4.6051701859880909</v>
      </c>
      <c r="C602">
        <v>10</v>
      </c>
      <c r="D602">
        <v>0.56666667000000004</v>
      </c>
      <c r="E602">
        <v>0</v>
      </c>
      <c r="F602">
        <v>0</v>
      </c>
      <c r="G602">
        <v>0</v>
      </c>
      <c r="H602">
        <v>0</v>
      </c>
      <c r="I602">
        <v>1</v>
      </c>
      <c r="J602">
        <v>0</v>
      </c>
      <c r="K602">
        <v>1</v>
      </c>
      <c r="L602">
        <v>0</v>
      </c>
      <c r="M602">
        <v>0</v>
      </c>
    </row>
    <row r="603" spans="1:13" x14ac:dyDescent="0.3">
      <c r="A603">
        <v>7.7956465363345941</v>
      </c>
      <c r="B603">
        <v>4.5539821492186583</v>
      </c>
      <c r="C603">
        <v>36</v>
      </c>
      <c r="D603">
        <v>2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0</v>
      </c>
      <c r="K603">
        <v>0</v>
      </c>
      <c r="L603">
        <v>0</v>
      </c>
      <c r="M603">
        <v>1</v>
      </c>
    </row>
    <row r="604" spans="1:13" x14ac:dyDescent="0.3">
      <c r="A604">
        <v>7.7919359569380582</v>
      </c>
      <c r="B604">
        <v>5.2983673652980787</v>
      </c>
      <c r="C604">
        <v>28</v>
      </c>
      <c r="D604">
        <v>3</v>
      </c>
      <c r="E604">
        <v>0</v>
      </c>
      <c r="F604">
        <v>0</v>
      </c>
      <c r="G604">
        <v>0</v>
      </c>
      <c r="H604">
        <v>1</v>
      </c>
      <c r="I604">
        <v>0</v>
      </c>
      <c r="J604">
        <v>0</v>
      </c>
      <c r="K604">
        <v>1</v>
      </c>
      <c r="L604">
        <v>0</v>
      </c>
      <c r="M604">
        <v>0</v>
      </c>
    </row>
    <row r="605" spans="1:13" x14ac:dyDescent="0.3">
      <c r="A605">
        <v>7.7882115578470756</v>
      </c>
      <c r="B605">
        <v>4.6052701809884251</v>
      </c>
      <c r="C605">
        <v>28</v>
      </c>
      <c r="D605">
        <v>2.5</v>
      </c>
      <c r="E605">
        <v>0</v>
      </c>
      <c r="F605">
        <v>0</v>
      </c>
      <c r="G605">
        <v>0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1</v>
      </c>
    </row>
    <row r="606" spans="1:13" x14ac:dyDescent="0.3">
      <c r="A606">
        <v>7.7869670026148716</v>
      </c>
      <c r="B606">
        <v>3.8068846873048412</v>
      </c>
      <c r="C606">
        <v>19</v>
      </c>
      <c r="D606">
        <v>2.5</v>
      </c>
      <c r="E606">
        <v>0</v>
      </c>
      <c r="F606">
        <v>0</v>
      </c>
      <c r="G606">
        <v>0</v>
      </c>
      <c r="H606">
        <v>1</v>
      </c>
      <c r="I606">
        <v>0</v>
      </c>
      <c r="J606">
        <v>0</v>
      </c>
      <c r="K606">
        <v>0</v>
      </c>
      <c r="L606">
        <v>0</v>
      </c>
      <c r="M606">
        <v>1</v>
      </c>
    </row>
    <row r="607" spans="1:13" x14ac:dyDescent="0.3">
      <c r="A607">
        <v>7.7840570026399289</v>
      </c>
      <c r="B607">
        <v>2.996232148595642</v>
      </c>
      <c r="C607">
        <v>23</v>
      </c>
      <c r="D607">
        <v>2</v>
      </c>
      <c r="E607">
        <v>0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1</v>
      </c>
      <c r="L607">
        <v>0</v>
      </c>
      <c r="M607">
        <v>0</v>
      </c>
    </row>
    <row r="608" spans="1:13" x14ac:dyDescent="0.3">
      <c r="A608">
        <v>7.7836405962212529</v>
      </c>
      <c r="B608">
        <v>2.996232148595642</v>
      </c>
      <c r="C608">
        <v>27</v>
      </c>
      <c r="D608">
        <v>3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1</v>
      </c>
      <c r="K608">
        <v>1</v>
      </c>
      <c r="L608">
        <v>0</v>
      </c>
      <c r="M608">
        <v>0</v>
      </c>
    </row>
    <row r="609" spans="1:13" x14ac:dyDescent="0.3">
      <c r="A609">
        <v>7.779048644925556</v>
      </c>
      <c r="B609">
        <v>5.2983673652980787</v>
      </c>
      <c r="C609">
        <v>82</v>
      </c>
      <c r="D609">
        <v>9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0</v>
      </c>
      <c r="L609">
        <v>0</v>
      </c>
      <c r="M609">
        <v>1</v>
      </c>
    </row>
    <row r="610" spans="1:13" x14ac:dyDescent="0.3">
      <c r="A610">
        <v>7.7786301473258099</v>
      </c>
      <c r="B610">
        <v>2.996232148595642</v>
      </c>
      <c r="C610">
        <v>20</v>
      </c>
      <c r="D610">
        <v>2</v>
      </c>
      <c r="E610">
        <v>0</v>
      </c>
      <c r="F610">
        <v>0</v>
      </c>
      <c r="G610">
        <v>0</v>
      </c>
      <c r="H610">
        <v>1</v>
      </c>
      <c r="I610">
        <v>0</v>
      </c>
      <c r="J610">
        <v>0</v>
      </c>
      <c r="K610">
        <v>0</v>
      </c>
      <c r="L610">
        <v>0</v>
      </c>
      <c r="M610">
        <v>1</v>
      </c>
    </row>
    <row r="611" spans="1:13" x14ac:dyDescent="0.3">
      <c r="A611">
        <v>7.7782114745124931</v>
      </c>
      <c r="B611">
        <v>2.996232148595642</v>
      </c>
      <c r="C611">
        <v>12</v>
      </c>
      <c r="D611">
        <v>1</v>
      </c>
      <c r="E611">
        <v>0</v>
      </c>
      <c r="F611">
        <v>1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</row>
    <row r="612" spans="1:13" x14ac:dyDescent="0.3">
      <c r="A612">
        <v>7.7756957499152453</v>
      </c>
      <c r="B612">
        <v>2.996232148595642</v>
      </c>
      <c r="C612">
        <v>16</v>
      </c>
      <c r="D612">
        <v>1.5</v>
      </c>
      <c r="E612">
        <v>0</v>
      </c>
      <c r="F612">
        <v>0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1</v>
      </c>
    </row>
    <row r="613" spans="1:13" x14ac:dyDescent="0.3">
      <c r="A613">
        <v>7.7710670860654059</v>
      </c>
      <c r="B613">
        <v>3.2192757448895279</v>
      </c>
      <c r="C613">
        <v>12</v>
      </c>
      <c r="D613">
        <v>1</v>
      </c>
      <c r="E613">
        <v>0</v>
      </c>
      <c r="F613">
        <v>0</v>
      </c>
      <c r="G613">
        <v>0</v>
      </c>
      <c r="H613">
        <v>0</v>
      </c>
      <c r="I613">
        <v>1</v>
      </c>
      <c r="J613">
        <v>0</v>
      </c>
      <c r="K613">
        <v>1</v>
      </c>
      <c r="L613">
        <v>0</v>
      </c>
      <c r="M613">
        <v>0</v>
      </c>
    </row>
    <row r="614" spans="1:13" x14ac:dyDescent="0.3">
      <c r="A614">
        <v>7.7672639967573076</v>
      </c>
      <c r="B614">
        <v>4.5539821492186583</v>
      </c>
      <c r="C614">
        <v>13</v>
      </c>
      <c r="D614">
        <v>1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1</v>
      </c>
    </row>
    <row r="615" spans="1:13" x14ac:dyDescent="0.3">
      <c r="A615">
        <v>7.7664168980196555</v>
      </c>
      <c r="B615">
        <v>4.6052701809884251</v>
      </c>
      <c r="C615">
        <v>49</v>
      </c>
      <c r="D615">
        <v>3.5</v>
      </c>
      <c r="E615">
        <v>0</v>
      </c>
      <c r="F615">
        <v>0</v>
      </c>
      <c r="G615">
        <v>0</v>
      </c>
      <c r="H615">
        <v>0</v>
      </c>
      <c r="I615">
        <v>1</v>
      </c>
      <c r="J615">
        <v>0</v>
      </c>
      <c r="K615">
        <v>0</v>
      </c>
      <c r="L615">
        <v>1</v>
      </c>
      <c r="M615">
        <v>0</v>
      </c>
    </row>
    <row r="616" spans="1:13" x14ac:dyDescent="0.3">
      <c r="A616">
        <v>7.7642960064505182</v>
      </c>
      <c r="B616">
        <v>5.2983673652980787</v>
      </c>
      <c r="C616">
        <v>215</v>
      </c>
      <c r="D616">
        <v>7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</v>
      </c>
    </row>
    <row r="617" spans="1:13" x14ac:dyDescent="0.3">
      <c r="A617">
        <v>7.7638712878202218</v>
      </c>
      <c r="B617">
        <v>5.273050839300149</v>
      </c>
      <c r="C617">
        <v>45</v>
      </c>
      <c r="D617">
        <v>4</v>
      </c>
      <c r="E617">
        <v>0</v>
      </c>
      <c r="F617">
        <v>0</v>
      </c>
      <c r="G617">
        <v>0</v>
      </c>
      <c r="H617">
        <v>0</v>
      </c>
      <c r="I617">
        <v>1</v>
      </c>
      <c r="J617">
        <v>0</v>
      </c>
      <c r="K617">
        <v>0</v>
      </c>
      <c r="L617">
        <v>0</v>
      </c>
      <c r="M617">
        <v>1</v>
      </c>
    </row>
    <row r="618" spans="1:13" x14ac:dyDescent="0.3">
      <c r="A618">
        <v>7.7634463887273624</v>
      </c>
      <c r="B618">
        <v>5.2983673652980787</v>
      </c>
      <c r="C618">
        <v>91</v>
      </c>
      <c r="D618">
        <v>10</v>
      </c>
      <c r="E618">
        <v>0</v>
      </c>
      <c r="F618">
        <v>0</v>
      </c>
      <c r="G618">
        <v>0</v>
      </c>
      <c r="H618">
        <v>1</v>
      </c>
      <c r="I618">
        <v>0</v>
      </c>
      <c r="J618">
        <v>0</v>
      </c>
      <c r="K618">
        <v>0</v>
      </c>
      <c r="L618">
        <v>0</v>
      </c>
      <c r="M618">
        <v>1</v>
      </c>
    </row>
    <row r="619" spans="1:13" x14ac:dyDescent="0.3">
      <c r="A619">
        <v>7.7625960485400691</v>
      </c>
      <c r="B619">
        <v>3.9122229854308124</v>
      </c>
      <c r="C619">
        <v>16</v>
      </c>
      <c r="D619">
        <v>2.5</v>
      </c>
      <c r="E619">
        <v>0</v>
      </c>
      <c r="F619">
        <v>0</v>
      </c>
      <c r="G619">
        <v>0</v>
      </c>
      <c r="H619">
        <v>1</v>
      </c>
      <c r="I619">
        <v>0</v>
      </c>
      <c r="J619">
        <v>0</v>
      </c>
      <c r="K619">
        <v>0</v>
      </c>
      <c r="L619">
        <v>0</v>
      </c>
      <c r="M619">
        <v>1</v>
      </c>
    </row>
    <row r="620" spans="1:13" x14ac:dyDescent="0.3">
      <c r="A620">
        <v>7.7604670292134204</v>
      </c>
      <c r="B620">
        <v>5.0107019585407988</v>
      </c>
      <c r="C620">
        <v>65</v>
      </c>
      <c r="D620">
        <v>4.5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0</v>
      </c>
      <c r="M620">
        <v>1</v>
      </c>
    </row>
    <row r="621" spans="1:13" x14ac:dyDescent="0.3">
      <c r="A621">
        <v>7.7587605441576626</v>
      </c>
      <c r="B621">
        <v>3.4015306594522756</v>
      </c>
      <c r="C621">
        <v>19</v>
      </c>
      <c r="D621">
        <v>4.5</v>
      </c>
      <c r="E621">
        <v>0</v>
      </c>
      <c r="F621">
        <v>0</v>
      </c>
      <c r="G621">
        <v>0</v>
      </c>
      <c r="H621">
        <v>0</v>
      </c>
      <c r="I621">
        <v>1</v>
      </c>
      <c r="J621">
        <v>0</v>
      </c>
      <c r="K621">
        <v>0</v>
      </c>
      <c r="L621">
        <v>0</v>
      </c>
      <c r="M621">
        <v>1</v>
      </c>
    </row>
    <row r="622" spans="1:13" x14ac:dyDescent="0.3">
      <c r="A622">
        <v>7.755767170102998</v>
      </c>
      <c r="B622">
        <v>2.996232148595642</v>
      </c>
      <c r="C622">
        <v>18</v>
      </c>
      <c r="D622">
        <v>1</v>
      </c>
      <c r="E622">
        <v>0</v>
      </c>
      <c r="F622">
        <v>0</v>
      </c>
      <c r="G622">
        <v>0</v>
      </c>
      <c r="H622">
        <v>1</v>
      </c>
      <c r="I622">
        <v>0</v>
      </c>
      <c r="J622">
        <v>0</v>
      </c>
      <c r="K622">
        <v>0</v>
      </c>
      <c r="L622">
        <v>1</v>
      </c>
      <c r="M622">
        <v>0</v>
      </c>
    </row>
    <row r="623" spans="1:13" x14ac:dyDescent="0.3">
      <c r="A623">
        <v>7.7493224646603558</v>
      </c>
      <c r="B623">
        <v>2.996232148595642</v>
      </c>
      <c r="C623">
        <v>43</v>
      </c>
      <c r="D623">
        <v>6</v>
      </c>
      <c r="E623">
        <v>0</v>
      </c>
      <c r="F623">
        <v>0</v>
      </c>
      <c r="G623">
        <v>1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</v>
      </c>
    </row>
    <row r="624" spans="1:13" x14ac:dyDescent="0.3">
      <c r="A624">
        <v>7.7467329077536222</v>
      </c>
      <c r="B624">
        <v>2.996232148595642</v>
      </c>
      <c r="C624">
        <v>25</v>
      </c>
      <c r="D624">
        <v>2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0</v>
      </c>
      <c r="K624">
        <v>1</v>
      </c>
      <c r="L624">
        <v>0</v>
      </c>
      <c r="M624">
        <v>0</v>
      </c>
    </row>
    <row r="625" spans="1:13" x14ac:dyDescent="0.3">
      <c r="A625">
        <v>7.7454356102743809</v>
      </c>
      <c r="B625">
        <v>5.2983673652980787</v>
      </c>
      <c r="C625">
        <v>44</v>
      </c>
      <c r="D625">
        <v>1.5</v>
      </c>
      <c r="E625">
        <v>0</v>
      </c>
      <c r="F625">
        <v>0</v>
      </c>
      <c r="G625">
        <v>1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1</v>
      </c>
    </row>
    <row r="626" spans="1:13" x14ac:dyDescent="0.3">
      <c r="A626">
        <v>7.7432697008290043</v>
      </c>
      <c r="B626">
        <v>2.996232148595642</v>
      </c>
      <c r="C626">
        <v>24</v>
      </c>
      <c r="D626">
        <v>1</v>
      </c>
      <c r="E626">
        <v>0</v>
      </c>
      <c r="F626">
        <v>0</v>
      </c>
      <c r="G626">
        <v>0</v>
      </c>
      <c r="H626">
        <v>1</v>
      </c>
      <c r="I626">
        <v>0</v>
      </c>
      <c r="J626">
        <v>0</v>
      </c>
      <c r="K626">
        <v>0</v>
      </c>
      <c r="L626">
        <v>0</v>
      </c>
      <c r="M626">
        <v>1</v>
      </c>
    </row>
    <row r="627" spans="1:13" x14ac:dyDescent="0.3">
      <c r="A627">
        <v>7.7402295247631816</v>
      </c>
      <c r="B627">
        <v>2.996232148595642</v>
      </c>
      <c r="C627">
        <v>22</v>
      </c>
      <c r="D627">
        <v>2</v>
      </c>
      <c r="E627">
        <v>0</v>
      </c>
      <c r="F627">
        <v>0</v>
      </c>
      <c r="G627">
        <v>0</v>
      </c>
      <c r="H627">
        <v>1</v>
      </c>
      <c r="I627">
        <v>0</v>
      </c>
      <c r="J627">
        <v>0</v>
      </c>
      <c r="K627">
        <v>1</v>
      </c>
      <c r="L627">
        <v>0</v>
      </c>
      <c r="M627">
        <v>0</v>
      </c>
    </row>
    <row r="628" spans="1:13" x14ac:dyDescent="0.3">
      <c r="A628">
        <v>7.7389237574394567</v>
      </c>
      <c r="B628">
        <v>3.6891294228691436</v>
      </c>
      <c r="C628">
        <v>14</v>
      </c>
      <c r="D628">
        <v>1.5</v>
      </c>
      <c r="E628">
        <v>0</v>
      </c>
      <c r="F628">
        <v>0</v>
      </c>
      <c r="G628">
        <v>0</v>
      </c>
      <c r="H628">
        <v>0</v>
      </c>
      <c r="I628">
        <v>1</v>
      </c>
      <c r="J628">
        <v>0</v>
      </c>
      <c r="K628">
        <v>0</v>
      </c>
      <c r="L628">
        <v>0</v>
      </c>
      <c r="M628">
        <v>1</v>
      </c>
    </row>
    <row r="629" spans="1:13" x14ac:dyDescent="0.3">
      <c r="A629">
        <v>7.7323692222843876</v>
      </c>
      <c r="B629">
        <v>2.996232148595642</v>
      </c>
      <c r="C629">
        <v>21</v>
      </c>
      <c r="D629">
        <v>1.5</v>
      </c>
      <c r="E629">
        <v>0</v>
      </c>
      <c r="F629">
        <v>0</v>
      </c>
      <c r="G629">
        <v>0</v>
      </c>
      <c r="H629">
        <v>1</v>
      </c>
      <c r="I629">
        <v>0</v>
      </c>
      <c r="J629">
        <v>0</v>
      </c>
      <c r="K629">
        <v>0</v>
      </c>
      <c r="L629">
        <v>0</v>
      </c>
      <c r="M629">
        <v>1</v>
      </c>
    </row>
    <row r="630" spans="1:13" x14ac:dyDescent="0.3">
      <c r="A630">
        <v>7.7288558238525429</v>
      </c>
      <c r="B630">
        <v>5.075236313280783</v>
      </c>
      <c r="C630">
        <v>142</v>
      </c>
      <c r="D630">
        <v>8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1</v>
      </c>
      <c r="K630">
        <v>1</v>
      </c>
      <c r="L630">
        <v>0</v>
      </c>
      <c r="M630">
        <v>0</v>
      </c>
    </row>
    <row r="631" spans="1:13" x14ac:dyDescent="0.3">
      <c r="A631">
        <v>7.7288558238525429</v>
      </c>
      <c r="B631">
        <v>4.0945112150014218</v>
      </c>
      <c r="C631">
        <v>91</v>
      </c>
      <c r="D631">
        <v>16.5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0</v>
      </c>
      <c r="K631">
        <v>0</v>
      </c>
      <c r="L631">
        <v>0</v>
      </c>
      <c r="M631">
        <v>1</v>
      </c>
    </row>
    <row r="632" spans="1:13" x14ac:dyDescent="0.3">
      <c r="A632">
        <v>7.726212650507529</v>
      </c>
      <c r="B632">
        <v>4.0945112150014218</v>
      </c>
      <c r="C632">
        <v>29</v>
      </c>
      <c r="D632">
        <v>1.5</v>
      </c>
      <c r="E632">
        <v>0</v>
      </c>
      <c r="F632">
        <v>0</v>
      </c>
      <c r="G632">
        <v>0</v>
      </c>
      <c r="H632">
        <v>1</v>
      </c>
      <c r="I632">
        <v>0</v>
      </c>
      <c r="J632">
        <v>0</v>
      </c>
      <c r="K632">
        <v>0</v>
      </c>
      <c r="L632">
        <v>0</v>
      </c>
      <c r="M632">
        <v>1</v>
      </c>
    </row>
    <row r="633" spans="1:13" x14ac:dyDescent="0.3">
      <c r="A633">
        <v>7.7160152666425867</v>
      </c>
      <c r="B633">
        <v>3.6891294228691436</v>
      </c>
      <c r="C633">
        <v>168</v>
      </c>
      <c r="D633">
        <v>10</v>
      </c>
      <c r="E633">
        <v>0</v>
      </c>
      <c r="F633">
        <v>0</v>
      </c>
      <c r="G633">
        <v>0</v>
      </c>
      <c r="H633">
        <v>0</v>
      </c>
      <c r="I633">
        <v>1</v>
      </c>
      <c r="J633">
        <v>0</v>
      </c>
      <c r="K633">
        <v>0</v>
      </c>
      <c r="L633">
        <v>1</v>
      </c>
      <c r="M633">
        <v>0</v>
      </c>
    </row>
    <row r="634" spans="1:13" x14ac:dyDescent="0.3">
      <c r="A634">
        <v>7.715569534520208</v>
      </c>
      <c r="B634">
        <v>2.996232148595642</v>
      </c>
      <c r="C634">
        <v>97</v>
      </c>
      <c r="D634">
        <v>7</v>
      </c>
      <c r="E634">
        <v>0</v>
      </c>
      <c r="F634">
        <v>0</v>
      </c>
      <c r="G634">
        <v>0</v>
      </c>
      <c r="H634">
        <v>0</v>
      </c>
      <c r="I634">
        <v>1</v>
      </c>
      <c r="J634">
        <v>0</v>
      </c>
      <c r="K634">
        <v>0</v>
      </c>
      <c r="L634">
        <v>0</v>
      </c>
      <c r="M634">
        <v>1</v>
      </c>
    </row>
    <row r="635" spans="1:13" x14ac:dyDescent="0.3">
      <c r="A635">
        <v>7.7133378888718704</v>
      </c>
      <c r="B635">
        <v>2.996232148595642</v>
      </c>
      <c r="C635">
        <v>12</v>
      </c>
      <c r="D635">
        <v>1</v>
      </c>
      <c r="E635">
        <v>0</v>
      </c>
      <c r="F635">
        <v>0</v>
      </c>
      <c r="G635">
        <v>0</v>
      </c>
      <c r="H635">
        <v>1</v>
      </c>
      <c r="I635">
        <v>0</v>
      </c>
      <c r="J635">
        <v>0</v>
      </c>
      <c r="K635">
        <v>0</v>
      </c>
      <c r="L635">
        <v>0</v>
      </c>
      <c r="M635">
        <v>1</v>
      </c>
    </row>
    <row r="636" spans="1:13" x14ac:dyDescent="0.3">
      <c r="A636">
        <v>7.7115489796291463</v>
      </c>
      <c r="B636">
        <v>4.6052701809884251</v>
      </c>
      <c r="C636">
        <v>115</v>
      </c>
      <c r="D636">
        <v>11.5</v>
      </c>
      <c r="E636">
        <v>0</v>
      </c>
      <c r="F636">
        <v>0</v>
      </c>
      <c r="G636">
        <v>0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1</v>
      </c>
    </row>
    <row r="637" spans="1:13" x14ac:dyDescent="0.3">
      <c r="A637">
        <v>7.7084106672573673</v>
      </c>
      <c r="B637">
        <v>2.996232148595642</v>
      </c>
      <c r="C637">
        <v>26</v>
      </c>
      <c r="D637">
        <v>1.5</v>
      </c>
      <c r="E637">
        <v>0</v>
      </c>
      <c r="F637">
        <v>0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1</v>
      </c>
    </row>
    <row r="638" spans="1:13" x14ac:dyDescent="0.3">
      <c r="A638">
        <v>7.7075121946003406</v>
      </c>
      <c r="B638">
        <v>5.273050839300149</v>
      </c>
      <c r="C638">
        <v>64</v>
      </c>
      <c r="D638">
        <v>6.5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1</v>
      </c>
      <c r="K638">
        <v>0</v>
      </c>
      <c r="L638">
        <v>0</v>
      </c>
      <c r="M638">
        <v>1</v>
      </c>
    </row>
    <row r="639" spans="1:13" x14ac:dyDescent="0.3">
      <c r="A639">
        <v>7.7030076824792362</v>
      </c>
      <c r="B639">
        <v>4.007514986887367</v>
      </c>
      <c r="C639">
        <v>74</v>
      </c>
      <c r="D639">
        <v>5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1</v>
      </c>
    </row>
    <row r="640" spans="1:13" x14ac:dyDescent="0.3">
      <c r="A640">
        <v>7.7025561132685825</v>
      </c>
      <c r="B640">
        <v>-4.6051701859880909</v>
      </c>
      <c r="C640">
        <v>23</v>
      </c>
      <c r="D640">
        <v>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1</v>
      </c>
    </row>
    <row r="641" spans="1:13" x14ac:dyDescent="0.3">
      <c r="A641">
        <v>7.6980291702728048</v>
      </c>
      <c r="B641">
        <v>2.996232148595642</v>
      </c>
      <c r="C641">
        <v>97</v>
      </c>
      <c r="D641">
        <v>9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1</v>
      </c>
      <c r="K641">
        <v>0</v>
      </c>
      <c r="L641">
        <v>0</v>
      </c>
      <c r="M641">
        <v>1</v>
      </c>
    </row>
    <row r="642" spans="1:13" x14ac:dyDescent="0.3">
      <c r="A642">
        <v>7.696212639346407</v>
      </c>
      <c r="B642">
        <v>3.4015306594522756</v>
      </c>
      <c r="C642">
        <v>12</v>
      </c>
      <c r="D642">
        <v>1</v>
      </c>
      <c r="E642">
        <v>0</v>
      </c>
      <c r="F642">
        <v>0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1</v>
      </c>
    </row>
    <row r="643" spans="1:13" x14ac:dyDescent="0.3">
      <c r="A643">
        <v>7.6948480723846098</v>
      </c>
      <c r="B643">
        <v>3.2192757448895279</v>
      </c>
      <c r="C643">
        <v>12</v>
      </c>
      <c r="D643">
        <v>1.5</v>
      </c>
      <c r="E643">
        <v>0</v>
      </c>
      <c r="F643">
        <v>0</v>
      </c>
      <c r="G643">
        <v>0</v>
      </c>
      <c r="H643">
        <v>0</v>
      </c>
      <c r="I643">
        <v>1</v>
      </c>
      <c r="J643">
        <v>0</v>
      </c>
      <c r="K643">
        <v>1</v>
      </c>
      <c r="L643">
        <v>0</v>
      </c>
      <c r="M643">
        <v>0</v>
      </c>
    </row>
    <row r="644" spans="1:13" x14ac:dyDescent="0.3">
      <c r="A644">
        <v>7.693937325509272</v>
      </c>
      <c r="B644">
        <v>4.6052701809884251</v>
      </c>
      <c r="C644">
        <v>35</v>
      </c>
      <c r="D644">
        <v>3.5</v>
      </c>
      <c r="E644">
        <v>0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1</v>
      </c>
    </row>
    <row r="645" spans="1:13" x14ac:dyDescent="0.3">
      <c r="A645">
        <v>7.6893711075296904</v>
      </c>
      <c r="B645">
        <v>4.5539821492186583</v>
      </c>
      <c r="C645">
        <v>45</v>
      </c>
      <c r="D645">
        <v>3.5</v>
      </c>
      <c r="E645">
        <v>0</v>
      </c>
      <c r="F645">
        <v>0</v>
      </c>
      <c r="G645">
        <v>0</v>
      </c>
      <c r="H645">
        <v>1</v>
      </c>
      <c r="I645">
        <v>0</v>
      </c>
      <c r="J645">
        <v>0</v>
      </c>
      <c r="K645">
        <v>0</v>
      </c>
      <c r="L645">
        <v>0</v>
      </c>
      <c r="M645">
        <v>1</v>
      </c>
    </row>
    <row r="646" spans="1:13" x14ac:dyDescent="0.3">
      <c r="A646">
        <v>7.6889133368647959</v>
      </c>
      <c r="B646">
        <v>4.3821516268620329</v>
      </c>
      <c r="C646">
        <v>24</v>
      </c>
      <c r="D646">
        <v>3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1</v>
      </c>
      <c r="K646">
        <v>0</v>
      </c>
      <c r="L646">
        <v>1</v>
      </c>
      <c r="M646">
        <v>0</v>
      </c>
    </row>
    <row r="647" spans="1:13" x14ac:dyDescent="0.3">
      <c r="A647">
        <v>7.6861623034929059</v>
      </c>
      <c r="B647">
        <v>3.2192757448895279</v>
      </c>
      <c r="C647">
        <v>19</v>
      </c>
      <c r="D647">
        <v>1.5</v>
      </c>
      <c r="E647">
        <v>0</v>
      </c>
      <c r="F647">
        <v>0</v>
      </c>
      <c r="G647">
        <v>0</v>
      </c>
      <c r="H647">
        <v>0</v>
      </c>
      <c r="I647">
        <v>1</v>
      </c>
      <c r="J647">
        <v>0</v>
      </c>
      <c r="K647">
        <v>0</v>
      </c>
      <c r="L647">
        <v>0</v>
      </c>
      <c r="M647">
        <v>1</v>
      </c>
    </row>
    <row r="648" spans="1:13" x14ac:dyDescent="0.3">
      <c r="A648">
        <v>7.6857030612345474</v>
      </c>
      <c r="B648">
        <v>2.996232148595642</v>
      </c>
      <c r="C648">
        <v>43</v>
      </c>
      <c r="D648">
        <v>4</v>
      </c>
      <c r="E648">
        <v>0</v>
      </c>
      <c r="F648">
        <v>0</v>
      </c>
      <c r="G648">
        <v>0</v>
      </c>
      <c r="H648">
        <v>1</v>
      </c>
      <c r="I648">
        <v>0</v>
      </c>
      <c r="J648">
        <v>0</v>
      </c>
      <c r="K648">
        <v>0</v>
      </c>
      <c r="L648">
        <v>0</v>
      </c>
      <c r="M648">
        <v>1</v>
      </c>
    </row>
    <row r="649" spans="1:13" x14ac:dyDescent="0.3">
      <c r="A649">
        <v>7.6797136399663719</v>
      </c>
      <c r="B649">
        <v>2.996232148595642</v>
      </c>
      <c r="C649">
        <v>70</v>
      </c>
      <c r="D649">
        <v>8.5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1</v>
      </c>
    </row>
    <row r="650" spans="1:13" x14ac:dyDescent="0.3">
      <c r="A650">
        <v>7.6778635006782103</v>
      </c>
      <c r="B650">
        <v>2.996232148595642</v>
      </c>
      <c r="C650">
        <v>28</v>
      </c>
      <c r="D650">
        <v>4</v>
      </c>
      <c r="E650">
        <v>0</v>
      </c>
      <c r="F650">
        <v>0</v>
      </c>
      <c r="G650">
        <v>0</v>
      </c>
      <c r="H650">
        <v>0</v>
      </c>
      <c r="I650">
        <v>1</v>
      </c>
      <c r="J650">
        <v>0</v>
      </c>
      <c r="K650">
        <v>1</v>
      </c>
      <c r="L650">
        <v>0</v>
      </c>
      <c r="M650">
        <v>0</v>
      </c>
    </row>
    <row r="651" spans="1:13" x14ac:dyDescent="0.3">
      <c r="A651">
        <v>7.6741529212816753</v>
      </c>
      <c r="B651">
        <v>3.9122229854308124</v>
      </c>
      <c r="C651">
        <v>15</v>
      </c>
      <c r="D651">
        <v>2.5</v>
      </c>
      <c r="E651">
        <v>0</v>
      </c>
      <c r="F651">
        <v>0</v>
      </c>
      <c r="G651">
        <v>0</v>
      </c>
      <c r="H651">
        <v>1</v>
      </c>
      <c r="I651">
        <v>0</v>
      </c>
      <c r="J651">
        <v>0</v>
      </c>
      <c r="K651">
        <v>1</v>
      </c>
      <c r="L651">
        <v>0</v>
      </c>
      <c r="M651">
        <v>0</v>
      </c>
    </row>
    <row r="652" spans="1:13" x14ac:dyDescent="0.3">
      <c r="A652">
        <v>7.6708948313621175</v>
      </c>
      <c r="B652">
        <v>4.9768027055598036</v>
      </c>
      <c r="C652">
        <v>136</v>
      </c>
      <c r="D652">
        <v>8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1</v>
      </c>
      <c r="L652">
        <v>0</v>
      </c>
      <c r="M652">
        <v>0</v>
      </c>
    </row>
    <row r="653" spans="1:13" x14ac:dyDescent="0.3">
      <c r="A653">
        <v>7.6694952510076941</v>
      </c>
      <c r="B653">
        <v>4.7875750726433504</v>
      </c>
      <c r="C653">
        <v>71</v>
      </c>
      <c r="D653">
        <v>12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1</v>
      </c>
    </row>
    <row r="654" spans="1:13" x14ac:dyDescent="0.3">
      <c r="A654">
        <v>7.6657534318616989</v>
      </c>
      <c r="B654">
        <v>5.1648431151480656</v>
      </c>
      <c r="C654">
        <v>55</v>
      </c>
      <c r="D654">
        <v>7</v>
      </c>
      <c r="E654">
        <v>0</v>
      </c>
      <c r="F654">
        <v>0</v>
      </c>
      <c r="G654">
        <v>0</v>
      </c>
      <c r="H654">
        <v>1</v>
      </c>
      <c r="I654">
        <v>0</v>
      </c>
      <c r="J654">
        <v>0</v>
      </c>
      <c r="K654">
        <v>0</v>
      </c>
      <c r="L654">
        <v>1</v>
      </c>
      <c r="M654">
        <v>0</v>
      </c>
    </row>
    <row r="655" spans="1:13" x14ac:dyDescent="0.3">
      <c r="A655">
        <v>7.6515955738576009</v>
      </c>
      <c r="B655">
        <v>2.996232148595642</v>
      </c>
      <c r="C655">
        <v>14</v>
      </c>
      <c r="D655">
        <v>1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1</v>
      </c>
      <c r="K655">
        <v>1</v>
      </c>
      <c r="L655">
        <v>0</v>
      </c>
      <c r="M655">
        <v>0</v>
      </c>
    </row>
    <row r="656" spans="1:13" x14ac:dyDescent="0.3">
      <c r="A656">
        <v>7.6482630309019202</v>
      </c>
      <c r="B656">
        <v>4.0945112150014218</v>
      </c>
      <c r="C656">
        <v>28</v>
      </c>
      <c r="D656">
        <v>5.5</v>
      </c>
      <c r="E656">
        <v>0</v>
      </c>
      <c r="F656">
        <v>0</v>
      </c>
      <c r="G656">
        <v>0</v>
      </c>
      <c r="H656">
        <v>0</v>
      </c>
      <c r="I656">
        <v>1</v>
      </c>
      <c r="J656">
        <v>0</v>
      </c>
      <c r="K656">
        <v>1</v>
      </c>
      <c r="L656">
        <v>0</v>
      </c>
      <c r="M656">
        <v>0</v>
      </c>
    </row>
    <row r="657" spans="1:13" x14ac:dyDescent="0.3">
      <c r="A657">
        <v>7.6482630309019202</v>
      </c>
      <c r="B657">
        <v>-4.6051701859880909</v>
      </c>
      <c r="C657">
        <v>10</v>
      </c>
      <c r="D657">
        <v>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1</v>
      </c>
    </row>
    <row r="658" spans="1:13" x14ac:dyDescent="0.3">
      <c r="A658">
        <v>7.6453976994286332</v>
      </c>
      <c r="B658">
        <v>3.8068846873048412</v>
      </c>
      <c r="C658">
        <v>29</v>
      </c>
      <c r="D658">
        <v>2.5</v>
      </c>
      <c r="E658">
        <v>0</v>
      </c>
      <c r="F658">
        <v>0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1</v>
      </c>
      <c r="M658">
        <v>0</v>
      </c>
    </row>
    <row r="659" spans="1:13" x14ac:dyDescent="0.3">
      <c r="A659">
        <v>7.643003635560718</v>
      </c>
      <c r="B659">
        <v>4.5539821492186583</v>
      </c>
      <c r="C659">
        <v>22</v>
      </c>
      <c r="D659">
        <v>1</v>
      </c>
      <c r="E659">
        <v>0</v>
      </c>
      <c r="F659">
        <v>0</v>
      </c>
      <c r="G659">
        <v>0</v>
      </c>
      <c r="H659">
        <v>0</v>
      </c>
      <c r="I659">
        <v>1</v>
      </c>
      <c r="J659">
        <v>0</v>
      </c>
      <c r="K659">
        <v>0</v>
      </c>
      <c r="L659">
        <v>0</v>
      </c>
      <c r="M659">
        <v>1</v>
      </c>
    </row>
    <row r="660" spans="1:13" x14ac:dyDescent="0.3">
      <c r="A660">
        <v>7.6415644412609716</v>
      </c>
      <c r="B660">
        <v>3.2192757448895279</v>
      </c>
      <c r="C660">
        <v>23</v>
      </c>
      <c r="D660">
        <v>2.5</v>
      </c>
      <c r="E660">
        <v>0</v>
      </c>
      <c r="F660">
        <v>0</v>
      </c>
      <c r="G660">
        <v>0</v>
      </c>
      <c r="H660">
        <v>0</v>
      </c>
      <c r="I660">
        <v>1</v>
      </c>
      <c r="J660">
        <v>0</v>
      </c>
      <c r="K660">
        <v>0</v>
      </c>
      <c r="L660">
        <v>0</v>
      </c>
      <c r="M660">
        <v>1</v>
      </c>
    </row>
    <row r="661" spans="1:13" x14ac:dyDescent="0.3">
      <c r="A661">
        <v>7.6381982442857792</v>
      </c>
      <c r="B661">
        <v>5.2983673652980787</v>
      </c>
      <c r="C661">
        <v>56</v>
      </c>
      <c r="D661">
        <v>11</v>
      </c>
      <c r="E661">
        <v>0</v>
      </c>
      <c r="F661">
        <v>0</v>
      </c>
      <c r="G661">
        <v>0</v>
      </c>
      <c r="H661">
        <v>0</v>
      </c>
      <c r="I661">
        <v>1</v>
      </c>
      <c r="J661">
        <v>0</v>
      </c>
      <c r="K661">
        <v>0</v>
      </c>
      <c r="L661">
        <v>1</v>
      </c>
      <c r="M661">
        <v>0</v>
      </c>
    </row>
    <row r="662" spans="1:13" x14ac:dyDescent="0.3">
      <c r="A662">
        <v>7.6381982442857792</v>
      </c>
      <c r="B662">
        <v>2.996232148595642</v>
      </c>
      <c r="C662">
        <v>20</v>
      </c>
      <c r="D662">
        <v>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1</v>
      </c>
      <c r="L662">
        <v>0</v>
      </c>
      <c r="M662">
        <v>0</v>
      </c>
    </row>
    <row r="663" spans="1:13" x14ac:dyDescent="0.3">
      <c r="A663">
        <v>7.6372343887894729</v>
      </c>
      <c r="B663">
        <v>2.996232148595642</v>
      </c>
      <c r="C663">
        <v>22</v>
      </c>
      <c r="D663">
        <v>1.5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1</v>
      </c>
    </row>
    <row r="664" spans="1:13" x14ac:dyDescent="0.3">
      <c r="A664">
        <v>7.6367521124357793</v>
      </c>
      <c r="B664">
        <v>4.5539821492186583</v>
      </c>
      <c r="C664">
        <v>16</v>
      </c>
      <c r="D664">
        <v>2</v>
      </c>
      <c r="E664">
        <v>0</v>
      </c>
      <c r="F664">
        <v>0</v>
      </c>
      <c r="G664">
        <v>0</v>
      </c>
      <c r="H664">
        <v>1</v>
      </c>
      <c r="I664">
        <v>0</v>
      </c>
      <c r="J664">
        <v>0</v>
      </c>
      <c r="K664">
        <v>1</v>
      </c>
      <c r="L664">
        <v>0</v>
      </c>
      <c r="M664">
        <v>0</v>
      </c>
    </row>
    <row r="665" spans="1:13" x14ac:dyDescent="0.3">
      <c r="A665">
        <v>7.6357868613955846</v>
      </c>
      <c r="B665">
        <v>4.3176214379815452</v>
      </c>
      <c r="C665">
        <v>14</v>
      </c>
      <c r="D665">
        <v>1.5</v>
      </c>
      <c r="E665">
        <v>0</v>
      </c>
      <c r="F665">
        <v>0</v>
      </c>
      <c r="G665">
        <v>0</v>
      </c>
      <c r="H665">
        <v>1</v>
      </c>
      <c r="I665">
        <v>0</v>
      </c>
      <c r="J665">
        <v>0</v>
      </c>
      <c r="K665">
        <v>0</v>
      </c>
      <c r="L665">
        <v>0</v>
      </c>
      <c r="M665">
        <v>1</v>
      </c>
    </row>
    <row r="666" spans="1:13" x14ac:dyDescent="0.3">
      <c r="A666">
        <v>7.6319165130712516</v>
      </c>
      <c r="B666">
        <v>5.0107019585407988</v>
      </c>
      <c r="C666">
        <v>12</v>
      </c>
      <c r="D666">
        <v>1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1</v>
      </c>
      <c r="K666">
        <v>0</v>
      </c>
      <c r="L666">
        <v>1</v>
      </c>
      <c r="M666">
        <v>0</v>
      </c>
    </row>
    <row r="667" spans="1:13" x14ac:dyDescent="0.3">
      <c r="A667">
        <v>7.6265702062906602</v>
      </c>
      <c r="B667">
        <v>3.8068846873048412</v>
      </c>
      <c r="C667">
        <v>8</v>
      </c>
      <c r="D667">
        <v>0.55000000000000004</v>
      </c>
      <c r="E667">
        <v>0</v>
      </c>
      <c r="F667">
        <v>0</v>
      </c>
      <c r="G667">
        <v>0</v>
      </c>
      <c r="H667">
        <v>0</v>
      </c>
      <c r="I667">
        <v>1</v>
      </c>
      <c r="J667">
        <v>0</v>
      </c>
      <c r="K667">
        <v>1</v>
      </c>
      <c r="L667">
        <v>0</v>
      </c>
      <c r="M667">
        <v>0</v>
      </c>
    </row>
    <row r="668" spans="1:13" x14ac:dyDescent="0.3">
      <c r="A668">
        <v>7.6260827580723802</v>
      </c>
      <c r="B668">
        <v>5.0107019585407988</v>
      </c>
      <c r="C668">
        <v>76</v>
      </c>
      <c r="D668">
        <v>13</v>
      </c>
      <c r="E668">
        <v>0</v>
      </c>
      <c r="F668">
        <v>1</v>
      </c>
      <c r="G668">
        <v>0</v>
      </c>
      <c r="H668">
        <v>0</v>
      </c>
      <c r="I668">
        <v>0</v>
      </c>
      <c r="J668">
        <v>0</v>
      </c>
      <c r="K668">
        <v>1</v>
      </c>
      <c r="L668">
        <v>0</v>
      </c>
      <c r="M668">
        <v>0</v>
      </c>
    </row>
    <row r="669" spans="1:13" x14ac:dyDescent="0.3">
      <c r="A669">
        <v>7.6202147705744547</v>
      </c>
      <c r="B669">
        <v>4.7450190811044903</v>
      </c>
      <c r="C669">
        <v>19</v>
      </c>
      <c r="D669">
        <v>1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1</v>
      </c>
    </row>
    <row r="670" spans="1:13" x14ac:dyDescent="0.3">
      <c r="A670">
        <v>7.6133249795406392</v>
      </c>
      <c r="B670">
        <v>2.996232148595642</v>
      </c>
      <c r="C670">
        <v>38</v>
      </c>
      <c r="D670">
        <v>2</v>
      </c>
      <c r="E670">
        <v>0</v>
      </c>
      <c r="F670">
        <v>0</v>
      </c>
      <c r="G670">
        <v>0</v>
      </c>
      <c r="H670">
        <v>0</v>
      </c>
      <c r="I670">
        <v>1</v>
      </c>
      <c r="J670">
        <v>0</v>
      </c>
      <c r="K670">
        <v>0</v>
      </c>
      <c r="L670">
        <v>0</v>
      </c>
      <c r="M670">
        <v>1</v>
      </c>
    </row>
    <row r="671" spans="1:13" x14ac:dyDescent="0.3">
      <c r="A671">
        <v>7.6123368371677458</v>
      </c>
      <c r="B671">
        <v>4.3176214379815452</v>
      </c>
      <c r="C671">
        <v>25</v>
      </c>
      <c r="D671">
        <v>2</v>
      </c>
      <c r="E671">
        <v>0</v>
      </c>
      <c r="F671">
        <v>0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1</v>
      </c>
    </row>
    <row r="672" spans="1:13" x14ac:dyDescent="0.3">
      <c r="A672">
        <v>7.60688453121963</v>
      </c>
      <c r="B672">
        <v>4.007514986887367</v>
      </c>
      <c r="C672">
        <v>59</v>
      </c>
      <c r="D672">
        <v>3.5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1</v>
      </c>
      <c r="K672">
        <v>1</v>
      </c>
      <c r="L672">
        <v>0</v>
      </c>
      <c r="M672">
        <v>0</v>
      </c>
    </row>
    <row r="673" spans="1:13" x14ac:dyDescent="0.3">
      <c r="A673">
        <v>7.604396348796338</v>
      </c>
      <c r="B673">
        <v>4.3821516268620329</v>
      </c>
      <c r="C673">
        <v>113</v>
      </c>
      <c r="D673">
        <v>5.5</v>
      </c>
      <c r="E673">
        <v>0</v>
      </c>
      <c r="F673">
        <v>0</v>
      </c>
      <c r="G673">
        <v>0</v>
      </c>
      <c r="H673">
        <v>0</v>
      </c>
      <c r="I673">
        <v>1</v>
      </c>
      <c r="J673">
        <v>0</v>
      </c>
      <c r="K673">
        <v>0</v>
      </c>
      <c r="L673">
        <v>0</v>
      </c>
      <c r="M673">
        <v>1</v>
      </c>
    </row>
    <row r="674" spans="1:13" x14ac:dyDescent="0.3">
      <c r="A674">
        <v>7.6019019598751658</v>
      </c>
      <c r="B674">
        <v>2.996232148595642</v>
      </c>
      <c r="C674">
        <v>31</v>
      </c>
      <c r="D674">
        <v>0.66666667000000002</v>
      </c>
      <c r="E674">
        <v>0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0</v>
      </c>
      <c r="L674">
        <v>1</v>
      </c>
      <c r="M674">
        <v>0</v>
      </c>
    </row>
    <row r="675" spans="1:13" x14ac:dyDescent="0.3">
      <c r="A675">
        <v>7.5983993293239642</v>
      </c>
      <c r="B675">
        <v>5.273050839300149</v>
      </c>
      <c r="C675">
        <v>45</v>
      </c>
      <c r="D675">
        <v>6.5</v>
      </c>
      <c r="E675">
        <v>0</v>
      </c>
      <c r="F675">
        <v>0</v>
      </c>
      <c r="G675">
        <v>0</v>
      </c>
      <c r="H675">
        <v>0</v>
      </c>
      <c r="I675">
        <v>1</v>
      </c>
      <c r="J675">
        <v>0</v>
      </c>
      <c r="K675">
        <v>0</v>
      </c>
      <c r="L675">
        <v>1</v>
      </c>
      <c r="M675">
        <v>0</v>
      </c>
    </row>
    <row r="676" spans="1:13" x14ac:dyDescent="0.3">
      <c r="A676">
        <v>7.5973963202127948</v>
      </c>
      <c r="B676">
        <v>4.007514986887367</v>
      </c>
      <c r="C676">
        <v>26</v>
      </c>
      <c r="D676">
        <v>4</v>
      </c>
      <c r="E676">
        <v>0</v>
      </c>
      <c r="F676">
        <v>0</v>
      </c>
      <c r="G676">
        <v>0</v>
      </c>
      <c r="H676">
        <v>0</v>
      </c>
      <c r="I676">
        <v>1</v>
      </c>
      <c r="J676">
        <v>0</v>
      </c>
      <c r="K676">
        <v>1</v>
      </c>
      <c r="L676">
        <v>0</v>
      </c>
      <c r="M676">
        <v>0</v>
      </c>
    </row>
    <row r="677" spans="1:13" x14ac:dyDescent="0.3">
      <c r="A677">
        <v>7.5883236773352225</v>
      </c>
      <c r="B677">
        <v>4.6052701809884251</v>
      </c>
      <c r="C677">
        <v>36</v>
      </c>
      <c r="D677">
        <v>3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1</v>
      </c>
      <c r="K677">
        <v>0</v>
      </c>
      <c r="L677">
        <v>0</v>
      </c>
      <c r="M677">
        <v>1</v>
      </c>
    </row>
    <row r="678" spans="1:13" x14ac:dyDescent="0.3">
      <c r="A678">
        <v>7.5842648183890589</v>
      </c>
      <c r="B678">
        <v>5.0107019585407988</v>
      </c>
      <c r="C678">
        <v>60</v>
      </c>
      <c r="D678">
        <v>9</v>
      </c>
      <c r="E678">
        <v>0</v>
      </c>
      <c r="F678">
        <v>0</v>
      </c>
      <c r="G678">
        <v>0</v>
      </c>
      <c r="H678">
        <v>0</v>
      </c>
      <c r="I678">
        <v>1</v>
      </c>
      <c r="J678">
        <v>0</v>
      </c>
      <c r="K678">
        <v>0</v>
      </c>
      <c r="L678">
        <v>0</v>
      </c>
      <c r="M678">
        <v>1</v>
      </c>
    </row>
    <row r="679" spans="1:13" x14ac:dyDescent="0.3">
      <c r="A679">
        <v>7.5837563007071118</v>
      </c>
      <c r="B679">
        <v>5.0107019585407988</v>
      </c>
      <c r="C679">
        <v>65</v>
      </c>
      <c r="D679">
        <v>5</v>
      </c>
      <c r="E679">
        <v>0</v>
      </c>
      <c r="F679">
        <v>0</v>
      </c>
      <c r="G679">
        <v>0</v>
      </c>
      <c r="H679">
        <v>0</v>
      </c>
      <c r="I679">
        <v>1</v>
      </c>
      <c r="J679">
        <v>0</v>
      </c>
      <c r="K679">
        <v>0</v>
      </c>
      <c r="L679">
        <v>0</v>
      </c>
      <c r="M679">
        <v>1</v>
      </c>
    </row>
    <row r="680" spans="1:13" x14ac:dyDescent="0.3">
      <c r="A680">
        <v>7.5755846515577927</v>
      </c>
      <c r="B680">
        <v>3.6891294228691436</v>
      </c>
      <c r="C680">
        <v>16</v>
      </c>
      <c r="D680">
        <v>1</v>
      </c>
      <c r="E680">
        <v>0</v>
      </c>
      <c r="F680">
        <v>0</v>
      </c>
      <c r="G680">
        <v>0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1</v>
      </c>
    </row>
    <row r="681" spans="1:13" x14ac:dyDescent="0.3">
      <c r="A681">
        <v>7.5750716995075607</v>
      </c>
      <c r="B681">
        <v>3.9122229854308124</v>
      </c>
      <c r="C681">
        <v>102</v>
      </c>
      <c r="D681">
        <v>15.5</v>
      </c>
      <c r="E681">
        <v>0</v>
      </c>
      <c r="F681">
        <v>0</v>
      </c>
      <c r="G681">
        <v>0</v>
      </c>
      <c r="H681">
        <v>1</v>
      </c>
      <c r="I681">
        <v>0</v>
      </c>
      <c r="J681">
        <v>0</v>
      </c>
      <c r="K681">
        <v>0</v>
      </c>
      <c r="L681">
        <v>0</v>
      </c>
      <c r="M681">
        <v>1</v>
      </c>
    </row>
    <row r="682" spans="1:13" x14ac:dyDescent="0.3">
      <c r="A682">
        <v>7.5745584842024805</v>
      </c>
      <c r="B682">
        <v>2.996232148595642</v>
      </c>
      <c r="C682">
        <v>45</v>
      </c>
      <c r="D682">
        <v>5</v>
      </c>
      <c r="E682">
        <v>0</v>
      </c>
      <c r="F682">
        <v>0</v>
      </c>
      <c r="G682">
        <v>0</v>
      </c>
      <c r="H682">
        <v>1</v>
      </c>
      <c r="I682">
        <v>0</v>
      </c>
      <c r="J682">
        <v>0</v>
      </c>
      <c r="K682">
        <v>0</v>
      </c>
      <c r="L682">
        <v>0</v>
      </c>
      <c r="M682">
        <v>1</v>
      </c>
    </row>
    <row r="683" spans="1:13" x14ac:dyDescent="0.3">
      <c r="A683">
        <v>7.5730172560525464</v>
      </c>
      <c r="B683">
        <v>4.3176214379815452</v>
      </c>
      <c r="C683">
        <v>10</v>
      </c>
      <c r="D683">
        <v>1</v>
      </c>
      <c r="E683">
        <v>0</v>
      </c>
      <c r="F683">
        <v>0</v>
      </c>
      <c r="G683">
        <v>0</v>
      </c>
      <c r="H683">
        <v>1</v>
      </c>
      <c r="I683">
        <v>0</v>
      </c>
      <c r="J683">
        <v>0</v>
      </c>
      <c r="K683">
        <v>0</v>
      </c>
      <c r="L683">
        <v>0</v>
      </c>
      <c r="M683">
        <v>1</v>
      </c>
    </row>
    <row r="684" spans="1:13" x14ac:dyDescent="0.3">
      <c r="A684">
        <v>7.5714736488512706</v>
      </c>
      <c r="B684">
        <v>-4.6051701859880909</v>
      </c>
      <c r="C684">
        <v>48</v>
      </c>
      <c r="D684">
        <v>4.5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1</v>
      </c>
      <c r="K684">
        <v>1</v>
      </c>
      <c r="L684">
        <v>0</v>
      </c>
      <c r="M684">
        <v>0</v>
      </c>
    </row>
    <row r="685" spans="1:13" x14ac:dyDescent="0.3">
      <c r="A685">
        <v>7.568379267836522</v>
      </c>
      <c r="B685">
        <v>3.9122229854308124</v>
      </c>
      <c r="C685">
        <v>53</v>
      </c>
      <c r="D685">
        <v>5</v>
      </c>
      <c r="E685">
        <v>0</v>
      </c>
      <c r="F685">
        <v>0</v>
      </c>
      <c r="G685">
        <v>1</v>
      </c>
      <c r="H685">
        <v>0</v>
      </c>
      <c r="I685">
        <v>0</v>
      </c>
      <c r="J685">
        <v>0</v>
      </c>
      <c r="K685">
        <v>1</v>
      </c>
      <c r="L685">
        <v>0</v>
      </c>
      <c r="M685">
        <v>0</v>
      </c>
    </row>
    <row r="686" spans="1:13" x14ac:dyDescent="0.3">
      <c r="A686">
        <v>7.5678626054638825</v>
      </c>
      <c r="B686">
        <v>5.2983673652980787</v>
      </c>
      <c r="C686">
        <v>10</v>
      </c>
      <c r="D686">
        <v>1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1</v>
      </c>
      <c r="K686">
        <v>0</v>
      </c>
      <c r="L686">
        <v>1</v>
      </c>
      <c r="M686">
        <v>0</v>
      </c>
    </row>
    <row r="687" spans="1:13" x14ac:dyDescent="0.3">
      <c r="A687">
        <v>7.5632005923580712</v>
      </c>
      <c r="B687">
        <v>3.6891294228691436</v>
      </c>
      <c r="C687">
        <v>458</v>
      </c>
      <c r="D687">
        <v>22.5</v>
      </c>
      <c r="E687">
        <v>0</v>
      </c>
      <c r="F687">
        <v>0</v>
      </c>
      <c r="G687">
        <v>0</v>
      </c>
      <c r="H687">
        <v>1</v>
      </c>
      <c r="I687">
        <v>0</v>
      </c>
      <c r="J687">
        <v>0</v>
      </c>
      <c r="K687">
        <v>0</v>
      </c>
      <c r="L687">
        <v>0</v>
      </c>
      <c r="M687">
        <v>1</v>
      </c>
    </row>
    <row r="688" spans="1:13" x14ac:dyDescent="0.3">
      <c r="A688">
        <v>7.5626812467218842</v>
      </c>
      <c r="B688">
        <v>4.2486380889891064</v>
      </c>
      <c r="C688">
        <v>38</v>
      </c>
      <c r="D688">
        <v>2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1</v>
      </c>
      <c r="K688">
        <v>1</v>
      </c>
      <c r="L688">
        <v>0</v>
      </c>
      <c r="M688">
        <v>0</v>
      </c>
    </row>
    <row r="689" spans="1:13" x14ac:dyDescent="0.3">
      <c r="A689">
        <v>7.5538108520082314</v>
      </c>
      <c r="B689">
        <v>3.2192757448895279</v>
      </c>
      <c r="C689">
        <v>17</v>
      </c>
      <c r="D689">
        <v>1.5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1</v>
      </c>
      <c r="K689">
        <v>0</v>
      </c>
      <c r="L689">
        <v>0</v>
      </c>
      <c r="M689">
        <v>1</v>
      </c>
    </row>
    <row r="690" spans="1:13" x14ac:dyDescent="0.3">
      <c r="A690">
        <v>7.5522372875608017</v>
      </c>
      <c r="B690">
        <v>3.8068846873048412</v>
      </c>
      <c r="C690">
        <v>57</v>
      </c>
      <c r="D690">
        <v>6</v>
      </c>
      <c r="E690">
        <v>0</v>
      </c>
      <c r="F690">
        <v>0</v>
      </c>
      <c r="G690">
        <v>0</v>
      </c>
      <c r="H690">
        <v>1</v>
      </c>
      <c r="I690">
        <v>0</v>
      </c>
      <c r="J690">
        <v>0</v>
      </c>
      <c r="K690">
        <v>0</v>
      </c>
      <c r="L690">
        <v>0</v>
      </c>
      <c r="M690">
        <v>1</v>
      </c>
    </row>
    <row r="691" spans="1:13" x14ac:dyDescent="0.3">
      <c r="A691">
        <v>7.5517122153513103</v>
      </c>
      <c r="B691">
        <v>2.996232148595642</v>
      </c>
      <c r="C691">
        <v>17</v>
      </c>
      <c r="D691">
        <v>0.7</v>
      </c>
      <c r="E691">
        <v>0</v>
      </c>
      <c r="F691">
        <v>0</v>
      </c>
      <c r="G691">
        <v>0</v>
      </c>
      <c r="H691">
        <v>1</v>
      </c>
      <c r="I691">
        <v>0</v>
      </c>
      <c r="J691">
        <v>0</v>
      </c>
      <c r="K691">
        <v>1</v>
      </c>
      <c r="L691">
        <v>0</v>
      </c>
      <c r="M691">
        <v>0</v>
      </c>
    </row>
    <row r="692" spans="1:13" x14ac:dyDescent="0.3">
      <c r="A692">
        <v>7.5506612431053357</v>
      </c>
      <c r="B692">
        <v>5.1060060781247136</v>
      </c>
      <c r="C692">
        <v>47</v>
      </c>
      <c r="D692">
        <v>5.5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1</v>
      </c>
      <c r="K692">
        <v>0</v>
      </c>
      <c r="L692">
        <v>1</v>
      </c>
      <c r="M692">
        <v>0</v>
      </c>
    </row>
    <row r="693" spans="1:13" x14ac:dyDescent="0.3">
      <c r="A693">
        <v>7.5485559791698735</v>
      </c>
      <c r="B693">
        <v>2.996232148595642</v>
      </c>
      <c r="C693">
        <v>31</v>
      </c>
      <c r="D693">
        <v>4</v>
      </c>
      <c r="E693">
        <v>0</v>
      </c>
      <c r="F693">
        <v>0</v>
      </c>
      <c r="G693">
        <v>0</v>
      </c>
      <c r="H693">
        <v>0</v>
      </c>
      <c r="I693">
        <v>1</v>
      </c>
      <c r="J693">
        <v>0</v>
      </c>
      <c r="K693">
        <v>0</v>
      </c>
      <c r="L693">
        <v>1</v>
      </c>
      <c r="M693">
        <v>0</v>
      </c>
    </row>
    <row r="694" spans="1:13" x14ac:dyDescent="0.3">
      <c r="A694">
        <v>7.5464462737460236</v>
      </c>
      <c r="B694">
        <v>2.996232148595642</v>
      </c>
      <c r="C694">
        <v>35</v>
      </c>
      <c r="D694">
        <v>1.5</v>
      </c>
      <c r="E694">
        <v>0</v>
      </c>
      <c r="F694">
        <v>0</v>
      </c>
      <c r="G694">
        <v>0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0</v>
      </c>
    </row>
    <row r="695" spans="1:13" x14ac:dyDescent="0.3">
      <c r="A695">
        <v>7.5453897496118234</v>
      </c>
      <c r="B695">
        <v>3.9122229854308124</v>
      </c>
      <c r="C695">
        <v>24</v>
      </c>
      <c r="D695">
        <v>2.5</v>
      </c>
      <c r="E695">
        <v>0</v>
      </c>
      <c r="F695">
        <v>0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1</v>
      </c>
    </row>
    <row r="696" spans="1:13" x14ac:dyDescent="0.3">
      <c r="A696">
        <v>7.5358304627983674</v>
      </c>
      <c r="B696">
        <v>5.2983673652980787</v>
      </c>
      <c r="C696">
        <v>224</v>
      </c>
      <c r="D696">
        <v>44.5</v>
      </c>
      <c r="E696">
        <v>0</v>
      </c>
      <c r="F696">
        <v>0</v>
      </c>
      <c r="G696">
        <v>0</v>
      </c>
      <c r="H696">
        <v>0</v>
      </c>
      <c r="I696">
        <v>1</v>
      </c>
      <c r="J696">
        <v>0</v>
      </c>
      <c r="K696">
        <v>1</v>
      </c>
      <c r="L696">
        <v>0</v>
      </c>
      <c r="M696">
        <v>0</v>
      </c>
    </row>
    <row r="697" spans="1:13" x14ac:dyDescent="0.3">
      <c r="A697">
        <v>7.5352967024440884</v>
      </c>
      <c r="B697">
        <v>5.0107019585407988</v>
      </c>
      <c r="C697">
        <v>79</v>
      </c>
      <c r="D697">
        <v>7.5</v>
      </c>
      <c r="E697">
        <v>0</v>
      </c>
      <c r="F697">
        <v>0</v>
      </c>
      <c r="G697">
        <v>0</v>
      </c>
      <c r="H697">
        <v>0</v>
      </c>
      <c r="I697">
        <v>1</v>
      </c>
      <c r="J697">
        <v>0</v>
      </c>
      <c r="K697">
        <v>0</v>
      </c>
      <c r="L697">
        <v>1</v>
      </c>
      <c r="M697">
        <v>0</v>
      </c>
    </row>
    <row r="698" spans="1:13" x14ac:dyDescent="0.3">
      <c r="A698">
        <v>7.5342283262740892</v>
      </c>
      <c r="B698">
        <v>3.9122229854308124</v>
      </c>
      <c r="C698">
        <v>60</v>
      </c>
      <c r="D698">
        <v>13.5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1</v>
      </c>
    </row>
    <row r="699" spans="1:13" x14ac:dyDescent="0.3">
      <c r="A699">
        <v>7.5336937098486327</v>
      </c>
      <c r="B699">
        <v>5.2983673652980787</v>
      </c>
      <c r="C699">
        <v>145</v>
      </c>
      <c r="D699">
        <v>14.5</v>
      </c>
      <c r="E699">
        <v>0</v>
      </c>
      <c r="F699">
        <v>0</v>
      </c>
      <c r="G699">
        <v>0</v>
      </c>
      <c r="H699">
        <v>0</v>
      </c>
      <c r="I699">
        <v>1</v>
      </c>
      <c r="J699">
        <v>0</v>
      </c>
      <c r="K699">
        <v>1</v>
      </c>
      <c r="L699">
        <v>0</v>
      </c>
      <c r="M699">
        <v>0</v>
      </c>
    </row>
    <row r="700" spans="1:13" x14ac:dyDescent="0.3">
      <c r="A700">
        <v>7.5320881435417224</v>
      </c>
      <c r="B700">
        <v>2.996232148595642</v>
      </c>
      <c r="C700">
        <v>8</v>
      </c>
      <c r="D700">
        <v>0.61666666999999997</v>
      </c>
      <c r="E700">
        <v>0</v>
      </c>
      <c r="F700">
        <v>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1</v>
      </c>
    </row>
    <row r="701" spans="1:13" x14ac:dyDescent="0.3">
      <c r="A701">
        <v>7.5272559193737836</v>
      </c>
      <c r="B701">
        <v>4.941713848629834</v>
      </c>
      <c r="C701">
        <v>52</v>
      </c>
      <c r="D701">
        <v>2.5</v>
      </c>
      <c r="E701">
        <v>0</v>
      </c>
      <c r="F701">
        <v>0</v>
      </c>
      <c r="G701">
        <v>0</v>
      </c>
      <c r="H701">
        <v>0</v>
      </c>
      <c r="I701">
        <v>1</v>
      </c>
      <c r="J701">
        <v>0</v>
      </c>
      <c r="K701">
        <v>0</v>
      </c>
      <c r="L701">
        <v>0</v>
      </c>
      <c r="M701">
        <v>1</v>
      </c>
    </row>
    <row r="702" spans="1:13" x14ac:dyDescent="0.3">
      <c r="A702">
        <v>7.5245612262853596</v>
      </c>
      <c r="B702">
        <v>4.6052701809884251</v>
      </c>
      <c r="C702">
        <v>39</v>
      </c>
      <c r="D702">
        <v>2</v>
      </c>
      <c r="E702">
        <v>0</v>
      </c>
      <c r="F702">
        <v>0</v>
      </c>
      <c r="G702">
        <v>0</v>
      </c>
      <c r="H702">
        <v>1</v>
      </c>
      <c r="I702">
        <v>0</v>
      </c>
      <c r="J702">
        <v>0</v>
      </c>
      <c r="K702">
        <v>1</v>
      </c>
      <c r="L702">
        <v>0</v>
      </c>
      <c r="M702">
        <v>0</v>
      </c>
    </row>
    <row r="703" spans="1:13" x14ac:dyDescent="0.3">
      <c r="A703">
        <v>7.5224002313871248</v>
      </c>
      <c r="B703">
        <v>5.2983673652980787</v>
      </c>
      <c r="C703">
        <v>83</v>
      </c>
      <c r="D703">
        <v>3</v>
      </c>
      <c r="E703">
        <v>0</v>
      </c>
      <c r="F703">
        <v>0</v>
      </c>
      <c r="G703">
        <v>0</v>
      </c>
      <c r="H703">
        <v>0</v>
      </c>
      <c r="I703">
        <v>1</v>
      </c>
      <c r="J703">
        <v>0</v>
      </c>
      <c r="K703">
        <v>0</v>
      </c>
      <c r="L703">
        <v>0</v>
      </c>
      <c r="M703">
        <v>1</v>
      </c>
    </row>
    <row r="704" spans="1:13" x14ac:dyDescent="0.3">
      <c r="A704">
        <v>7.5224002313871248</v>
      </c>
      <c r="B704">
        <v>4.007514986887367</v>
      </c>
      <c r="C704">
        <v>24</v>
      </c>
      <c r="D704">
        <v>3</v>
      </c>
      <c r="E704">
        <v>0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1</v>
      </c>
    </row>
    <row r="705" spans="1:13" x14ac:dyDescent="0.3">
      <c r="A705">
        <v>7.5169772246043207</v>
      </c>
      <c r="B705">
        <v>5.273050839300149</v>
      </c>
      <c r="C705">
        <v>47</v>
      </c>
      <c r="D705">
        <v>5</v>
      </c>
      <c r="E705">
        <v>0</v>
      </c>
      <c r="F705">
        <v>0</v>
      </c>
      <c r="G705">
        <v>0</v>
      </c>
      <c r="H705">
        <v>0</v>
      </c>
      <c r="I705">
        <v>1</v>
      </c>
      <c r="J705">
        <v>0</v>
      </c>
      <c r="K705">
        <v>0</v>
      </c>
      <c r="L705">
        <v>0</v>
      </c>
      <c r="M705">
        <v>1</v>
      </c>
    </row>
    <row r="706" spans="1:13" x14ac:dyDescent="0.3">
      <c r="A706">
        <v>7.5164333029156323</v>
      </c>
      <c r="B706">
        <v>4.6052701809884251</v>
      </c>
      <c r="C706">
        <v>31</v>
      </c>
      <c r="D706">
        <v>3</v>
      </c>
      <c r="E706">
        <v>0</v>
      </c>
      <c r="F706">
        <v>0</v>
      </c>
      <c r="G706">
        <v>0</v>
      </c>
      <c r="H706">
        <v>0</v>
      </c>
      <c r="I706">
        <v>1</v>
      </c>
      <c r="J706">
        <v>0</v>
      </c>
      <c r="K706">
        <v>0</v>
      </c>
      <c r="L706">
        <v>0</v>
      </c>
      <c r="M706">
        <v>1</v>
      </c>
    </row>
    <row r="707" spans="1:13" x14ac:dyDescent="0.3">
      <c r="A707">
        <v>7.5131635452340753</v>
      </c>
      <c r="B707">
        <v>2.996232148595642</v>
      </c>
      <c r="C707">
        <v>12</v>
      </c>
      <c r="D707">
        <v>1.5</v>
      </c>
      <c r="E707">
        <v>0</v>
      </c>
      <c r="F707">
        <v>0</v>
      </c>
      <c r="G707">
        <v>1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1</v>
      </c>
    </row>
    <row r="708" spans="1:13" x14ac:dyDescent="0.3">
      <c r="A708">
        <v>7.5104305563780063</v>
      </c>
      <c r="B708">
        <v>5.2983673652980787</v>
      </c>
      <c r="C708">
        <v>66</v>
      </c>
      <c r="D708">
        <v>20.5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1</v>
      </c>
      <c r="L708">
        <v>0</v>
      </c>
      <c r="M708">
        <v>0</v>
      </c>
    </row>
    <row r="709" spans="1:13" x14ac:dyDescent="0.3">
      <c r="A709">
        <v>7.509335266016592</v>
      </c>
      <c r="B709">
        <v>4.6052701809884251</v>
      </c>
      <c r="C709">
        <v>58</v>
      </c>
      <c r="D709">
        <v>3.5</v>
      </c>
      <c r="E709">
        <v>0</v>
      </c>
      <c r="F709">
        <v>0</v>
      </c>
      <c r="G709">
        <v>0</v>
      </c>
      <c r="H709">
        <v>0</v>
      </c>
      <c r="I709">
        <v>1</v>
      </c>
      <c r="J709">
        <v>0</v>
      </c>
      <c r="K709">
        <v>0</v>
      </c>
      <c r="L709">
        <v>0</v>
      </c>
      <c r="M709">
        <v>1</v>
      </c>
    </row>
    <row r="710" spans="1:13" x14ac:dyDescent="0.3">
      <c r="A710">
        <v>7.5076900778199036</v>
      </c>
      <c r="B710">
        <v>4.4999207752689943</v>
      </c>
      <c r="C710">
        <v>25</v>
      </c>
      <c r="D710">
        <v>2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1</v>
      </c>
    </row>
    <row r="711" spans="1:13" x14ac:dyDescent="0.3">
      <c r="A711">
        <v>7.503840746698951</v>
      </c>
      <c r="B711">
        <v>4.5539821492186583</v>
      </c>
      <c r="C711">
        <v>42</v>
      </c>
      <c r="D711">
        <v>5</v>
      </c>
      <c r="E711">
        <v>0</v>
      </c>
      <c r="F711">
        <v>0</v>
      </c>
      <c r="G711">
        <v>0</v>
      </c>
      <c r="H711">
        <v>1</v>
      </c>
      <c r="I711">
        <v>0</v>
      </c>
      <c r="J711">
        <v>0</v>
      </c>
      <c r="K711">
        <v>1</v>
      </c>
      <c r="L711">
        <v>0</v>
      </c>
      <c r="M711">
        <v>0</v>
      </c>
    </row>
    <row r="712" spans="1:13" x14ac:dyDescent="0.3">
      <c r="A712">
        <v>7.5021864866029242</v>
      </c>
      <c r="B712">
        <v>3.5556337349665741</v>
      </c>
      <c r="C712">
        <v>7</v>
      </c>
      <c r="D712">
        <v>0.61666666999999997</v>
      </c>
      <c r="E712">
        <v>0</v>
      </c>
      <c r="F712">
        <v>0</v>
      </c>
      <c r="G712">
        <v>0</v>
      </c>
      <c r="H712">
        <v>0</v>
      </c>
      <c r="I712">
        <v>1</v>
      </c>
      <c r="J712">
        <v>0</v>
      </c>
      <c r="K712">
        <v>0</v>
      </c>
      <c r="L712">
        <v>0</v>
      </c>
      <c r="M712">
        <v>1</v>
      </c>
    </row>
    <row r="713" spans="1:13" x14ac:dyDescent="0.3">
      <c r="A713">
        <v>7.5016344578834131</v>
      </c>
      <c r="B713">
        <v>4.5539821492186583</v>
      </c>
      <c r="C713">
        <v>36</v>
      </c>
      <c r="D713">
        <v>3.5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1</v>
      </c>
      <c r="M713">
        <v>0</v>
      </c>
    </row>
    <row r="714" spans="1:13" x14ac:dyDescent="0.3">
      <c r="A714">
        <v>7.4966524381682831</v>
      </c>
      <c r="B714">
        <v>2.996232148595642</v>
      </c>
      <c r="C714">
        <v>8</v>
      </c>
      <c r="D714">
        <v>1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1</v>
      </c>
      <c r="K714">
        <v>0</v>
      </c>
      <c r="L714">
        <v>0</v>
      </c>
      <c r="M714">
        <v>1</v>
      </c>
    </row>
    <row r="715" spans="1:13" x14ac:dyDescent="0.3">
      <c r="A715">
        <v>7.4944302150315654</v>
      </c>
      <c r="B715">
        <v>4.7875750726433504</v>
      </c>
      <c r="C715">
        <v>24</v>
      </c>
      <c r="D715">
        <v>1.5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1</v>
      </c>
      <c r="K715">
        <v>0</v>
      </c>
      <c r="L715">
        <v>0</v>
      </c>
      <c r="M715">
        <v>1</v>
      </c>
    </row>
    <row r="716" spans="1:13" x14ac:dyDescent="0.3">
      <c r="A716">
        <v>7.4860526178631401</v>
      </c>
      <c r="B716">
        <v>3.8068846873048412</v>
      </c>
      <c r="C716">
        <v>15</v>
      </c>
      <c r="D716">
        <v>0.6</v>
      </c>
      <c r="E716">
        <v>0</v>
      </c>
      <c r="F716">
        <v>0</v>
      </c>
      <c r="G716">
        <v>0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1</v>
      </c>
    </row>
    <row r="717" spans="1:13" x14ac:dyDescent="0.3">
      <c r="A717">
        <v>7.4843686432861309</v>
      </c>
      <c r="B717">
        <v>3.2192757448895279</v>
      </c>
      <c r="C717">
        <v>21</v>
      </c>
      <c r="D717">
        <v>1.5</v>
      </c>
      <c r="E717">
        <v>0</v>
      </c>
      <c r="F717">
        <v>0</v>
      </c>
      <c r="G717">
        <v>0</v>
      </c>
      <c r="H717">
        <v>1</v>
      </c>
      <c r="I717">
        <v>0</v>
      </c>
      <c r="J717">
        <v>0</v>
      </c>
      <c r="K717">
        <v>0</v>
      </c>
      <c r="L717">
        <v>1</v>
      </c>
      <c r="M717">
        <v>0</v>
      </c>
    </row>
    <row r="718" spans="1:13" x14ac:dyDescent="0.3">
      <c r="A718">
        <v>7.4843686432861309</v>
      </c>
      <c r="B718">
        <v>2.996232148595642</v>
      </c>
      <c r="C718">
        <v>6</v>
      </c>
      <c r="D718">
        <v>0.6</v>
      </c>
      <c r="E718">
        <v>0</v>
      </c>
      <c r="F718">
        <v>0</v>
      </c>
      <c r="G718">
        <v>0</v>
      </c>
      <c r="H718">
        <v>1</v>
      </c>
      <c r="I718">
        <v>0</v>
      </c>
      <c r="J718">
        <v>0</v>
      </c>
      <c r="K718">
        <v>1</v>
      </c>
      <c r="L718">
        <v>0</v>
      </c>
      <c r="M718">
        <v>0</v>
      </c>
    </row>
    <row r="719" spans="1:13" x14ac:dyDescent="0.3">
      <c r="A719">
        <v>7.4838066876658349</v>
      </c>
      <c r="B719">
        <v>4.007514986887367</v>
      </c>
      <c r="C719">
        <v>16</v>
      </c>
      <c r="D719">
        <v>1</v>
      </c>
      <c r="E719">
        <v>0</v>
      </c>
      <c r="F719">
        <v>0</v>
      </c>
      <c r="G719">
        <v>1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</row>
    <row r="720" spans="1:13" x14ac:dyDescent="0.3">
      <c r="A720">
        <v>7.482681828154651</v>
      </c>
      <c r="B720">
        <v>3.4015306594522756</v>
      </c>
      <c r="C720">
        <v>48</v>
      </c>
      <c r="D720">
        <v>6.5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1</v>
      </c>
      <c r="K720">
        <v>0</v>
      </c>
      <c r="L720">
        <v>0</v>
      </c>
      <c r="M720">
        <v>1</v>
      </c>
    </row>
    <row r="721" spans="1:13" x14ac:dyDescent="0.3">
      <c r="A721">
        <v>7.4798641311650265</v>
      </c>
      <c r="B721">
        <v>3.4015306594522756</v>
      </c>
      <c r="C721">
        <v>48</v>
      </c>
      <c r="D721">
        <v>2.5</v>
      </c>
      <c r="E721">
        <v>0</v>
      </c>
      <c r="F721">
        <v>0</v>
      </c>
      <c r="G721">
        <v>0</v>
      </c>
      <c r="H721">
        <v>1</v>
      </c>
      <c r="I721">
        <v>0</v>
      </c>
      <c r="J721">
        <v>0</v>
      </c>
      <c r="K721">
        <v>1</v>
      </c>
      <c r="L721">
        <v>0</v>
      </c>
      <c r="M721">
        <v>0</v>
      </c>
    </row>
    <row r="722" spans="1:13" x14ac:dyDescent="0.3">
      <c r="A722">
        <v>7.4781696941597851</v>
      </c>
      <c r="B722">
        <v>2.996232148595642</v>
      </c>
      <c r="C722">
        <v>7</v>
      </c>
      <c r="D722">
        <v>0.58333332999999998</v>
      </c>
      <c r="E722">
        <v>0</v>
      </c>
      <c r="F722">
        <v>0</v>
      </c>
      <c r="G722">
        <v>0</v>
      </c>
      <c r="H722">
        <v>1</v>
      </c>
      <c r="I722">
        <v>0</v>
      </c>
      <c r="J722">
        <v>0</v>
      </c>
      <c r="K722">
        <v>1</v>
      </c>
      <c r="L722">
        <v>0</v>
      </c>
      <c r="M722">
        <v>0</v>
      </c>
    </row>
    <row r="723" spans="1:13" x14ac:dyDescent="0.3">
      <c r="A723">
        <v>7.4764723811639051</v>
      </c>
      <c r="B723">
        <v>5.273050839300149</v>
      </c>
      <c r="C723">
        <v>118</v>
      </c>
      <c r="D723">
        <v>18.5</v>
      </c>
      <c r="E723">
        <v>0</v>
      </c>
      <c r="F723">
        <v>0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1</v>
      </c>
    </row>
    <row r="724" spans="1:13" x14ac:dyDescent="0.3">
      <c r="A724">
        <v>7.4753392365667368</v>
      </c>
      <c r="B724">
        <v>3.8068846873048412</v>
      </c>
      <c r="C724">
        <v>16</v>
      </c>
      <c r="D724">
        <v>1.5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1</v>
      </c>
      <c r="L724">
        <v>0</v>
      </c>
      <c r="M724">
        <v>0</v>
      </c>
    </row>
    <row r="725" spans="1:13" x14ac:dyDescent="0.3">
      <c r="A725">
        <v>7.4753392365667368</v>
      </c>
      <c r="B725">
        <v>4.0945112150014218</v>
      </c>
      <c r="C725">
        <v>28</v>
      </c>
      <c r="D725">
        <v>6.5</v>
      </c>
      <c r="E725">
        <v>0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1</v>
      </c>
    </row>
    <row r="726" spans="1:13" x14ac:dyDescent="0.3">
      <c r="A726">
        <v>7.4747721823978699</v>
      </c>
      <c r="B726">
        <v>2.996232148595642</v>
      </c>
      <c r="C726">
        <v>30</v>
      </c>
      <c r="D726">
        <v>2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1</v>
      </c>
      <c r="K726">
        <v>1</v>
      </c>
      <c r="L726">
        <v>0</v>
      </c>
      <c r="M726">
        <v>0</v>
      </c>
    </row>
    <row r="727" spans="1:13" x14ac:dyDescent="0.3">
      <c r="A727">
        <v>7.4719320782451222</v>
      </c>
      <c r="B727">
        <v>3.2192757448895279</v>
      </c>
      <c r="C727">
        <v>16</v>
      </c>
      <c r="D727">
        <v>3.5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</row>
    <row r="728" spans="1:13" x14ac:dyDescent="0.3">
      <c r="A728">
        <v>7.4656553101340561</v>
      </c>
      <c r="B728">
        <v>2.996232148595642</v>
      </c>
      <c r="C728">
        <v>13</v>
      </c>
      <c r="D728">
        <v>1.5</v>
      </c>
      <c r="E728">
        <v>0</v>
      </c>
      <c r="F728">
        <v>0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1</v>
      </c>
    </row>
    <row r="729" spans="1:13" x14ac:dyDescent="0.3">
      <c r="A729">
        <v>7.4622149397681889</v>
      </c>
      <c r="B729">
        <v>3.4015306594522756</v>
      </c>
      <c r="C729">
        <v>87</v>
      </c>
      <c r="D729">
        <v>9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1</v>
      </c>
      <c r="K729">
        <v>0</v>
      </c>
      <c r="L729">
        <v>0</v>
      </c>
      <c r="M729">
        <v>1</v>
      </c>
    </row>
    <row r="730" spans="1:13" x14ac:dyDescent="0.3">
      <c r="A730">
        <v>7.4599147662411047</v>
      </c>
      <c r="B730">
        <v>3.4015306594522756</v>
      </c>
      <c r="C730">
        <v>87</v>
      </c>
      <c r="D730">
        <v>11.5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1</v>
      </c>
      <c r="L730">
        <v>0</v>
      </c>
      <c r="M730">
        <v>0</v>
      </c>
    </row>
    <row r="731" spans="1:13" x14ac:dyDescent="0.3">
      <c r="A731">
        <v>7.4593388952202959</v>
      </c>
      <c r="B731">
        <v>4.0945112150014218</v>
      </c>
      <c r="C731">
        <v>47</v>
      </c>
      <c r="D731">
        <v>13</v>
      </c>
      <c r="E731">
        <v>0</v>
      </c>
      <c r="F731">
        <v>0</v>
      </c>
      <c r="G731">
        <v>1</v>
      </c>
      <c r="H731">
        <v>0</v>
      </c>
      <c r="I731">
        <v>0</v>
      </c>
      <c r="J731">
        <v>0</v>
      </c>
      <c r="K731">
        <v>1</v>
      </c>
      <c r="L731">
        <v>0</v>
      </c>
      <c r="M731">
        <v>0</v>
      </c>
    </row>
    <row r="732" spans="1:13" x14ac:dyDescent="0.3">
      <c r="A732">
        <v>7.4587626923809598</v>
      </c>
      <c r="B732">
        <v>4.6052701809884251</v>
      </c>
      <c r="C732">
        <v>25</v>
      </c>
      <c r="D732">
        <v>2.5</v>
      </c>
      <c r="E732">
        <v>0</v>
      </c>
      <c r="F732">
        <v>0</v>
      </c>
      <c r="G732">
        <v>0</v>
      </c>
      <c r="H732">
        <v>0</v>
      </c>
      <c r="I732">
        <v>1</v>
      </c>
      <c r="J732">
        <v>0</v>
      </c>
      <c r="K732">
        <v>1</v>
      </c>
      <c r="L732">
        <v>0</v>
      </c>
      <c r="M732">
        <v>0</v>
      </c>
    </row>
    <row r="733" spans="1:13" x14ac:dyDescent="0.3">
      <c r="A733">
        <v>7.4581861573404868</v>
      </c>
      <c r="B733">
        <v>2.996232148595642</v>
      </c>
      <c r="C733">
        <v>13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1</v>
      </c>
      <c r="J733">
        <v>0</v>
      </c>
      <c r="K733">
        <v>1</v>
      </c>
      <c r="L733">
        <v>0</v>
      </c>
      <c r="M733">
        <v>0</v>
      </c>
    </row>
    <row r="734" spans="1:13" x14ac:dyDescent="0.3">
      <c r="A734">
        <v>7.4570320891223805</v>
      </c>
      <c r="B734">
        <v>2.996232148595642</v>
      </c>
      <c r="C734">
        <v>48</v>
      </c>
      <c r="D734">
        <v>4.5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1</v>
      </c>
      <c r="K734">
        <v>0</v>
      </c>
      <c r="L734">
        <v>1</v>
      </c>
      <c r="M734">
        <v>0</v>
      </c>
    </row>
    <row r="735" spans="1:13" x14ac:dyDescent="0.3">
      <c r="A735">
        <v>7.4564545551762089</v>
      </c>
      <c r="B735">
        <v>2.996232148595642</v>
      </c>
      <c r="C735">
        <v>74</v>
      </c>
      <c r="D735">
        <v>4</v>
      </c>
      <c r="E735">
        <v>0</v>
      </c>
      <c r="F735">
        <v>0</v>
      </c>
      <c r="G735">
        <v>0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1</v>
      </c>
    </row>
    <row r="736" spans="1:13" x14ac:dyDescent="0.3">
      <c r="A736">
        <v>7.4524024512236382</v>
      </c>
      <c r="B736">
        <v>3.9122229854308124</v>
      </c>
      <c r="C736">
        <v>94</v>
      </c>
      <c r="D736">
        <v>13</v>
      </c>
      <c r="E736">
        <v>0</v>
      </c>
      <c r="F736">
        <v>0</v>
      </c>
      <c r="G736">
        <v>0</v>
      </c>
      <c r="H736">
        <v>0</v>
      </c>
      <c r="I736">
        <v>1</v>
      </c>
      <c r="J736">
        <v>0</v>
      </c>
      <c r="K736">
        <v>0</v>
      </c>
      <c r="L736">
        <v>0</v>
      </c>
      <c r="M736">
        <v>1</v>
      </c>
    </row>
    <row r="737" spans="1:13" x14ac:dyDescent="0.3">
      <c r="A737">
        <v>7.4518222365279296</v>
      </c>
      <c r="B737">
        <v>2.996232148595642</v>
      </c>
      <c r="C737">
        <v>7</v>
      </c>
      <c r="D737">
        <v>1</v>
      </c>
      <c r="E737">
        <v>0</v>
      </c>
      <c r="F737">
        <v>0</v>
      </c>
      <c r="G737">
        <v>0</v>
      </c>
      <c r="H737">
        <v>0</v>
      </c>
      <c r="I737">
        <v>1</v>
      </c>
      <c r="J737">
        <v>0</v>
      </c>
      <c r="K737">
        <v>1</v>
      </c>
      <c r="L737">
        <v>0</v>
      </c>
      <c r="M737">
        <v>0</v>
      </c>
    </row>
    <row r="738" spans="1:13" x14ac:dyDescent="0.3">
      <c r="A738">
        <v>7.4518222365279296</v>
      </c>
      <c r="B738">
        <v>4.0945112150014218</v>
      </c>
      <c r="C738">
        <v>60</v>
      </c>
      <c r="D738">
        <v>11</v>
      </c>
      <c r="E738">
        <v>0</v>
      </c>
      <c r="F738">
        <v>0</v>
      </c>
      <c r="G738">
        <v>0</v>
      </c>
      <c r="H738">
        <v>0</v>
      </c>
      <c r="I738">
        <v>1</v>
      </c>
      <c r="J738">
        <v>0</v>
      </c>
      <c r="K738">
        <v>0</v>
      </c>
      <c r="L738">
        <v>0</v>
      </c>
      <c r="M738">
        <v>1</v>
      </c>
    </row>
    <row r="739" spans="1:13" x14ac:dyDescent="0.3">
      <c r="A739">
        <v>7.4454175567016874</v>
      </c>
      <c r="B739">
        <v>4.6052701809884251</v>
      </c>
      <c r="C739">
        <v>49</v>
      </c>
      <c r="D739">
        <v>5.5</v>
      </c>
      <c r="E739">
        <v>0</v>
      </c>
      <c r="F739">
        <v>0</v>
      </c>
      <c r="G739">
        <v>0</v>
      </c>
      <c r="H739">
        <v>0</v>
      </c>
      <c r="I739">
        <v>1</v>
      </c>
      <c r="J739">
        <v>0</v>
      </c>
      <c r="K739">
        <v>0</v>
      </c>
      <c r="L739">
        <v>0</v>
      </c>
      <c r="M739">
        <v>1</v>
      </c>
    </row>
    <row r="740" spans="1:13" x14ac:dyDescent="0.3">
      <c r="A740">
        <v>7.4413203897176174</v>
      </c>
      <c r="B740">
        <v>3.9122229854308124</v>
      </c>
      <c r="C740">
        <v>17</v>
      </c>
      <c r="D740">
        <v>2</v>
      </c>
      <c r="E740">
        <v>0</v>
      </c>
      <c r="F740">
        <v>0</v>
      </c>
      <c r="G740">
        <v>0</v>
      </c>
      <c r="H740">
        <v>0</v>
      </c>
      <c r="I740">
        <v>1</v>
      </c>
      <c r="J740">
        <v>0</v>
      </c>
      <c r="K740">
        <v>0</v>
      </c>
      <c r="L740">
        <v>0</v>
      </c>
      <c r="M740">
        <v>1</v>
      </c>
    </row>
    <row r="741" spans="1:13" x14ac:dyDescent="0.3">
      <c r="A741">
        <v>7.4401466806626884</v>
      </c>
      <c r="B741">
        <v>5.273050839300149</v>
      </c>
      <c r="C741">
        <v>178</v>
      </c>
      <c r="D741">
        <v>13</v>
      </c>
      <c r="E741">
        <v>0</v>
      </c>
      <c r="F741">
        <v>0</v>
      </c>
      <c r="G741">
        <v>0</v>
      </c>
      <c r="H741">
        <v>0</v>
      </c>
      <c r="I741">
        <v>1</v>
      </c>
      <c r="J741">
        <v>0</v>
      </c>
      <c r="K741">
        <v>1</v>
      </c>
      <c r="L741">
        <v>0</v>
      </c>
      <c r="M741">
        <v>0</v>
      </c>
    </row>
    <row r="742" spans="1:13" x14ac:dyDescent="0.3">
      <c r="A742">
        <v>7.4401466806626884</v>
      </c>
      <c r="B742">
        <v>4.1745411042163774</v>
      </c>
      <c r="C742">
        <v>8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1</v>
      </c>
      <c r="J742">
        <v>0</v>
      </c>
      <c r="K742">
        <v>0</v>
      </c>
      <c r="L742">
        <v>0</v>
      </c>
      <c r="M742">
        <v>1</v>
      </c>
    </row>
    <row r="743" spans="1:13" x14ac:dyDescent="0.3">
      <c r="A743">
        <v>7.4401466806626884</v>
      </c>
      <c r="B743">
        <v>4.2486380889891064</v>
      </c>
      <c r="C743">
        <v>65</v>
      </c>
      <c r="D743">
        <v>3</v>
      </c>
      <c r="E743">
        <v>0</v>
      </c>
      <c r="F743">
        <v>0</v>
      </c>
      <c r="G743">
        <v>0</v>
      </c>
      <c r="H743">
        <v>0</v>
      </c>
      <c r="I743">
        <v>1</v>
      </c>
      <c r="J743">
        <v>0</v>
      </c>
      <c r="K743">
        <v>0</v>
      </c>
      <c r="L743">
        <v>0</v>
      </c>
      <c r="M743">
        <v>1</v>
      </c>
    </row>
    <row r="744" spans="1:13" x14ac:dyDescent="0.3">
      <c r="A744">
        <v>7.4395593091333199</v>
      </c>
      <c r="B744">
        <v>3.9122229854308124</v>
      </c>
      <c r="C744">
        <v>78</v>
      </c>
      <c r="D744">
        <v>7</v>
      </c>
      <c r="E744">
        <v>0</v>
      </c>
      <c r="F744">
        <v>0</v>
      </c>
      <c r="G744">
        <v>0</v>
      </c>
      <c r="H744">
        <v>0</v>
      </c>
      <c r="I744">
        <v>1</v>
      </c>
      <c r="J744">
        <v>0</v>
      </c>
      <c r="K744">
        <v>0</v>
      </c>
      <c r="L744">
        <v>0</v>
      </c>
      <c r="M744">
        <v>1</v>
      </c>
    </row>
    <row r="745" spans="1:13" x14ac:dyDescent="0.3">
      <c r="A745">
        <v>7.4389715923958617</v>
      </c>
      <c r="B745">
        <v>4.6052701809884251</v>
      </c>
      <c r="C745">
        <v>88</v>
      </c>
      <c r="D745">
        <v>7</v>
      </c>
      <c r="E745">
        <v>0</v>
      </c>
      <c r="F745">
        <v>0</v>
      </c>
      <c r="G745">
        <v>0</v>
      </c>
      <c r="H745">
        <v>1</v>
      </c>
      <c r="I745">
        <v>0</v>
      </c>
      <c r="J745">
        <v>0</v>
      </c>
      <c r="K745">
        <v>0</v>
      </c>
      <c r="L745">
        <v>0</v>
      </c>
      <c r="M745">
        <v>1</v>
      </c>
    </row>
    <row r="746" spans="1:13" x14ac:dyDescent="0.3">
      <c r="A746">
        <v>7.4377951216719325</v>
      </c>
      <c r="B746">
        <v>4.0945112150014218</v>
      </c>
      <c r="C746">
        <v>22</v>
      </c>
      <c r="D746">
        <v>2</v>
      </c>
      <c r="E746">
        <v>0</v>
      </c>
      <c r="F746">
        <v>0</v>
      </c>
      <c r="G746">
        <v>0</v>
      </c>
      <c r="H746">
        <v>0</v>
      </c>
      <c r="I746">
        <v>1</v>
      </c>
      <c r="J746">
        <v>0</v>
      </c>
      <c r="K746">
        <v>0</v>
      </c>
      <c r="L746">
        <v>1</v>
      </c>
      <c r="M746">
        <v>0</v>
      </c>
    </row>
    <row r="747" spans="1:13" x14ac:dyDescent="0.3">
      <c r="A747">
        <v>7.4366172652342266</v>
      </c>
      <c r="B747">
        <v>5.273050839300149</v>
      </c>
      <c r="C747">
        <v>54</v>
      </c>
      <c r="D747">
        <v>6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0</v>
      </c>
      <c r="M747">
        <v>1</v>
      </c>
    </row>
    <row r="748" spans="1:13" x14ac:dyDescent="0.3">
      <c r="A748">
        <v>7.4360278163518485</v>
      </c>
      <c r="B748">
        <v>4.3176214379815452</v>
      </c>
      <c r="C748">
        <v>60</v>
      </c>
      <c r="D748">
        <v>10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1</v>
      </c>
      <c r="M748">
        <v>0</v>
      </c>
    </row>
    <row r="749" spans="1:13" x14ac:dyDescent="0.3">
      <c r="A749">
        <v>7.4312996751559028</v>
      </c>
      <c r="B749">
        <v>3.4015306594522756</v>
      </c>
      <c r="C749">
        <v>29</v>
      </c>
      <c r="D749">
        <v>1.5</v>
      </c>
      <c r="E749">
        <v>0</v>
      </c>
      <c r="F749">
        <v>0</v>
      </c>
      <c r="G749">
        <v>1</v>
      </c>
      <c r="H749">
        <v>0</v>
      </c>
      <c r="I749">
        <v>0</v>
      </c>
      <c r="J749">
        <v>0</v>
      </c>
      <c r="K749">
        <v>1</v>
      </c>
      <c r="L749">
        <v>0</v>
      </c>
      <c r="M749">
        <v>0</v>
      </c>
    </row>
    <row r="750" spans="1:13" x14ac:dyDescent="0.3">
      <c r="A750">
        <v>7.428333194190806</v>
      </c>
      <c r="B750">
        <v>4.9768027055598036</v>
      </c>
      <c r="C750">
        <v>48</v>
      </c>
      <c r="D750">
        <v>8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1</v>
      </c>
    </row>
    <row r="751" spans="1:13" x14ac:dyDescent="0.3">
      <c r="A751">
        <v>7.4253578870271513</v>
      </c>
      <c r="B751">
        <v>4.7875750726433504</v>
      </c>
      <c r="C751">
        <v>32</v>
      </c>
      <c r="D751">
        <v>2.5</v>
      </c>
      <c r="E751">
        <v>0</v>
      </c>
      <c r="F751">
        <v>0</v>
      </c>
      <c r="G751">
        <v>0</v>
      </c>
      <c r="H751">
        <v>0</v>
      </c>
      <c r="I751">
        <v>1</v>
      </c>
      <c r="J751">
        <v>0</v>
      </c>
      <c r="K751">
        <v>0</v>
      </c>
      <c r="L751">
        <v>0</v>
      </c>
      <c r="M751">
        <v>1</v>
      </c>
    </row>
    <row r="752" spans="1:13" x14ac:dyDescent="0.3">
      <c r="A752">
        <v>7.4223737009868236</v>
      </c>
      <c r="B752">
        <v>5.2983673652980787</v>
      </c>
      <c r="C752">
        <v>24</v>
      </c>
      <c r="D752">
        <v>3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1</v>
      </c>
    </row>
    <row r="753" spans="1:13" x14ac:dyDescent="0.3">
      <c r="A753">
        <v>7.4139702901904441</v>
      </c>
      <c r="B753">
        <v>4.5539821492186583</v>
      </c>
      <c r="C753">
        <v>38</v>
      </c>
      <c r="D753">
        <v>5.5</v>
      </c>
      <c r="E753">
        <v>0</v>
      </c>
      <c r="F753">
        <v>1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0</v>
      </c>
    </row>
    <row r="754" spans="1:13" x14ac:dyDescent="0.3">
      <c r="A754">
        <v>7.4133673356952405</v>
      </c>
      <c r="B754">
        <v>3.9122229854308124</v>
      </c>
      <c r="C754">
        <v>68</v>
      </c>
      <c r="D754">
        <v>16.5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0</v>
      </c>
      <c r="K754">
        <v>0</v>
      </c>
      <c r="L754">
        <v>0</v>
      </c>
      <c r="M754">
        <v>1</v>
      </c>
    </row>
    <row r="755" spans="1:13" x14ac:dyDescent="0.3">
      <c r="A755">
        <v>7.4133673356952405</v>
      </c>
      <c r="B755">
        <v>3.9122229854308124</v>
      </c>
      <c r="C755">
        <v>68</v>
      </c>
      <c r="D755">
        <v>5</v>
      </c>
      <c r="E755">
        <v>0</v>
      </c>
      <c r="F755">
        <v>0</v>
      </c>
      <c r="G755">
        <v>0</v>
      </c>
      <c r="H755">
        <v>1</v>
      </c>
      <c r="I755">
        <v>0</v>
      </c>
      <c r="J755">
        <v>0</v>
      </c>
      <c r="K755">
        <v>0</v>
      </c>
      <c r="L755">
        <v>0</v>
      </c>
      <c r="M755">
        <v>1</v>
      </c>
    </row>
    <row r="756" spans="1:13" x14ac:dyDescent="0.3">
      <c r="A756">
        <v>7.4115562878111634</v>
      </c>
      <c r="B756">
        <v>3.2192757448895279</v>
      </c>
      <c r="C756">
        <v>19</v>
      </c>
      <c r="D756">
        <v>1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1</v>
      </c>
    </row>
    <row r="757" spans="1:13" x14ac:dyDescent="0.3">
      <c r="A757">
        <v>7.4115562878111634</v>
      </c>
      <c r="B757">
        <v>3.2192757448895279</v>
      </c>
      <c r="C757">
        <v>44</v>
      </c>
      <c r="D757">
        <v>3</v>
      </c>
      <c r="E757">
        <v>0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1</v>
      </c>
    </row>
    <row r="758" spans="1:13" x14ac:dyDescent="0.3">
      <c r="A758">
        <v>7.410347097821024</v>
      </c>
      <c r="B758">
        <v>3.6891294228691436</v>
      </c>
      <c r="C758">
        <v>14</v>
      </c>
      <c r="D758">
        <v>1.5</v>
      </c>
      <c r="E758">
        <v>0</v>
      </c>
      <c r="F758">
        <v>0</v>
      </c>
      <c r="G758">
        <v>0</v>
      </c>
      <c r="H758">
        <v>0</v>
      </c>
      <c r="I758">
        <v>1</v>
      </c>
      <c r="J758">
        <v>0</v>
      </c>
      <c r="K758">
        <v>0</v>
      </c>
      <c r="L758">
        <v>0</v>
      </c>
      <c r="M758">
        <v>1</v>
      </c>
    </row>
    <row r="759" spans="1:13" x14ac:dyDescent="0.3">
      <c r="A759">
        <v>7.407924322559599</v>
      </c>
      <c r="B759">
        <v>5.273050839300149</v>
      </c>
      <c r="C759">
        <v>25</v>
      </c>
      <c r="D759">
        <v>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1</v>
      </c>
      <c r="L759">
        <v>0</v>
      </c>
      <c r="M759">
        <v>0</v>
      </c>
    </row>
    <row r="760" spans="1:13" x14ac:dyDescent="0.3">
      <c r="A760">
        <v>7.4054956631994724</v>
      </c>
      <c r="B760">
        <v>5.273050839300149</v>
      </c>
      <c r="C760">
        <v>12</v>
      </c>
      <c r="D760">
        <v>1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1</v>
      </c>
      <c r="L760">
        <v>0</v>
      </c>
      <c r="M760">
        <v>0</v>
      </c>
    </row>
    <row r="761" spans="1:13" x14ac:dyDescent="0.3">
      <c r="A761">
        <v>7.4024515208182438</v>
      </c>
      <c r="B761">
        <v>4.1745411042163774</v>
      </c>
      <c r="C761">
        <v>29</v>
      </c>
      <c r="D761">
        <v>2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</row>
    <row r="762" spans="1:13" x14ac:dyDescent="0.3">
      <c r="A762">
        <v>7.3987862754199485</v>
      </c>
      <c r="B762">
        <v>4.3176214379815452</v>
      </c>
      <c r="C762">
        <v>21</v>
      </c>
      <c r="D762">
        <v>2.5</v>
      </c>
      <c r="E762">
        <v>0</v>
      </c>
      <c r="F762">
        <v>0</v>
      </c>
      <c r="G762">
        <v>0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1</v>
      </c>
    </row>
    <row r="763" spans="1:13" x14ac:dyDescent="0.3">
      <c r="A763">
        <v>7.3951075465624854</v>
      </c>
      <c r="B763">
        <v>4.9768027055598036</v>
      </c>
      <c r="C763">
        <v>129</v>
      </c>
      <c r="D763">
        <v>18.5</v>
      </c>
      <c r="E763">
        <v>0</v>
      </c>
      <c r="F763">
        <v>0</v>
      </c>
      <c r="G763">
        <v>0</v>
      </c>
      <c r="H763">
        <v>1</v>
      </c>
      <c r="I763">
        <v>0</v>
      </c>
      <c r="J763">
        <v>0</v>
      </c>
      <c r="K763">
        <v>0</v>
      </c>
      <c r="L763">
        <v>0</v>
      </c>
      <c r="M763">
        <v>1</v>
      </c>
    </row>
    <row r="764" spans="1:13" x14ac:dyDescent="0.3">
      <c r="A764">
        <v>7.3944931072190379</v>
      </c>
      <c r="B764">
        <v>3.5556337349665741</v>
      </c>
      <c r="C764">
        <v>7</v>
      </c>
      <c r="D764">
        <v>0.58333332999999998</v>
      </c>
      <c r="E764">
        <v>0</v>
      </c>
      <c r="F764">
        <v>0</v>
      </c>
      <c r="G764">
        <v>0</v>
      </c>
      <c r="H764">
        <v>0</v>
      </c>
      <c r="I764">
        <v>1</v>
      </c>
      <c r="J764">
        <v>0</v>
      </c>
      <c r="K764">
        <v>0</v>
      </c>
      <c r="L764">
        <v>0</v>
      </c>
      <c r="M764">
        <v>1</v>
      </c>
    </row>
    <row r="765" spans="1:13" x14ac:dyDescent="0.3">
      <c r="A765">
        <v>7.3938782901077555</v>
      </c>
      <c r="B765">
        <v>3.9122229854308124</v>
      </c>
      <c r="C765">
        <v>18</v>
      </c>
      <c r="D765">
        <v>1.5</v>
      </c>
      <c r="E765">
        <v>0</v>
      </c>
      <c r="F765">
        <v>0</v>
      </c>
      <c r="G765">
        <v>0</v>
      </c>
      <c r="H765">
        <v>0</v>
      </c>
      <c r="I765">
        <v>1</v>
      </c>
      <c r="J765">
        <v>0</v>
      </c>
      <c r="K765">
        <v>0</v>
      </c>
      <c r="L765">
        <v>0</v>
      </c>
      <c r="M765">
        <v>1</v>
      </c>
    </row>
    <row r="766" spans="1:13" x14ac:dyDescent="0.3">
      <c r="A766">
        <v>7.3938782901077555</v>
      </c>
      <c r="B766">
        <v>4.6052701809884251</v>
      </c>
      <c r="C766">
        <v>78</v>
      </c>
      <c r="D766">
        <v>6.5</v>
      </c>
      <c r="E766">
        <v>0</v>
      </c>
      <c r="F766">
        <v>0</v>
      </c>
      <c r="G766">
        <v>0</v>
      </c>
      <c r="H766">
        <v>0</v>
      </c>
      <c r="I766">
        <v>1</v>
      </c>
      <c r="J766">
        <v>0</v>
      </c>
      <c r="K766">
        <v>1</v>
      </c>
      <c r="L766">
        <v>0</v>
      </c>
      <c r="M766">
        <v>0</v>
      </c>
    </row>
    <row r="767" spans="1:13" x14ac:dyDescent="0.3">
      <c r="A767">
        <v>7.3926475207216233</v>
      </c>
      <c r="B767">
        <v>3.9122229854308124</v>
      </c>
      <c r="C767">
        <v>38</v>
      </c>
      <c r="D767">
        <v>4</v>
      </c>
      <c r="E767">
        <v>0</v>
      </c>
      <c r="F767">
        <v>0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1</v>
      </c>
      <c r="M767">
        <v>0</v>
      </c>
    </row>
    <row r="768" spans="1:13" x14ac:dyDescent="0.3">
      <c r="A768">
        <v>7.3889460976184367</v>
      </c>
      <c r="B768">
        <v>2.996232148595642</v>
      </c>
      <c r="C768">
        <v>20</v>
      </c>
      <c r="D768">
        <v>1.5</v>
      </c>
      <c r="E768">
        <v>0</v>
      </c>
      <c r="F768">
        <v>0</v>
      </c>
      <c r="G768">
        <v>0</v>
      </c>
      <c r="H768">
        <v>0</v>
      </c>
      <c r="I768">
        <v>1</v>
      </c>
      <c r="J768">
        <v>0</v>
      </c>
      <c r="K768">
        <v>0</v>
      </c>
      <c r="L768">
        <v>0</v>
      </c>
      <c r="M768">
        <v>1</v>
      </c>
    </row>
    <row r="769" spans="1:13" x14ac:dyDescent="0.3">
      <c r="A769">
        <v>7.3858510781252091</v>
      </c>
      <c r="B769">
        <v>2.996232148595642</v>
      </c>
      <c r="C769">
        <v>20</v>
      </c>
      <c r="D769">
        <v>1</v>
      </c>
      <c r="E769">
        <v>0</v>
      </c>
      <c r="F769">
        <v>0</v>
      </c>
      <c r="G769">
        <v>0</v>
      </c>
      <c r="H769">
        <v>0</v>
      </c>
      <c r="I769">
        <v>1</v>
      </c>
      <c r="J769">
        <v>0</v>
      </c>
      <c r="K769">
        <v>0</v>
      </c>
      <c r="L769">
        <v>0</v>
      </c>
      <c r="M769">
        <v>1</v>
      </c>
    </row>
    <row r="770" spans="1:13" x14ac:dyDescent="0.3">
      <c r="A770">
        <v>7.384610383176974</v>
      </c>
      <c r="B770">
        <v>4.6052701809884251</v>
      </c>
      <c r="C770">
        <v>157</v>
      </c>
      <c r="D770">
        <v>12.5</v>
      </c>
      <c r="E770">
        <v>0</v>
      </c>
      <c r="F770">
        <v>0</v>
      </c>
      <c r="G770">
        <v>0</v>
      </c>
      <c r="H770">
        <v>0</v>
      </c>
      <c r="I770">
        <v>1</v>
      </c>
      <c r="J770">
        <v>0</v>
      </c>
      <c r="K770">
        <v>0</v>
      </c>
      <c r="L770">
        <v>0</v>
      </c>
      <c r="M770">
        <v>1</v>
      </c>
    </row>
    <row r="771" spans="1:13" x14ac:dyDescent="0.3">
      <c r="A771">
        <v>7.384610383176974</v>
      </c>
      <c r="B771">
        <v>3.9122229854308124</v>
      </c>
      <c r="C771">
        <v>20</v>
      </c>
      <c r="D771">
        <v>3.5</v>
      </c>
      <c r="E771">
        <v>0</v>
      </c>
      <c r="F771">
        <v>0</v>
      </c>
      <c r="G771">
        <v>1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</row>
    <row r="772" spans="1:13" x14ac:dyDescent="0.3">
      <c r="A772">
        <v>7.381501894506707</v>
      </c>
      <c r="B772">
        <v>4.6052701809884251</v>
      </c>
      <c r="C772">
        <v>73</v>
      </c>
      <c r="D772">
        <v>9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1</v>
      </c>
      <c r="L772">
        <v>0</v>
      </c>
      <c r="M772">
        <v>0</v>
      </c>
    </row>
    <row r="773" spans="1:13" x14ac:dyDescent="0.3">
      <c r="A773">
        <v>7.3808790355641163</v>
      </c>
      <c r="B773">
        <v>3.2192757448895279</v>
      </c>
      <c r="C773">
        <v>32</v>
      </c>
      <c r="D773">
        <v>3.5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1</v>
      </c>
      <c r="L773">
        <v>0</v>
      </c>
      <c r="M773">
        <v>0</v>
      </c>
    </row>
    <row r="774" spans="1:13" x14ac:dyDescent="0.3">
      <c r="A774">
        <v>7.3771337128339542</v>
      </c>
      <c r="B774">
        <v>4.0945112150014218</v>
      </c>
      <c r="C774">
        <v>49</v>
      </c>
      <c r="D774">
        <v>3</v>
      </c>
      <c r="E774">
        <v>0</v>
      </c>
      <c r="F774">
        <v>0</v>
      </c>
      <c r="G774">
        <v>0</v>
      </c>
      <c r="H774">
        <v>0</v>
      </c>
      <c r="I774">
        <v>1</v>
      </c>
      <c r="J774">
        <v>0</v>
      </c>
      <c r="K774">
        <v>1</v>
      </c>
      <c r="L774">
        <v>0</v>
      </c>
      <c r="M774">
        <v>0</v>
      </c>
    </row>
    <row r="775" spans="1:13" x14ac:dyDescent="0.3">
      <c r="A775">
        <v>7.3721180283377867</v>
      </c>
      <c r="B775">
        <v>3.9122229854308124</v>
      </c>
      <c r="C775">
        <v>74</v>
      </c>
      <c r="D775">
        <v>9.5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1</v>
      </c>
      <c r="K775">
        <v>0</v>
      </c>
      <c r="L775">
        <v>0</v>
      </c>
      <c r="M775">
        <v>1</v>
      </c>
    </row>
    <row r="776" spans="1:13" x14ac:dyDescent="0.3">
      <c r="A776">
        <v>7.3702306418070807</v>
      </c>
      <c r="B776">
        <v>3.6891294228691436</v>
      </c>
      <c r="C776">
        <v>15</v>
      </c>
      <c r="D776">
        <v>0.56666667000000004</v>
      </c>
      <c r="E776">
        <v>0</v>
      </c>
      <c r="F776">
        <v>0</v>
      </c>
      <c r="G776">
        <v>0</v>
      </c>
      <c r="H776">
        <v>1</v>
      </c>
      <c r="I776">
        <v>0</v>
      </c>
      <c r="J776">
        <v>0</v>
      </c>
      <c r="K776">
        <v>0</v>
      </c>
      <c r="L776">
        <v>0</v>
      </c>
      <c r="M776">
        <v>1</v>
      </c>
    </row>
    <row r="777" spans="1:13" x14ac:dyDescent="0.3">
      <c r="A777">
        <v>7.368970402194793</v>
      </c>
      <c r="B777">
        <v>5.2983673652980787</v>
      </c>
      <c r="C777">
        <v>124</v>
      </c>
      <c r="D777">
        <v>22</v>
      </c>
      <c r="E777">
        <v>0</v>
      </c>
      <c r="F777">
        <v>1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</v>
      </c>
    </row>
    <row r="778" spans="1:13" x14ac:dyDescent="0.3">
      <c r="A778">
        <v>7.3562798765507482</v>
      </c>
      <c r="B778">
        <v>4.7875750726433504</v>
      </c>
      <c r="C778">
        <v>36</v>
      </c>
      <c r="D778">
        <v>4</v>
      </c>
      <c r="E778">
        <v>0</v>
      </c>
      <c r="F778">
        <v>0</v>
      </c>
      <c r="G778">
        <v>0</v>
      </c>
      <c r="H778">
        <v>1</v>
      </c>
      <c r="I778">
        <v>0</v>
      </c>
      <c r="J778">
        <v>0</v>
      </c>
      <c r="K778">
        <v>0</v>
      </c>
      <c r="L778">
        <v>0</v>
      </c>
      <c r="M778">
        <v>1</v>
      </c>
    </row>
    <row r="779" spans="1:13" x14ac:dyDescent="0.3">
      <c r="A779">
        <v>7.3537223303996315</v>
      </c>
      <c r="B779">
        <v>3.8068846873048412</v>
      </c>
      <c r="C779">
        <v>12</v>
      </c>
      <c r="D779">
        <v>1.5</v>
      </c>
      <c r="E779">
        <v>0</v>
      </c>
      <c r="F779">
        <v>0</v>
      </c>
      <c r="G779">
        <v>0</v>
      </c>
      <c r="H779">
        <v>0</v>
      </c>
      <c r="I779">
        <v>1</v>
      </c>
      <c r="J779">
        <v>0</v>
      </c>
      <c r="K779">
        <v>0</v>
      </c>
      <c r="L779">
        <v>0</v>
      </c>
      <c r="M779">
        <v>1</v>
      </c>
    </row>
    <row r="780" spans="1:13" x14ac:dyDescent="0.3">
      <c r="A780">
        <v>7.3537223303996315</v>
      </c>
      <c r="B780">
        <v>4.7450190811044903</v>
      </c>
      <c r="C780">
        <v>34</v>
      </c>
      <c r="D780">
        <v>4</v>
      </c>
      <c r="E780">
        <v>0</v>
      </c>
      <c r="F780">
        <v>0</v>
      </c>
      <c r="G780">
        <v>0</v>
      </c>
      <c r="H780">
        <v>0</v>
      </c>
      <c r="I780">
        <v>1</v>
      </c>
      <c r="J780">
        <v>0</v>
      </c>
      <c r="K780">
        <v>0</v>
      </c>
      <c r="L780">
        <v>0</v>
      </c>
      <c r="M780">
        <v>1</v>
      </c>
    </row>
    <row r="781" spans="1:13" x14ac:dyDescent="0.3">
      <c r="A781">
        <v>7.3505161718339984</v>
      </c>
      <c r="B781">
        <v>3.2192757448895279</v>
      </c>
      <c r="C781">
        <v>74</v>
      </c>
      <c r="D781">
        <v>14</v>
      </c>
      <c r="E781">
        <v>0</v>
      </c>
      <c r="F781">
        <v>0</v>
      </c>
      <c r="G781">
        <v>0</v>
      </c>
      <c r="H781">
        <v>1</v>
      </c>
      <c r="I781">
        <v>0</v>
      </c>
      <c r="J781">
        <v>0</v>
      </c>
      <c r="K781">
        <v>1</v>
      </c>
      <c r="L781">
        <v>0</v>
      </c>
      <c r="M781">
        <v>0</v>
      </c>
    </row>
    <row r="782" spans="1:13" x14ac:dyDescent="0.3">
      <c r="A782">
        <v>7.3485875309275928</v>
      </c>
      <c r="B782">
        <v>2.996232148595642</v>
      </c>
      <c r="C782">
        <v>60</v>
      </c>
      <c r="D782">
        <v>4</v>
      </c>
      <c r="E782">
        <v>0</v>
      </c>
      <c r="F782">
        <v>0</v>
      </c>
      <c r="G782">
        <v>0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1</v>
      </c>
    </row>
    <row r="783" spans="1:13" x14ac:dyDescent="0.3">
      <c r="A783">
        <v>7.3479438231486869</v>
      </c>
      <c r="B783">
        <v>3.9122229854308124</v>
      </c>
      <c r="C783">
        <v>43</v>
      </c>
      <c r="D783">
        <v>5.5</v>
      </c>
      <c r="E783">
        <v>0</v>
      </c>
      <c r="F783">
        <v>0</v>
      </c>
      <c r="G783">
        <v>0</v>
      </c>
      <c r="H783">
        <v>1</v>
      </c>
      <c r="I783">
        <v>0</v>
      </c>
      <c r="J783">
        <v>0</v>
      </c>
      <c r="K783">
        <v>0</v>
      </c>
      <c r="L783">
        <v>0</v>
      </c>
      <c r="M783">
        <v>1</v>
      </c>
    </row>
    <row r="784" spans="1:13" x14ac:dyDescent="0.3">
      <c r="A784">
        <v>7.3472997007431644</v>
      </c>
      <c r="B784">
        <v>4.007514986887367</v>
      </c>
      <c r="C784">
        <v>44</v>
      </c>
      <c r="D784">
        <v>3.5</v>
      </c>
      <c r="E784">
        <v>0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</v>
      </c>
    </row>
    <row r="785" spans="1:13" x14ac:dyDescent="0.3">
      <c r="A785">
        <v>7.3466551631765391</v>
      </c>
      <c r="B785">
        <v>3.4015306594522756</v>
      </c>
      <c r="C785">
        <v>78</v>
      </c>
      <c r="D785">
        <v>7.5</v>
      </c>
      <c r="E785">
        <v>0</v>
      </c>
      <c r="F785">
        <v>0</v>
      </c>
      <c r="G785">
        <v>0</v>
      </c>
      <c r="H785">
        <v>1</v>
      </c>
      <c r="I785">
        <v>0</v>
      </c>
      <c r="J785">
        <v>0</v>
      </c>
      <c r="K785">
        <v>0</v>
      </c>
      <c r="L785">
        <v>0</v>
      </c>
      <c r="M785">
        <v>1</v>
      </c>
    </row>
    <row r="786" spans="1:13" x14ac:dyDescent="0.3">
      <c r="A786">
        <v>7.3460102099132927</v>
      </c>
      <c r="B786">
        <v>3.4015306594522756</v>
      </c>
      <c r="C786">
        <v>23</v>
      </c>
      <c r="D786">
        <v>3</v>
      </c>
      <c r="E786">
        <v>0</v>
      </c>
      <c r="F786">
        <v>0</v>
      </c>
      <c r="G786">
        <v>0</v>
      </c>
      <c r="H786">
        <v>1</v>
      </c>
      <c r="I786">
        <v>0</v>
      </c>
      <c r="J786">
        <v>0</v>
      </c>
      <c r="K786">
        <v>0</v>
      </c>
      <c r="L786">
        <v>0</v>
      </c>
      <c r="M786">
        <v>1</v>
      </c>
    </row>
    <row r="787" spans="1:13" x14ac:dyDescent="0.3">
      <c r="A787">
        <v>7.3460102099132927</v>
      </c>
      <c r="B787">
        <v>3.9122229854308124</v>
      </c>
      <c r="C787">
        <v>27</v>
      </c>
      <c r="D787">
        <v>1.5</v>
      </c>
      <c r="E787">
        <v>0</v>
      </c>
      <c r="F787">
        <v>0</v>
      </c>
      <c r="G787">
        <v>0</v>
      </c>
      <c r="H787">
        <v>1</v>
      </c>
      <c r="I787">
        <v>0</v>
      </c>
      <c r="J787">
        <v>0</v>
      </c>
      <c r="K787">
        <v>0</v>
      </c>
      <c r="L787">
        <v>0</v>
      </c>
      <c r="M787">
        <v>1</v>
      </c>
    </row>
    <row r="788" spans="1:13" x14ac:dyDescent="0.3">
      <c r="A788">
        <v>7.3447190541496727</v>
      </c>
      <c r="B788">
        <v>3.6891294228691436</v>
      </c>
      <c r="C788">
        <v>126</v>
      </c>
      <c r="D788">
        <v>15</v>
      </c>
      <c r="E788">
        <v>0</v>
      </c>
      <c r="F788">
        <v>0</v>
      </c>
      <c r="G788">
        <v>0</v>
      </c>
      <c r="H788">
        <v>0</v>
      </c>
      <c r="I788">
        <v>1</v>
      </c>
      <c r="J788">
        <v>0</v>
      </c>
      <c r="K788">
        <v>0</v>
      </c>
      <c r="L788">
        <v>0</v>
      </c>
      <c r="M788">
        <v>1</v>
      </c>
    </row>
    <row r="789" spans="1:13" x14ac:dyDescent="0.3">
      <c r="A789">
        <v>7.3440728505730659</v>
      </c>
      <c r="B789">
        <v>3.9122229854308124</v>
      </c>
      <c r="C789">
        <v>56</v>
      </c>
      <c r="D789">
        <v>8</v>
      </c>
      <c r="E789">
        <v>0</v>
      </c>
      <c r="F789">
        <v>0</v>
      </c>
      <c r="G789">
        <v>0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1</v>
      </c>
    </row>
    <row r="790" spans="1:13" x14ac:dyDescent="0.3">
      <c r="A790">
        <v>7.3421317305847218</v>
      </c>
      <c r="B790">
        <v>-4.6051701859880909</v>
      </c>
      <c r="C790">
        <v>29</v>
      </c>
      <c r="D790">
        <v>1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1</v>
      </c>
      <c r="K790">
        <v>0</v>
      </c>
      <c r="L790">
        <v>0</v>
      </c>
      <c r="M790">
        <v>1</v>
      </c>
    </row>
    <row r="791" spans="1:13" x14ac:dyDescent="0.3">
      <c r="A791">
        <v>7.3395376954076745</v>
      </c>
      <c r="B791">
        <v>3.8068846873048412</v>
      </c>
      <c r="C791">
        <v>39</v>
      </c>
      <c r="D791">
        <v>3</v>
      </c>
      <c r="E791">
        <v>0</v>
      </c>
      <c r="F791">
        <v>0</v>
      </c>
      <c r="G791">
        <v>0</v>
      </c>
      <c r="H791">
        <v>1</v>
      </c>
      <c r="I791">
        <v>0</v>
      </c>
      <c r="J791">
        <v>0</v>
      </c>
      <c r="K791">
        <v>0</v>
      </c>
      <c r="L791">
        <v>0</v>
      </c>
      <c r="M791">
        <v>1</v>
      </c>
    </row>
    <row r="792" spans="1:13" x14ac:dyDescent="0.3">
      <c r="A792">
        <v>7.3375877435385961</v>
      </c>
      <c r="B792">
        <v>5.273050839300149</v>
      </c>
      <c r="C792">
        <v>29</v>
      </c>
      <c r="D792">
        <v>2.5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1</v>
      </c>
      <c r="K792">
        <v>1</v>
      </c>
      <c r="L792">
        <v>0</v>
      </c>
      <c r="M792">
        <v>0</v>
      </c>
    </row>
    <row r="793" spans="1:13" x14ac:dyDescent="0.3">
      <c r="A793">
        <v>7.3356339819272014</v>
      </c>
      <c r="B793">
        <v>4.007514986887367</v>
      </c>
      <c r="C793">
        <v>18</v>
      </c>
      <c r="D793">
        <v>1.5</v>
      </c>
      <c r="E793">
        <v>0</v>
      </c>
      <c r="F793">
        <v>0</v>
      </c>
      <c r="G793">
        <v>0</v>
      </c>
      <c r="H793">
        <v>1</v>
      </c>
      <c r="I793">
        <v>0</v>
      </c>
      <c r="J793">
        <v>0</v>
      </c>
      <c r="K793">
        <v>1</v>
      </c>
      <c r="L793">
        <v>0</v>
      </c>
      <c r="M793">
        <v>0</v>
      </c>
    </row>
    <row r="794" spans="1:13" x14ac:dyDescent="0.3">
      <c r="A794">
        <v>7.3343293503005365</v>
      </c>
      <c r="B794">
        <v>4.3176214379815452</v>
      </c>
      <c r="C794">
        <v>23</v>
      </c>
      <c r="D794">
        <v>2</v>
      </c>
      <c r="E794">
        <v>0</v>
      </c>
      <c r="F794">
        <v>0</v>
      </c>
      <c r="G794">
        <v>1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1</v>
      </c>
    </row>
    <row r="795" spans="1:13" x14ac:dyDescent="0.3">
      <c r="A795">
        <v>7.3304052118444023</v>
      </c>
      <c r="B795">
        <v>4.4999207752689943</v>
      </c>
      <c r="C795">
        <v>86</v>
      </c>
      <c r="D795">
        <v>6.5</v>
      </c>
      <c r="E795">
        <v>0</v>
      </c>
      <c r="F795">
        <v>0</v>
      </c>
      <c r="G795">
        <v>0</v>
      </c>
      <c r="H795">
        <v>1</v>
      </c>
      <c r="I795">
        <v>0</v>
      </c>
      <c r="J795">
        <v>0</v>
      </c>
      <c r="K795">
        <v>1</v>
      </c>
      <c r="L795">
        <v>0</v>
      </c>
      <c r="M795">
        <v>0</v>
      </c>
    </row>
    <row r="796" spans="1:13" x14ac:dyDescent="0.3">
      <c r="A796">
        <v>7.3297496890415124</v>
      </c>
      <c r="B796">
        <v>2.996232148595642</v>
      </c>
      <c r="C796">
        <v>65</v>
      </c>
      <c r="D796">
        <v>2.5</v>
      </c>
      <c r="E796">
        <v>0</v>
      </c>
      <c r="F796">
        <v>0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1</v>
      </c>
      <c r="M796">
        <v>0</v>
      </c>
    </row>
    <row r="797" spans="1:13" x14ac:dyDescent="0.3">
      <c r="A797">
        <v>7.3264656138403224</v>
      </c>
      <c r="B797">
        <v>2.996232148595642</v>
      </c>
      <c r="C797">
        <v>23</v>
      </c>
      <c r="D797">
        <v>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0</v>
      </c>
      <c r="L797">
        <v>1</v>
      </c>
      <c r="M797">
        <v>0</v>
      </c>
    </row>
    <row r="798" spans="1:13" x14ac:dyDescent="0.3">
      <c r="A798">
        <v>7.3264656138403224</v>
      </c>
      <c r="B798">
        <v>3.2192757448895279</v>
      </c>
      <c r="C798">
        <v>52</v>
      </c>
      <c r="D798">
        <v>10.5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</v>
      </c>
    </row>
    <row r="799" spans="1:13" x14ac:dyDescent="0.3">
      <c r="A799">
        <v>7.3258075025957732</v>
      </c>
      <c r="B799">
        <v>-4.6051701859880909</v>
      </c>
      <c r="C799">
        <v>20</v>
      </c>
      <c r="D799">
        <v>1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1</v>
      </c>
      <c r="K799">
        <v>1</v>
      </c>
      <c r="L799">
        <v>0</v>
      </c>
      <c r="M799">
        <v>0</v>
      </c>
    </row>
    <row r="800" spans="1:13" x14ac:dyDescent="0.3">
      <c r="A800">
        <v>7.3251489579555749</v>
      </c>
      <c r="B800">
        <v>4.6052701809884251</v>
      </c>
      <c r="C800">
        <v>122</v>
      </c>
      <c r="D800">
        <v>19</v>
      </c>
      <c r="E800">
        <v>0</v>
      </c>
      <c r="F800">
        <v>0</v>
      </c>
      <c r="G800">
        <v>0</v>
      </c>
      <c r="H800">
        <v>1</v>
      </c>
      <c r="I800">
        <v>0</v>
      </c>
      <c r="J800">
        <v>0</v>
      </c>
      <c r="K800">
        <v>0</v>
      </c>
      <c r="L800">
        <v>0</v>
      </c>
      <c r="M800">
        <v>1</v>
      </c>
    </row>
    <row r="801" spans="1:13" x14ac:dyDescent="0.3">
      <c r="A801">
        <v>7.3244899793485319</v>
      </c>
      <c r="B801">
        <v>2.996232148595642</v>
      </c>
      <c r="C801">
        <v>12</v>
      </c>
      <c r="D801">
        <v>1</v>
      </c>
      <c r="E801">
        <v>0</v>
      </c>
      <c r="F801">
        <v>0</v>
      </c>
      <c r="G801">
        <v>1</v>
      </c>
      <c r="H801">
        <v>0</v>
      </c>
      <c r="I801">
        <v>0</v>
      </c>
      <c r="J801">
        <v>0</v>
      </c>
      <c r="K801">
        <v>1</v>
      </c>
      <c r="L801">
        <v>0</v>
      </c>
      <c r="M801">
        <v>0</v>
      </c>
    </row>
    <row r="802" spans="1:13" x14ac:dyDescent="0.3">
      <c r="A802">
        <v>7.3231707179434693</v>
      </c>
      <c r="B802">
        <v>3.9122229854308124</v>
      </c>
      <c r="C802">
        <v>60</v>
      </c>
      <c r="D802">
        <v>7</v>
      </c>
      <c r="E802">
        <v>0</v>
      </c>
      <c r="F802">
        <v>0</v>
      </c>
      <c r="G802">
        <v>0</v>
      </c>
      <c r="H802">
        <v>0</v>
      </c>
      <c r="I802">
        <v>1</v>
      </c>
      <c r="J802">
        <v>0</v>
      </c>
      <c r="K802">
        <v>0</v>
      </c>
      <c r="L802">
        <v>0</v>
      </c>
      <c r="M802">
        <v>1</v>
      </c>
    </row>
    <row r="803" spans="1:13" x14ac:dyDescent="0.3">
      <c r="A803">
        <v>7.3145528323240798</v>
      </c>
      <c r="B803">
        <v>3.6891294228691436</v>
      </c>
      <c r="C803">
        <v>49</v>
      </c>
      <c r="D803">
        <v>6</v>
      </c>
      <c r="E803">
        <v>0</v>
      </c>
      <c r="F803">
        <v>0</v>
      </c>
      <c r="G803">
        <v>0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1</v>
      </c>
    </row>
    <row r="804" spans="1:13" x14ac:dyDescent="0.3">
      <c r="A804">
        <v>7.3105501585344221</v>
      </c>
      <c r="B804">
        <v>3.9122229854308124</v>
      </c>
      <c r="C804">
        <v>74</v>
      </c>
      <c r="D804">
        <v>7.5</v>
      </c>
      <c r="E804">
        <v>0</v>
      </c>
      <c r="F804">
        <v>0</v>
      </c>
      <c r="G804">
        <v>0</v>
      </c>
      <c r="H804">
        <v>0</v>
      </c>
      <c r="I804">
        <v>1</v>
      </c>
      <c r="J804">
        <v>0</v>
      </c>
      <c r="K804">
        <v>1</v>
      </c>
      <c r="L804">
        <v>0</v>
      </c>
      <c r="M804">
        <v>0</v>
      </c>
    </row>
    <row r="805" spans="1:13" x14ac:dyDescent="0.3">
      <c r="A805">
        <v>7.3092123656927628</v>
      </c>
      <c r="B805">
        <v>5.273050839300149</v>
      </c>
      <c r="C805">
        <v>62</v>
      </c>
      <c r="D805">
        <v>7.5</v>
      </c>
      <c r="E805">
        <v>0</v>
      </c>
      <c r="F805">
        <v>0</v>
      </c>
      <c r="G805">
        <v>0</v>
      </c>
      <c r="H805">
        <v>1</v>
      </c>
      <c r="I805">
        <v>0</v>
      </c>
      <c r="J805">
        <v>0</v>
      </c>
      <c r="K805">
        <v>0</v>
      </c>
      <c r="L805">
        <v>0</v>
      </c>
      <c r="M805">
        <v>1</v>
      </c>
    </row>
    <row r="806" spans="1:13" x14ac:dyDescent="0.3">
      <c r="A806">
        <v>7.2984451015081468</v>
      </c>
      <c r="B806">
        <v>3.4015306594522756</v>
      </c>
      <c r="C806">
        <v>83</v>
      </c>
      <c r="D806">
        <v>5</v>
      </c>
      <c r="E806">
        <v>0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1</v>
      </c>
      <c r="M806">
        <v>0</v>
      </c>
    </row>
    <row r="807" spans="1:13" x14ac:dyDescent="0.3">
      <c r="A807">
        <v>7.2977682825313801</v>
      </c>
      <c r="B807">
        <v>3.6891294228691436</v>
      </c>
      <c r="C807">
        <v>27</v>
      </c>
      <c r="D807">
        <v>6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1</v>
      </c>
      <c r="K807">
        <v>0</v>
      </c>
      <c r="L807">
        <v>1</v>
      </c>
      <c r="M807">
        <v>0</v>
      </c>
    </row>
    <row r="808" spans="1:13" x14ac:dyDescent="0.3">
      <c r="A808">
        <v>7.2970910051604179</v>
      </c>
      <c r="B808">
        <v>2.996232148595642</v>
      </c>
      <c r="C808">
        <v>8</v>
      </c>
      <c r="D808">
        <v>0.65</v>
      </c>
      <c r="E808">
        <v>0</v>
      </c>
      <c r="F808">
        <v>0</v>
      </c>
      <c r="G808">
        <v>0</v>
      </c>
      <c r="H808">
        <v>0</v>
      </c>
      <c r="I808">
        <v>1</v>
      </c>
      <c r="J808">
        <v>0</v>
      </c>
      <c r="K808">
        <v>0</v>
      </c>
      <c r="L808">
        <v>0</v>
      </c>
      <c r="M808">
        <v>1</v>
      </c>
    </row>
    <row r="809" spans="1:13" x14ac:dyDescent="0.3">
      <c r="A809">
        <v>7.2943772992888212</v>
      </c>
      <c r="B809">
        <v>5.273050839300149</v>
      </c>
      <c r="C809">
        <v>110</v>
      </c>
      <c r="D809">
        <v>13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1</v>
      </c>
    </row>
    <row r="810" spans="1:13" x14ac:dyDescent="0.3">
      <c r="A810">
        <v>7.2923371761738771</v>
      </c>
      <c r="B810">
        <v>3.6891294228691436</v>
      </c>
      <c r="C810">
        <v>120</v>
      </c>
      <c r="D810">
        <v>19</v>
      </c>
      <c r="E810">
        <v>0</v>
      </c>
      <c r="F810">
        <v>0</v>
      </c>
      <c r="G810">
        <v>0</v>
      </c>
      <c r="H810">
        <v>0</v>
      </c>
      <c r="I810">
        <v>1</v>
      </c>
      <c r="J810">
        <v>0</v>
      </c>
      <c r="K810">
        <v>0</v>
      </c>
      <c r="L810">
        <v>0</v>
      </c>
      <c r="M810">
        <v>1</v>
      </c>
    </row>
    <row r="811" spans="1:13" x14ac:dyDescent="0.3">
      <c r="A811">
        <v>7.2916562091744606</v>
      </c>
      <c r="B811">
        <v>3.6891294228691436</v>
      </c>
      <c r="C811">
        <v>18</v>
      </c>
      <c r="D811">
        <v>2.5</v>
      </c>
      <c r="E811">
        <v>0</v>
      </c>
      <c r="F811">
        <v>0</v>
      </c>
      <c r="G811">
        <v>0</v>
      </c>
      <c r="H811">
        <v>1</v>
      </c>
      <c r="I811">
        <v>0</v>
      </c>
      <c r="J811">
        <v>0</v>
      </c>
      <c r="K811">
        <v>0</v>
      </c>
      <c r="L811">
        <v>0</v>
      </c>
      <c r="M811">
        <v>1</v>
      </c>
    </row>
    <row r="812" spans="1:13" x14ac:dyDescent="0.3">
      <c r="A812">
        <v>7.2882444010201244</v>
      </c>
      <c r="B812">
        <v>2.996232148595642</v>
      </c>
      <c r="C812">
        <v>24</v>
      </c>
      <c r="D812">
        <v>1</v>
      </c>
      <c r="E812">
        <v>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1</v>
      </c>
      <c r="L812">
        <v>0</v>
      </c>
      <c r="M812">
        <v>0</v>
      </c>
    </row>
    <row r="813" spans="1:13" x14ac:dyDescent="0.3">
      <c r="A813">
        <v>7.2820736580934646</v>
      </c>
      <c r="B813">
        <v>3.4015306594522756</v>
      </c>
      <c r="C813">
        <v>12</v>
      </c>
      <c r="D813">
        <v>0.5</v>
      </c>
      <c r="E813">
        <v>0</v>
      </c>
      <c r="F813">
        <v>0</v>
      </c>
      <c r="G813">
        <v>0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1</v>
      </c>
    </row>
    <row r="814" spans="1:13" x14ac:dyDescent="0.3">
      <c r="A814">
        <v>7.2779385729456614</v>
      </c>
      <c r="B814">
        <v>5.2983673652980787</v>
      </c>
      <c r="C814">
        <v>48</v>
      </c>
      <c r="D814">
        <v>7.5</v>
      </c>
      <c r="E814">
        <v>0</v>
      </c>
      <c r="F814">
        <v>0</v>
      </c>
      <c r="G814">
        <v>0</v>
      </c>
      <c r="H814">
        <v>1</v>
      </c>
      <c r="I814">
        <v>0</v>
      </c>
      <c r="J814">
        <v>0</v>
      </c>
      <c r="K814">
        <v>1</v>
      </c>
      <c r="L814">
        <v>0</v>
      </c>
      <c r="M814">
        <v>0</v>
      </c>
    </row>
    <row r="815" spans="1:13" x14ac:dyDescent="0.3">
      <c r="A815">
        <v>7.2772477266314839</v>
      </c>
      <c r="B815">
        <v>2.996232148595642</v>
      </c>
      <c r="C815">
        <v>7</v>
      </c>
      <c r="D815">
        <v>0.66666667000000002</v>
      </c>
      <c r="E815">
        <v>0</v>
      </c>
      <c r="F815">
        <v>0</v>
      </c>
      <c r="G815">
        <v>0</v>
      </c>
      <c r="H815">
        <v>1</v>
      </c>
      <c r="I815">
        <v>0</v>
      </c>
      <c r="J815">
        <v>0</v>
      </c>
      <c r="K815">
        <v>1</v>
      </c>
      <c r="L815">
        <v>0</v>
      </c>
      <c r="M815">
        <v>0</v>
      </c>
    </row>
    <row r="816" spans="1:13" x14ac:dyDescent="0.3">
      <c r="A816">
        <v>7.2737863178448947</v>
      </c>
      <c r="B816">
        <v>2.996232148595642</v>
      </c>
      <c r="C816">
        <v>25</v>
      </c>
      <c r="D816">
        <v>2</v>
      </c>
      <c r="E816">
        <v>0</v>
      </c>
      <c r="F816">
        <v>0</v>
      </c>
      <c r="G816">
        <v>0</v>
      </c>
      <c r="H816">
        <v>1</v>
      </c>
      <c r="I816">
        <v>0</v>
      </c>
      <c r="J816">
        <v>0</v>
      </c>
      <c r="K816">
        <v>0</v>
      </c>
      <c r="L816">
        <v>0</v>
      </c>
      <c r="M816">
        <v>1</v>
      </c>
    </row>
    <row r="817" spans="1:13" x14ac:dyDescent="0.3">
      <c r="A817">
        <v>7.2717037068873678</v>
      </c>
      <c r="B817">
        <v>3.9122229854308124</v>
      </c>
      <c r="C817">
        <v>77</v>
      </c>
      <c r="D817">
        <v>13</v>
      </c>
      <c r="E817">
        <v>0</v>
      </c>
      <c r="F817">
        <v>0</v>
      </c>
      <c r="G817">
        <v>0</v>
      </c>
      <c r="H817">
        <v>0</v>
      </c>
      <c r="I817">
        <v>1</v>
      </c>
      <c r="J817">
        <v>0</v>
      </c>
      <c r="K817">
        <v>1</v>
      </c>
      <c r="L817">
        <v>0</v>
      </c>
      <c r="M817">
        <v>0</v>
      </c>
    </row>
    <row r="818" spans="1:13" x14ac:dyDescent="0.3">
      <c r="A818">
        <v>7.2703128860790249</v>
      </c>
      <c r="B818">
        <v>4.5539821492186583</v>
      </c>
      <c r="C818">
        <v>20</v>
      </c>
      <c r="D818">
        <v>1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1</v>
      </c>
      <c r="K818">
        <v>0</v>
      </c>
      <c r="L818">
        <v>1</v>
      </c>
      <c r="M818">
        <v>0</v>
      </c>
    </row>
    <row r="819" spans="1:13" x14ac:dyDescent="0.3">
      <c r="A819">
        <v>7.267525427828172</v>
      </c>
      <c r="B819">
        <v>3.6891294228691436</v>
      </c>
      <c r="C819">
        <v>34</v>
      </c>
      <c r="D819">
        <v>5.5</v>
      </c>
      <c r="E819">
        <v>0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1</v>
      </c>
      <c r="L819">
        <v>0</v>
      </c>
      <c r="M819">
        <v>0</v>
      </c>
    </row>
    <row r="820" spans="1:13" x14ac:dyDescent="0.3">
      <c r="A820">
        <v>7.2640301428995295</v>
      </c>
      <c r="B820">
        <v>2.996232148595642</v>
      </c>
      <c r="C820">
        <v>32</v>
      </c>
      <c r="D820">
        <v>3</v>
      </c>
      <c r="E820">
        <v>0</v>
      </c>
      <c r="F820">
        <v>0</v>
      </c>
      <c r="G820">
        <v>0</v>
      </c>
      <c r="H820">
        <v>1</v>
      </c>
      <c r="I820">
        <v>0</v>
      </c>
      <c r="J820">
        <v>0</v>
      </c>
      <c r="K820">
        <v>0</v>
      </c>
      <c r="L820">
        <v>0</v>
      </c>
      <c r="M820">
        <v>1</v>
      </c>
    </row>
    <row r="821" spans="1:13" x14ac:dyDescent="0.3">
      <c r="A821">
        <v>7.2619270927027513</v>
      </c>
      <c r="B821">
        <v>4.7005712707513441</v>
      </c>
      <c r="C821">
        <v>34</v>
      </c>
      <c r="D821">
        <v>5.5</v>
      </c>
      <c r="E821">
        <v>0</v>
      </c>
      <c r="F821">
        <v>0</v>
      </c>
      <c r="G821">
        <v>0</v>
      </c>
      <c r="H821">
        <v>0</v>
      </c>
      <c r="I821">
        <v>1</v>
      </c>
      <c r="J821">
        <v>0</v>
      </c>
      <c r="K821">
        <v>0</v>
      </c>
      <c r="L821">
        <v>0</v>
      </c>
      <c r="M821">
        <v>1</v>
      </c>
    </row>
    <row r="822" spans="1:13" x14ac:dyDescent="0.3">
      <c r="A822">
        <v>7.2591161280971006</v>
      </c>
      <c r="B822">
        <v>2.996232148595642</v>
      </c>
      <c r="C822">
        <v>36</v>
      </c>
      <c r="D822">
        <v>4</v>
      </c>
      <c r="E822">
        <v>0</v>
      </c>
      <c r="F822">
        <v>0</v>
      </c>
      <c r="G822">
        <v>0</v>
      </c>
      <c r="H822">
        <v>1</v>
      </c>
      <c r="I822">
        <v>0</v>
      </c>
      <c r="J822">
        <v>0</v>
      </c>
      <c r="K822">
        <v>1</v>
      </c>
      <c r="L822">
        <v>0</v>
      </c>
      <c r="M822">
        <v>0</v>
      </c>
    </row>
    <row r="823" spans="1:13" x14ac:dyDescent="0.3">
      <c r="A823">
        <v>7.2584121505953068</v>
      </c>
      <c r="B823">
        <v>5.2983673652980787</v>
      </c>
      <c r="C823">
        <v>152</v>
      </c>
      <c r="D823">
        <v>5.5</v>
      </c>
      <c r="E823">
        <v>0</v>
      </c>
      <c r="F823">
        <v>0</v>
      </c>
      <c r="G823">
        <v>0</v>
      </c>
      <c r="H823">
        <v>0</v>
      </c>
      <c r="I823">
        <v>1</v>
      </c>
      <c r="J823">
        <v>0</v>
      </c>
      <c r="K823">
        <v>0</v>
      </c>
      <c r="L823">
        <v>0</v>
      </c>
      <c r="M823">
        <v>1</v>
      </c>
    </row>
    <row r="824" spans="1:13" x14ac:dyDescent="0.3">
      <c r="A824">
        <v>7.2577076771600426</v>
      </c>
      <c r="B824">
        <v>4.0945112150014218</v>
      </c>
      <c r="C824">
        <v>20</v>
      </c>
      <c r="D824">
        <v>1.5</v>
      </c>
      <c r="E824">
        <v>0</v>
      </c>
      <c r="F824">
        <v>0</v>
      </c>
      <c r="G824">
        <v>1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</row>
    <row r="825" spans="1:13" x14ac:dyDescent="0.3">
      <c r="A825">
        <v>7.2548848100773382</v>
      </c>
      <c r="B825">
        <v>5.2983673652980787</v>
      </c>
      <c r="C825">
        <v>23</v>
      </c>
      <c r="D825">
        <v>1.5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0</v>
      </c>
      <c r="L825">
        <v>0</v>
      </c>
      <c r="M825">
        <v>1</v>
      </c>
    </row>
    <row r="826" spans="1:13" x14ac:dyDescent="0.3">
      <c r="A826">
        <v>7.2541778464565176</v>
      </c>
      <c r="B826">
        <v>5.0107019585407988</v>
      </c>
      <c r="C826">
        <v>22</v>
      </c>
      <c r="D826">
        <v>2.5</v>
      </c>
      <c r="E826">
        <v>0</v>
      </c>
      <c r="F826">
        <v>0</v>
      </c>
      <c r="G826">
        <v>0</v>
      </c>
      <c r="H826">
        <v>1</v>
      </c>
      <c r="I826">
        <v>0</v>
      </c>
      <c r="J826">
        <v>0</v>
      </c>
      <c r="K826">
        <v>0</v>
      </c>
      <c r="L826">
        <v>0</v>
      </c>
      <c r="M826">
        <v>1</v>
      </c>
    </row>
    <row r="827" spans="1:13" x14ac:dyDescent="0.3">
      <c r="A827">
        <v>7.2513449833722143</v>
      </c>
      <c r="B827">
        <v>4.6052701809884251</v>
      </c>
      <c r="C827">
        <v>67</v>
      </c>
      <c r="D827">
        <v>5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0</v>
      </c>
      <c r="K827">
        <v>0</v>
      </c>
      <c r="L827">
        <v>1</v>
      </c>
      <c r="M827">
        <v>0</v>
      </c>
    </row>
    <row r="828" spans="1:13" x14ac:dyDescent="0.3">
      <c r="A828">
        <v>7.2492150571143892</v>
      </c>
      <c r="B828">
        <v>4.7450190811044903</v>
      </c>
      <c r="C828">
        <v>69</v>
      </c>
      <c r="D828">
        <v>7</v>
      </c>
      <c r="E828">
        <v>0</v>
      </c>
      <c r="F828">
        <v>0</v>
      </c>
      <c r="G828">
        <v>0</v>
      </c>
      <c r="H828">
        <v>1</v>
      </c>
      <c r="I828">
        <v>0</v>
      </c>
      <c r="J828">
        <v>0</v>
      </c>
      <c r="K828">
        <v>0</v>
      </c>
      <c r="L828">
        <v>0</v>
      </c>
      <c r="M828">
        <v>1</v>
      </c>
    </row>
    <row r="829" spans="1:13" x14ac:dyDescent="0.3">
      <c r="A829">
        <v>7.2485040723706105</v>
      </c>
      <c r="B829">
        <v>3.2192757448895279</v>
      </c>
      <c r="C829">
        <v>20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0</v>
      </c>
      <c r="K829">
        <v>1</v>
      </c>
      <c r="L829">
        <v>0</v>
      </c>
      <c r="M829">
        <v>0</v>
      </c>
    </row>
    <row r="830" spans="1:13" x14ac:dyDescent="0.3">
      <c r="A830">
        <v>7.2470805845857562</v>
      </c>
      <c r="B830">
        <v>2.996232148595642</v>
      </c>
      <c r="C830">
        <v>17</v>
      </c>
      <c r="D830">
        <v>2.5</v>
      </c>
      <c r="E830">
        <v>0</v>
      </c>
      <c r="F830">
        <v>0</v>
      </c>
      <c r="G830">
        <v>1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1</v>
      </c>
    </row>
    <row r="831" spans="1:13" x14ac:dyDescent="0.3">
      <c r="A831">
        <v>7.2435129746654816</v>
      </c>
      <c r="B831">
        <v>5.0107019585407988</v>
      </c>
      <c r="C831">
        <v>89</v>
      </c>
      <c r="D831">
        <v>8.5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</row>
    <row r="832" spans="1:13" x14ac:dyDescent="0.3">
      <c r="A832">
        <v>7.2392149737798057</v>
      </c>
      <c r="B832">
        <v>2.996232148595642</v>
      </c>
      <c r="C832">
        <v>9</v>
      </c>
      <c r="D832">
        <v>0.51666666999999999</v>
      </c>
      <c r="E832">
        <v>0</v>
      </c>
      <c r="F832">
        <v>0</v>
      </c>
      <c r="G832">
        <v>1</v>
      </c>
      <c r="H832">
        <v>0</v>
      </c>
      <c r="I832">
        <v>0</v>
      </c>
      <c r="J832">
        <v>0</v>
      </c>
      <c r="K832">
        <v>1</v>
      </c>
      <c r="L832">
        <v>0</v>
      </c>
      <c r="M832">
        <v>0</v>
      </c>
    </row>
    <row r="833" spans="1:13" x14ac:dyDescent="0.3">
      <c r="A833">
        <v>7.2356191410667501</v>
      </c>
      <c r="B833">
        <v>4.5539821492186583</v>
      </c>
      <c r="C833">
        <v>58</v>
      </c>
      <c r="D833">
        <v>7</v>
      </c>
      <c r="E833">
        <v>0</v>
      </c>
      <c r="F833">
        <v>0</v>
      </c>
      <c r="G833">
        <v>0</v>
      </c>
      <c r="H833">
        <v>1</v>
      </c>
      <c r="I833">
        <v>0</v>
      </c>
      <c r="J833">
        <v>0</v>
      </c>
      <c r="K833">
        <v>0</v>
      </c>
      <c r="L833">
        <v>0</v>
      </c>
      <c r="M833">
        <v>1</v>
      </c>
    </row>
    <row r="834" spans="1:13" x14ac:dyDescent="0.3">
      <c r="A834">
        <v>7.2341771797498486</v>
      </c>
      <c r="B834">
        <v>3.9122229854308124</v>
      </c>
      <c r="C834">
        <v>28</v>
      </c>
      <c r="D834">
        <v>3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1</v>
      </c>
      <c r="L834">
        <v>0</v>
      </c>
      <c r="M834">
        <v>0</v>
      </c>
    </row>
    <row r="835" spans="1:13" x14ac:dyDescent="0.3">
      <c r="A835">
        <v>7.233455418621439</v>
      </c>
      <c r="B835">
        <v>4.6052701809884251</v>
      </c>
      <c r="C835">
        <v>97</v>
      </c>
      <c r="D835">
        <v>11</v>
      </c>
      <c r="E835">
        <v>0</v>
      </c>
      <c r="F835">
        <v>0</v>
      </c>
      <c r="G835">
        <v>0</v>
      </c>
      <c r="H835">
        <v>1</v>
      </c>
      <c r="I835">
        <v>0</v>
      </c>
      <c r="J835">
        <v>0</v>
      </c>
      <c r="K835">
        <v>1</v>
      </c>
      <c r="L835">
        <v>0</v>
      </c>
      <c r="M835">
        <v>0</v>
      </c>
    </row>
    <row r="836" spans="1:13" x14ac:dyDescent="0.3">
      <c r="A836">
        <v>7.233455418621439</v>
      </c>
      <c r="B836">
        <v>4.6052701809884251</v>
      </c>
      <c r="C836">
        <v>83</v>
      </c>
      <c r="D836">
        <v>5</v>
      </c>
      <c r="E836">
        <v>0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0</v>
      </c>
      <c r="L836">
        <v>1</v>
      </c>
      <c r="M836">
        <v>0</v>
      </c>
    </row>
    <row r="837" spans="1:13" x14ac:dyDescent="0.3">
      <c r="A837">
        <v>7.2232956795623142</v>
      </c>
      <c r="B837">
        <v>5.273050839300149</v>
      </c>
      <c r="C837">
        <v>83</v>
      </c>
      <c r="D837">
        <v>20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1</v>
      </c>
      <c r="K837">
        <v>0</v>
      </c>
      <c r="L837">
        <v>0</v>
      </c>
      <c r="M837">
        <v>1</v>
      </c>
    </row>
    <row r="838" spans="1:13" x14ac:dyDescent="0.3">
      <c r="A838">
        <v>7.2203738367239492</v>
      </c>
      <c r="B838">
        <v>4.8283937341024714</v>
      </c>
      <c r="C838">
        <v>58</v>
      </c>
      <c r="D838">
        <v>6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1</v>
      </c>
      <c r="K838">
        <v>0</v>
      </c>
      <c r="L838">
        <v>1</v>
      </c>
      <c r="M838">
        <v>0</v>
      </c>
    </row>
    <row r="839" spans="1:13" x14ac:dyDescent="0.3">
      <c r="A839">
        <v>7.2115567333138015</v>
      </c>
      <c r="B839">
        <v>3.6891294228691436</v>
      </c>
      <c r="C839">
        <v>27</v>
      </c>
      <c r="D839">
        <v>3.5</v>
      </c>
      <c r="E839">
        <v>0</v>
      </c>
      <c r="F839">
        <v>0</v>
      </c>
      <c r="G839">
        <v>0</v>
      </c>
      <c r="H839">
        <v>1</v>
      </c>
      <c r="I839">
        <v>0</v>
      </c>
      <c r="J839">
        <v>0</v>
      </c>
      <c r="K839">
        <v>0</v>
      </c>
      <c r="L839">
        <v>0</v>
      </c>
      <c r="M839">
        <v>1</v>
      </c>
    </row>
    <row r="840" spans="1:13" x14ac:dyDescent="0.3">
      <c r="A840">
        <v>7.2115567333138015</v>
      </c>
      <c r="B840">
        <v>3.4015306594522756</v>
      </c>
      <c r="C840">
        <v>29</v>
      </c>
      <c r="D840">
        <v>3.5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1</v>
      </c>
    </row>
    <row r="841" spans="1:13" x14ac:dyDescent="0.3">
      <c r="A841">
        <v>7.2100796281707877</v>
      </c>
      <c r="B841">
        <v>5.2983673652980787</v>
      </c>
      <c r="C841">
        <v>320</v>
      </c>
      <c r="D841">
        <v>23.5</v>
      </c>
      <c r="E841">
        <v>0</v>
      </c>
      <c r="F841">
        <v>0</v>
      </c>
      <c r="G841">
        <v>0</v>
      </c>
      <c r="H841">
        <v>0</v>
      </c>
      <c r="I841">
        <v>1</v>
      </c>
      <c r="J841">
        <v>0</v>
      </c>
      <c r="K841">
        <v>1</v>
      </c>
      <c r="L841">
        <v>0</v>
      </c>
      <c r="M841">
        <v>0</v>
      </c>
    </row>
    <row r="842" spans="1:13" x14ac:dyDescent="0.3">
      <c r="A842">
        <v>7.2048925102046733</v>
      </c>
      <c r="B842">
        <v>4.7450190811044903</v>
      </c>
      <c r="C842">
        <v>32</v>
      </c>
      <c r="D842">
        <v>3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1</v>
      </c>
      <c r="L842">
        <v>0</v>
      </c>
      <c r="M842">
        <v>0</v>
      </c>
    </row>
    <row r="843" spans="1:13" x14ac:dyDescent="0.3">
      <c r="A843">
        <v>7.2026611965232377</v>
      </c>
      <c r="B843">
        <v>4.0945112150014218</v>
      </c>
      <c r="C843">
        <v>22</v>
      </c>
      <c r="D843">
        <v>3.5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1</v>
      </c>
      <c r="K843">
        <v>1</v>
      </c>
      <c r="L843">
        <v>0</v>
      </c>
      <c r="M843">
        <v>0</v>
      </c>
    </row>
    <row r="844" spans="1:13" x14ac:dyDescent="0.3">
      <c r="A844">
        <v>7.1996783456911722</v>
      </c>
      <c r="B844">
        <v>3.9122229854308124</v>
      </c>
      <c r="C844">
        <v>18</v>
      </c>
      <c r="D844">
        <v>2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1</v>
      </c>
      <c r="K844">
        <v>1</v>
      </c>
      <c r="L844">
        <v>0</v>
      </c>
      <c r="M844">
        <v>0</v>
      </c>
    </row>
    <row r="845" spans="1:13" x14ac:dyDescent="0.3">
      <c r="A845">
        <v>7.1981835771019433</v>
      </c>
      <c r="B845">
        <v>3.9122229854308124</v>
      </c>
      <c r="C845">
        <v>12</v>
      </c>
      <c r="D845">
        <v>1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1</v>
      </c>
      <c r="K845">
        <v>1</v>
      </c>
      <c r="L845">
        <v>0</v>
      </c>
      <c r="M845">
        <v>0</v>
      </c>
    </row>
    <row r="846" spans="1:13" x14ac:dyDescent="0.3">
      <c r="A846">
        <v>7.1869010204116313</v>
      </c>
      <c r="B846">
        <v>3.9122229854308124</v>
      </c>
      <c r="C846">
        <v>37</v>
      </c>
      <c r="D846">
        <v>3.5</v>
      </c>
      <c r="E846">
        <v>0</v>
      </c>
      <c r="F846">
        <v>0</v>
      </c>
      <c r="G846">
        <v>0</v>
      </c>
      <c r="H846">
        <v>0</v>
      </c>
      <c r="I846">
        <v>1</v>
      </c>
      <c r="J846">
        <v>0</v>
      </c>
      <c r="K846">
        <v>1</v>
      </c>
      <c r="L846">
        <v>0</v>
      </c>
      <c r="M846">
        <v>0</v>
      </c>
    </row>
    <row r="847" spans="1:13" x14ac:dyDescent="0.3">
      <c r="A847">
        <v>7.1869010204116313</v>
      </c>
      <c r="B847">
        <v>4.3176214379815452</v>
      </c>
      <c r="C847">
        <v>27</v>
      </c>
      <c r="D847">
        <v>3</v>
      </c>
      <c r="E847">
        <v>0</v>
      </c>
      <c r="F847">
        <v>0</v>
      </c>
      <c r="G847">
        <v>0</v>
      </c>
      <c r="H847">
        <v>1</v>
      </c>
      <c r="I847">
        <v>0</v>
      </c>
      <c r="J847">
        <v>0</v>
      </c>
      <c r="K847">
        <v>1</v>
      </c>
      <c r="L847">
        <v>0</v>
      </c>
      <c r="M847">
        <v>0</v>
      </c>
    </row>
    <row r="848" spans="1:13" x14ac:dyDescent="0.3">
      <c r="A848">
        <v>7.1838707150624526</v>
      </c>
      <c r="B848">
        <v>2.996232148595642</v>
      </c>
      <c r="C848">
        <v>55</v>
      </c>
      <c r="D848">
        <v>7</v>
      </c>
      <c r="E848">
        <v>0</v>
      </c>
      <c r="F848">
        <v>0</v>
      </c>
      <c r="G848">
        <v>0</v>
      </c>
      <c r="H848">
        <v>1</v>
      </c>
      <c r="I848">
        <v>0</v>
      </c>
      <c r="J848">
        <v>0</v>
      </c>
      <c r="K848">
        <v>1</v>
      </c>
      <c r="L848">
        <v>0</v>
      </c>
      <c r="M848">
        <v>0</v>
      </c>
    </row>
    <row r="849" spans="1:13" x14ac:dyDescent="0.3">
      <c r="A849">
        <v>7.1838707150624526</v>
      </c>
      <c r="B849">
        <v>4.8283937341024714</v>
      </c>
      <c r="C849">
        <v>51</v>
      </c>
      <c r="D849">
        <v>4.5</v>
      </c>
      <c r="E849">
        <v>0</v>
      </c>
      <c r="F849">
        <v>0</v>
      </c>
      <c r="G849">
        <v>0</v>
      </c>
      <c r="H849">
        <v>1</v>
      </c>
      <c r="I849">
        <v>0</v>
      </c>
      <c r="J849">
        <v>0</v>
      </c>
      <c r="K849">
        <v>0</v>
      </c>
      <c r="L849">
        <v>0</v>
      </c>
      <c r="M849">
        <v>1</v>
      </c>
    </row>
    <row r="850" spans="1:13" x14ac:dyDescent="0.3">
      <c r="A850">
        <v>7.1823521118852627</v>
      </c>
      <c r="B850">
        <v>3.2192757448895279</v>
      </c>
      <c r="C850">
        <v>45</v>
      </c>
      <c r="D850">
        <v>5</v>
      </c>
      <c r="E850">
        <v>0</v>
      </c>
      <c r="F850">
        <v>0</v>
      </c>
      <c r="G850">
        <v>0</v>
      </c>
      <c r="H850">
        <v>1</v>
      </c>
      <c r="I850">
        <v>0</v>
      </c>
      <c r="J850">
        <v>0</v>
      </c>
      <c r="K850">
        <v>0</v>
      </c>
      <c r="L850">
        <v>0</v>
      </c>
      <c r="M850">
        <v>0</v>
      </c>
    </row>
    <row r="851" spans="1:13" x14ac:dyDescent="0.3">
      <c r="A851">
        <v>7.180069874302796</v>
      </c>
      <c r="B851">
        <v>4.0945112150014218</v>
      </c>
      <c r="C851">
        <v>62</v>
      </c>
      <c r="D851">
        <v>11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1</v>
      </c>
      <c r="L851">
        <v>0</v>
      </c>
      <c r="M851">
        <v>0</v>
      </c>
    </row>
    <row r="852" spans="1:13" x14ac:dyDescent="0.3">
      <c r="A852">
        <v>7.179307969504034</v>
      </c>
      <c r="B852">
        <v>2.996232148595642</v>
      </c>
      <c r="C852">
        <v>11</v>
      </c>
      <c r="D852">
        <v>1</v>
      </c>
      <c r="E852">
        <v>0</v>
      </c>
      <c r="F852">
        <v>0</v>
      </c>
      <c r="G852">
        <v>0</v>
      </c>
      <c r="H852">
        <v>1</v>
      </c>
      <c r="I852">
        <v>0</v>
      </c>
      <c r="J852">
        <v>0</v>
      </c>
      <c r="K852">
        <v>0</v>
      </c>
      <c r="L852">
        <v>0</v>
      </c>
      <c r="M852">
        <v>1</v>
      </c>
    </row>
    <row r="853" spans="1:13" x14ac:dyDescent="0.3">
      <c r="A853">
        <v>7.1770187659099003</v>
      </c>
      <c r="B853">
        <v>3.2192757448895279</v>
      </c>
      <c r="C853">
        <v>14</v>
      </c>
      <c r="D853">
        <v>1.5</v>
      </c>
      <c r="E853">
        <v>0</v>
      </c>
      <c r="F853">
        <v>0</v>
      </c>
      <c r="G853">
        <v>0</v>
      </c>
      <c r="H853">
        <v>1</v>
      </c>
      <c r="I853">
        <v>0</v>
      </c>
      <c r="J853">
        <v>0</v>
      </c>
      <c r="K853">
        <v>0</v>
      </c>
      <c r="L853">
        <v>0</v>
      </c>
      <c r="M853">
        <v>1</v>
      </c>
    </row>
    <row r="854" spans="1:13" x14ac:dyDescent="0.3">
      <c r="A854">
        <v>7.1770187659099003</v>
      </c>
      <c r="B854">
        <v>3.5556337349665741</v>
      </c>
      <c r="C854">
        <v>43</v>
      </c>
      <c r="D854">
        <v>5</v>
      </c>
      <c r="E854">
        <v>0</v>
      </c>
      <c r="F854">
        <v>0</v>
      </c>
      <c r="G854">
        <v>0</v>
      </c>
      <c r="H854">
        <v>1</v>
      </c>
      <c r="I854">
        <v>0</v>
      </c>
      <c r="J854">
        <v>0</v>
      </c>
      <c r="K854">
        <v>1</v>
      </c>
      <c r="L854">
        <v>0</v>
      </c>
      <c r="M854">
        <v>0</v>
      </c>
    </row>
    <row r="855" spans="1:13" x14ac:dyDescent="0.3">
      <c r="A855">
        <v>7.1739583197567942</v>
      </c>
      <c r="B855">
        <v>3.2192757448895279</v>
      </c>
      <c r="C855">
        <v>16</v>
      </c>
      <c r="D855">
        <v>1.5</v>
      </c>
      <c r="E855">
        <v>0</v>
      </c>
      <c r="F855">
        <v>0</v>
      </c>
      <c r="G855">
        <v>0</v>
      </c>
      <c r="H855">
        <v>1</v>
      </c>
      <c r="I855">
        <v>0</v>
      </c>
      <c r="J855">
        <v>0</v>
      </c>
      <c r="K855">
        <v>1</v>
      </c>
      <c r="L855">
        <v>0</v>
      </c>
      <c r="M855">
        <v>0</v>
      </c>
    </row>
    <row r="856" spans="1:13" x14ac:dyDescent="0.3">
      <c r="A856">
        <v>7.1739583197567942</v>
      </c>
      <c r="B856">
        <v>3.4015306594522756</v>
      </c>
      <c r="C856">
        <v>8</v>
      </c>
      <c r="D856">
        <v>0.56666667000000004</v>
      </c>
      <c r="E856">
        <v>0</v>
      </c>
      <c r="F856">
        <v>0</v>
      </c>
      <c r="G856">
        <v>0</v>
      </c>
      <c r="H856">
        <v>0</v>
      </c>
      <c r="I856">
        <v>1</v>
      </c>
      <c r="J856">
        <v>0</v>
      </c>
      <c r="K856">
        <v>0</v>
      </c>
      <c r="L856">
        <v>0</v>
      </c>
      <c r="M856">
        <v>1</v>
      </c>
    </row>
    <row r="857" spans="1:13" x14ac:dyDescent="0.3">
      <c r="A857">
        <v>7.1716568227685142</v>
      </c>
      <c r="B857">
        <v>4.7875750726433504</v>
      </c>
      <c r="C857">
        <v>22</v>
      </c>
      <c r="D857">
        <v>1.5</v>
      </c>
      <c r="E857">
        <v>0</v>
      </c>
      <c r="F857">
        <v>0</v>
      </c>
      <c r="G857">
        <v>0</v>
      </c>
      <c r="H857">
        <v>0</v>
      </c>
      <c r="I857">
        <v>1</v>
      </c>
      <c r="J857">
        <v>0</v>
      </c>
      <c r="K857">
        <v>1</v>
      </c>
      <c r="L857">
        <v>0</v>
      </c>
      <c r="M857">
        <v>0</v>
      </c>
    </row>
    <row r="858" spans="1:13" x14ac:dyDescent="0.3">
      <c r="A858">
        <v>7.1708884785125049</v>
      </c>
      <c r="B858">
        <v>5.0107019585407988</v>
      </c>
      <c r="C858">
        <v>80</v>
      </c>
      <c r="D858">
        <v>7.5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1</v>
      </c>
      <c r="K858">
        <v>0</v>
      </c>
      <c r="L858">
        <v>0</v>
      </c>
      <c r="M858">
        <v>1</v>
      </c>
    </row>
    <row r="859" spans="1:13" x14ac:dyDescent="0.3">
      <c r="A859">
        <v>7.1693500166705997</v>
      </c>
      <c r="B859">
        <v>4.7875750726433504</v>
      </c>
      <c r="C859">
        <v>71</v>
      </c>
      <c r="D859">
        <v>14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1</v>
      </c>
    </row>
    <row r="860" spans="1:13" x14ac:dyDescent="0.3">
      <c r="A860">
        <v>7.1693500166705997</v>
      </c>
      <c r="B860">
        <v>2.996232148595642</v>
      </c>
      <c r="C860">
        <v>23</v>
      </c>
      <c r="D860">
        <v>1</v>
      </c>
      <c r="E860">
        <v>0</v>
      </c>
      <c r="F860">
        <v>0</v>
      </c>
      <c r="G860">
        <v>0</v>
      </c>
      <c r="H860">
        <v>1</v>
      </c>
      <c r="I860">
        <v>0</v>
      </c>
      <c r="J860">
        <v>0</v>
      </c>
      <c r="K860">
        <v>0</v>
      </c>
      <c r="L860">
        <v>0</v>
      </c>
      <c r="M860">
        <v>1</v>
      </c>
    </row>
    <row r="861" spans="1:13" x14ac:dyDescent="0.3">
      <c r="A861">
        <v>7.1670378769122198</v>
      </c>
      <c r="B861">
        <v>5.2983673652980787</v>
      </c>
      <c r="C861">
        <v>72</v>
      </c>
      <c r="D861">
        <v>5.5</v>
      </c>
      <c r="E861">
        <v>0</v>
      </c>
      <c r="F861">
        <v>0</v>
      </c>
      <c r="G861">
        <v>0</v>
      </c>
      <c r="H861">
        <v>0</v>
      </c>
      <c r="I861">
        <v>1</v>
      </c>
      <c r="J861">
        <v>0</v>
      </c>
      <c r="K861">
        <v>0</v>
      </c>
      <c r="L861">
        <v>1</v>
      </c>
      <c r="M861">
        <v>0</v>
      </c>
    </row>
    <row r="862" spans="1:13" x14ac:dyDescent="0.3">
      <c r="A862">
        <v>7.1654934750608454</v>
      </c>
      <c r="B862">
        <v>2.996232148595642</v>
      </c>
      <c r="C862">
        <v>15</v>
      </c>
      <c r="D862">
        <v>1</v>
      </c>
      <c r="E862">
        <v>0</v>
      </c>
      <c r="F862">
        <v>0</v>
      </c>
      <c r="G862">
        <v>1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</v>
      </c>
    </row>
    <row r="863" spans="1:13" x14ac:dyDescent="0.3">
      <c r="A863">
        <v>7.1639466843425472</v>
      </c>
      <c r="B863">
        <v>2.996232148595642</v>
      </c>
      <c r="C863">
        <v>12</v>
      </c>
      <c r="D863">
        <v>2</v>
      </c>
      <c r="E863">
        <v>0</v>
      </c>
      <c r="F863">
        <v>0</v>
      </c>
      <c r="G863">
        <v>0</v>
      </c>
      <c r="H863">
        <v>0</v>
      </c>
      <c r="I863">
        <v>1</v>
      </c>
      <c r="J863">
        <v>0</v>
      </c>
      <c r="K863">
        <v>0</v>
      </c>
      <c r="L863">
        <v>1</v>
      </c>
      <c r="M863">
        <v>0</v>
      </c>
    </row>
    <row r="864" spans="1:13" x14ac:dyDescent="0.3">
      <c r="A864">
        <v>7.1577354842499066</v>
      </c>
      <c r="B864">
        <v>5.2983673652980787</v>
      </c>
      <c r="C864">
        <v>30</v>
      </c>
      <c r="D864">
        <v>1.5</v>
      </c>
      <c r="E864">
        <v>0</v>
      </c>
      <c r="F864">
        <v>0</v>
      </c>
      <c r="G864">
        <v>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</row>
    <row r="865" spans="1:13" x14ac:dyDescent="0.3">
      <c r="A865">
        <v>7.1577354842499066</v>
      </c>
      <c r="B865">
        <v>5.2983673652980787</v>
      </c>
      <c r="C865">
        <v>301</v>
      </c>
      <c r="D865">
        <v>25.5</v>
      </c>
      <c r="E865">
        <v>0</v>
      </c>
      <c r="F865">
        <v>0</v>
      </c>
      <c r="G865">
        <v>0</v>
      </c>
      <c r="H865">
        <v>1</v>
      </c>
      <c r="I865">
        <v>0</v>
      </c>
      <c r="J865">
        <v>0</v>
      </c>
      <c r="K865">
        <v>0</v>
      </c>
      <c r="L865">
        <v>0</v>
      </c>
      <c r="M865">
        <v>1</v>
      </c>
    </row>
    <row r="866" spans="1:13" x14ac:dyDescent="0.3">
      <c r="A866">
        <v>7.1561766374806153</v>
      </c>
      <c r="B866">
        <v>3.9122229854308124</v>
      </c>
      <c r="C866">
        <v>12</v>
      </c>
      <c r="D866">
        <v>1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1</v>
      </c>
      <c r="L866">
        <v>0</v>
      </c>
      <c r="M866">
        <v>0</v>
      </c>
    </row>
    <row r="867" spans="1:13" x14ac:dyDescent="0.3">
      <c r="A867">
        <v>7.1514854639047352</v>
      </c>
      <c r="B867">
        <v>5.2983673652980787</v>
      </c>
      <c r="C867">
        <v>271</v>
      </c>
      <c r="D867">
        <v>22.5</v>
      </c>
      <c r="E867">
        <v>0</v>
      </c>
      <c r="F867">
        <v>0</v>
      </c>
      <c r="G867">
        <v>0</v>
      </c>
      <c r="H867">
        <v>1</v>
      </c>
      <c r="I867">
        <v>0</v>
      </c>
      <c r="J867">
        <v>0</v>
      </c>
      <c r="K867">
        <v>0</v>
      </c>
      <c r="L867">
        <v>0</v>
      </c>
      <c r="M867">
        <v>1</v>
      </c>
    </row>
    <row r="868" spans="1:13" x14ac:dyDescent="0.3">
      <c r="A868">
        <v>7.1507014575925263</v>
      </c>
      <c r="B868">
        <v>3.6891294228691436</v>
      </c>
      <c r="C868">
        <v>18</v>
      </c>
      <c r="D868">
        <v>1</v>
      </c>
      <c r="E868">
        <v>0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1</v>
      </c>
    </row>
    <row r="869" spans="1:13" x14ac:dyDescent="0.3">
      <c r="A869">
        <v>7.1499168361321086</v>
      </c>
      <c r="B869">
        <v>3.9122229854308124</v>
      </c>
      <c r="C869">
        <v>15</v>
      </c>
      <c r="D869">
        <v>0.66666667000000002</v>
      </c>
      <c r="E869">
        <v>0</v>
      </c>
      <c r="F869">
        <v>0</v>
      </c>
      <c r="G869">
        <v>0</v>
      </c>
      <c r="H869">
        <v>0</v>
      </c>
      <c r="I869">
        <v>1</v>
      </c>
      <c r="J869">
        <v>0</v>
      </c>
      <c r="K869">
        <v>0</v>
      </c>
      <c r="L869">
        <v>0</v>
      </c>
      <c r="M869">
        <v>1</v>
      </c>
    </row>
    <row r="870" spans="1:13" x14ac:dyDescent="0.3">
      <c r="A870">
        <v>7.1483457439000677</v>
      </c>
      <c r="B870">
        <v>3.4015306594522756</v>
      </c>
      <c r="C870">
        <v>29</v>
      </c>
      <c r="D870">
        <v>5</v>
      </c>
      <c r="E870">
        <v>0</v>
      </c>
      <c r="F870">
        <v>0</v>
      </c>
      <c r="G870">
        <v>1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</row>
    <row r="871" spans="1:13" x14ac:dyDescent="0.3">
      <c r="A871">
        <v>7.1475592711894542</v>
      </c>
      <c r="B871">
        <v>3.9122229854308124</v>
      </c>
      <c r="C871">
        <v>110</v>
      </c>
      <c r="D871">
        <v>7.5</v>
      </c>
      <c r="E871">
        <v>0</v>
      </c>
      <c r="F871">
        <v>0</v>
      </c>
      <c r="G871">
        <v>1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1</v>
      </c>
    </row>
    <row r="872" spans="1:13" x14ac:dyDescent="0.3">
      <c r="A872">
        <v>7.1467721794526371</v>
      </c>
      <c r="B872">
        <v>5.2983673652980787</v>
      </c>
      <c r="C872">
        <v>73</v>
      </c>
      <c r="D872">
        <v>7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1</v>
      </c>
      <c r="K872">
        <v>0</v>
      </c>
      <c r="L872">
        <v>0</v>
      </c>
      <c r="M872">
        <v>1</v>
      </c>
    </row>
    <row r="873" spans="1:13" x14ac:dyDescent="0.3">
      <c r="A873">
        <v>7.1436176027041212</v>
      </c>
      <c r="B873">
        <v>3.9122229854308124</v>
      </c>
      <c r="C873">
        <v>50</v>
      </c>
      <c r="D873">
        <v>3</v>
      </c>
      <c r="E873">
        <v>0</v>
      </c>
      <c r="F873">
        <v>1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0</v>
      </c>
    </row>
    <row r="874" spans="1:13" x14ac:dyDescent="0.3">
      <c r="A874">
        <v>7.1436176027041212</v>
      </c>
      <c r="B874">
        <v>5.2983673652980787</v>
      </c>
      <c r="C874">
        <v>21</v>
      </c>
      <c r="D874">
        <v>2</v>
      </c>
      <c r="E874">
        <v>0</v>
      </c>
      <c r="F874">
        <v>0</v>
      </c>
      <c r="G874">
        <v>0</v>
      </c>
      <c r="H874">
        <v>1</v>
      </c>
      <c r="I874">
        <v>0</v>
      </c>
      <c r="J874">
        <v>0</v>
      </c>
      <c r="K874">
        <v>0</v>
      </c>
      <c r="L874">
        <v>0</v>
      </c>
      <c r="M874">
        <v>1</v>
      </c>
    </row>
    <row r="875" spans="1:13" x14ac:dyDescent="0.3">
      <c r="A875">
        <v>7.1404530431011581</v>
      </c>
      <c r="B875">
        <v>4.6540555837179021</v>
      </c>
      <c r="C875">
        <v>40</v>
      </c>
      <c r="D875">
        <v>2.5</v>
      </c>
      <c r="E875">
        <v>0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1</v>
      </c>
      <c r="M875">
        <v>0</v>
      </c>
    </row>
    <row r="876" spans="1:13" x14ac:dyDescent="0.3">
      <c r="A876">
        <v>7.1292975489293733</v>
      </c>
      <c r="B876">
        <v>3.9122229854308124</v>
      </c>
      <c r="C876">
        <v>18</v>
      </c>
      <c r="D876">
        <v>1.5</v>
      </c>
      <c r="E876">
        <v>0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1</v>
      </c>
    </row>
    <row r="877" spans="1:13" x14ac:dyDescent="0.3">
      <c r="A877">
        <v>7.1236727852046071</v>
      </c>
      <c r="B877">
        <v>3.5556337349665741</v>
      </c>
      <c r="C877">
        <v>9</v>
      </c>
      <c r="D877">
        <v>0.56666667000000004</v>
      </c>
      <c r="E877">
        <v>0</v>
      </c>
      <c r="F877">
        <v>0</v>
      </c>
      <c r="G877">
        <v>0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1</v>
      </c>
    </row>
    <row r="878" spans="1:13" x14ac:dyDescent="0.3">
      <c r="A878">
        <v>7.1204443723924875</v>
      </c>
      <c r="B878">
        <v>3.8068846873048412</v>
      </c>
      <c r="C878">
        <v>14</v>
      </c>
      <c r="D878">
        <v>1</v>
      </c>
      <c r="E878">
        <v>0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1</v>
      </c>
      <c r="M878">
        <v>0</v>
      </c>
    </row>
    <row r="879" spans="1:13" x14ac:dyDescent="0.3">
      <c r="A879">
        <v>7.1196356380176358</v>
      </c>
      <c r="B879">
        <v>4.3821516268620329</v>
      </c>
      <c r="C879">
        <v>14</v>
      </c>
      <c r="D879">
        <v>0.5</v>
      </c>
      <c r="E879">
        <v>0</v>
      </c>
      <c r="F879">
        <v>0</v>
      </c>
      <c r="G879">
        <v>0</v>
      </c>
      <c r="H879">
        <v>1</v>
      </c>
      <c r="I879">
        <v>0</v>
      </c>
      <c r="J879">
        <v>0</v>
      </c>
      <c r="K879">
        <v>0</v>
      </c>
      <c r="L879">
        <v>1</v>
      </c>
      <c r="M879">
        <v>0</v>
      </c>
    </row>
    <row r="880" spans="1:13" x14ac:dyDescent="0.3">
      <c r="A880">
        <v>7.1188262490620779</v>
      </c>
      <c r="B880">
        <v>2.996232148595642</v>
      </c>
      <c r="C880">
        <v>7</v>
      </c>
      <c r="D880">
        <v>0.63333333000000003</v>
      </c>
      <c r="E880">
        <v>0</v>
      </c>
      <c r="F880">
        <v>0</v>
      </c>
      <c r="G880">
        <v>0</v>
      </c>
      <c r="H880">
        <v>0</v>
      </c>
      <c r="I880">
        <v>1</v>
      </c>
      <c r="J880">
        <v>0</v>
      </c>
      <c r="K880">
        <v>1</v>
      </c>
      <c r="L880">
        <v>0</v>
      </c>
      <c r="M880">
        <v>0</v>
      </c>
    </row>
    <row r="881" spans="1:13" x14ac:dyDescent="0.3">
      <c r="A881">
        <v>7.1139561095660344</v>
      </c>
      <c r="B881">
        <v>5.0107019585407988</v>
      </c>
      <c r="C881">
        <v>108</v>
      </c>
      <c r="D881">
        <v>7.5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1</v>
      </c>
      <c r="L881">
        <v>0</v>
      </c>
      <c r="M881">
        <v>0</v>
      </c>
    </row>
    <row r="882" spans="1:13" x14ac:dyDescent="0.3">
      <c r="A882">
        <v>7.1066061377273027</v>
      </c>
      <c r="B882">
        <v>5.2983673652980787</v>
      </c>
      <c r="C882">
        <v>16</v>
      </c>
      <c r="D882">
        <v>0.56666667000000004</v>
      </c>
      <c r="E882">
        <v>0</v>
      </c>
      <c r="F882">
        <v>0</v>
      </c>
      <c r="G882">
        <v>0</v>
      </c>
      <c r="H882">
        <v>1</v>
      </c>
      <c r="I882">
        <v>0</v>
      </c>
      <c r="J882">
        <v>0</v>
      </c>
      <c r="K882">
        <v>1</v>
      </c>
      <c r="L882">
        <v>0</v>
      </c>
      <c r="M882">
        <v>0</v>
      </c>
    </row>
    <row r="883" spans="1:13" x14ac:dyDescent="0.3">
      <c r="A883">
        <v>7.1033220625261126</v>
      </c>
      <c r="B883">
        <v>3.9122229854308124</v>
      </c>
      <c r="C883">
        <v>28</v>
      </c>
      <c r="D883">
        <v>3</v>
      </c>
      <c r="E883">
        <v>0</v>
      </c>
      <c r="F883">
        <v>0</v>
      </c>
      <c r="G883">
        <v>0</v>
      </c>
      <c r="H883">
        <v>0</v>
      </c>
      <c r="I883">
        <v>1</v>
      </c>
      <c r="J883">
        <v>0</v>
      </c>
      <c r="K883">
        <v>0</v>
      </c>
      <c r="L883">
        <v>0</v>
      </c>
      <c r="M883">
        <v>1</v>
      </c>
    </row>
    <row r="884" spans="1:13" x14ac:dyDescent="0.3">
      <c r="A884">
        <v>7.1024993557746487</v>
      </c>
      <c r="B884">
        <v>5.2983673652980787</v>
      </c>
      <c r="C884">
        <v>33</v>
      </c>
      <c r="D884">
        <v>2.5</v>
      </c>
      <c r="E884">
        <v>0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</v>
      </c>
    </row>
    <row r="885" spans="1:13" x14ac:dyDescent="0.3">
      <c r="A885">
        <v>7.1000271666292596</v>
      </c>
      <c r="B885">
        <v>4.5539821492186583</v>
      </c>
      <c r="C885">
        <v>39</v>
      </c>
      <c r="D885">
        <v>4.5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1</v>
      </c>
      <c r="K885">
        <v>1</v>
      </c>
      <c r="L885">
        <v>0</v>
      </c>
      <c r="M885">
        <v>0</v>
      </c>
    </row>
    <row r="886" spans="1:13" x14ac:dyDescent="0.3">
      <c r="A886">
        <v>7.0975488506147926</v>
      </c>
      <c r="B886">
        <v>3.2192757448895279</v>
      </c>
      <c r="C886">
        <v>62</v>
      </c>
      <c r="D886">
        <v>4.5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1</v>
      </c>
    </row>
    <row r="887" spans="1:13" x14ac:dyDescent="0.3">
      <c r="A887">
        <v>7.0975488506147926</v>
      </c>
      <c r="B887">
        <v>2.996232148595642</v>
      </c>
      <c r="C887">
        <v>21</v>
      </c>
      <c r="D887">
        <v>1.5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1</v>
      </c>
    </row>
    <row r="888" spans="1:13" x14ac:dyDescent="0.3">
      <c r="A888">
        <v>7.0842264220979159</v>
      </c>
      <c r="B888">
        <v>4.6052701809884251</v>
      </c>
      <c r="C888">
        <v>58</v>
      </c>
      <c r="D888">
        <v>10.5</v>
      </c>
      <c r="E888">
        <v>0</v>
      </c>
      <c r="F888">
        <v>0</v>
      </c>
      <c r="G888">
        <v>0</v>
      </c>
      <c r="H888">
        <v>1</v>
      </c>
      <c r="I888">
        <v>0</v>
      </c>
      <c r="J888">
        <v>0</v>
      </c>
      <c r="K888">
        <v>0</v>
      </c>
      <c r="L888">
        <v>0</v>
      </c>
      <c r="M888">
        <v>1</v>
      </c>
    </row>
    <row r="889" spans="1:13" x14ac:dyDescent="0.3">
      <c r="A889">
        <v>7.0783415795576712</v>
      </c>
      <c r="B889">
        <v>2.996232148595642</v>
      </c>
      <c r="C889">
        <v>7</v>
      </c>
      <c r="D889">
        <v>0.56666667000000004</v>
      </c>
      <c r="E889">
        <v>0</v>
      </c>
      <c r="F889">
        <v>0</v>
      </c>
      <c r="G889">
        <v>0</v>
      </c>
      <c r="H889">
        <v>0</v>
      </c>
      <c r="I889">
        <v>1</v>
      </c>
      <c r="J889">
        <v>0</v>
      </c>
      <c r="K889">
        <v>0</v>
      </c>
      <c r="L889">
        <v>0</v>
      </c>
      <c r="M889">
        <v>1</v>
      </c>
    </row>
    <row r="890" spans="1:13" x14ac:dyDescent="0.3">
      <c r="A890">
        <v>7.0783415795576712</v>
      </c>
      <c r="B890">
        <v>4.007514986887367</v>
      </c>
      <c r="C890">
        <v>9</v>
      </c>
      <c r="D890">
        <v>0.66666667000000002</v>
      </c>
      <c r="E890">
        <v>0</v>
      </c>
      <c r="F890">
        <v>0</v>
      </c>
      <c r="G890">
        <v>0</v>
      </c>
      <c r="H890">
        <v>1</v>
      </c>
      <c r="I890">
        <v>0</v>
      </c>
      <c r="J890">
        <v>0</v>
      </c>
      <c r="K890">
        <v>0</v>
      </c>
      <c r="L890">
        <v>1</v>
      </c>
      <c r="M890">
        <v>0</v>
      </c>
    </row>
    <row r="891" spans="1:13" x14ac:dyDescent="0.3">
      <c r="A891">
        <v>7.063903961472068</v>
      </c>
      <c r="B891">
        <v>2.996232148595642</v>
      </c>
      <c r="C891">
        <v>64</v>
      </c>
      <c r="D891">
        <v>7.5</v>
      </c>
      <c r="E891">
        <v>0</v>
      </c>
      <c r="F891">
        <v>0</v>
      </c>
      <c r="G891">
        <v>0</v>
      </c>
      <c r="H891">
        <v>1</v>
      </c>
      <c r="I891">
        <v>0</v>
      </c>
      <c r="J891">
        <v>0</v>
      </c>
      <c r="K891">
        <v>0</v>
      </c>
      <c r="L891">
        <v>0</v>
      </c>
      <c r="M891">
        <v>1</v>
      </c>
    </row>
    <row r="892" spans="1:13" x14ac:dyDescent="0.3">
      <c r="A892">
        <v>7.0535857271936768</v>
      </c>
      <c r="B892">
        <v>4.0945112150014218</v>
      </c>
      <c r="C892">
        <v>31</v>
      </c>
      <c r="D892">
        <v>3</v>
      </c>
      <c r="E892">
        <v>0</v>
      </c>
      <c r="F892">
        <v>0</v>
      </c>
      <c r="G892">
        <v>0</v>
      </c>
      <c r="H892">
        <v>1</v>
      </c>
      <c r="I892">
        <v>0</v>
      </c>
      <c r="J892">
        <v>0</v>
      </c>
      <c r="K892">
        <v>0</v>
      </c>
      <c r="L892">
        <v>0</v>
      </c>
      <c r="M892">
        <v>1</v>
      </c>
    </row>
    <row r="893" spans="1:13" x14ac:dyDescent="0.3">
      <c r="A893">
        <v>7.0527210492323231</v>
      </c>
      <c r="B893">
        <v>4.4427688966292678</v>
      </c>
      <c r="C893">
        <v>28</v>
      </c>
      <c r="D893">
        <v>2.5</v>
      </c>
      <c r="E893">
        <v>0</v>
      </c>
      <c r="F893">
        <v>0</v>
      </c>
      <c r="G893">
        <v>0</v>
      </c>
      <c r="H893">
        <v>1</v>
      </c>
      <c r="I893">
        <v>0</v>
      </c>
      <c r="J893">
        <v>0</v>
      </c>
      <c r="K893">
        <v>0</v>
      </c>
      <c r="L893">
        <v>0</v>
      </c>
      <c r="M893">
        <v>1</v>
      </c>
    </row>
    <row r="894" spans="1:13" x14ac:dyDescent="0.3">
      <c r="A894">
        <v>7.0527210492323231</v>
      </c>
      <c r="B894">
        <v>3.5556337349665741</v>
      </c>
      <c r="C894">
        <v>59</v>
      </c>
      <c r="D894">
        <v>5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1</v>
      </c>
      <c r="K894">
        <v>1</v>
      </c>
      <c r="L894">
        <v>0</v>
      </c>
      <c r="M894">
        <v>0</v>
      </c>
    </row>
    <row r="895" spans="1:13" x14ac:dyDescent="0.3">
      <c r="A895">
        <v>7.0509894470680452</v>
      </c>
      <c r="B895">
        <v>2.996232148595642</v>
      </c>
      <c r="C895">
        <v>71</v>
      </c>
      <c r="D895">
        <v>6</v>
      </c>
      <c r="E895">
        <v>0</v>
      </c>
      <c r="F895">
        <v>0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0</v>
      </c>
      <c r="M895">
        <v>1</v>
      </c>
    </row>
    <row r="896" spans="1:13" x14ac:dyDescent="0.3">
      <c r="A896">
        <v>7.0509894470680452</v>
      </c>
      <c r="B896">
        <v>3.4015306594522756</v>
      </c>
      <c r="C896">
        <v>9</v>
      </c>
      <c r="D896">
        <v>3</v>
      </c>
      <c r="E896">
        <v>0</v>
      </c>
      <c r="F896">
        <v>1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1</v>
      </c>
    </row>
    <row r="897" spans="1:13" x14ac:dyDescent="0.3">
      <c r="A897">
        <v>7.0492548412558369</v>
      </c>
      <c r="B897">
        <v>3.6891294228691436</v>
      </c>
      <c r="C897">
        <v>14</v>
      </c>
      <c r="D897">
        <v>1</v>
      </c>
      <c r="E897">
        <v>0</v>
      </c>
      <c r="F897">
        <v>0</v>
      </c>
      <c r="G897">
        <v>0</v>
      </c>
      <c r="H897">
        <v>0</v>
      </c>
      <c r="I897">
        <v>1</v>
      </c>
      <c r="J897">
        <v>0</v>
      </c>
      <c r="K897">
        <v>0</v>
      </c>
      <c r="L897">
        <v>0</v>
      </c>
      <c r="M897">
        <v>1</v>
      </c>
    </row>
    <row r="898" spans="1:13" x14ac:dyDescent="0.3">
      <c r="A898">
        <v>7.0449051171293711</v>
      </c>
      <c r="B898">
        <v>3.9122229854308124</v>
      </c>
      <c r="C898">
        <v>19</v>
      </c>
      <c r="D898">
        <v>2.5</v>
      </c>
      <c r="E898">
        <v>0</v>
      </c>
      <c r="F898">
        <v>0</v>
      </c>
      <c r="G898">
        <v>0</v>
      </c>
      <c r="H898">
        <v>0</v>
      </c>
      <c r="I898">
        <v>1</v>
      </c>
      <c r="J898">
        <v>0</v>
      </c>
      <c r="K898">
        <v>0</v>
      </c>
      <c r="L898">
        <v>0</v>
      </c>
      <c r="M898">
        <v>1</v>
      </c>
    </row>
    <row r="899" spans="1:13" x14ac:dyDescent="0.3">
      <c r="A899">
        <v>7.0414116637948103</v>
      </c>
      <c r="B899">
        <v>3.2192757448895279</v>
      </c>
      <c r="C899">
        <v>13</v>
      </c>
      <c r="D899">
        <v>1</v>
      </c>
      <c r="E899">
        <v>0</v>
      </c>
      <c r="F899">
        <v>0</v>
      </c>
      <c r="G899">
        <v>0</v>
      </c>
      <c r="H899">
        <v>1</v>
      </c>
      <c r="I899">
        <v>0</v>
      </c>
      <c r="J899">
        <v>0</v>
      </c>
      <c r="K899">
        <v>1</v>
      </c>
      <c r="L899">
        <v>0</v>
      </c>
      <c r="M899">
        <v>0</v>
      </c>
    </row>
    <row r="900" spans="1:13" x14ac:dyDescent="0.3">
      <c r="A900">
        <v>7.0405363902159559</v>
      </c>
      <c r="B900">
        <v>4.4427688966292678</v>
      </c>
      <c r="C900">
        <v>90</v>
      </c>
      <c r="D900">
        <v>5</v>
      </c>
      <c r="E900">
        <v>0</v>
      </c>
      <c r="F900">
        <v>0</v>
      </c>
      <c r="G900">
        <v>0</v>
      </c>
      <c r="H900">
        <v>1</v>
      </c>
      <c r="I900">
        <v>0</v>
      </c>
      <c r="J900">
        <v>0</v>
      </c>
      <c r="K900">
        <v>0</v>
      </c>
      <c r="L900">
        <v>0</v>
      </c>
      <c r="M900">
        <v>1</v>
      </c>
    </row>
    <row r="901" spans="1:13" x14ac:dyDescent="0.3">
      <c r="A901">
        <v>7.0335064842876971</v>
      </c>
      <c r="B901">
        <v>4.5539821492186583</v>
      </c>
      <c r="C901">
        <v>24</v>
      </c>
      <c r="D901">
        <v>1.5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</row>
    <row r="902" spans="1:13" x14ac:dyDescent="0.3">
      <c r="A902">
        <v>7.0299729117063858</v>
      </c>
      <c r="B902">
        <v>5.2983673652980787</v>
      </c>
      <c r="C902">
        <v>66</v>
      </c>
      <c r="D902">
        <v>6</v>
      </c>
      <c r="E902">
        <v>0</v>
      </c>
      <c r="F902">
        <v>0</v>
      </c>
      <c r="G902">
        <v>0</v>
      </c>
      <c r="H902">
        <v>0</v>
      </c>
      <c r="I902">
        <v>1</v>
      </c>
      <c r="J902">
        <v>0</v>
      </c>
      <c r="K902">
        <v>0</v>
      </c>
      <c r="L902">
        <v>0</v>
      </c>
      <c r="M902">
        <v>1</v>
      </c>
    </row>
    <row r="903" spans="1:13" x14ac:dyDescent="0.3">
      <c r="A903">
        <v>7.0290875641496617</v>
      </c>
      <c r="B903">
        <v>3.9122229854308124</v>
      </c>
      <c r="C903">
        <v>77</v>
      </c>
      <c r="D903">
        <v>17.5</v>
      </c>
      <c r="E903">
        <v>0</v>
      </c>
      <c r="F903">
        <v>0</v>
      </c>
      <c r="G903">
        <v>0</v>
      </c>
      <c r="H903">
        <v>0</v>
      </c>
      <c r="I903">
        <v>1</v>
      </c>
      <c r="J903">
        <v>0</v>
      </c>
      <c r="K903">
        <v>0</v>
      </c>
      <c r="L903">
        <v>0</v>
      </c>
      <c r="M903">
        <v>1</v>
      </c>
    </row>
    <row r="904" spans="1:13" x14ac:dyDescent="0.3">
      <c r="A904">
        <v>7.0282014320580046</v>
      </c>
      <c r="B904">
        <v>2.996232148595642</v>
      </c>
      <c r="C904">
        <v>36</v>
      </c>
      <c r="D904">
        <v>2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0</v>
      </c>
    </row>
    <row r="905" spans="1:13" x14ac:dyDescent="0.3">
      <c r="A905">
        <v>7.026426808699636</v>
      </c>
      <c r="B905">
        <v>2.996232148595642</v>
      </c>
      <c r="C905">
        <v>12</v>
      </c>
      <c r="D905">
        <v>1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1</v>
      </c>
      <c r="M905">
        <v>0</v>
      </c>
    </row>
    <row r="906" spans="1:13" x14ac:dyDescent="0.3">
      <c r="A906">
        <v>7.0255383146385206</v>
      </c>
      <c r="B906">
        <v>3.9122229854308124</v>
      </c>
      <c r="C906">
        <v>45</v>
      </c>
      <c r="D906">
        <v>3.5</v>
      </c>
      <c r="E906">
        <v>0</v>
      </c>
      <c r="F906">
        <v>0</v>
      </c>
      <c r="G906">
        <v>0</v>
      </c>
      <c r="H906">
        <v>0</v>
      </c>
      <c r="I906">
        <v>1</v>
      </c>
      <c r="J906">
        <v>0</v>
      </c>
      <c r="K906">
        <v>1</v>
      </c>
      <c r="L906">
        <v>0</v>
      </c>
      <c r="M906">
        <v>0</v>
      </c>
    </row>
    <row r="907" spans="1:13" x14ac:dyDescent="0.3">
      <c r="A907">
        <v>7.0228680860826413</v>
      </c>
      <c r="B907">
        <v>3.6891294228691436</v>
      </c>
      <c r="C907">
        <v>7</v>
      </c>
      <c r="D907">
        <v>0.58333332999999998</v>
      </c>
      <c r="E907">
        <v>0</v>
      </c>
      <c r="F907">
        <v>0</v>
      </c>
      <c r="G907">
        <v>0</v>
      </c>
      <c r="H907">
        <v>0</v>
      </c>
      <c r="I907">
        <v>1</v>
      </c>
      <c r="J907">
        <v>0</v>
      </c>
      <c r="K907">
        <v>0</v>
      </c>
      <c r="L907">
        <v>1</v>
      </c>
      <c r="M907">
        <v>0</v>
      </c>
    </row>
    <row r="908" spans="1:13" x14ac:dyDescent="0.3">
      <c r="A908">
        <v>7.02197642307216</v>
      </c>
      <c r="B908">
        <v>5.273050839300149</v>
      </c>
      <c r="C908">
        <v>62</v>
      </c>
      <c r="D908">
        <v>5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1</v>
      </c>
      <c r="K908">
        <v>1</v>
      </c>
      <c r="L908">
        <v>0</v>
      </c>
      <c r="M908">
        <v>0</v>
      </c>
    </row>
    <row r="909" spans="1:13" x14ac:dyDescent="0.3">
      <c r="A909">
        <v>7.020190708311925</v>
      </c>
      <c r="B909">
        <v>5.2983673652980787</v>
      </c>
      <c r="C909">
        <v>204</v>
      </c>
      <c r="D909">
        <v>16.5</v>
      </c>
      <c r="E909">
        <v>0</v>
      </c>
      <c r="F909">
        <v>0</v>
      </c>
      <c r="G909">
        <v>0</v>
      </c>
      <c r="H909">
        <v>0</v>
      </c>
      <c r="I909">
        <v>1</v>
      </c>
      <c r="J909">
        <v>0</v>
      </c>
      <c r="K909">
        <v>1</v>
      </c>
      <c r="L909">
        <v>0</v>
      </c>
      <c r="M909">
        <v>0</v>
      </c>
    </row>
    <row r="910" spans="1:13" x14ac:dyDescent="0.3">
      <c r="A910">
        <v>7.0184017990692009</v>
      </c>
      <c r="B910">
        <v>5.2983673652980787</v>
      </c>
      <c r="C910">
        <v>37</v>
      </c>
      <c r="D910">
        <v>2.5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1</v>
      </c>
      <c r="K910">
        <v>1</v>
      </c>
      <c r="L910">
        <v>0</v>
      </c>
      <c r="M910">
        <v>0</v>
      </c>
    </row>
    <row r="911" spans="1:13" x14ac:dyDescent="0.3">
      <c r="A911">
        <v>7.0175061429412562</v>
      </c>
      <c r="B911">
        <v>3.9122229854308124</v>
      </c>
      <c r="C911">
        <v>51</v>
      </c>
      <c r="D911">
        <v>7.5</v>
      </c>
      <c r="E911">
        <v>0</v>
      </c>
      <c r="F911">
        <v>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0</v>
      </c>
    </row>
    <row r="912" spans="1:13" x14ac:dyDescent="0.3">
      <c r="A912">
        <v>7.0157124204872297</v>
      </c>
      <c r="B912">
        <v>3.9122229854308124</v>
      </c>
      <c r="C912">
        <v>23</v>
      </c>
      <c r="D912">
        <v>3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1</v>
      </c>
      <c r="K912">
        <v>0</v>
      </c>
      <c r="L912">
        <v>0</v>
      </c>
      <c r="M912">
        <v>1</v>
      </c>
    </row>
    <row r="913" spans="1:13" x14ac:dyDescent="0.3">
      <c r="A913">
        <v>7.0112139873503674</v>
      </c>
      <c r="B913">
        <v>5.2983673652980787</v>
      </c>
      <c r="C913">
        <v>24</v>
      </c>
      <c r="D913">
        <v>2.5</v>
      </c>
      <c r="E913">
        <v>0</v>
      </c>
      <c r="F913">
        <v>0</v>
      </c>
      <c r="G913">
        <v>0</v>
      </c>
      <c r="H913">
        <v>0</v>
      </c>
      <c r="I913">
        <v>1</v>
      </c>
      <c r="J913">
        <v>0</v>
      </c>
      <c r="K913">
        <v>0</v>
      </c>
      <c r="L913">
        <v>0</v>
      </c>
      <c r="M913">
        <v>1</v>
      </c>
    </row>
    <row r="914" spans="1:13" x14ac:dyDescent="0.3">
      <c r="A914">
        <v>7.0048819897128594</v>
      </c>
      <c r="B914">
        <v>5.273050839300149</v>
      </c>
      <c r="C914">
        <v>21</v>
      </c>
      <c r="D914">
        <v>2</v>
      </c>
      <c r="E914">
        <v>0</v>
      </c>
      <c r="F914">
        <v>0</v>
      </c>
      <c r="G914">
        <v>0</v>
      </c>
      <c r="H914">
        <v>0</v>
      </c>
      <c r="I914">
        <v>1</v>
      </c>
      <c r="J914">
        <v>0</v>
      </c>
      <c r="K914">
        <v>0</v>
      </c>
      <c r="L914">
        <v>0</v>
      </c>
      <c r="M914">
        <v>1</v>
      </c>
    </row>
    <row r="915" spans="1:13" x14ac:dyDescent="0.3">
      <c r="A915">
        <v>7.0012456220694759</v>
      </c>
      <c r="B915">
        <v>2.996232148595642</v>
      </c>
      <c r="C915">
        <v>54</v>
      </c>
      <c r="D915">
        <v>2.5</v>
      </c>
      <c r="E915">
        <v>0</v>
      </c>
      <c r="F915">
        <v>0</v>
      </c>
      <c r="G915">
        <v>0</v>
      </c>
      <c r="H915">
        <v>1</v>
      </c>
      <c r="I915">
        <v>0</v>
      </c>
      <c r="J915">
        <v>0</v>
      </c>
      <c r="K915">
        <v>1</v>
      </c>
      <c r="L915">
        <v>0</v>
      </c>
      <c r="M915">
        <v>0</v>
      </c>
    </row>
    <row r="916" spans="1:13" x14ac:dyDescent="0.3">
      <c r="A916">
        <v>6.9994224675079613</v>
      </c>
      <c r="B916">
        <v>3.9122229854308124</v>
      </c>
      <c r="C916">
        <v>10</v>
      </c>
      <c r="D916">
        <v>1</v>
      </c>
      <c r="E916">
        <v>0</v>
      </c>
      <c r="F916">
        <v>1</v>
      </c>
      <c r="G916">
        <v>0</v>
      </c>
      <c r="H916">
        <v>0</v>
      </c>
      <c r="I916">
        <v>0</v>
      </c>
      <c r="J916">
        <v>0</v>
      </c>
      <c r="K916">
        <v>1</v>
      </c>
      <c r="L916">
        <v>0</v>
      </c>
      <c r="M916">
        <v>0</v>
      </c>
    </row>
    <row r="917" spans="1:13" x14ac:dyDescent="0.3">
      <c r="A917">
        <v>6.9994224675079613</v>
      </c>
      <c r="B917">
        <v>4.4427688966292678</v>
      </c>
      <c r="C917">
        <v>7</v>
      </c>
      <c r="D917">
        <v>0.63333333000000003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1</v>
      </c>
      <c r="K917">
        <v>0</v>
      </c>
      <c r="L917">
        <v>0</v>
      </c>
      <c r="M917">
        <v>1</v>
      </c>
    </row>
    <row r="918" spans="1:13" x14ac:dyDescent="0.3">
      <c r="A918">
        <v>6.9911768871212097</v>
      </c>
      <c r="B918">
        <v>4.5539821492186583</v>
      </c>
      <c r="C918">
        <v>32</v>
      </c>
      <c r="D918">
        <v>3.5</v>
      </c>
      <c r="E918">
        <v>0</v>
      </c>
      <c r="F918">
        <v>0</v>
      </c>
      <c r="G918">
        <v>0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1</v>
      </c>
    </row>
    <row r="919" spans="1:13" x14ac:dyDescent="0.3">
      <c r="A919">
        <v>6.9911768871212097</v>
      </c>
      <c r="B919">
        <v>3.2192757448895279</v>
      </c>
      <c r="C919">
        <v>24</v>
      </c>
      <c r="D919">
        <v>1</v>
      </c>
      <c r="E919">
        <v>0</v>
      </c>
      <c r="F919">
        <v>0</v>
      </c>
      <c r="G919">
        <v>0</v>
      </c>
      <c r="H919">
        <v>1</v>
      </c>
      <c r="I919">
        <v>0</v>
      </c>
      <c r="J919">
        <v>0</v>
      </c>
      <c r="K919">
        <v>0</v>
      </c>
      <c r="L919">
        <v>0</v>
      </c>
      <c r="M919">
        <v>1</v>
      </c>
    </row>
    <row r="920" spans="1:13" x14ac:dyDescent="0.3">
      <c r="A920">
        <v>6.9893352659745602</v>
      </c>
      <c r="B920">
        <v>3.4015306594522756</v>
      </c>
      <c r="C920">
        <v>13</v>
      </c>
      <c r="D920">
        <v>0.53333333000000005</v>
      </c>
      <c r="E920">
        <v>0</v>
      </c>
      <c r="F920">
        <v>0</v>
      </c>
      <c r="G920">
        <v>0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1</v>
      </c>
    </row>
    <row r="921" spans="1:13" x14ac:dyDescent="0.3">
      <c r="A921">
        <v>6.9847163201182658</v>
      </c>
      <c r="B921">
        <v>5.2983673652980787</v>
      </c>
      <c r="C921">
        <v>76</v>
      </c>
      <c r="D921">
        <v>3.5</v>
      </c>
      <c r="E921">
        <v>0</v>
      </c>
      <c r="F921">
        <v>0</v>
      </c>
      <c r="G921">
        <v>0</v>
      </c>
      <c r="H921">
        <v>0</v>
      </c>
      <c r="I921">
        <v>1</v>
      </c>
      <c r="J921">
        <v>0</v>
      </c>
      <c r="K921">
        <v>1</v>
      </c>
      <c r="L921">
        <v>0</v>
      </c>
      <c r="M921">
        <v>0</v>
      </c>
    </row>
    <row r="922" spans="1:13" x14ac:dyDescent="0.3">
      <c r="A922">
        <v>6.9744789110250451</v>
      </c>
      <c r="B922">
        <v>5.2983673652980787</v>
      </c>
      <c r="C922">
        <v>61</v>
      </c>
      <c r="D922">
        <v>4.5</v>
      </c>
      <c r="E922">
        <v>0</v>
      </c>
      <c r="F922">
        <v>0</v>
      </c>
      <c r="G922">
        <v>0</v>
      </c>
      <c r="H922">
        <v>0</v>
      </c>
      <c r="I922">
        <v>1</v>
      </c>
      <c r="J922">
        <v>0</v>
      </c>
      <c r="K922">
        <v>1</v>
      </c>
      <c r="L922">
        <v>0</v>
      </c>
      <c r="M922">
        <v>0</v>
      </c>
    </row>
    <row r="923" spans="1:13" x14ac:dyDescent="0.3">
      <c r="A923">
        <v>6.9688503783419478</v>
      </c>
      <c r="B923">
        <v>2.996232148595642</v>
      </c>
      <c r="C923">
        <v>84</v>
      </c>
      <c r="D923">
        <v>5.5</v>
      </c>
      <c r="E923">
        <v>0</v>
      </c>
      <c r="F923">
        <v>0</v>
      </c>
      <c r="G923">
        <v>0</v>
      </c>
      <c r="H923">
        <v>1</v>
      </c>
      <c r="I923">
        <v>0</v>
      </c>
      <c r="J923">
        <v>0</v>
      </c>
      <c r="K923">
        <v>0</v>
      </c>
      <c r="L923">
        <v>0</v>
      </c>
      <c r="M923">
        <v>1</v>
      </c>
    </row>
    <row r="924" spans="1:13" x14ac:dyDescent="0.3">
      <c r="A924">
        <v>6.9688503783419478</v>
      </c>
      <c r="B924">
        <v>4.4427688966292678</v>
      </c>
      <c r="C924">
        <v>40</v>
      </c>
      <c r="D924">
        <v>3.5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0</v>
      </c>
      <c r="M924">
        <v>0</v>
      </c>
    </row>
    <row r="925" spans="1:13" x14ac:dyDescent="0.3">
      <c r="A925">
        <v>6.9679092018018842</v>
      </c>
      <c r="B925">
        <v>2.996232148595642</v>
      </c>
      <c r="C925">
        <v>32</v>
      </c>
      <c r="D925">
        <v>3.5</v>
      </c>
      <c r="E925">
        <v>0</v>
      </c>
      <c r="F925">
        <v>0</v>
      </c>
      <c r="G925">
        <v>0</v>
      </c>
      <c r="H925">
        <v>1</v>
      </c>
      <c r="I925">
        <v>0</v>
      </c>
      <c r="J925">
        <v>0</v>
      </c>
      <c r="K925">
        <v>1</v>
      </c>
      <c r="L925">
        <v>0</v>
      </c>
      <c r="M925">
        <v>0</v>
      </c>
    </row>
    <row r="926" spans="1:13" x14ac:dyDescent="0.3">
      <c r="A926">
        <v>6.9679092018018842</v>
      </c>
      <c r="B926">
        <v>3.6891294228691436</v>
      </c>
      <c r="C926">
        <v>11</v>
      </c>
      <c r="D926">
        <v>0.65</v>
      </c>
      <c r="E926">
        <v>0</v>
      </c>
      <c r="F926">
        <v>0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1</v>
      </c>
      <c r="M926">
        <v>0</v>
      </c>
    </row>
    <row r="927" spans="1:13" x14ac:dyDescent="0.3">
      <c r="A927">
        <v>6.9669671386139829</v>
      </c>
      <c r="B927">
        <v>3.5556337349665741</v>
      </c>
      <c r="C927">
        <v>17</v>
      </c>
      <c r="D927">
        <v>1</v>
      </c>
      <c r="E927">
        <v>0</v>
      </c>
      <c r="F927">
        <v>0</v>
      </c>
      <c r="G927">
        <v>0</v>
      </c>
      <c r="H927">
        <v>1</v>
      </c>
      <c r="I927">
        <v>0</v>
      </c>
      <c r="J927">
        <v>0</v>
      </c>
      <c r="K927">
        <v>0</v>
      </c>
      <c r="L927">
        <v>1</v>
      </c>
      <c r="M927">
        <v>0</v>
      </c>
    </row>
    <row r="928" spans="1:13" x14ac:dyDescent="0.3">
      <c r="A928">
        <v>6.9631899858702377</v>
      </c>
      <c r="B928">
        <v>3.4015306594522756</v>
      </c>
      <c r="C928">
        <v>12</v>
      </c>
      <c r="D928">
        <v>0.61666666999999997</v>
      </c>
      <c r="E928">
        <v>0</v>
      </c>
      <c r="F928">
        <v>0</v>
      </c>
      <c r="G928">
        <v>0</v>
      </c>
      <c r="H928">
        <v>0</v>
      </c>
      <c r="I928">
        <v>1</v>
      </c>
      <c r="J928">
        <v>0</v>
      </c>
      <c r="K928">
        <v>1</v>
      </c>
      <c r="L928">
        <v>0</v>
      </c>
      <c r="M928">
        <v>0</v>
      </c>
    </row>
    <row r="929" spans="1:13" x14ac:dyDescent="0.3">
      <c r="A929">
        <v>6.9603477291013078</v>
      </c>
      <c r="B929">
        <v>3.5556337349665741</v>
      </c>
      <c r="C929">
        <v>26</v>
      </c>
      <c r="D929">
        <v>2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1</v>
      </c>
    </row>
    <row r="930" spans="1:13" x14ac:dyDescent="0.3">
      <c r="A930">
        <v>6.9584483932976555</v>
      </c>
      <c r="B930">
        <v>2.996232148595642</v>
      </c>
      <c r="C930">
        <v>47</v>
      </c>
      <c r="D930">
        <v>8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1</v>
      </c>
      <c r="K930">
        <v>0</v>
      </c>
      <c r="L930">
        <v>0</v>
      </c>
      <c r="M930">
        <v>1</v>
      </c>
    </row>
    <row r="931" spans="1:13" x14ac:dyDescent="0.3">
      <c r="A931">
        <v>6.956545443151569</v>
      </c>
      <c r="B931">
        <v>5.0107019585407988</v>
      </c>
      <c r="C931">
        <v>64</v>
      </c>
      <c r="D931">
        <v>6.5</v>
      </c>
      <c r="E931">
        <v>0</v>
      </c>
      <c r="F931">
        <v>0</v>
      </c>
      <c r="G931">
        <v>0</v>
      </c>
      <c r="H931">
        <v>0</v>
      </c>
      <c r="I931">
        <v>1</v>
      </c>
      <c r="J931">
        <v>0</v>
      </c>
      <c r="K931">
        <v>1</v>
      </c>
      <c r="L931">
        <v>0</v>
      </c>
      <c r="M931">
        <v>0</v>
      </c>
    </row>
    <row r="932" spans="1:13" x14ac:dyDescent="0.3">
      <c r="A932">
        <v>6.9555926083962971</v>
      </c>
      <c r="B932">
        <v>3.5556337349665741</v>
      </c>
      <c r="C932">
        <v>47</v>
      </c>
      <c r="D932">
        <v>3.5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1</v>
      </c>
      <c r="L932">
        <v>0</v>
      </c>
      <c r="M932">
        <v>0</v>
      </c>
    </row>
    <row r="933" spans="1:13" x14ac:dyDescent="0.3">
      <c r="A933">
        <v>6.9469759921354184</v>
      </c>
      <c r="B933">
        <v>5.273050839300149</v>
      </c>
      <c r="C933">
        <v>30</v>
      </c>
      <c r="D933">
        <v>3.5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1</v>
      </c>
      <c r="K933">
        <v>1</v>
      </c>
      <c r="L933">
        <v>0</v>
      </c>
      <c r="M933">
        <v>0</v>
      </c>
    </row>
    <row r="934" spans="1:13" x14ac:dyDescent="0.3">
      <c r="A934">
        <v>6.9469759921354184</v>
      </c>
      <c r="B934">
        <v>4.6052701809884251</v>
      </c>
      <c r="C934">
        <v>21</v>
      </c>
      <c r="D934">
        <v>2</v>
      </c>
      <c r="E934">
        <v>0</v>
      </c>
      <c r="F934">
        <v>0</v>
      </c>
      <c r="G934">
        <v>0</v>
      </c>
      <c r="H934">
        <v>0</v>
      </c>
      <c r="I934">
        <v>1</v>
      </c>
      <c r="J934">
        <v>0</v>
      </c>
      <c r="K934">
        <v>1</v>
      </c>
      <c r="L934">
        <v>0</v>
      </c>
      <c r="M934">
        <v>0</v>
      </c>
    </row>
    <row r="935" spans="1:13" x14ac:dyDescent="0.3">
      <c r="A935">
        <v>6.9431224228194282</v>
      </c>
      <c r="B935">
        <v>2.996232148595642</v>
      </c>
      <c r="C935">
        <v>20</v>
      </c>
      <c r="D935">
        <v>2</v>
      </c>
      <c r="E935">
        <v>0</v>
      </c>
      <c r="F935">
        <v>0</v>
      </c>
      <c r="G935">
        <v>0</v>
      </c>
      <c r="H935">
        <v>0</v>
      </c>
      <c r="I935">
        <v>1</v>
      </c>
      <c r="J935">
        <v>0</v>
      </c>
      <c r="K935">
        <v>1</v>
      </c>
      <c r="L935">
        <v>0</v>
      </c>
      <c r="M935">
        <v>0</v>
      </c>
    </row>
    <row r="936" spans="1:13" x14ac:dyDescent="0.3">
      <c r="A936">
        <v>6.9402224691196386</v>
      </c>
      <c r="B936">
        <v>3.4015306594522756</v>
      </c>
      <c r="C936">
        <v>42</v>
      </c>
      <c r="D936">
        <v>7.5</v>
      </c>
      <c r="E936">
        <v>0</v>
      </c>
      <c r="F936">
        <v>0</v>
      </c>
      <c r="G936">
        <v>0</v>
      </c>
      <c r="H936">
        <v>0</v>
      </c>
      <c r="I936">
        <v>1</v>
      </c>
      <c r="J936">
        <v>0</v>
      </c>
      <c r="K936">
        <v>0</v>
      </c>
      <c r="L936">
        <v>0</v>
      </c>
      <c r="M936">
        <v>1</v>
      </c>
    </row>
    <row r="937" spans="1:13" x14ac:dyDescent="0.3">
      <c r="A937">
        <v>6.9392539460415081</v>
      </c>
      <c r="B937">
        <v>4.6052701809884251</v>
      </c>
      <c r="C937">
        <v>21</v>
      </c>
      <c r="D937">
        <v>1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1</v>
      </c>
      <c r="L937">
        <v>0</v>
      </c>
      <c r="M937">
        <v>0</v>
      </c>
    </row>
    <row r="938" spans="1:13" x14ac:dyDescent="0.3">
      <c r="A938">
        <v>6.9373140812236818</v>
      </c>
      <c r="B938">
        <v>2.996232148595642</v>
      </c>
      <c r="C938">
        <v>30</v>
      </c>
      <c r="D938">
        <v>2.5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1</v>
      </c>
      <c r="K938">
        <v>1</v>
      </c>
      <c r="L938">
        <v>0</v>
      </c>
      <c r="M938">
        <v>0</v>
      </c>
    </row>
    <row r="939" spans="1:13" x14ac:dyDescent="0.3">
      <c r="A939">
        <v>6.9314718055994531</v>
      </c>
      <c r="B939">
        <v>2.996232148595642</v>
      </c>
      <c r="C939">
        <v>26</v>
      </c>
      <c r="D939">
        <v>3</v>
      </c>
      <c r="E939">
        <v>0</v>
      </c>
      <c r="F939">
        <v>0</v>
      </c>
      <c r="G939">
        <v>0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1</v>
      </c>
    </row>
    <row r="940" spans="1:13" x14ac:dyDescent="0.3">
      <c r="A940">
        <v>6.9304947659516261</v>
      </c>
      <c r="B940">
        <v>4.6052701809884251</v>
      </c>
      <c r="C940">
        <v>38</v>
      </c>
      <c r="D940">
        <v>6</v>
      </c>
      <c r="E940">
        <v>0</v>
      </c>
      <c r="F940">
        <v>0</v>
      </c>
      <c r="G940">
        <v>0</v>
      </c>
      <c r="H940">
        <v>0</v>
      </c>
      <c r="I940">
        <v>1</v>
      </c>
      <c r="J940">
        <v>0</v>
      </c>
      <c r="K940">
        <v>0</v>
      </c>
      <c r="L940">
        <v>1</v>
      </c>
      <c r="M940">
        <v>0</v>
      </c>
    </row>
    <row r="941" spans="1:13" x14ac:dyDescent="0.3">
      <c r="A941">
        <v>6.9304947659516261</v>
      </c>
      <c r="B941">
        <v>4.6052701809884251</v>
      </c>
      <c r="C941">
        <v>44</v>
      </c>
      <c r="D941">
        <v>5</v>
      </c>
      <c r="E941">
        <v>0</v>
      </c>
      <c r="F941">
        <v>0</v>
      </c>
      <c r="G941">
        <v>0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1</v>
      </c>
    </row>
    <row r="942" spans="1:13" x14ac:dyDescent="0.3">
      <c r="A942">
        <v>6.9275579062783166</v>
      </c>
      <c r="B942">
        <v>4.6052701809884251</v>
      </c>
      <c r="C942">
        <v>60</v>
      </c>
      <c r="D942">
        <v>6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1</v>
      </c>
    </row>
    <row r="943" spans="1:13" x14ac:dyDescent="0.3">
      <c r="A943">
        <v>6.9255951971104679</v>
      </c>
      <c r="B943">
        <v>4.9768027055598036</v>
      </c>
      <c r="C943">
        <v>48</v>
      </c>
      <c r="D943">
        <v>4.5</v>
      </c>
      <c r="E943">
        <v>0</v>
      </c>
      <c r="F943">
        <v>0</v>
      </c>
      <c r="G943">
        <v>0</v>
      </c>
      <c r="H943">
        <v>0</v>
      </c>
      <c r="I943">
        <v>1</v>
      </c>
      <c r="J943">
        <v>0</v>
      </c>
      <c r="K943">
        <v>0</v>
      </c>
      <c r="L943">
        <v>0</v>
      </c>
      <c r="M943">
        <v>1</v>
      </c>
    </row>
    <row r="944" spans="1:13" x14ac:dyDescent="0.3">
      <c r="A944">
        <v>6.9255951971104679</v>
      </c>
      <c r="B944">
        <v>3.9122229854308124</v>
      </c>
      <c r="C944">
        <v>41</v>
      </c>
      <c r="D944">
        <v>3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0</v>
      </c>
      <c r="L944">
        <v>0</v>
      </c>
      <c r="M944">
        <v>1</v>
      </c>
    </row>
    <row r="945" spans="1:13" x14ac:dyDescent="0.3">
      <c r="A945">
        <v>6.9186952190204716</v>
      </c>
      <c r="B945">
        <v>3.2192757448895279</v>
      </c>
      <c r="C945">
        <v>19</v>
      </c>
      <c r="D945">
        <v>2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1</v>
      </c>
      <c r="K945">
        <v>0</v>
      </c>
      <c r="L945">
        <v>0</v>
      </c>
      <c r="M945">
        <v>1</v>
      </c>
    </row>
    <row r="946" spans="1:13" x14ac:dyDescent="0.3">
      <c r="A946">
        <v>6.9177056098353047</v>
      </c>
      <c r="B946">
        <v>3.9122229854308124</v>
      </c>
      <c r="C946">
        <v>25</v>
      </c>
      <c r="D946">
        <v>6</v>
      </c>
      <c r="E946">
        <v>0</v>
      </c>
      <c r="F946">
        <v>0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1</v>
      </c>
    </row>
    <row r="947" spans="1:13" x14ac:dyDescent="0.3">
      <c r="A947">
        <v>6.9147308927185627</v>
      </c>
      <c r="B947">
        <v>4.0945112150014218</v>
      </c>
      <c r="C947">
        <v>87</v>
      </c>
      <c r="D947">
        <v>17.5</v>
      </c>
      <c r="E947">
        <v>0</v>
      </c>
      <c r="F947">
        <v>0</v>
      </c>
      <c r="G947">
        <v>0</v>
      </c>
      <c r="H947">
        <v>0</v>
      </c>
      <c r="I947">
        <v>1</v>
      </c>
      <c r="J947">
        <v>0</v>
      </c>
      <c r="K947">
        <v>1</v>
      </c>
      <c r="L947">
        <v>0</v>
      </c>
      <c r="M947">
        <v>0</v>
      </c>
    </row>
    <row r="948" spans="1:13" x14ac:dyDescent="0.3">
      <c r="A948">
        <v>6.9137373506596846</v>
      </c>
      <c r="B948">
        <v>3.2192757448895279</v>
      </c>
      <c r="C948">
        <v>8</v>
      </c>
      <c r="D948">
        <v>2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1</v>
      </c>
      <c r="K948">
        <v>0</v>
      </c>
      <c r="L948">
        <v>0</v>
      </c>
      <c r="M948">
        <v>1</v>
      </c>
    </row>
    <row r="949" spans="1:13" x14ac:dyDescent="0.3">
      <c r="A949">
        <v>6.9117473002516743</v>
      </c>
      <c r="B949">
        <v>2.996232148595642</v>
      </c>
      <c r="C949">
        <v>40</v>
      </c>
      <c r="D949">
        <v>3.5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1</v>
      </c>
    </row>
    <row r="950" spans="1:13" x14ac:dyDescent="0.3">
      <c r="A950">
        <v>6.90975328164481</v>
      </c>
      <c r="B950">
        <v>3.9122229854308124</v>
      </c>
      <c r="C950">
        <v>10</v>
      </c>
      <c r="D950">
        <v>0.56666667000000004</v>
      </c>
      <c r="E950">
        <v>0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1</v>
      </c>
      <c r="L950">
        <v>0</v>
      </c>
      <c r="M950">
        <v>0</v>
      </c>
    </row>
    <row r="951" spans="1:13" x14ac:dyDescent="0.3">
      <c r="A951">
        <v>6.90975328164481</v>
      </c>
      <c r="B951">
        <v>3.8068846873048412</v>
      </c>
      <c r="C951">
        <v>174</v>
      </c>
      <c r="D951">
        <v>16.5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1</v>
      </c>
      <c r="L951">
        <v>0</v>
      </c>
      <c r="M951">
        <v>0</v>
      </c>
    </row>
    <row r="952" spans="1:13" x14ac:dyDescent="0.3">
      <c r="A952">
        <v>6.9077552789821368</v>
      </c>
      <c r="B952">
        <v>4.8283937341024714</v>
      </c>
      <c r="C952">
        <v>140</v>
      </c>
      <c r="D952">
        <v>11</v>
      </c>
      <c r="E952">
        <v>0</v>
      </c>
      <c r="F952">
        <v>0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1</v>
      </c>
    </row>
    <row r="953" spans="1:13" x14ac:dyDescent="0.3">
      <c r="A953">
        <v>6.9047507699618382</v>
      </c>
      <c r="B953">
        <v>2.996232148595642</v>
      </c>
      <c r="C953">
        <v>20</v>
      </c>
      <c r="D953">
        <v>2</v>
      </c>
      <c r="E953">
        <v>0</v>
      </c>
      <c r="F953">
        <v>0</v>
      </c>
      <c r="G953">
        <v>0</v>
      </c>
      <c r="H953">
        <v>0</v>
      </c>
      <c r="I953">
        <v>1</v>
      </c>
      <c r="J953">
        <v>0</v>
      </c>
      <c r="K953">
        <v>1</v>
      </c>
      <c r="L953">
        <v>0</v>
      </c>
      <c r="M953">
        <v>0</v>
      </c>
    </row>
    <row r="954" spans="1:13" x14ac:dyDescent="0.3">
      <c r="A954">
        <v>6.8956826977478682</v>
      </c>
      <c r="B954">
        <v>3.2192757448895279</v>
      </c>
      <c r="C954">
        <v>27</v>
      </c>
      <c r="D954">
        <v>0.63333333000000003</v>
      </c>
      <c r="E954">
        <v>0</v>
      </c>
      <c r="F954">
        <v>0</v>
      </c>
      <c r="G954">
        <v>0</v>
      </c>
      <c r="H954">
        <v>0</v>
      </c>
      <c r="I954">
        <v>1</v>
      </c>
      <c r="J954">
        <v>0</v>
      </c>
      <c r="K954">
        <v>0</v>
      </c>
      <c r="L954">
        <v>0</v>
      </c>
      <c r="M954">
        <v>1</v>
      </c>
    </row>
    <row r="955" spans="1:13" x14ac:dyDescent="0.3">
      <c r="A955">
        <v>6.8834625864130921</v>
      </c>
      <c r="B955">
        <v>2.996232148595642</v>
      </c>
      <c r="C955">
        <v>46</v>
      </c>
      <c r="D955">
        <v>2.5</v>
      </c>
      <c r="E955">
        <v>0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1</v>
      </c>
      <c r="L955">
        <v>0</v>
      </c>
      <c r="M955">
        <v>0</v>
      </c>
    </row>
    <row r="956" spans="1:13" x14ac:dyDescent="0.3">
      <c r="A956">
        <v>6.8834625864130921</v>
      </c>
      <c r="B956">
        <v>2.996232148595642</v>
      </c>
      <c r="C956">
        <v>13</v>
      </c>
      <c r="D956">
        <v>1.5</v>
      </c>
      <c r="E956">
        <v>0</v>
      </c>
      <c r="F956">
        <v>0</v>
      </c>
      <c r="G956">
        <v>1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1</v>
      </c>
    </row>
    <row r="957" spans="1:13" x14ac:dyDescent="0.3">
      <c r="A957">
        <v>6.8824374709978473</v>
      </c>
      <c r="B957">
        <v>4.5539821492186583</v>
      </c>
      <c r="C957">
        <v>18</v>
      </c>
      <c r="D957">
        <v>3.5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0</v>
      </c>
      <c r="K957">
        <v>0</v>
      </c>
      <c r="L957">
        <v>0</v>
      </c>
      <c r="M957">
        <v>1</v>
      </c>
    </row>
    <row r="958" spans="1:13" x14ac:dyDescent="0.3">
      <c r="A958">
        <v>6.8803840821860049</v>
      </c>
      <c r="B958">
        <v>4.3176214379815452</v>
      </c>
      <c r="C958">
        <v>46</v>
      </c>
      <c r="D958">
        <v>4.5</v>
      </c>
      <c r="E958">
        <v>0</v>
      </c>
      <c r="F958">
        <v>0</v>
      </c>
      <c r="G958">
        <v>0</v>
      </c>
      <c r="H958">
        <v>1</v>
      </c>
      <c r="I958">
        <v>0</v>
      </c>
      <c r="J958">
        <v>0</v>
      </c>
      <c r="K958">
        <v>1</v>
      </c>
      <c r="L958">
        <v>0</v>
      </c>
      <c r="M958">
        <v>0</v>
      </c>
    </row>
    <row r="959" spans="1:13" x14ac:dyDescent="0.3">
      <c r="A959">
        <v>6.8710912946105456</v>
      </c>
      <c r="B959">
        <v>3.9122229854308124</v>
      </c>
      <c r="C959">
        <v>21</v>
      </c>
      <c r="D959">
        <v>2.5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0</v>
      </c>
      <c r="K959">
        <v>0</v>
      </c>
      <c r="L959">
        <v>0</v>
      </c>
      <c r="M959">
        <v>1</v>
      </c>
    </row>
    <row r="960" spans="1:13" x14ac:dyDescent="0.3">
      <c r="A960">
        <v>6.866933284461882</v>
      </c>
      <c r="B960">
        <v>5.273050839300149</v>
      </c>
      <c r="C960">
        <v>32</v>
      </c>
      <c r="D960">
        <v>2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</row>
    <row r="961" spans="1:13" x14ac:dyDescent="0.3">
      <c r="A961">
        <v>6.8658910748834385</v>
      </c>
      <c r="B961">
        <v>2.996232148595642</v>
      </c>
      <c r="C961">
        <v>74</v>
      </c>
      <c r="D961">
        <v>3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1</v>
      </c>
      <c r="K961">
        <v>1</v>
      </c>
      <c r="L961">
        <v>0</v>
      </c>
      <c r="M961">
        <v>0</v>
      </c>
    </row>
    <row r="962" spans="1:13" x14ac:dyDescent="0.3">
      <c r="A962">
        <v>6.8648477779708603</v>
      </c>
      <c r="B962">
        <v>2.996232148595642</v>
      </c>
      <c r="C962">
        <v>17</v>
      </c>
      <c r="D962">
        <v>1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0</v>
      </c>
    </row>
    <row r="963" spans="1:13" x14ac:dyDescent="0.3">
      <c r="A963">
        <v>6.8606636714482869</v>
      </c>
      <c r="B963">
        <v>2.996232148595642</v>
      </c>
      <c r="C963">
        <v>123</v>
      </c>
      <c r="D963">
        <v>16</v>
      </c>
      <c r="E963">
        <v>0</v>
      </c>
      <c r="F963">
        <v>0</v>
      </c>
      <c r="G963">
        <v>0</v>
      </c>
      <c r="H963">
        <v>1</v>
      </c>
      <c r="I963">
        <v>0</v>
      </c>
      <c r="J963">
        <v>0</v>
      </c>
      <c r="K963">
        <v>0</v>
      </c>
      <c r="L963">
        <v>0</v>
      </c>
      <c r="M963">
        <v>1</v>
      </c>
    </row>
    <row r="964" spans="1:13" x14ac:dyDescent="0.3">
      <c r="A964">
        <v>6.8585650347913649</v>
      </c>
      <c r="B964">
        <v>5.2983673652980787</v>
      </c>
      <c r="C964">
        <v>75</v>
      </c>
      <c r="D964">
        <v>12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1</v>
      </c>
      <c r="K964">
        <v>0</v>
      </c>
      <c r="L964">
        <v>0</v>
      </c>
      <c r="M964">
        <v>1</v>
      </c>
    </row>
    <row r="965" spans="1:13" x14ac:dyDescent="0.3">
      <c r="A965">
        <v>6.8554087986099281</v>
      </c>
      <c r="B965">
        <v>5.273050839300149</v>
      </c>
      <c r="C965">
        <v>89</v>
      </c>
      <c r="D965">
        <v>20.5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1</v>
      </c>
    </row>
    <row r="966" spans="1:13" x14ac:dyDescent="0.3">
      <c r="A966">
        <v>6.8543545022550214</v>
      </c>
      <c r="B966">
        <v>3.4015306594522756</v>
      </c>
      <c r="C966">
        <v>48</v>
      </c>
      <c r="D966">
        <v>3.5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0</v>
      </c>
      <c r="M966">
        <v>1</v>
      </c>
    </row>
    <row r="967" spans="1:13" x14ac:dyDescent="0.3">
      <c r="A967">
        <v>6.8543545022550214</v>
      </c>
      <c r="B967">
        <v>2.996232148595642</v>
      </c>
      <c r="C967">
        <v>8</v>
      </c>
      <c r="D967">
        <v>0.6</v>
      </c>
      <c r="E967">
        <v>0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1</v>
      </c>
    </row>
    <row r="968" spans="1:13" x14ac:dyDescent="0.3">
      <c r="A968">
        <v>6.8532990931860782</v>
      </c>
      <c r="B968">
        <v>3.9122229854308124</v>
      </c>
      <c r="C968">
        <v>56</v>
      </c>
      <c r="D968">
        <v>8</v>
      </c>
      <c r="E968">
        <v>0</v>
      </c>
      <c r="F968">
        <v>0</v>
      </c>
      <c r="G968">
        <v>0</v>
      </c>
      <c r="H968">
        <v>0</v>
      </c>
      <c r="I968">
        <v>1</v>
      </c>
      <c r="J968">
        <v>0</v>
      </c>
      <c r="K968">
        <v>0</v>
      </c>
      <c r="L968">
        <v>1</v>
      </c>
      <c r="M968">
        <v>0</v>
      </c>
    </row>
    <row r="969" spans="1:13" x14ac:dyDescent="0.3">
      <c r="A969">
        <v>6.8511849274937431</v>
      </c>
      <c r="B969">
        <v>2.996232148595642</v>
      </c>
      <c r="C969">
        <v>11</v>
      </c>
      <c r="D969">
        <v>0.55000000000000004</v>
      </c>
      <c r="E969">
        <v>0</v>
      </c>
      <c r="F969">
        <v>0</v>
      </c>
      <c r="G969">
        <v>0</v>
      </c>
      <c r="H969">
        <v>0</v>
      </c>
      <c r="I969">
        <v>1</v>
      </c>
      <c r="J969">
        <v>0</v>
      </c>
      <c r="K969">
        <v>0</v>
      </c>
      <c r="L969">
        <v>1</v>
      </c>
      <c r="M969">
        <v>0</v>
      </c>
    </row>
    <row r="970" spans="1:13" x14ac:dyDescent="0.3">
      <c r="A970">
        <v>6.8501261661455004</v>
      </c>
      <c r="B970">
        <v>3.8068846873048412</v>
      </c>
      <c r="C970">
        <v>10</v>
      </c>
      <c r="D970">
        <v>1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0</v>
      </c>
      <c r="L970">
        <v>1</v>
      </c>
      <c r="M970">
        <v>0</v>
      </c>
    </row>
    <row r="971" spans="1:13" x14ac:dyDescent="0.3">
      <c r="A971">
        <v>6.8480052745763631</v>
      </c>
      <c r="B971">
        <v>4.3176214379815452</v>
      </c>
      <c r="C971">
        <v>64</v>
      </c>
      <c r="D971">
        <v>4.5</v>
      </c>
      <c r="E971">
        <v>0</v>
      </c>
      <c r="F971">
        <v>0</v>
      </c>
      <c r="G971">
        <v>0</v>
      </c>
      <c r="H971">
        <v>0</v>
      </c>
      <c r="I971">
        <v>1</v>
      </c>
      <c r="J971">
        <v>0</v>
      </c>
      <c r="K971">
        <v>1</v>
      </c>
      <c r="L971">
        <v>0</v>
      </c>
      <c r="M971">
        <v>0</v>
      </c>
    </row>
    <row r="972" spans="1:13" x14ac:dyDescent="0.3">
      <c r="A972">
        <v>6.842683282238422</v>
      </c>
      <c r="B972">
        <v>2.996232148595642</v>
      </c>
      <c r="C972">
        <v>10</v>
      </c>
      <c r="D972">
        <v>1</v>
      </c>
      <c r="E972">
        <v>0</v>
      </c>
      <c r="F972">
        <v>0</v>
      </c>
      <c r="G972">
        <v>0</v>
      </c>
      <c r="H972">
        <v>0</v>
      </c>
      <c r="I972">
        <v>1</v>
      </c>
      <c r="J972">
        <v>0</v>
      </c>
      <c r="K972">
        <v>0</v>
      </c>
      <c r="L972">
        <v>0</v>
      </c>
      <c r="M972">
        <v>1</v>
      </c>
    </row>
    <row r="973" spans="1:13" x14ac:dyDescent="0.3">
      <c r="A973">
        <v>6.842683282238422</v>
      </c>
      <c r="B973">
        <v>3.6891294228691436</v>
      </c>
      <c r="C973">
        <v>6</v>
      </c>
      <c r="D973">
        <v>0.63333333000000003</v>
      </c>
      <c r="E973">
        <v>0</v>
      </c>
      <c r="F973">
        <v>0</v>
      </c>
      <c r="G973">
        <v>0</v>
      </c>
      <c r="H973">
        <v>0</v>
      </c>
      <c r="I973">
        <v>1</v>
      </c>
      <c r="J973">
        <v>0</v>
      </c>
      <c r="K973">
        <v>0</v>
      </c>
      <c r="L973">
        <v>0</v>
      </c>
      <c r="M973">
        <v>1</v>
      </c>
    </row>
    <row r="974" spans="1:13" x14ac:dyDescent="0.3">
      <c r="A974">
        <v>6.8308742346461795</v>
      </c>
      <c r="B974">
        <v>3.5556337349665741</v>
      </c>
      <c r="C974">
        <v>37</v>
      </c>
      <c r="D974">
        <v>2.5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</row>
    <row r="975" spans="1:13" x14ac:dyDescent="0.3">
      <c r="A975">
        <v>6.8243736700430864</v>
      </c>
      <c r="B975">
        <v>3.5556337349665741</v>
      </c>
      <c r="C975">
        <v>7</v>
      </c>
      <c r="D975">
        <v>0.7</v>
      </c>
      <c r="E975">
        <v>0</v>
      </c>
      <c r="F975">
        <v>0</v>
      </c>
      <c r="G975">
        <v>0</v>
      </c>
      <c r="H975">
        <v>0</v>
      </c>
      <c r="I975">
        <v>1</v>
      </c>
      <c r="J975">
        <v>0</v>
      </c>
      <c r="K975">
        <v>1</v>
      </c>
      <c r="L975">
        <v>0</v>
      </c>
      <c r="M975">
        <v>0</v>
      </c>
    </row>
    <row r="976" spans="1:13" x14ac:dyDescent="0.3">
      <c r="A976">
        <v>6.8221973906204907</v>
      </c>
      <c r="B976">
        <v>5.273050839300149</v>
      </c>
      <c r="C976">
        <v>39</v>
      </c>
      <c r="D976">
        <v>2.5</v>
      </c>
      <c r="E976">
        <v>0</v>
      </c>
      <c r="F976">
        <v>0</v>
      </c>
      <c r="G976">
        <v>0</v>
      </c>
      <c r="H976">
        <v>1</v>
      </c>
      <c r="I976">
        <v>0</v>
      </c>
      <c r="J976">
        <v>0</v>
      </c>
      <c r="K976">
        <v>0</v>
      </c>
      <c r="L976">
        <v>0</v>
      </c>
      <c r="M976">
        <v>1</v>
      </c>
    </row>
    <row r="977" spans="1:13" x14ac:dyDescent="0.3">
      <c r="A977">
        <v>6.815639990074331</v>
      </c>
      <c r="B977">
        <v>2.996232148595642</v>
      </c>
      <c r="C977">
        <v>48</v>
      </c>
      <c r="D977">
        <v>4.5</v>
      </c>
      <c r="E977">
        <v>0</v>
      </c>
      <c r="F977">
        <v>0</v>
      </c>
      <c r="G977">
        <v>0</v>
      </c>
      <c r="H977">
        <v>0</v>
      </c>
      <c r="I977">
        <v>1</v>
      </c>
      <c r="J977">
        <v>0</v>
      </c>
      <c r="K977">
        <v>0</v>
      </c>
      <c r="L977">
        <v>0</v>
      </c>
      <c r="M977">
        <v>1</v>
      </c>
    </row>
    <row r="978" spans="1:13" x14ac:dyDescent="0.3">
      <c r="A978">
        <v>6.815639990074331</v>
      </c>
      <c r="B978">
        <v>3.4015306594522756</v>
      </c>
      <c r="C978">
        <v>81</v>
      </c>
      <c r="D978">
        <v>7</v>
      </c>
      <c r="E978">
        <v>0</v>
      </c>
      <c r="F978">
        <v>0</v>
      </c>
      <c r="G978">
        <v>0</v>
      </c>
      <c r="H978">
        <v>1</v>
      </c>
      <c r="I978">
        <v>0</v>
      </c>
      <c r="J978">
        <v>0</v>
      </c>
      <c r="K978">
        <v>1</v>
      </c>
      <c r="L978">
        <v>0</v>
      </c>
      <c r="M978">
        <v>0</v>
      </c>
    </row>
    <row r="979" spans="1:13" x14ac:dyDescent="0.3">
      <c r="A979">
        <v>6.8123450941774788</v>
      </c>
      <c r="B979">
        <v>4.2486380889891064</v>
      </c>
      <c r="C979">
        <v>13</v>
      </c>
      <c r="D979">
        <v>1.5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1</v>
      </c>
      <c r="K979">
        <v>0</v>
      </c>
      <c r="L979">
        <v>1</v>
      </c>
      <c r="M979">
        <v>0</v>
      </c>
    </row>
    <row r="980" spans="1:13" x14ac:dyDescent="0.3">
      <c r="A980">
        <v>6.8057225534169854</v>
      </c>
      <c r="B980">
        <v>3.5556337349665741</v>
      </c>
      <c r="C980">
        <v>7</v>
      </c>
      <c r="D980">
        <v>0.55000000000000004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1</v>
      </c>
    </row>
    <row r="981" spans="1:13" x14ac:dyDescent="0.3">
      <c r="A981">
        <v>6.8035052576083377</v>
      </c>
      <c r="B981">
        <v>3.8068846873048412</v>
      </c>
      <c r="C981">
        <v>20</v>
      </c>
      <c r="D981">
        <v>2</v>
      </c>
      <c r="E981">
        <v>0</v>
      </c>
      <c r="F981">
        <v>0</v>
      </c>
      <c r="G981">
        <v>1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1</v>
      </c>
    </row>
    <row r="982" spans="1:13" x14ac:dyDescent="0.3">
      <c r="A982">
        <v>6.8023947633243109</v>
      </c>
      <c r="B982">
        <v>5.2983673652980787</v>
      </c>
      <c r="C982">
        <v>126</v>
      </c>
      <c r="D982">
        <v>18.5</v>
      </c>
      <c r="E982">
        <v>0</v>
      </c>
      <c r="F982">
        <v>0</v>
      </c>
      <c r="G982">
        <v>0</v>
      </c>
      <c r="H982">
        <v>0</v>
      </c>
      <c r="I982">
        <v>1</v>
      </c>
      <c r="J982">
        <v>0</v>
      </c>
      <c r="K982">
        <v>0</v>
      </c>
      <c r="L982">
        <v>0</v>
      </c>
      <c r="M982">
        <v>1</v>
      </c>
    </row>
    <row r="983" spans="1:13" x14ac:dyDescent="0.3">
      <c r="A983">
        <v>6.8001700683021999</v>
      </c>
      <c r="B983">
        <v>3.9122229854308124</v>
      </c>
      <c r="C983">
        <v>40</v>
      </c>
      <c r="D983">
        <v>2</v>
      </c>
      <c r="E983">
        <v>0</v>
      </c>
      <c r="F983">
        <v>0</v>
      </c>
      <c r="G983">
        <v>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1</v>
      </c>
    </row>
    <row r="984" spans="1:13" x14ac:dyDescent="0.3">
      <c r="A984">
        <v>6.799055862058796</v>
      </c>
      <c r="B984">
        <v>5.2983673652980787</v>
      </c>
      <c r="C984">
        <v>171</v>
      </c>
      <c r="D984">
        <v>13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1</v>
      </c>
      <c r="K984">
        <v>0</v>
      </c>
      <c r="L984">
        <v>0</v>
      </c>
      <c r="M984">
        <v>1</v>
      </c>
    </row>
    <row r="985" spans="1:13" x14ac:dyDescent="0.3">
      <c r="A985">
        <v>6.7923444274708089</v>
      </c>
      <c r="B985">
        <v>3.9122229854308124</v>
      </c>
      <c r="C985">
        <v>119</v>
      </c>
      <c r="D985">
        <v>8.5</v>
      </c>
      <c r="E985">
        <v>0</v>
      </c>
      <c r="F985">
        <v>0</v>
      </c>
      <c r="G985">
        <v>1</v>
      </c>
      <c r="H985">
        <v>0</v>
      </c>
      <c r="I985">
        <v>0</v>
      </c>
      <c r="J985">
        <v>0</v>
      </c>
      <c r="K985">
        <v>1</v>
      </c>
      <c r="L985">
        <v>0</v>
      </c>
      <c r="M985">
        <v>0</v>
      </c>
    </row>
    <row r="986" spans="1:13" x14ac:dyDescent="0.3">
      <c r="A986">
        <v>6.7855876450079293</v>
      </c>
      <c r="B986">
        <v>4.7875750726433504</v>
      </c>
      <c r="C986">
        <v>13</v>
      </c>
      <c r="D986">
        <v>1.5</v>
      </c>
      <c r="E986">
        <v>0</v>
      </c>
      <c r="F986">
        <v>0</v>
      </c>
      <c r="G986">
        <v>0</v>
      </c>
      <c r="H986">
        <v>1</v>
      </c>
      <c r="I986">
        <v>0</v>
      </c>
      <c r="J986">
        <v>0</v>
      </c>
      <c r="K986">
        <v>0</v>
      </c>
      <c r="L986">
        <v>0</v>
      </c>
      <c r="M986">
        <v>1</v>
      </c>
    </row>
    <row r="987" spans="1:13" x14ac:dyDescent="0.3">
      <c r="A987">
        <v>6.7799219074722519</v>
      </c>
      <c r="B987">
        <v>2.996232148595642</v>
      </c>
      <c r="C987">
        <v>24</v>
      </c>
      <c r="D987">
        <v>3</v>
      </c>
      <c r="E987">
        <v>0</v>
      </c>
      <c r="F987">
        <v>0</v>
      </c>
      <c r="G987">
        <v>0</v>
      </c>
      <c r="H987">
        <v>0</v>
      </c>
      <c r="I987">
        <v>1</v>
      </c>
      <c r="J987">
        <v>0</v>
      </c>
      <c r="K987">
        <v>1</v>
      </c>
      <c r="L987">
        <v>0</v>
      </c>
      <c r="M987">
        <v>0</v>
      </c>
    </row>
    <row r="988" spans="1:13" x14ac:dyDescent="0.3">
      <c r="A988">
        <v>6.7776465936351169</v>
      </c>
      <c r="B988">
        <v>3.6891294228691436</v>
      </c>
      <c r="C988">
        <v>8</v>
      </c>
      <c r="D988">
        <v>0.61666666999999997</v>
      </c>
      <c r="E988">
        <v>0</v>
      </c>
      <c r="F988">
        <v>0</v>
      </c>
      <c r="G988">
        <v>0</v>
      </c>
      <c r="H988">
        <v>0</v>
      </c>
      <c r="I988">
        <v>1</v>
      </c>
      <c r="J988">
        <v>0</v>
      </c>
      <c r="K988">
        <v>1</v>
      </c>
      <c r="L988">
        <v>0</v>
      </c>
      <c r="M988">
        <v>0</v>
      </c>
    </row>
    <row r="989" spans="1:13" x14ac:dyDescent="0.3">
      <c r="A989">
        <v>6.776506992372183</v>
      </c>
      <c r="B989">
        <v>3.5556337349665741</v>
      </c>
      <c r="C989">
        <v>7</v>
      </c>
      <c r="D989">
        <v>0.53333333000000005</v>
      </c>
      <c r="E989">
        <v>0</v>
      </c>
      <c r="F989">
        <v>0</v>
      </c>
      <c r="G989">
        <v>0</v>
      </c>
      <c r="H989">
        <v>0</v>
      </c>
      <c r="I989">
        <v>1</v>
      </c>
      <c r="J989">
        <v>0</v>
      </c>
      <c r="K989">
        <v>0</v>
      </c>
      <c r="L989">
        <v>0</v>
      </c>
      <c r="M989">
        <v>1</v>
      </c>
    </row>
    <row r="990" spans="1:13" x14ac:dyDescent="0.3">
      <c r="A990">
        <v>6.7753660909363917</v>
      </c>
      <c r="B990">
        <v>4.4427688966292678</v>
      </c>
      <c r="C990">
        <v>28</v>
      </c>
      <c r="D990">
        <v>2</v>
      </c>
      <c r="E990">
        <v>0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0</v>
      </c>
      <c r="L990">
        <v>1</v>
      </c>
      <c r="M990">
        <v>0</v>
      </c>
    </row>
    <row r="991" spans="1:13" x14ac:dyDescent="0.3">
      <c r="A991">
        <v>6.7753660909363917</v>
      </c>
      <c r="B991">
        <v>4.3176214379815452</v>
      </c>
      <c r="C991">
        <v>29</v>
      </c>
      <c r="D991">
        <v>3</v>
      </c>
      <c r="E991">
        <v>0</v>
      </c>
      <c r="F991">
        <v>0</v>
      </c>
      <c r="G991">
        <v>0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1</v>
      </c>
    </row>
    <row r="992" spans="1:13" x14ac:dyDescent="0.3">
      <c r="A992">
        <v>6.7673431252653922</v>
      </c>
      <c r="B992">
        <v>5.273050839300149</v>
      </c>
      <c r="C992">
        <v>38</v>
      </c>
      <c r="D992">
        <v>5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1</v>
      </c>
    </row>
    <row r="993" spans="1:13" x14ac:dyDescent="0.3">
      <c r="A993">
        <v>6.7673431252653922</v>
      </c>
      <c r="B993">
        <v>3.9122229854308124</v>
      </c>
      <c r="C993">
        <v>78</v>
      </c>
      <c r="D993">
        <v>14</v>
      </c>
      <c r="E993">
        <v>0</v>
      </c>
      <c r="F993">
        <v>0</v>
      </c>
      <c r="G993">
        <v>0</v>
      </c>
      <c r="H993">
        <v>1</v>
      </c>
      <c r="I993">
        <v>0</v>
      </c>
      <c r="J993">
        <v>0</v>
      </c>
      <c r="K993">
        <v>0</v>
      </c>
      <c r="L993">
        <v>0</v>
      </c>
      <c r="M993">
        <v>1</v>
      </c>
    </row>
    <row r="994" spans="1:13" x14ac:dyDescent="0.3">
      <c r="A994">
        <v>6.7650389767805414</v>
      </c>
      <c r="B994">
        <v>4.8283937341024714</v>
      </c>
      <c r="C994">
        <v>48</v>
      </c>
      <c r="D994">
        <v>4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1</v>
      </c>
      <c r="L994">
        <v>0</v>
      </c>
      <c r="M994">
        <v>0</v>
      </c>
    </row>
    <row r="995" spans="1:13" x14ac:dyDescent="0.3">
      <c r="A995">
        <v>6.7569323892475532</v>
      </c>
      <c r="B995">
        <v>5.273050839300149</v>
      </c>
      <c r="C995">
        <v>56</v>
      </c>
      <c r="D995">
        <v>7</v>
      </c>
      <c r="E995">
        <v>0</v>
      </c>
      <c r="F995">
        <v>0</v>
      </c>
      <c r="G995">
        <v>0</v>
      </c>
      <c r="H995">
        <v>0</v>
      </c>
      <c r="I995">
        <v>1</v>
      </c>
      <c r="J995">
        <v>0</v>
      </c>
      <c r="K995">
        <v>1</v>
      </c>
      <c r="L995">
        <v>0</v>
      </c>
      <c r="M995">
        <v>0</v>
      </c>
    </row>
    <row r="996" spans="1:13" x14ac:dyDescent="0.3">
      <c r="A996">
        <v>6.7464121285733745</v>
      </c>
      <c r="B996">
        <v>3.9122229854308124</v>
      </c>
      <c r="C996">
        <v>75</v>
      </c>
      <c r="D996">
        <v>4.5</v>
      </c>
      <c r="E996">
        <v>0</v>
      </c>
      <c r="F996">
        <v>0</v>
      </c>
      <c r="G996">
        <v>0</v>
      </c>
      <c r="H996">
        <v>0</v>
      </c>
      <c r="I996">
        <v>1</v>
      </c>
      <c r="J996">
        <v>0</v>
      </c>
      <c r="K996">
        <v>0</v>
      </c>
      <c r="L996">
        <v>0</v>
      </c>
      <c r="M996">
        <v>1</v>
      </c>
    </row>
    <row r="997" spans="1:13" x14ac:dyDescent="0.3">
      <c r="A997">
        <v>6.7452363494843626</v>
      </c>
      <c r="B997">
        <v>3.5556337349665741</v>
      </c>
      <c r="C997">
        <v>16</v>
      </c>
      <c r="D997">
        <v>1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1</v>
      </c>
    </row>
    <row r="998" spans="1:13" x14ac:dyDescent="0.3">
      <c r="A998">
        <v>6.7357800142423265</v>
      </c>
      <c r="B998">
        <v>5.2983673652980787</v>
      </c>
      <c r="C998">
        <v>536</v>
      </c>
      <c r="D998">
        <v>25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1</v>
      </c>
      <c r="L998">
        <v>0</v>
      </c>
      <c r="M998">
        <v>0</v>
      </c>
    </row>
    <row r="999" spans="1:13" x14ac:dyDescent="0.3">
      <c r="A999">
        <v>6.7345916599729483</v>
      </c>
      <c r="B999">
        <v>3.6891294228691436</v>
      </c>
      <c r="C999">
        <v>29</v>
      </c>
      <c r="D999">
        <v>3.5</v>
      </c>
      <c r="E999">
        <v>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1</v>
      </c>
    </row>
    <row r="1000" spans="1:13" x14ac:dyDescent="0.3">
      <c r="A1000">
        <v>6.7310181004820828</v>
      </c>
      <c r="B1000">
        <v>3.2192757448895279</v>
      </c>
      <c r="C1000">
        <v>23</v>
      </c>
      <c r="D1000">
        <v>2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1</v>
      </c>
    </row>
    <row r="1001" spans="1:13" x14ac:dyDescent="0.3">
      <c r="A1001">
        <v>6.7056390948600031</v>
      </c>
      <c r="B1001">
        <v>4.5539821492186583</v>
      </c>
      <c r="C1001">
        <v>32</v>
      </c>
      <c r="D1001">
        <v>1.5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1</v>
      </c>
      <c r="K1001">
        <v>0</v>
      </c>
      <c r="L1001">
        <v>0</v>
      </c>
      <c r="M1001">
        <v>1</v>
      </c>
    </row>
    <row r="1002" spans="1:13" x14ac:dyDescent="0.3">
      <c r="A1002">
        <v>6.7056390948600031</v>
      </c>
      <c r="B1002">
        <v>5.0107019585407988</v>
      </c>
      <c r="C1002">
        <v>131</v>
      </c>
      <c r="D1002">
        <v>19.5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0</v>
      </c>
      <c r="K1002">
        <v>1</v>
      </c>
      <c r="L1002">
        <v>0</v>
      </c>
      <c r="M1002">
        <v>0</v>
      </c>
    </row>
    <row r="1003" spans="1:13" x14ac:dyDescent="0.3">
      <c r="A1003">
        <v>6.6883547139467616</v>
      </c>
      <c r="B1003">
        <v>3.6891294228691436</v>
      </c>
      <c r="C1003">
        <v>7</v>
      </c>
      <c r="D1003">
        <v>0.51666666999999999</v>
      </c>
      <c r="E1003">
        <v>0</v>
      </c>
      <c r="F1003">
        <v>0</v>
      </c>
      <c r="G1003">
        <v>0</v>
      </c>
      <c r="H1003">
        <v>0</v>
      </c>
      <c r="I1003">
        <v>1</v>
      </c>
      <c r="J1003">
        <v>0</v>
      </c>
      <c r="K1003">
        <v>0</v>
      </c>
      <c r="L1003">
        <v>0</v>
      </c>
      <c r="M1003">
        <v>1</v>
      </c>
    </row>
    <row r="1004" spans="1:13" x14ac:dyDescent="0.3">
      <c r="A1004">
        <v>6.6871086078665147</v>
      </c>
      <c r="B1004">
        <v>3.6891294228691436</v>
      </c>
      <c r="C1004">
        <v>9</v>
      </c>
      <c r="D1004">
        <v>0.63333333000000003</v>
      </c>
      <c r="E1004">
        <v>0</v>
      </c>
      <c r="F1004">
        <v>0</v>
      </c>
      <c r="G1004">
        <v>0</v>
      </c>
      <c r="H1004">
        <v>0</v>
      </c>
      <c r="I1004">
        <v>1</v>
      </c>
      <c r="J1004">
        <v>0</v>
      </c>
      <c r="K1004">
        <v>1</v>
      </c>
      <c r="L1004">
        <v>0</v>
      </c>
      <c r="M1004">
        <v>0</v>
      </c>
    </row>
    <row r="1005" spans="1:13" x14ac:dyDescent="0.3">
      <c r="A1005">
        <v>6.6833609457662746</v>
      </c>
      <c r="B1005">
        <v>4.5539821492186583</v>
      </c>
      <c r="C1005">
        <v>41</v>
      </c>
      <c r="D1005">
        <v>6</v>
      </c>
      <c r="E1005">
        <v>0</v>
      </c>
      <c r="F1005">
        <v>0</v>
      </c>
      <c r="G1005">
        <v>0</v>
      </c>
      <c r="H1005">
        <v>0</v>
      </c>
      <c r="I1005">
        <v>1</v>
      </c>
      <c r="J1005">
        <v>0</v>
      </c>
      <c r="K1005">
        <v>1</v>
      </c>
      <c r="L1005">
        <v>0</v>
      </c>
      <c r="M1005">
        <v>0</v>
      </c>
    </row>
    <row r="1006" spans="1:13" x14ac:dyDescent="0.3">
      <c r="A1006">
        <v>6.6795991858443831</v>
      </c>
      <c r="B1006">
        <v>2.996232148595642</v>
      </c>
      <c r="C1006">
        <v>18</v>
      </c>
      <c r="D1006">
        <v>1</v>
      </c>
      <c r="E1006">
        <v>0</v>
      </c>
      <c r="F1006">
        <v>0</v>
      </c>
      <c r="G1006">
        <v>0</v>
      </c>
      <c r="H1006">
        <v>0</v>
      </c>
      <c r="I1006">
        <v>1</v>
      </c>
      <c r="J1006">
        <v>0</v>
      </c>
      <c r="K1006">
        <v>1</v>
      </c>
      <c r="L1006">
        <v>0</v>
      </c>
      <c r="M1006">
        <v>0</v>
      </c>
    </row>
    <row r="1007" spans="1:13" x14ac:dyDescent="0.3">
      <c r="A1007">
        <v>6.6795991858443831</v>
      </c>
      <c r="B1007">
        <v>3.6891294228691436</v>
      </c>
      <c r="C1007">
        <v>29</v>
      </c>
      <c r="D1007">
        <v>4</v>
      </c>
      <c r="E1007">
        <v>0</v>
      </c>
      <c r="F1007">
        <v>0</v>
      </c>
      <c r="G1007">
        <v>0</v>
      </c>
      <c r="H1007">
        <v>0</v>
      </c>
      <c r="I1007">
        <v>1</v>
      </c>
      <c r="J1007">
        <v>0</v>
      </c>
      <c r="K1007">
        <v>1</v>
      </c>
      <c r="L1007">
        <v>0</v>
      </c>
      <c r="M1007">
        <v>0</v>
      </c>
    </row>
    <row r="1008" spans="1:13" x14ac:dyDescent="0.3">
      <c r="A1008">
        <v>6.6732979677676543</v>
      </c>
      <c r="B1008">
        <v>2.996232148595642</v>
      </c>
      <c r="C1008">
        <v>24</v>
      </c>
      <c r="D1008">
        <v>2.5</v>
      </c>
      <c r="E1008">
        <v>0</v>
      </c>
      <c r="F1008">
        <v>0</v>
      </c>
      <c r="G1008">
        <v>0</v>
      </c>
      <c r="H1008">
        <v>0</v>
      </c>
      <c r="I1008">
        <v>1</v>
      </c>
      <c r="J1008">
        <v>0</v>
      </c>
      <c r="K1008">
        <v>1</v>
      </c>
      <c r="L1008">
        <v>0</v>
      </c>
      <c r="M1008">
        <v>0</v>
      </c>
    </row>
    <row r="1009" spans="1:13" x14ac:dyDescent="0.3">
      <c r="A1009">
        <v>6.6732979677676543</v>
      </c>
      <c r="B1009">
        <v>2.996232148595642</v>
      </c>
      <c r="C1009">
        <v>16</v>
      </c>
      <c r="D1009">
        <v>1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</row>
    <row r="1010" spans="1:13" x14ac:dyDescent="0.3">
      <c r="A1010">
        <v>6.6694980898578793</v>
      </c>
      <c r="B1010">
        <v>3.9122229854308124</v>
      </c>
      <c r="C1010">
        <v>25</v>
      </c>
      <c r="D1010">
        <v>2</v>
      </c>
      <c r="E1010">
        <v>0</v>
      </c>
      <c r="F1010">
        <v>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</row>
    <row r="1011" spans="1:13" x14ac:dyDescent="0.3">
      <c r="A1011">
        <v>6.6656837177824082</v>
      </c>
      <c r="B1011">
        <v>3.2192757448895279</v>
      </c>
      <c r="C1011">
        <v>25</v>
      </c>
      <c r="D1011">
        <v>1</v>
      </c>
      <c r="E1011">
        <v>0</v>
      </c>
      <c r="F1011">
        <v>0</v>
      </c>
      <c r="G1011">
        <v>0</v>
      </c>
      <c r="H1011">
        <v>0</v>
      </c>
      <c r="I1011">
        <v>1</v>
      </c>
      <c r="J1011">
        <v>0</v>
      </c>
      <c r="K1011">
        <v>1</v>
      </c>
      <c r="L1011">
        <v>0</v>
      </c>
      <c r="M1011">
        <v>0</v>
      </c>
    </row>
    <row r="1012" spans="1:13" x14ac:dyDescent="0.3">
      <c r="A1012">
        <v>6.6631326959908028</v>
      </c>
      <c r="B1012">
        <v>2.996232148595642</v>
      </c>
      <c r="C1012">
        <v>13</v>
      </c>
      <c r="D1012">
        <v>0.61666666999999997</v>
      </c>
      <c r="E1012">
        <v>0</v>
      </c>
      <c r="F1012">
        <v>0</v>
      </c>
      <c r="G1012">
        <v>0</v>
      </c>
      <c r="H1012">
        <v>0</v>
      </c>
      <c r="I1012">
        <v>1</v>
      </c>
      <c r="J1012">
        <v>0</v>
      </c>
      <c r="K1012">
        <v>0</v>
      </c>
      <c r="L1012">
        <v>0</v>
      </c>
      <c r="M1012">
        <v>1</v>
      </c>
    </row>
    <row r="1013" spans="1:13" x14ac:dyDescent="0.3">
      <c r="A1013">
        <v>6.6631326959908028</v>
      </c>
      <c r="B1013">
        <v>4.7450190811044903</v>
      </c>
      <c r="C1013">
        <v>13</v>
      </c>
      <c r="D1013">
        <v>1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1</v>
      </c>
      <c r="K1013">
        <v>1</v>
      </c>
      <c r="L1013">
        <v>0</v>
      </c>
      <c r="M1013">
        <v>0</v>
      </c>
    </row>
    <row r="1014" spans="1:13" x14ac:dyDescent="0.3">
      <c r="A1014">
        <v>6.6528630293533473</v>
      </c>
      <c r="B1014">
        <v>3.4015306594522756</v>
      </c>
      <c r="C1014">
        <v>82</v>
      </c>
      <c r="D1014">
        <v>8</v>
      </c>
      <c r="E1014">
        <v>0</v>
      </c>
      <c r="F1014">
        <v>0</v>
      </c>
      <c r="G1014">
        <v>0</v>
      </c>
      <c r="H1014">
        <v>0</v>
      </c>
      <c r="I1014">
        <v>1</v>
      </c>
      <c r="J1014">
        <v>0</v>
      </c>
      <c r="K1014">
        <v>1</v>
      </c>
      <c r="L1014">
        <v>0</v>
      </c>
      <c r="M1014">
        <v>0</v>
      </c>
    </row>
    <row r="1015" spans="1:13" x14ac:dyDescent="0.3">
      <c r="A1015">
        <v>6.6463905148477291</v>
      </c>
      <c r="B1015">
        <v>3.5556337349665741</v>
      </c>
      <c r="C1015">
        <v>84</v>
      </c>
      <c r="D1015">
        <v>8</v>
      </c>
      <c r="E1015">
        <v>0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1</v>
      </c>
      <c r="L1015">
        <v>0</v>
      </c>
      <c r="M1015">
        <v>0</v>
      </c>
    </row>
    <row r="1016" spans="1:13" x14ac:dyDescent="0.3">
      <c r="A1016">
        <v>6.6463905148477291</v>
      </c>
      <c r="B1016">
        <v>3.4015306594522756</v>
      </c>
      <c r="C1016">
        <v>8</v>
      </c>
      <c r="D1016">
        <v>0.63333333000000003</v>
      </c>
      <c r="E1016">
        <v>0</v>
      </c>
      <c r="F1016">
        <v>0</v>
      </c>
      <c r="G1016">
        <v>0</v>
      </c>
      <c r="H1016">
        <v>0</v>
      </c>
      <c r="I1016">
        <v>1</v>
      </c>
      <c r="J1016">
        <v>0</v>
      </c>
      <c r="K1016">
        <v>1</v>
      </c>
      <c r="L1016">
        <v>0</v>
      </c>
      <c r="M1016">
        <v>0</v>
      </c>
    </row>
    <row r="1017" spans="1:13" x14ac:dyDescent="0.3">
      <c r="A1017">
        <v>6.642486801367256</v>
      </c>
      <c r="B1017">
        <v>4.5539821492186583</v>
      </c>
      <c r="C1017">
        <v>81</v>
      </c>
      <c r="D1017">
        <v>5.5</v>
      </c>
      <c r="E1017">
        <v>0</v>
      </c>
      <c r="F1017">
        <v>0</v>
      </c>
      <c r="G1017">
        <v>0</v>
      </c>
      <c r="H1017">
        <v>0</v>
      </c>
      <c r="I1017">
        <v>1</v>
      </c>
      <c r="J1017">
        <v>0</v>
      </c>
      <c r="K1017">
        <v>1</v>
      </c>
      <c r="L1017">
        <v>0</v>
      </c>
      <c r="M1017">
        <v>0</v>
      </c>
    </row>
    <row r="1018" spans="1:13" x14ac:dyDescent="0.3">
      <c r="A1018">
        <v>6.6385677891665207</v>
      </c>
      <c r="B1018">
        <v>3.5556337349665741</v>
      </c>
      <c r="C1018">
        <v>8</v>
      </c>
      <c r="D1018">
        <v>1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1</v>
      </c>
    </row>
    <row r="1019" spans="1:13" x14ac:dyDescent="0.3">
      <c r="A1019">
        <v>6.6267177492490248</v>
      </c>
      <c r="B1019">
        <v>4.1745411042163774</v>
      </c>
      <c r="C1019">
        <v>18</v>
      </c>
      <c r="D1019">
        <v>2</v>
      </c>
      <c r="E1019">
        <v>0</v>
      </c>
      <c r="F1019">
        <v>0</v>
      </c>
      <c r="G1019">
        <v>0</v>
      </c>
      <c r="H1019">
        <v>0</v>
      </c>
      <c r="I1019">
        <v>1</v>
      </c>
      <c r="J1019">
        <v>0</v>
      </c>
      <c r="K1019">
        <v>0</v>
      </c>
      <c r="L1019">
        <v>1</v>
      </c>
      <c r="M1019">
        <v>0</v>
      </c>
    </row>
    <row r="1020" spans="1:13" x14ac:dyDescent="0.3">
      <c r="A1020">
        <v>6.6267177492490248</v>
      </c>
      <c r="B1020">
        <v>3.5556337349665741</v>
      </c>
      <c r="C1020">
        <v>7</v>
      </c>
      <c r="D1020">
        <v>0.7</v>
      </c>
      <c r="E1020">
        <v>0</v>
      </c>
      <c r="F1020">
        <v>0</v>
      </c>
      <c r="G1020">
        <v>0</v>
      </c>
      <c r="H1020">
        <v>0</v>
      </c>
      <c r="I1020">
        <v>1</v>
      </c>
      <c r="J1020">
        <v>0</v>
      </c>
      <c r="K1020">
        <v>0</v>
      </c>
      <c r="L1020">
        <v>0</v>
      </c>
      <c r="M1020">
        <v>1</v>
      </c>
    </row>
    <row r="1021" spans="1:13" x14ac:dyDescent="0.3">
      <c r="A1021">
        <v>6.6147256002037604</v>
      </c>
      <c r="B1021">
        <v>3.4015306594522756</v>
      </c>
      <c r="C1021">
        <v>39</v>
      </c>
      <c r="D1021">
        <v>6.5</v>
      </c>
      <c r="E1021">
        <v>0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1</v>
      </c>
    </row>
    <row r="1022" spans="1:13" x14ac:dyDescent="0.3">
      <c r="A1022">
        <v>6.5998704992128365</v>
      </c>
      <c r="B1022">
        <v>4.7875750726433504</v>
      </c>
      <c r="C1022">
        <v>30</v>
      </c>
      <c r="D1022">
        <v>1.5</v>
      </c>
      <c r="E1022">
        <v>0</v>
      </c>
      <c r="F1022">
        <v>0</v>
      </c>
      <c r="G1022">
        <v>0</v>
      </c>
      <c r="H1022">
        <v>1</v>
      </c>
      <c r="I1022">
        <v>0</v>
      </c>
      <c r="J1022">
        <v>0</v>
      </c>
      <c r="K1022">
        <v>1</v>
      </c>
      <c r="L1022">
        <v>0</v>
      </c>
      <c r="M1022">
        <v>0</v>
      </c>
    </row>
    <row r="1023" spans="1:13" x14ac:dyDescent="0.3">
      <c r="A1023">
        <v>6.5971457018866513</v>
      </c>
      <c r="B1023">
        <v>4.4427688966292678</v>
      </c>
      <c r="C1023">
        <v>50</v>
      </c>
      <c r="D1023">
        <v>3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1</v>
      </c>
    </row>
    <row r="1024" spans="1:13" x14ac:dyDescent="0.3">
      <c r="A1024">
        <v>6.5834092221587648</v>
      </c>
      <c r="B1024">
        <v>3.6891294228691436</v>
      </c>
      <c r="C1024">
        <v>37</v>
      </c>
      <c r="D1024">
        <v>6.5</v>
      </c>
      <c r="E1024">
        <v>0</v>
      </c>
      <c r="F1024">
        <v>0</v>
      </c>
      <c r="G1024">
        <v>0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1</v>
      </c>
    </row>
    <row r="1025" spans="1:13" x14ac:dyDescent="0.3">
      <c r="A1025">
        <v>6.5820251388928259</v>
      </c>
      <c r="B1025">
        <v>2.996232148595642</v>
      </c>
      <c r="C1025">
        <v>18</v>
      </c>
      <c r="D1025">
        <v>1.5</v>
      </c>
      <c r="E1025">
        <v>0</v>
      </c>
      <c r="F1025">
        <v>0</v>
      </c>
      <c r="G1025">
        <v>0</v>
      </c>
      <c r="H1025">
        <v>1</v>
      </c>
      <c r="I1025">
        <v>0</v>
      </c>
      <c r="J1025">
        <v>0</v>
      </c>
      <c r="K1025">
        <v>0</v>
      </c>
      <c r="L1025">
        <v>0</v>
      </c>
      <c r="M1025">
        <v>1</v>
      </c>
    </row>
    <row r="1026" spans="1:13" x14ac:dyDescent="0.3">
      <c r="A1026">
        <v>6.5736801669606457</v>
      </c>
      <c r="B1026">
        <v>3.9122229854308124</v>
      </c>
      <c r="C1026">
        <v>57</v>
      </c>
      <c r="D1026">
        <v>4</v>
      </c>
      <c r="E1026">
        <v>0</v>
      </c>
      <c r="F1026">
        <v>0</v>
      </c>
      <c r="G1026">
        <v>0</v>
      </c>
      <c r="H1026">
        <v>0</v>
      </c>
      <c r="I1026">
        <v>1</v>
      </c>
      <c r="J1026">
        <v>0</v>
      </c>
      <c r="K1026">
        <v>0</v>
      </c>
      <c r="L1026">
        <v>0</v>
      </c>
      <c r="M1026">
        <v>1</v>
      </c>
    </row>
    <row r="1027" spans="1:13" x14ac:dyDescent="0.3">
      <c r="A1027">
        <v>6.5736801669606457</v>
      </c>
      <c r="B1027">
        <v>4.4427688966292678</v>
      </c>
      <c r="C1027">
        <v>34</v>
      </c>
      <c r="D1027">
        <v>2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</row>
    <row r="1028" spans="1:13" x14ac:dyDescent="0.3">
      <c r="A1028">
        <v>6.5722825426940075</v>
      </c>
      <c r="B1028">
        <v>2.996232148595642</v>
      </c>
      <c r="C1028">
        <v>12</v>
      </c>
      <c r="D1028">
        <v>1.5</v>
      </c>
      <c r="E1028">
        <v>0</v>
      </c>
      <c r="F1028">
        <v>0</v>
      </c>
      <c r="G1028">
        <v>0</v>
      </c>
      <c r="H1028">
        <v>0</v>
      </c>
      <c r="I1028">
        <v>1</v>
      </c>
      <c r="J1028">
        <v>0</v>
      </c>
      <c r="K1028">
        <v>0</v>
      </c>
      <c r="L1028">
        <v>1</v>
      </c>
      <c r="M1028">
        <v>0</v>
      </c>
    </row>
    <row r="1029" spans="1:13" x14ac:dyDescent="0.3">
      <c r="A1029">
        <v>6.5708829623395841</v>
      </c>
      <c r="B1029">
        <v>4.4427688966292678</v>
      </c>
      <c r="C1029">
        <v>28</v>
      </c>
      <c r="D1029">
        <v>3</v>
      </c>
      <c r="E1029">
        <v>0</v>
      </c>
      <c r="F1029">
        <v>0</v>
      </c>
      <c r="G1029">
        <v>1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1</v>
      </c>
    </row>
    <row r="1030" spans="1:13" x14ac:dyDescent="0.3">
      <c r="A1030">
        <v>6.5694814204142959</v>
      </c>
      <c r="B1030">
        <v>4.1745411042163774</v>
      </c>
      <c r="C1030">
        <v>8</v>
      </c>
      <c r="D1030">
        <v>1.5</v>
      </c>
      <c r="E1030">
        <v>0</v>
      </c>
      <c r="F1030">
        <v>0</v>
      </c>
      <c r="G1030">
        <v>0</v>
      </c>
      <c r="H1030">
        <v>0</v>
      </c>
      <c r="I1030">
        <v>1</v>
      </c>
      <c r="J1030">
        <v>0</v>
      </c>
      <c r="K1030">
        <v>0</v>
      </c>
      <c r="L1030">
        <v>0</v>
      </c>
      <c r="M1030">
        <v>1</v>
      </c>
    </row>
    <row r="1031" spans="1:13" x14ac:dyDescent="0.3">
      <c r="A1031">
        <v>6.5652649700353614</v>
      </c>
      <c r="B1031">
        <v>4.6540555837179021</v>
      </c>
      <c r="C1031">
        <v>49</v>
      </c>
      <c r="D1031">
        <v>3.5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1</v>
      </c>
      <c r="K1031">
        <v>0</v>
      </c>
      <c r="L1031">
        <v>0</v>
      </c>
      <c r="M1031">
        <v>1</v>
      </c>
    </row>
    <row r="1032" spans="1:13" x14ac:dyDescent="0.3">
      <c r="A1032">
        <v>6.5610306658965731</v>
      </c>
      <c r="B1032">
        <v>4.7875750726433504</v>
      </c>
      <c r="C1032">
        <v>103</v>
      </c>
      <c r="D1032">
        <v>6.5</v>
      </c>
      <c r="E1032">
        <v>0</v>
      </c>
      <c r="F1032">
        <v>0</v>
      </c>
      <c r="G1032">
        <v>0</v>
      </c>
      <c r="H1032">
        <v>1</v>
      </c>
      <c r="I1032">
        <v>0</v>
      </c>
      <c r="J1032">
        <v>0</v>
      </c>
      <c r="K1032">
        <v>1</v>
      </c>
      <c r="L1032">
        <v>0</v>
      </c>
      <c r="M1032">
        <v>0</v>
      </c>
    </row>
    <row r="1033" spans="1:13" x14ac:dyDescent="0.3">
      <c r="A1033">
        <v>6.5539334040258108</v>
      </c>
      <c r="B1033">
        <v>2.996232148595642</v>
      </c>
      <c r="C1033">
        <v>30</v>
      </c>
      <c r="D1033">
        <v>3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1</v>
      </c>
      <c r="L1033">
        <v>0</v>
      </c>
      <c r="M1033">
        <v>0</v>
      </c>
    </row>
    <row r="1034" spans="1:13" x14ac:dyDescent="0.3">
      <c r="A1034">
        <v>6.5424719605068047</v>
      </c>
      <c r="B1034">
        <v>4.5539821492186583</v>
      </c>
      <c r="C1034">
        <v>39</v>
      </c>
      <c r="D1034">
        <v>4</v>
      </c>
      <c r="E1034">
        <v>0</v>
      </c>
      <c r="F1034">
        <v>0</v>
      </c>
      <c r="G1034">
        <v>0</v>
      </c>
      <c r="H1034">
        <v>1</v>
      </c>
      <c r="I1034">
        <v>0</v>
      </c>
      <c r="J1034">
        <v>0</v>
      </c>
      <c r="K1034">
        <v>0</v>
      </c>
      <c r="L1034">
        <v>0</v>
      </c>
      <c r="M1034">
        <v>1</v>
      </c>
    </row>
    <row r="1035" spans="1:13" x14ac:dyDescent="0.3">
      <c r="A1035">
        <v>6.5308776277258849</v>
      </c>
      <c r="B1035">
        <v>2.996232148595642</v>
      </c>
      <c r="C1035">
        <v>21</v>
      </c>
      <c r="D1035">
        <v>3</v>
      </c>
      <c r="E1035">
        <v>0</v>
      </c>
      <c r="F1035">
        <v>0</v>
      </c>
      <c r="G1035">
        <v>0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1</v>
      </c>
    </row>
    <row r="1036" spans="1:13" x14ac:dyDescent="0.3">
      <c r="A1036">
        <v>6.5294188382622256</v>
      </c>
      <c r="B1036">
        <v>3.9122229854308124</v>
      </c>
      <c r="C1036">
        <v>14</v>
      </c>
      <c r="D1036">
        <v>1</v>
      </c>
      <c r="E1036">
        <v>0</v>
      </c>
      <c r="F1036">
        <v>0</v>
      </c>
      <c r="G1036">
        <v>0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1</v>
      </c>
    </row>
    <row r="1037" spans="1:13" x14ac:dyDescent="0.3">
      <c r="A1037">
        <v>6.5161930760429643</v>
      </c>
      <c r="B1037">
        <v>5.2983673652980787</v>
      </c>
      <c r="C1037">
        <v>125</v>
      </c>
      <c r="D1037">
        <v>14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1</v>
      </c>
      <c r="K1037">
        <v>0</v>
      </c>
      <c r="L1037">
        <v>0</v>
      </c>
      <c r="M1037">
        <v>1</v>
      </c>
    </row>
    <row r="1038" spans="1:13" x14ac:dyDescent="0.3">
      <c r="A1038">
        <v>6.5072777123850116</v>
      </c>
      <c r="B1038">
        <v>3.6891294228691436</v>
      </c>
      <c r="C1038">
        <v>37</v>
      </c>
      <c r="D1038">
        <v>4.5</v>
      </c>
      <c r="E1038">
        <v>0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1</v>
      </c>
      <c r="L1038">
        <v>0</v>
      </c>
      <c r="M1038">
        <v>0</v>
      </c>
    </row>
    <row r="1039" spans="1:13" x14ac:dyDescent="0.3">
      <c r="A1039">
        <v>6.5012896705403893</v>
      </c>
      <c r="B1039">
        <v>4.4427688966292678</v>
      </c>
      <c r="C1039">
        <v>115</v>
      </c>
      <c r="D1039">
        <v>6.5</v>
      </c>
      <c r="E1039">
        <v>0</v>
      </c>
      <c r="F1039">
        <v>0</v>
      </c>
      <c r="G1039">
        <v>0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1</v>
      </c>
    </row>
    <row r="1040" spans="1:13" x14ac:dyDescent="0.3">
      <c r="A1040">
        <v>6.4907235345025072</v>
      </c>
      <c r="B1040">
        <v>2.996232148595642</v>
      </c>
      <c r="C1040">
        <v>26</v>
      </c>
      <c r="D1040">
        <v>3.5</v>
      </c>
      <c r="E1040">
        <v>0</v>
      </c>
      <c r="F1040">
        <v>0</v>
      </c>
      <c r="G1040">
        <v>0</v>
      </c>
      <c r="H1040">
        <v>0</v>
      </c>
      <c r="I1040">
        <v>1</v>
      </c>
      <c r="J1040">
        <v>0</v>
      </c>
      <c r="K1040">
        <v>1</v>
      </c>
      <c r="L1040">
        <v>0</v>
      </c>
      <c r="M1040">
        <v>0</v>
      </c>
    </row>
    <row r="1041" spans="1:13" x14ac:dyDescent="0.3">
      <c r="A1041">
        <v>6.4846352356352517</v>
      </c>
      <c r="B1041">
        <v>4.9768027055598036</v>
      </c>
      <c r="C1041">
        <v>195</v>
      </c>
      <c r="D1041">
        <v>12.5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1</v>
      </c>
    </row>
    <row r="1042" spans="1:13" x14ac:dyDescent="0.3">
      <c r="A1042">
        <v>6.4831073514571989</v>
      </c>
      <c r="B1042">
        <v>4.5539821492186583</v>
      </c>
      <c r="C1042">
        <v>239</v>
      </c>
      <c r="D1042">
        <v>25.5</v>
      </c>
      <c r="E1042">
        <v>0</v>
      </c>
      <c r="F1042">
        <v>0</v>
      </c>
      <c r="G1042">
        <v>0</v>
      </c>
      <c r="H1042">
        <v>0</v>
      </c>
      <c r="I1042">
        <v>1</v>
      </c>
      <c r="J1042">
        <v>0</v>
      </c>
      <c r="K1042">
        <v>1</v>
      </c>
      <c r="L1042">
        <v>0</v>
      </c>
      <c r="M1042">
        <v>0</v>
      </c>
    </row>
    <row r="1043" spans="1:13" x14ac:dyDescent="0.3">
      <c r="A1043">
        <v>6.481577129276431</v>
      </c>
      <c r="B1043">
        <v>5.2983673652980787</v>
      </c>
      <c r="C1043">
        <v>25</v>
      </c>
      <c r="D1043">
        <v>1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1</v>
      </c>
      <c r="L1043">
        <v>0</v>
      </c>
      <c r="M1043">
        <v>0</v>
      </c>
    </row>
    <row r="1044" spans="1:13" x14ac:dyDescent="0.3">
      <c r="A1044">
        <v>6.4800445619266531</v>
      </c>
      <c r="B1044">
        <v>4.0945112150014218</v>
      </c>
      <c r="C1044">
        <v>46</v>
      </c>
      <c r="D1044">
        <v>6.5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1</v>
      </c>
      <c r="K1044">
        <v>1</v>
      </c>
      <c r="L1044">
        <v>0</v>
      </c>
      <c r="M1044">
        <v>0</v>
      </c>
    </row>
    <row r="1045" spans="1:13" x14ac:dyDescent="0.3">
      <c r="A1045">
        <v>6.4785096422085688</v>
      </c>
      <c r="B1045">
        <v>4.3176214379815452</v>
      </c>
      <c r="C1045">
        <v>20</v>
      </c>
      <c r="D1045">
        <v>2.5</v>
      </c>
      <c r="E1045">
        <v>0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1</v>
      </c>
      <c r="L1045">
        <v>0</v>
      </c>
      <c r="M1045">
        <v>0</v>
      </c>
    </row>
    <row r="1046" spans="1:13" x14ac:dyDescent="0.3">
      <c r="A1046">
        <v>6.4676987261043539</v>
      </c>
      <c r="B1046">
        <v>2.996232148595642</v>
      </c>
      <c r="C1046">
        <v>28</v>
      </c>
      <c r="D1046">
        <v>1.5</v>
      </c>
      <c r="E1046">
        <v>0</v>
      </c>
      <c r="F1046">
        <v>0</v>
      </c>
      <c r="G1046">
        <v>0</v>
      </c>
      <c r="H1046">
        <v>1</v>
      </c>
      <c r="I1046">
        <v>0</v>
      </c>
      <c r="J1046">
        <v>0</v>
      </c>
      <c r="K1046">
        <v>0</v>
      </c>
      <c r="L1046">
        <v>0</v>
      </c>
      <c r="M1046">
        <v>1</v>
      </c>
    </row>
    <row r="1047" spans="1:13" x14ac:dyDescent="0.3">
      <c r="A1047">
        <v>6.4551985633401223</v>
      </c>
      <c r="B1047">
        <v>3.9122229854308124</v>
      </c>
      <c r="C1047">
        <v>54</v>
      </c>
      <c r="D1047">
        <v>10</v>
      </c>
      <c r="E1047">
        <v>0</v>
      </c>
      <c r="F1047">
        <v>0</v>
      </c>
      <c r="G1047">
        <v>0</v>
      </c>
      <c r="H1047">
        <v>1</v>
      </c>
      <c r="I1047">
        <v>0</v>
      </c>
      <c r="J1047">
        <v>0</v>
      </c>
      <c r="K1047">
        <v>0</v>
      </c>
      <c r="L1047">
        <v>0</v>
      </c>
      <c r="M1047">
        <v>1</v>
      </c>
    </row>
    <row r="1048" spans="1:13" x14ac:dyDescent="0.3">
      <c r="A1048">
        <v>6.4504704221441758</v>
      </c>
      <c r="B1048">
        <v>5.2983673652980787</v>
      </c>
      <c r="C1048">
        <v>54</v>
      </c>
      <c r="D1048">
        <v>4</v>
      </c>
      <c r="E1048">
        <v>0</v>
      </c>
      <c r="F1048">
        <v>0</v>
      </c>
      <c r="G1048">
        <v>0</v>
      </c>
      <c r="H1048">
        <v>0</v>
      </c>
      <c r="I1048">
        <v>1</v>
      </c>
      <c r="J1048">
        <v>0</v>
      </c>
      <c r="K1048">
        <v>1</v>
      </c>
      <c r="L1048">
        <v>0</v>
      </c>
      <c r="M1048">
        <v>0</v>
      </c>
    </row>
    <row r="1049" spans="1:13" x14ac:dyDescent="0.3">
      <c r="A1049">
        <v>6.4504704221441758</v>
      </c>
      <c r="B1049">
        <v>3.6891294228691436</v>
      </c>
      <c r="C1049">
        <v>31</v>
      </c>
      <c r="D1049">
        <v>5</v>
      </c>
      <c r="E1049">
        <v>0</v>
      </c>
      <c r="F1049">
        <v>0</v>
      </c>
      <c r="G1049">
        <v>0</v>
      </c>
      <c r="H1049">
        <v>1</v>
      </c>
      <c r="I1049">
        <v>0</v>
      </c>
      <c r="J1049">
        <v>0</v>
      </c>
      <c r="K1049">
        <v>0</v>
      </c>
      <c r="L1049">
        <v>0</v>
      </c>
      <c r="M1049">
        <v>1</v>
      </c>
    </row>
    <row r="1050" spans="1:13" x14ac:dyDescent="0.3">
      <c r="A1050">
        <v>6.4473058625412127</v>
      </c>
      <c r="B1050">
        <v>4.3176214379815452</v>
      </c>
      <c r="C1050">
        <v>65</v>
      </c>
      <c r="D1050">
        <v>4.5</v>
      </c>
      <c r="E1050">
        <v>0</v>
      </c>
      <c r="F1050">
        <v>0</v>
      </c>
      <c r="G1050">
        <v>0</v>
      </c>
      <c r="H1050">
        <v>1</v>
      </c>
      <c r="I1050">
        <v>0</v>
      </c>
      <c r="J1050">
        <v>0</v>
      </c>
      <c r="K1050">
        <v>1</v>
      </c>
      <c r="L1050">
        <v>0</v>
      </c>
      <c r="M1050">
        <v>0</v>
      </c>
    </row>
    <row r="1051" spans="1:13" x14ac:dyDescent="0.3">
      <c r="A1051">
        <v>6.4409465406329209</v>
      </c>
      <c r="B1051">
        <v>4.7450190811044903</v>
      </c>
      <c r="C1051">
        <v>7</v>
      </c>
      <c r="D1051">
        <v>1</v>
      </c>
      <c r="E1051">
        <v>0</v>
      </c>
      <c r="F1051">
        <v>0</v>
      </c>
      <c r="G1051">
        <v>0</v>
      </c>
      <c r="H1051">
        <v>0</v>
      </c>
      <c r="I1051">
        <v>1</v>
      </c>
      <c r="J1051">
        <v>0</v>
      </c>
      <c r="K1051">
        <v>0</v>
      </c>
      <c r="L1051">
        <v>0</v>
      </c>
      <c r="M1051">
        <v>1</v>
      </c>
    </row>
    <row r="1052" spans="1:13" x14ac:dyDescent="0.3">
      <c r="A1052">
        <v>6.4409465406329209</v>
      </c>
      <c r="B1052">
        <v>3.6891294228691436</v>
      </c>
      <c r="C1052">
        <v>31</v>
      </c>
      <c r="D1052">
        <v>4.5</v>
      </c>
      <c r="E1052">
        <v>0</v>
      </c>
      <c r="F1052">
        <v>0</v>
      </c>
      <c r="G1052">
        <v>0</v>
      </c>
      <c r="H1052">
        <v>1</v>
      </c>
      <c r="I1052">
        <v>0</v>
      </c>
      <c r="J1052">
        <v>0</v>
      </c>
      <c r="K1052">
        <v>0</v>
      </c>
      <c r="L1052">
        <v>0</v>
      </c>
      <c r="M1052">
        <v>1</v>
      </c>
    </row>
    <row r="1053" spans="1:13" x14ac:dyDescent="0.3">
      <c r="A1053">
        <v>6.4183649359362116</v>
      </c>
      <c r="B1053">
        <v>3.9122229854308124</v>
      </c>
      <c r="C1053">
        <v>116</v>
      </c>
      <c r="D1053">
        <v>16</v>
      </c>
      <c r="E1053">
        <v>0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1</v>
      </c>
      <c r="L1053">
        <v>0</v>
      </c>
      <c r="M1053">
        <v>0</v>
      </c>
    </row>
    <row r="1054" spans="1:13" x14ac:dyDescent="0.3">
      <c r="A1054">
        <v>6.4183649359362116</v>
      </c>
      <c r="B1054">
        <v>5.1930124049026132</v>
      </c>
      <c r="C1054">
        <v>37</v>
      </c>
      <c r="D1054">
        <v>4.5</v>
      </c>
      <c r="E1054">
        <v>0</v>
      </c>
      <c r="F1054">
        <v>0</v>
      </c>
      <c r="G1054">
        <v>0</v>
      </c>
      <c r="H1054">
        <v>0</v>
      </c>
      <c r="I1054">
        <v>1</v>
      </c>
      <c r="J1054">
        <v>0</v>
      </c>
      <c r="K1054">
        <v>0</v>
      </c>
      <c r="L1054">
        <v>0</v>
      </c>
      <c r="M1054">
        <v>1</v>
      </c>
    </row>
    <row r="1055" spans="1:13" x14ac:dyDescent="0.3">
      <c r="A1055">
        <v>6.4101748819661672</v>
      </c>
      <c r="B1055">
        <v>4.4427688966292678</v>
      </c>
      <c r="C1055">
        <v>48</v>
      </c>
      <c r="D1055">
        <v>3.5</v>
      </c>
      <c r="E1055">
        <v>0</v>
      </c>
      <c r="F1055">
        <v>0</v>
      </c>
      <c r="G1055">
        <v>1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1</v>
      </c>
    </row>
    <row r="1056" spans="1:13" x14ac:dyDescent="0.3">
      <c r="A1056">
        <v>6.4035741979348151</v>
      </c>
      <c r="B1056">
        <v>3.8068846873048412</v>
      </c>
      <c r="C1056">
        <v>35</v>
      </c>
      <c r="D1056">
        <v>4</v>
      </c>
      <c r="E1056">
        <v>0</v>
      </c>
      <c r="F1056">
        <v>0</v>
      </c>
      <c r="G1056">
        <v>0</v>
      </c>
      <c r="H1056">
        <v>1</v>
      </c>
      <c r="I1056">
        <v>0</v>
      </c>
      <c r="J1056">
        <v>0</v>
      </c>
      <c r="K1056">
        <v>0</v>
      </c>
      <c r="L1056">
        <v>0</v>
      </c>
      <c r="M1056">
        <v>1</v>
      </c>
    </row>
    <row r="1057" spans="1:13" x14ac:dyDescent="0.3">
      <c r="A1057">
        <v>6.4035741979348151</v>
      </c>
      <c r="B1057">
        <v>2.996232148595642</v>
      </c>
      <c r="C1057">
        <v>43</v>
      </c>
      <c r="D1057">
        <v>3.5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1</v>
      </c>
      <c r="K1057">
        <v>1</v>
      </c>
      <c r="L1057">
        <v>0</v>
      </c>
      <c r="M1057">
        <v>0</v>
      </c>
    </row>
    <row r="1058" spans="1:13" x14ac:dyDescent="0.3">
      <c r="A1058">
        <v>6.4002574453088208</v>
      </c>
      <c r="B1058">
        <v>4.9768027055598036</v>
      </c>
      <c r="C1058">
        <v>214</v>
      </c>
      <c r="D1058">
        <v>15.5</v>
      </c>
      <c r="E1058">
        <v>0</v>
      </c>
      <c r="F1058">
        <v>0</v>
      </c>
      <c r="G1058">
        <v>0</v>
      </c>
      <c r="H1058">
        <v>0</v>
      </c>
      <c r="I1058">
        <v>1</v>
      </c>
      <c r="J1058">
        <v>0</v>
      </c>
      <c r="K1058">
        <v>1</v>
      </c>
      <c r="L1058">
        <v>0</v>
      </c>
      <c r="M1058">
        <v>0</v>
      </c>
    </row>
    <row r="1059" spans="1:13" x14ac:dyDescent="0.3">
      <c r="A1059">
        <v>6.3985949345352076</v>
      </c>
      <c r="B1059">
        <v>3.5556337349665741</v>
      </c>
      <c r="C1059">
        <v>64</v>
      </c>
      <c r="D1059">
        <v>5.5</v>
      </c>
      <c r="E1059">
        <v>0</v>
      </c>
      <c r="F1059">
        <v>0</v>
      </c>
      <c r="G1059">
        <v>0</v>
      </c>
      <c r="H1059">
        <v>0</v>
      </c>
      <c r="I1059">
        <v>1</v>
      </c>
      <c r="J1059">
        <v>0</v>
      </c>
      <c r="K1059">
        <v>0</v>
      </c>
      <c r="L1059">
        <v>0</v>
      </c>
      <c r="M1059">
        <v>1</v>
      </c>
    </row>
    <row r="1060" spans="1:13" x14ac:dyDescent="0.3">
      <c r="A1060">
        <v>6.3985949345352076</v>
      </c>
      <c r="B1060">
        <v>3.6891294228691436</v>
      </c>
      <c r="C1060">
        <v>6</v>
      </c>
      <c r="D1060">
        <v>0.58333332999999998</v>
      </c>
      <c r="E1060">
        <v>0</v>
      </c>
      <c r="F1060">
        <v>0</v>
      </c>
      <c r="G1060">
        <v>0</v>
      </c>
      <c r="H1060">
        <v>0</v>
      </c>
      <c r="I1060">
        <v>1</v>
      </c>
      <c r="J1060">
        <v>0</v>
      </c>
      <c r="K1060">
        <v>0</v>
      </c>
      <c r="L1060">
        <v>1</v>
      </c>
      <c r="M1060">
        <v>0</v>
      </c>
    </row>
    <row r="1061" spans="1:13" x14ac:dyDescent="0.3">
      <c r="A1061">
        <v>6.39024066706535</v>
      </c>
      <c r="B1061">
        <v>5.273050839300149</v>
      </c>
      <c r="C1061">
        <v>84</v>
      </c>
      <c r="D1061">
        <v>8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1</v>
      </c>
      <c r="K1061">
        <v>1</v>
      </c>
      <c r="L1061">
        <v>0</v>
      </c>
      <c r="M1061">
        <v>0</v>
      </c>
    </row>
    <row r="1062" spans="1:13" x14ac:dyDescent="0.3">
      <c r="A1062">
        <v>6.3733197895770122</v>
      </c>
      <c r="B1062">
        <v>3.9122229854308124</v>
      </c>
      <c r="C1062">
        <v>17</v>
      </c>
      <c r="D1062">
        <v>0.63333333000000003</v>
      </c>
      <c r="E1062">
        <v>0</v>
      </c>
      <c r="F1062">
        <v>0</v>
      </c>
      <c r="G1062">
        <v>0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1</v>
      </c>
    </row>
    <row r="1063" spans="1:13" x14ac:dyDescent="0.3">
      <c r="A1063">
        <v>6.3733197895770122</v>
      </c>
      <c r="B1063">
        <v>4.0945112150014218</v>
      </c>
      <c r="C1063">
        <v>98</v>
      </c>
      <c r="D1063">
        <v>5.5</v>
      </c>
      <c r="E1063">
        <v>0</v>
      </c>
      <c r="F1063">
        <v>0</v>
      </c>
      <c r="G1063">
        <v>0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1</v>
      </c>
    </row>
    <row r="1064" spans="1:13" x14ac:dyDescent="0.3">
      <c r="A1064">
        <v>6.3733197895770122</v>
      </c>
      <c r="B1064">
        <v>3.4015306594522756</v>
      </c>
      <c r="C1064">
        <v>56</v>
      </c>
      <c r="D1064">
        <v>5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1</v>
      </c>
      <c r="L1064">
        <v>0</v>
      </c>
      <c r="M1064">
        <v>0</v>
      </c>
    </row>
    <row r="1065" spans="1:13" x14ac:dyDescent="0.3">
      <c r="A1065">
        <v>6.3681871863504922</v>
      </c>
      <c r="B1065">
        <v>4.5539821492186583</v>
      </c>
      <c r="C1065">
        <v>35</v>
      </c>
      <c r="D1065">
        <v>3.5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1</v>
      </c>
      <c r="K1065">
        <v>1</v>
      </c>
      <c r="L1065">
        <v>0</v>
      </c>
      <c r="M1065">
        <v>0</v>
      </c>
    </row>
    <row r="1066" spans="1:13" x14ac:dyDescent="0.3">
      <c r="A1066">
        <v>6.3595738686723777</v>
      </c>
      <c r="B1066">
        <v>4.3176214379815452</v>
      </c>
      <c r="C1066">
        <v>84</v>
      </c>
      <c r="D1066">
        <v>5.5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1</v>
      </c>
      <c r="K1066">
        <v>1</v>
      </c>
      <c r="L1066">
        <v>0</v>
      </c>
      <c r="M1066">
        <v>0</v>
      </c>
    </row>
    <row r="1067" spans="1:13" x14ac:dyDescent="0.3">
      <c r="A1067">
        <v>6.3595738686723777</v>
      </c>
      <c r="B1067">
        <v>4.7875750726433504</v>
      </c>
      <c r="C1067">
        <v>36</v>
      </c>
      <c r="D1067">
        <v>4.5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1</v>
      </c>
      <c r="K1067">
        <v>0</v>
      </c>
      <c r="L1067">
        <v>0</v>
      </c>
      <c r="M1067">
        <v>1</v>
      </c>
    </row>
    <row r="1068" spans="1:13" x14ac:dyDescent="0.3">
      <c r="A1068">
        <v>6.3595738686723777</v>
      </c>
      <c r="B1068">
        <v>4.1745411042163774</v>
      </c>
      <c r="C1068">
        <v>8</v>
      </c>
      <c r="D1068">
        <v>1</v>
      </c>
      <c r="E1068">
        <v>0</v>
      </c>
      <c r="F1068">
        <v>0</v>
      </c>
      <c r="G1068">
        <v>0</v>
      </c>
      <c r="H1068">
        <v>0</v>
      </c>
      <c r="I1068">
        <v>1</v>
      </c>
      <c r="J1068">
        <v>0</v>
      </c>
      <c r="K1068">
        <v>1</v>
      </c>
      <c r="L1068">
        <v>0</v>
      </c>
      <c r="M1068">
        <v>0</v>
      </c>
    </row>
    <row r="1069" spans="1:13" x14ac:dyDescent="0.3">
      <c r="A1069">
        <v>6.3578422665080998</v>
      </c>
      <c r="B1069">
        <v>3.9122229854308124</v>
      </c>
      <c r="C1069">
        <v>101</v>
      </c>
      <c r="D1069">
        <v>9.5</v>
      </c>
      <c r="E1069">
        <v>0</v>
      </c>
      <c r="F1069">
        <v>0</v>
      </c>
      <c r="G1069">
        <v>0</v>
      </c>
      <c r="H1069">
        <v>0</v>
      </c>
      <c r="I1069">
        <v>1</v>
      </c>
      <c r="J1069">
        <v>0</v>
      </c>
      <c r="K1069">
        <v>1</v>
      </c>
      <c r="L1069">
        <v>0</v>
      </c>
      <c r="M1069">
        <v>0</v>
      </c>
    </row>
    <row r="1070" spans="1:13" x14ac:dyDescent="0.3">
      <c r="A1070">
        <v>6.3403593037277517</v>
      </c>
      <c r="B1070">
        <v>5.2204098776715107</v>
      </c>
      <c r="C1070">
        <v>34</v>
      </c>
      <c r="D1070">
        <v>8</v>
      </c>
      <c r="E1070">
        <v>0</v>
      </c>
      <c r="F1070">
        <v>0</v>
      </c>
      <c r="G1070">
        <v>0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1</v>
      </c>
    </row>
    <row r="1071" spans="1:13" x14ac:dyDescent="0.3">
      <c r="A1071">
        <v>6.3332796281396906</v>
      </c>
      <c r="B1071">
        <v>5.2983673652980787</v>
      </c>
      <c r="C1071">
        <v>32</v>
      </c>
      <c r="D1071">
        <v>3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1</v>
      </c>
      <c r="L1071">
        <v>0</v>
      </c>
      <c r="M1071">
        <v>0</v>
      </c>
    </row>
    <row r="1072" spans="1:13" x14ac:dyDescent="0.3">
      <c r="A1072">
        <v>6.3225652399272843</v>
      </c>
      <c r="B1072">
        <v>4.6052701809884251</v>
      </c>
      <c r="C1072">
        <v>133</v>
      </c>
      <c r="D1072">
        <v>9.5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1</v>
      </c>
      <c r="K1072">
        <v>0</v>
      </c>
      <c r="L1072">
        <v>0</v>
      </c>
      <c r="M1072">
        <v>1</v>
      </c>
    </row>
    <row r="1073" spans="1:13" x14ac:dyDescent="0.3">
      <c r="A1073">
        <v>6.3225652399272843</v>
      </c>
      <c r="B1073">
        <v>4.5539821492186583</v>
      </c>
      <c r="C1073">
        <v>28</v>
      </c>
      <c r="D1073">
        <v>2.5</v>
      </c>
      <c r="E1073">
        <v>0</v>
      </c>
      <c r="F1073">
        <v>0</v>
      </c>
      <c r="G1073">
        <v>0</v>
      </c>
      <c r="H1073">
        <v>1</v>
      </c>
      <c r="I1073">
        <v>0</v>
      </c>
      <c r="J1073">
        <v>0</v>
      </c>
      <c r="K1073">
        <v>1</v>
      </c>
      <c r="L1073">
        <v>0</v>
      </c>
      <c r="M1073">
        <v>0</v>
      </c>
    </row>
    <row r="1074" spans="1:13" x14ac:dyDescent="0.3">
      <c r="A1074">
        <v>6.3189681137464344</v>
      </c>
      <c r="B1074">
        <v>3.9122229854308124</v>
      </c>
      <c r="C1074">
        <v>16</v>
      </c>
      <c r="D1074">
        <v>2.5</v>
      </c>
      <c r="E1074">
        <v>0</v>
      </c>
      <c r="F1074">
        <v>0</v>
      </c>
      <c r="G1074">
        <v>0</v>
      </c>
      <c r="H1074">
        <v>1</v>
      </c>
      <c r="I1074">
        <v>0</v>
      </c>
      <c r="J1074">
        <v>0</v>
      </c>
      <c r="K1074">
        <v>1</v>
      </c>
      <c r="L1074">
        <v>0</v>
      </c>
      <c r="M1074">
        <v>0</v>
      </c>
    </row>
    <row r="1075" spans="1:13" x14ac:dyDescent="0.3">
      <c r="A1075">
        <v>6.315358001522335</v>
      </c>
      <c r="B1075">
        <v>3.6891294228691436</v>
      </c>
      <c r="C1075">
        <v>31</v>
      </c>
      <c r="D1075">
        <v>3</v>
      </c>
      <c r="E1075">
        <v>0</v>
      </c>
      <c r="F1075">
        <v>0</v>
      </c>
      <c r="G1075">
        <v>0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1</v>
      </c>
    </row>
    <row r="1076" spans="1:13" x14ac:dyDescent="0.3">
      <c r="A1076">
        <v>6.3099182782265162</v>
      </c>
      <c r="B1076">
        <v>4.9768027055598036</v>
      </c>
      <c r="C1076">
        <v>59</v>
      </c>
      <c r="D1076">
        <v>3</v>
      </c>
      <c r="E1076">
        <v>0</v>
      </c>
      <c r="F1076">
        <v>0</v>
      </c>
      <c r="G1076">
        <v>0</v>
      </c>
      <c r="H1076">
        <v>0</v>
      </c>
      <c r="I1076">
        <v>1</v>
      </c>
      <c r="J1076">
        <v>0</v>
      </c>
      <c r="K1076">
        <v>1</v>
      </c>
      <c r="L1076">
        <v>0</v>
      </c>
      <c r="M1076">
        <v>0</v>
      </c>
    </row>
    <row r="1077" spans="1:13" x14ac:dyDescent="0.3">
      <c r="A1077">
        <v>6.3099182782265162</v>
      </c>
      <c r="B1077">
        <v>3.4015306594522756</v>
      </c>
      <c r="C1077">
        <v>70</v>
      </c>
      <c r="D1077">
        <v>9</v>
      </c>
      <c r="E1077">
        <v>0</v>
      </c>
      <c r="F1077">
        <v>0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1</v>
      </c>
    </row>
    <row r="1078" spans="1:13" x14ac:dyDescent="0.3">
      <c r="A1078">
        <v>6.3080984415095305</v>
      </c>
      <c r="B1078">
        <v>5.2983673652980787</v>
      </c>
      <c r="C1078">
        <v>18</v>
      </c>
      <c r="D1078">
        <v>2</v>
      </c>
      <c r="E1078">
        <v>0</v>
      </c>
      <c r="F1078">
        <v>0</v>
      </c>
      <c r="G1078">
        <v>0</v>
      </c>
      <c r="H1078">
        <v>1</v>
      </c>
      <c r="I1078">
        <v>0</v>
      </c>
      <c r="J1078">
        <v>0</v>
      </c>
      <c r="K1078">
        <v>1</v>
      </c>
      <c r="L1078">
        <v>0</v>
      </c>
      <c r="M1078">
        <v>0</v>
      </c>
    </row>
    <row r="1079" spans="1:13" x14ac:dyDescent="0.3">
      <c r="A1079">
        <v>6.3026189757449051</v>
      </c>
      <c r="B1079">
        <v>4.9768027055598036</v>
      </c>
      <c r="C1079">
        <v>21</v>
      </c>
      <c r="D1079">
        <v>3</v>
      </c>
      <c r="E1079">
        <v>0</v>
      </c>
      <c r="F1079">
        <v>0</v>
      </c>
      <c r="G1079">
        <v>0</v>
      </c>
      <c r="H1079">
        <v>0</v>
      </c>
      <c r="I1079">
        <v>1</v>
      </c>
      <c r="J1079">
        <v>0</v>
      </c>
      <c r="K1079">
        <v>1</v>
      </c>
      <c r="L1079">
        <v>0</v>
      </c>
      <c r="M1079">
        <v>0</v>
      </c>
    </row>
    <row r="1080" spans="1:13" x14ac:dyDescent="0.3">
      <c r="A1080">
        <v>6.2915691395583204</v>
      </c>
      <c r="B1080">
        <v>3.8068846873048412</v>
      </c>
      <c r="C1080">
        <v>19</v>
      </c>
      <c r="D1080">
        <v>1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1</v>
      </c>
      <c r="K1080">
        <v>1</v>
      </c>
      <c r="L1080">
        <v>0</v>
      </c>
      <c r="M1080">
        <v>0</v>
      </c>
    </row>
    <row r="1081" spans="1:13" x14ac:dyDescent="0.3">
      <c r="A1081">
        <v>6.2915691395583204</v>
      </c>
      <c r="B1081">
        <v>3.9122229854308124</v>
      </c>
      <c r="C1081">
        <v>15</v>
      </c>
      <c r="D1081">
        <v>0.6</v>
      </c>
      <c r="E1081">
        <v>0</v>
      </c>
      <c r="F1081">
        <v>0</v>
      </c>
      <c r="G1081">
        <v>0</v>
      </c>
      <c r="H1081">
        <v>1</v>
      </c>
      <c r="I1081">
        <v>0</v>
      </c>
      <c r="J1081">
        <v>0</v>
      </c>
      <c r="K1081">
        <v>1</v>
      </c>
      <c r="L1081">
        <v>0</v>
      </c>
      <c r="M1081">
        <v>0</v>
      </c>
    </row>
    <row r="1082" spans="1:13" x14ac:dyDescent="0.3">
      <c r="A1082">
        <v>6.2878585601617845</v>
      </c>
      <c r="B1082">
        <v>4.4427688966292678</v>
      </c>
      <c r="C1082">
        <v>113</v>
      </c>
      <c r="D1082">
        <v>18.5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1</v>
      </c>
      <c r="K1082">
        <v>1</v>
      </c>
      <c r="L1082">
        <v>0</v>
      </c>
      <c r="M1082">
        <v>0</v>
      </c>
    </row>
    <row r="1083" spans="1:13" x14ac:dyDescent="0.3">
      <c r="A1083">
        <v>6.280395838960195</v>
      </c>
      <c r="B1083">
        <v>5.1648431151480656</v>
      </c>
      <c r="C1083">
        <v>51</v>
      </c>
      <c r="D1083">
        <v>4</v>
      </c>
      <c r="E1083">
        <v>0</v>
      </c>
      <c r="F1083">
        <v>0</v>
      </c>
      <c r="G1083">
        <v>0</v>
      </c>
      <c r="H1083">
        <v>0</v>
      </c>
      <c r="I1083">
        <v>1</v>
      </c>
      <c r="J1083">
        <v>0</v>
      </c>
      <c r="K1083">
        <v>1</v>
      </c>
      <c r="L1083">
        <v>0</v>
      </c>
      <c r="M1083">
        <v>0</v>
      </c>
    </row>
    <row r="1084" spans="1:13" x14ac:dyDescent="0.3">
      <c r="A1084">
        <v>6.2785214241658442</v>
      </c>
      <c r="B1084">
        <v>4.3176214379815452</v>
      </c>
      <c r="C1084">
        <v>23</v>
      </c>
      <c r="D1084">
        <v>3</v>
      </c>
      <c r="E1084">
        <v>0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1</v>
      </c>
    </row>
    <row r="1085" spans="1:13" x14ac:dyDescent="0.3">
      <c r="A1085">
        <v>6.2672005485413624</v>
      </c>
      <c r="B1085">
        <v>3.6891294228691436</v>
      </c>
      <c r="C1085">
        <v>11</v>
      </c>
      <c r="D1085">
        <v>2.5</v>
      </c>
      <c r="E1085">
        <v>0</v>
      </c>
      <c r="F1085">
        <v>0</v>
      </c>
      <c r="G1085">
        <v>1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1</v>
      </c>
    </row>
    <row r="1086" spans="1:13" x14ac:dyDescent="0.3">
      <c r="A1086">
        <v>6.2576675878826391</v>
      </c>
      <c r="B1086">
        <v>4.9768027055598036</v>
      </c>
      <c r="C1086">
        <v>48</v>
      </c>
      <c r="D1086">
        <v>5.5</v>
      </c>
      <c r="E1086">
        <v>0</v>
      </c>
      <c r="F1086">
        <v>0</v>
      </c>
      <c r="G1086">
        <v>0</v>
      </c>
      <c r="H1086">
        <v>0</v>
      </c>
      <c r="I1086">
        <v>1</v>
      </c>
      <c r="J1086">
        <v>0</v>
      </c>
      <c r="K1086">
        <v>1</v>
      </c>
      <c r="L1086">
        <v>0</v>
      </c>
      <c r="M1086">
        <v>0</v>
      </c>
    </row>
    <row r="1087" spans="1:13" x14ac:dyDescent="0.3">
      <c r="A1087">
        <v>6.2402758451707694</v>
      </c>
      <c r="B1087">
        <v>3.6891294228691436</v>
      </c>
      <c r="C1087">
        <v>48</v>
      </c>
      <c r="D1087">
        <v>3.5</v>
      </c>
      <c r="E1087">
        <v>0</v>
      </c>
      <c r="F1087">
        <v>0</v>
      </c>
      <c r="G1087">
        <v>0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</row>
    <row r="1088" spans="1:13" x14ac:dyDescent="0.3">
      <c r="A1088">
        <v>6.2363695902037044</v>
      </c>
      <c r="B1088">
        <v>3.8068846873048412</v>
      </c>
      <c r="C1088">
        <v>7</v>
      </c>
      <c r="D1088">
        <v>0.55000000000000004</v>
      </c>
      <c r="E1088">
        <v>0</v>
      </c>
      <c r="F1088">
        <v>0</v>
      </c>
      <c r="G1088">
        <v>0</v>
      </c>
      <c r="H1088">
        <v>0</v>
      </c>
      <c r="I1088">
        <v>1</v>
      </c>
      <c r="J1088">
        <v>0</v>
      </c>
      <c r="K1088">
        <v>0</v>
      </c>
      <c r="L1088">
        <v>0</v>
      </c>
      <c r="M1088">
        <v>0</v>
      </c>
    </row>
    <row r="1089" spans="1:13" x14ac:dyDescent="0.3">
      <c r="A1089">
        <v>6.2186001196917289</v>
      </c>
      <c r="B1089">
        <v>4.5539821492186583</v>
      </c>
      <c r="C1089">
        <v>59</v>
      </c>
      <c r="D1089">
        <v>5</v>
      </c>
      <c r="E1089">
        <v>0</v>
      </c>
      <c r="F1089">
        <v>0</v>
      </c>
      <c r="G1089">
        <v>0</v>
      </c>
      <c r="H1089">
        <v>0</v>
      </c>
      <c r="I1089">
        <v>1</v>
      </c>
      <c r="J1089">
        <v>0</v>
      </c>
      <c r="K1089">
        <v>0</v>
      </c>
      <c r="L1089">
        <v>1</v>
      </c>
      <c r="M1089">
        <v>0</v>
      </c>
    </row>
    <row r="1090" spans="1:13" x14ac:dyDescent="0.3">
      <c r="A1090">
        <v>6.2065759267249279</v>
      </c>
      <c r="B1090">
        <v>2.996232148595642</v>
      </c>
      <c r="C1090">
        <v>17</v>
      </c>
      <c r="D1090">
        <v>1</v>
      </c>
      <c r="E1090">
        <v>0</v>
      </c>
      <c r="F1090">
        <v>0</v>
      </c>
      <c r="G1090">
        <v>1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</row>
    <row r="1091" spans="1:13" x14ac:dyDescent="0.3">
      <c r="A1091">
        <v>6.2025355171879228</v>
      </c>
      <c r="B1091">
        <v>4.5539821492186583</v>
      </c>
      <c r="C1091">
        <v>37</v>
      </c>
      <c r="D1091">
        <v>3</v>
      </c>
      <c r="E1091">
        <v>0</v>
      </c>
      <c r="F1091">
        <v>0</v>
      </c>
      <c r="G1091">
        <v>0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1</v>
      </c>
    </row>
    <row r="1092" spans="1:13" x14ac:dyDescent="0.3">
      <c r="A1092">
        <v>6.1882641230825897</v>
      </c>
      <c r="B1092">
        <v>4.6052701809884251</v>
      </c>
      <c r="C1092">
        <v>52</v>
      </c>
      <c r="D1092">
        <v>6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0</v>
      </c>
      <c r="K1092">
        <v>0</v>
      </c>
      <c r="L1092">
        <v>0</v>
      </c>
      <c r="M1092">
        <v>1</v>
      </c>
    </row>
    <row r="1093" spans="1:13" x14ac:dyDescent="0.3">
      <c r="A1093">
        <v>6.1862086239004936</v>
      </c>
      <c r="B1093">
        <v>4.0945112150014218</v>
      </c>
      <c r="C1093">
        <v>27</v>
      </c>
      <c r="D1093">
        <v>2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0</v>
      </c>
      <c r="L1093">
        <v>0</v>
      </c>
      <c r="M1093">
        <v>1</v>
      </c>
    </row>
    <row r="1094" spans="1:13" x14ac:dyDescent="0.3">
      <c r="A1094">
        <v>6.1758672701057611</v>
      </c>
      <c r="B1094">
        <v>4.5539821492186583</v>
      </c>
      <c r="C1094">
        <v>77</v>
      </c>
      <c r="D1094">
        <v>6</v>
      </c>
      <c r="E1094">
        <v>0</v>
      </c>
      <c r="F1094">
        <v>0</v>
      </c>
      <c r="G1094">
        <v>0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1</v>
      </c>
    </row>
    <row r="1095" spans="1:13" x14ac:dyDescent="0.3">
      <c r="A1095">
        <v>6.1696107324914564</v>
      </c>
      <c r="B1095">
        <v>4.5539821492186583</v>
      </c>
      <c r="C1095">
        <v>18</v>
      </c>
      <c r="D1095">
        <v>1.5</v>
      </c>
      <c r="E1095">
        <v>0</v>
      </c>
      <c r="F1095">
        <v>0</v>
      </c>
      <c r="G1095">
        <v>0</v>
      </c>
      <c r="H1095">
        <v>0</v>
      </c>
      <c r="I1095">
        <v>1</v>
      </c>
      <c r="J1095">
        <v>0</v>
      </c>
      <c r="K1095">
        <v>1</v>
      </c>
      <c r="L1095">
        <v>0</v>
      </c>
      <c r="M1095">
        <v>0</v>
      </c>
    </row>
    <row r="1096" spans="1:13" x14ac:dyDescent="0.3">
      <c r="A1096">
        <v>6.1463292576688975</v>
      </c>
      <c r="B1096">
        <v>5.273050839300149</v>
      </c>
      <c r="C1096">
        <v>126</v>
      </c>
      <c r="D1096">
        <v>13.5</v>
      </c>
      <c r="E1096">
        <v>0</v>
      </c>
      <c r="F1096">
        <v>0</v>
      </c>
      <c r="G1096">
        <v>0</v>
      </c>
      <c r="H1096">
        <v>0</v>
      </c>
      <c r="I1096">
        <v>1</v>
      </c>
      <c r="J1096">
        <v>0</v>
      </c>
      <c r="K1096">
        <v>0</v>
      </c>
      <c r="L1096">
        <v>0</v>
      </c>
      <c r="M1096">
        <v>1</v>
      </c>
    </row>
    <row r="1097" spans="1:13" x14ac:dyDescent="0.3">
      <c r="A1097">
        <v>6.1441856341256456</v>
      </c>
      <c r="B1097">
        <v>2.996232148595642</v>
      </c>
      <c r="C1097">
        <v>25</v>
      </c>
      <c r="D1097">
        <v>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1</v>
      </c>
    </row>
    <row r="1098" spans="1:13" x14ac:dyDescent="0.3">
      <c r="A1098">
        <v>6.1398845522262553</v>
      </c>
      <c r="B1098">
        <v>4.5539821492186583</v>
      </c>
      <c r="C1098">
        <v>22</v>
      </c>
      <c r="D1098">
        <v>1.5</v>
      </c>
      <c r="E1098">
        <v>0</v>
      </c>
      <c r="F1098">
        <v>0</v>
      </c>
      <c r="G1098">
        <v>0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1</v>
      </c>
    </row>
    <row r="1099" spans="1:13" x14ac:dyDescent="0.3">
      <c r="A1099">
        <v>6.1333980429966486</v>
      </c>
      <c r="B1099">
        <v>3.9122229854308124</v>
      </c>
      <c r="C1099">
        <v>46</v>
      </c>
      <c r="D1099">
        <v>3.5</v>
      </c>
      <c r="E1099">
        <v>0</v>
      </c>
      <c r="F1099">
        <v>0</v>
      </c>
      <c r="G1099">
        <v>0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1</v>
      </c>
    </row>
    <row r="1100" spans="1:13" x14ac:dyDescent="0.3">
      <c r="A1100">
        <v>6.1268691841141854</v>
      </c>
      <c r="B1100">
        <v>4.5539821492186583</v>
      </c>
      <c r="C1100">
        <v>40</v>
      </c>
      <c r="D1100">
        <v>4.5</v>
      </c>
      <c r="E1100">
        <v>0</v>
      </c>
      <c r="F1100">
        <v>0</v>
      </c>
      <c r="G1100">
        <v>0</v>
      </c>
      <c r="H1100">
        <v>1</v>
      </c>
      <c r="I1100">
        <v>0</v>
      </c>
      <c r="J1100">
        <v>0</v>
      </c>
      <c r="K1100">
        <v>1</v>
      </c>
      <c r="L1100">
        <v>0</v>
      </c>
      <c r="M1100">
        <v>0</v>
      </c>
    </row>
    <row r="1101" spans="1:13" x14ac:dyDescent="0.3">
      <c r="A1101">
        <v>6.1268691841141854</v>
      </c>
      <c r="B1101">
        <v>2.996232148595642</v>
      </c>
      <c r="C1101">
        <v>12</v>
      </c>
      <c r="D1101">
        <v>1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</v>
      </c>
      <c r="K1101">
        <v>0</v>
      </c>
      <c r="L1101">
        <v>0</v>
      </c>
      <c r="M1101">
        <v>1</v>
      </c>
    </row>
    <row r="1102" spans="1:13" x14ac:dyDescent="0.3">
      <c r="A1102">
        <v>6.1092475827643655</v>
      </c>
      <c r="B1102">
        <v>3.6891294228691436</v>
      </c>
      <c r="C1102">
        <v>41</v>
      </c>
      <c r="D1102">
        <v>6</v>
      </c>
      <c r="E1102">
        <v>0</v>
      </c>
      <c r="F1102">
        <v>0</v>
      </c>
      <c r="G1102">
        <v>0</v>
      </c>
      <c r="H1102">
        <v>0</v>
      </c>
      <c r="I1102">
        <v>1</v>
      </c>
      <c r="J1102">
        <v>0</v>
      </c>
      <c r="K1102">
        <v>1</v>
      </c>
      <c r="L1102">
        <v>0</v>
      </c>
      <c r="M1102">
        <v>0</v>
      </c>
    </row>
    <row r="1103" spans="1:13" x14ac:dyDescent="0.3">
      <c r="A1103">
        <v>6.0913098820776979</v>
      </c>
      <c r="B1103">
        <v>5.2983673652980787</v>
      </c>
      <c r="C1103">
        <v>80</v>
      </c>
      <c r="D1103">
        <v>6.5</v>
      </c>
      <c r="E1103">
        <v>0</v>
      </c>
      <c r="F1103">
        <v>0</v>
      </c>
      <c r="G1103">
        <v>0</v>
      </c>
      <c r="H1103">
        <v>1</v>
      </c>
      <c r="I1103">
        <v>0</v>
      </c>
      <c r="J1103">
        <v>0</v>
      </c>
      <c r="K1103">
        <v>1</v>
      </c>
      <c r="L1103">
        <v>0</v>
      </c>
      <c r="M1103">
        <v>0</v>
      </c>
    </row>
    <row r="1104" spans="1:13" x14ac:dyDescent="0.3">
      <c r="A1104">
        <v>6.0776422433490342</v>
      </c>
      <c r="B1104">
        <v>2.996232148595642</v>
      </c>
      <c r="C1104">
        <v>22</v>
      </c>
      <c r="D1104">
        <v>1.5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1</v>
      </c>
    </row>
    <row r="1105" spans="1:13" x14ac:dyDescent="0.3">
      <c r="A1105">
        <v>6.0730445341004051</v>
      </c>
      <c r="B1105">
        <v>3.6891294228691436</v>
      </c>
      <c r="C1105">
        <v>23</v>
      </c>
      <c r="D1105">
        <v>5.5</v>
      </c>
      <c r="E1105">
        <v>0</v>
      </c>
      <c r="F1105">
        <v>0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1</v>
      </c>
    </row>
    <row r="1106" spans="1:13" x14ac:dyDescent="0.3">
      <c r="A1106">
        <v>6.0637852086876078</v>
      </c>
      <c r="B1106">
        <v>4.8283937341024714</v>
      </c>
      <c r="C1106">
        <v>39</v>
      </c>
      <c r="D1106">
        <v>2.5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1</v>
      </c>
      <c r="K1106">
        <v>0</v>
      </c>
      <c r="L1106">
        <v>1</v>
      </c>
      <c r="M1106">
        <v>0</v>
      </c>
    </row>
    <row r="1107" spans="1:13" x14ac:dyDescent="0.3">
      <c r="A1107">
        <v>6.0544393462693709</v>
      </c>
      <c r="B1107">
        <v>3.8068846873048412</v>
      </c>
      <c r="C1107">
        <v>9</v>
      </c>
      <c r="D1107">
        <v>1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1</v>
      </c>
      <c r="K1107">
        <v>0</v>
      </c>
      <c r="L1107">
        <v>0</v>
      </c>
      <c r="M1107">
        <v>1</v>
      </c>
    </row>
    <row r="1108" spans="1:13" x14ac:dyDescent="0.3">
      <c r="A1108">
        <v>6.0544393462693709</v>
      </c>
      <c r="B1108">
        <v>3.8068846873048412</v>
      </c>
      <c r="C1108">
        <v>10</v>
      </c>
      <c r="D1108">
        <v>1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1</v>
      </c>
    </row>
    <row r="1109" spans="1:13" x14ac:dyDescent="0.3">
      <c r="A1109">
        <v>6.0497334552319577</v>
      </c>
      <c r="B1109">
        <v>3.4015306594522756</v>
      </c>
      <c r="C1109">
        <v>9</v>
      </c>
      <c r="D1109">
        <v>1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1</v>
      </c>
    </row>
    <row r="1110" spans="1:13" x14ac:dyDescent="0.3">
      <c r="A1110">
        <v>6.0497334552319577</v>
      </c>
      <c r="B1110">
        <v>4.5539821492186583</v>
      </c>
      <c r="C1110">
        <v>60</v>
      </c>
      <c r="D1110">
        <v>3.5</v>
      </c>
      <c r="E1110">
        <v>0</v>
      </c>
      <c r="F1110">
        <v>0</v>
      </c>
      <c r="G1110">
        <v>0</v>
      </c>
      <c r="H1110">
        <v>1</v>
      </c>
      <c r="I1110">
        <v>0</v>
      </c>
      <c r="J1110">
        <v>0</v>
      </c>
      <c r="K1110">
        <v>0</v>
      </c>
      <c r="L1110">
        <v>0</v>
      </c>
      <c r="M1110">
        <v>1</v>
      </c>
    </row>
    <row r="1111" spans="1:13" x14ac:dyDescent="0.3">
      <c r="A1111">
        <v>6.045005314036012</v>
      </c>
      <c r="B1111">
        <v>4.9768027055598036</v>
      </c>
      <c r="C1111">
        <v>69</v>
      </c>
      <c r="D1111">
        <v>12.5</v>
      </c>
      <c r="E1111">
        <v>0</v>
      </c>
      <c r="F1111">
        <v>0</v>
      </c>
      <c r="G1111">
        <v>0</v>
      </c>
      <c r="H1111">
        <v>0</v>
      </c>
      <c r="I1111">
        <v>1</v>
      </c>
      <c r="J1111">
        <v>0</v>
      </c>
      <c r="K1111">
        <v>1</v>
      </c>
      <c r="L1111">
        <v>0</v>
      </c>
      <c r="M1111">
        <v>0</v>
      </c>
    </row>
    <row r="1112" spans="1:13" x14ac:dyDescent="0.3">
      <c r="A1112">
        <v>6.0426328336823811</v>
      </c>
      <c r="B1112">
        <v>3.9122229854308124</v>
      </c>
      <c r="C1112">
        <v>33</v>
      </c>
      <c r="D1112">
        <v>3.5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1</v>
      </c>
      <c r="K1112">
        <v>0</v>
      </c>
      <c r="L1112">
        <v>0</v>
      </c>
      <c r="M1112">
        <v>1</v>
      </c>
    </row>
    <row r="1113" spans="1:13" x14ac:dyDescent="0.3">
      <c r="A1113">
        <v>6.0330862217988015</v>
      </c>
      <c r="B1113">
        <v>3.9122229854308124</v>
      </c>
      <c r="C1113">
        <v>109</v>
      </c>
      <c r="D1113">
        <v>13</v>
      </c>
      <c r="E1113">
        <v>0</v>
      </c>
      <c r="F1113">
        <v>0</v>
      </c>
      <c r="G1113">
        <v>0</v>
      </c>
      <c r="H1113">
        <v>0</v>
      </c>
      <c r="I1113">
        <v>1</v>
      </c>
      <c r="J1113">
        <v>0</v>
      </c>
      <c r="K1113">
        <v>0</v>
      </c>
      <c r="L1113">
        <v>1</v>
      </c>
      <c r="M1113">
        <v>0</v>
      </c>
    </row>
    <row r="1114" spans="1:13" x14ac:dyDescent="0.3">
      <c r="A1114">
        <v>6.0282785202306979</v>
      </c>
      <c r="B1114">
        <v>3.9122229854308124</v>
      </c>
      <c r="C1114">
        <v>53</v>
      </c>
      <c r="D1114">
        <v>7</v>
      </c>
      <c r="E1114">
        <v>0</v>
      </c>
      <c r="F1114">
        <v>0</v>
      </c>
      <c r="G1114">
        <v>0</v>
      </c>
      <c r="H1114">
        <v>1</v>
      </c>
      <c r="I1114">
        <v>0</v>
      </c>
      <c r="J1114">
        <v>0</v>
      </c>
      <c r="K1114">
        <v>1</v>
      </c>
      <c r="L1114">
        <v>0</v>
      </c>
      <c r="M1114">
        <v>0</v>
      </c>
    </row>
    <row r="1115" spans="1:13" x14ac:dyDescent="0.3">
      <c r="A1115">
        <v>6.0112671744041615</v>
      </c>
      <c r="B1115">
        <v>5.2983673652980787</v>
      </c>
      <c r="C1115">
        <v>80</v>
      </c>
      <c r="D1115">
        <v>8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1</v>
      </c>
    </row>
    <row r="1116" spans="1:13" x14ac:dyDescent="0.3">
      <c r="A1116">
        <v>5.9964520886190211</v>
      </c>
      <c r="B1116">
        <v>4.0945112150014218</v>
      </c>
      <c r="C1116">
        <v>35</v>
      </c>
      <c r="D1116">
        <v>4</v>
      </c>
      <c r="E1116">
        <v>0</v>
      </c>
      <c r="F1116">
        <v>0</v>
      </c>
      <c r="G1116">
        <v>0</v>
      </c>
      <c r="H1116">
        <v>0</v>
      </c>
      <c r="I1116">
        <v>1</v>
      </c>
      <c r="J1116">
        <v>0</v>
      </c>
      <c r="K1116">
        <v>0</v>
      </c>
      <c r="L1116">
        <v>0</v>
      </c>
      <c r="M1116">
        <v>1</v>
      </c>
    </row>
    <row r="1117" spans="1:13" x14ac:dyDescent="0.3">
      <c r="A1117">
        <v>5.9814142112544806</v>
      </c>
      <c r="B1117">
        <v>3.5556337349665741</v>
      </c>
      <c r="C1117">
        <v>21</v>
      </c>
      <c r="D1117">
        <v>0.71666666999999995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1</v>
      </c>
      <c r="L1117">
        <v>0</v>
      </c>
      <c r="M1117">
        <v>0</v>
      </c>
    </row>
    <row r="1118" spans="1:13" x14ac:dyDescent="0.3">
      <c r="A1118">
        <v>5.9814142112544806</v>
      </c>
      <c r="B1118">
        <v>3.8068846873048412</v>
      </c>
      <c r="C1118">
        <v>8</v>
      </c>
      <c r="D1118">
        <v>0.56666667000000004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1</v>
      </c>
      <c r="K1118">
        <v>1</v>
      </c>
      <c r="L1118">
        <v>0</v>
      </c>
      <c r="M1118">
        <v>0</v>
      </c>
    </row>
    <row r="1119" spans="1:13" x14ac:dyDescent="0.3">
      <c r="A1119">
        <v>5.978885764901122</v>
      </c>
      <c r="B1119">
        <v>3.6891294228691436</v>
      </c>
      <c r="C1119">
        <v>36</v>
      </c>
      <c r="D1119">
        <v>6.5</v>
      </c>
      <c r="E1119">
        <v>0</v>
      </c>
      <c r="F1119">
        <v>0</v>
      </c>
      <c r="G1119">
        <v>0</v>
      </c>
      <c r="H1119">
        <v>1</v>
      </c>
      <c r="I1119">
        <v>0</v>
      </c>
      <c r="J1119">
        <v>0</v>
      </c>
      <c r="K1119">
        <v>1</v>
      </c>
      <c r="L1119">
        <v>0</v>
      </c>
      <c r="M1119">
        <v>0</v>
      </c>
    </row>
    <row r="1120" spans="1:13" x14ac:dyDescent="0.3">
      <c r="A1120">
        <v>5.978885764901122</v>
      </c>
      <c r="B1120">
        <v>5.273050839300149</v>
      </c>
      <c r="C1120">
        <v>57</v>
      </c>
      <c r="D1120">
        <v>17</v>
      </c>
      <c r="E1120">
        <v>0</v>
      </c>
      <c r="F1120">
        <v>0</v>
      </c>
      <c r="G1120">
        <v>0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1</v>
      </c>
    </row>
    <row r="1121" spans="1:13" x14ac:dyDescent="0.3">
      <c r="A1121">
        <v>5.9763509092979339</v>
      </c>
      <c r="B1121">
        <v>3.9122229854308124</v>
      </c>
      <c r="C1121">
        <v>22</v>
      </c>
      <c r="D1121">
        <v>1.5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1</v>
      </c>
      <c r="M1121">
        <v>0</v>
      </c>
    </row>
    <row r="1122" spans="1:13" x14ac:dyDescent="0.3">
      <c r="A1122">
        <v>5.9712618397904622</v>
      </c>
      <c r="B1122">
        <v>5.0107019585407988</v>
      </c>
      <c r="C1122">
        <v>63</v>
      </c>
      <c r="D1122">
        <v>8.5</v>
      </c>
      <c r="E1122">
        <v>0</v>
      </c>
      <c r="F1122">
        <v>0</v>
      </c>
      <c r="G1122">
        <v>0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1</v>
      </c>
    </row>
    <row r="1123" spans="1:13" x14ac:dyDescent="0.3">
      <c r="A1123">
        <v>5.9584246930297819</v>
      </c>
      <c r="B1123">
        <v>2.996232148595642</v>
      </c>
      <c r="C1123">
        <v>30</v>
      </c>
      <c r="D1123">
        <v>2.5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1</v>
      </c>
      <c r="K1123">
        <v>0</v>
      </c>
      <c r="L1123">
        <v>0</v>
      </c>
      <c r="M1123">
        <v>1</v>
      </c>
    </row>
    <row r="1124" spans="1:13" x14ac:dyDescent="0.3">
      <c r="A1124">
        <v>5.9532433342877846</v>
      </c>
      <c r="B1124">
        <v>2.996232148595642</v>
      </c>
      <c r="C1124">
        <v>32</v>
      </c>
      <c r="D1124">
        <v>2.5</v>
      </c>
      <c r="E1124">
        <v>0</v>
      </c>
      <c r="F1124">
        <v>0</v>
      </c>
      <c r="G1124">
        <v>0</v>
      </c>
      <c r="H1124">
        <v>1</v>
      </c>
      <c r="I1124">
        <v>0</v>
      </c>
      <c r="J1124">
        <v>0</v>
      </c>
      <c r="K1124">
        <v>0</v>
      </c>
      <c r="L1124">
        <v>1</v>
      </c>
      <c r="M1124">
        <v>0</v>
      </c>
    </row>
    <row r="1125" spans="1:13" x14ac:dyDescent="0.3">
      <c r="A1125">
        <v>5.9454206086065753</v>
      </c>
      <c r="B1125">
        <v>5.0107019585407988</v>
      </c>
      <c r="C1125">
        <v>140</v>
      </c>
      <c r="D1125">
        <v>15.5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1</v>
      </c>
      <c r="L1125">
        <v>0</v>
      </c>
      <c r="M1125">
        <v>0</v>
      </c>
    </row>
    <row r="1126" spans="1:13" x14ac:dyDescent="0.3">
      <c r="A1126">
        <v>5.9401712527204316</v>
      </c>
      <c r="B1126">
        <v>3.5556337349665741</v>
      </c>
      <c r="C1126">
        <v>30</v>
      </c>
      <c r="D1126">
        <v>2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1</v>
      </c>
      <c r="K1126">
        <v>1</v>
      </c>
      <c r="L1126">
        <v>0</v>
      </c>
      <c r="M1126">
        <v>0</v>
      </c>
    </row>
    <row r="1127" spans="1:13" x14ac:dyDescent="0.3">
      <c r="A1127">
        <v>5.9375362050824263</v>
      </c>
      <c r="B1127">
        <v>3.6891294228691436</v>
      </c>
      <c r="C1127">
        <v>45</v>
      </c>
      <c r="D1127">
        <v>2</v>
      </c>
      <c r="E1127">
        <v>0</v>
      </c>
      <c r="F1127">
        <v>0</v>
      </c>
      <c r="G1127">
        <v>0</v>
      </c>
      <c r="H1127">
        <v>0</v>
      </c>
      <c r="I1127">
        <v>1</v>
      </c>
      <c r="J1127">
        <v>0</v>
      </c>
      <c r="K1127">
        <v>1</v>
      </c>
      <c r="L1127">
        <v>0</v>
      </c>
      <c r="M1127">
        <v>0</v>
      </c>
    </row>
    <row r="1128" spans="1:13" x14ac:dyDescent="0.3">
      <c r="A1128">
        <v>5.9295891433898946</v>
      </c>
      <c r="B1128">
        <v>3.9122229854308124</v>
      </c>
      <c r="C1128">
        <v>49</v>
      </c>
      <c r="D1128">
        <v>3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1</v>
      </c>
      <c r="K1128">
        <v>0</v>
      </c>
      <c r="L1128">
        <v>0</v>
      </c>
      <c r="M1128">
        <v>1</v>
      </c>
    </row>
    <row r="1129" spans="1:13" x14ac:dyDescent="0.3">
      <c r="A1129">
        <v>5.8916442118257715</v>
      </c>
      <c r="B1129">
        <v>2.996232148595642</v>
      </c>
      <c r="C1129">
        <v>8</v>
      </c>
      <c r="D1129">
        <v>1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1</v>
      </c>
      <c r="K1129">
        <v>1</v>
      </c>
      <c r="L1129">
        <v>0</v>
      </c>
      <c r="M1129">
        <v>0</v>
      </c>
    </row>
    <row r="1130" spans="1:13" x14ac:dyDescent="0.3">
      <c r="A1130">
        <v>5.8888779583328805</v>
      </c>
      <c r="B1130">
        <v>4.007514986887367</v>
      </c>
      <c r="C1130">
        <v>49</v>
      </c>
      <c r="D1130">
        <v>2.5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1</v>
      </c>
      <c r="K1130">
        <v>0</v>
      </c>
      <c r="L1130">
        <v>0</v>
      </c>
      <c r="M1130">
        <v>0</v>
      </c>
    </row>
    <row r="1131" spans="1:13" x14ac:dyDescent="0.3">
      <c r="A1131">
        <v>5.8833223884882786</v>
      </c>
      <c r="B1131">
        <v>2.996232148595642</v>
      </c>
      <c r="C1131">
        <v>73</v>
      </c>
      <c r="D1131">
        <v>6.5</v>
      </c>
      <c r="E1131">
        <v>0</v>
      </c>
      <c r="F1131">
        <v>0</v>
      </c>
      <c r="G1131">
        <v>0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1</v>
      </c>
    </row>
    <row r="1132" spans="1:13" x14ac:dyDescent="0.3">
      <c r="A1132">
        <v>5.8805329864007003</v>
      </c>
      <c r="B1132">
        <v>2.996232148595642</v>
      </c>
      <c r="C1132">
        <v>23</v>
      </c>
      <c r="D1132">
        <v>2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1</v>
      </c>
      <c r="K1132">
        <v>1</v>
      </c>
      <c r="L1132">
        <v>0</v>
      </c>
      <c r="M1132">
        <v>0</v>
      </c>
    </row>
    <row r="1133" spans="1:13" x14ac:dyDescent="0.3">
      <c r="A1133">
        <v>5.8664680569332965</v>
      </c>
      <c r="B1133">
        <v>4.5539821492186583</v>
      </c>
      <c r="C1133">
        <v>41</v>
      </c>
      <c r="D1133">
        <v>3</v>
      </c>
      <c r="E1133">
        <v>0</v>
      </c>
      <c r="F1133">
        <v>0</v>
      </c>
      <c r="G1133">
        <v>0</v>
      </c>
      <c r="H1133">
        <v>1</v>
      </c>
      <c r="I1133">
        <v>0</v>
      </c>
      <c r="J1133">
        <v>0</v>
      </c>
      <c r="K1133">
        <v>1</v>
      </c>
      <c r="L1133">
        <v>0</v>
      </c>
      <c r="M1133">
        <v>0</v>
      </c>
    </row>
    <row r="1134" spans="1:13" x14ac:dyDescent="0.3">
      <c r="A1134">
        <v>5.8464387750577247</v>
      </c>
      <c r="B1134">
        <v>5.2983673652980787</v>
      </c>
      <c r="C1134">
        <v>74</v>
      </c>
      <c r="D1134">
        <v>8.5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1</v>
      </c>
      <c r="K1134">
        <v>0</v>
      </c>
      <c r="L1134">
        <v>0</v>
      </c>
      <c r="M1134">
        <v>1</v>
      </c>
    </row>
    <row r="1135" spans="1:13" x14ac:dyDescent="0.3">
      <c r="A1135">
        <v>5.8348107370626048</v>
      </c>
      <c r="B1135">
        <v>3.9122229854308124</v>
      </c>
      <c r="C1135">
        <v>60</v>
      </c>
      <c r="D1135">
        <v>3.5</v>
      </c>
      <c r="E1135">
        <v>0</v>
      </c>
      <c r="F1135">
        <v>0</v>
      </c>
      <c r="G1135">
        <v>0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1</v>
      </c>
    </row>
    <row r="1136" spans="1:13" x14ac:dyDescent="0.3">
      <c r="A1136">
        <v>5.8111409929767008</v>
      </c>
      <c r="B1136">
        <v>3.6891294228691436</v>
      </c>
      <c r="C1136">
        <v>54</v>
      </c>
      <c r="D1136">
        <v>11.5</v>
      </c>
      <c r="E1136">
        <v>0</v>
      </c>
      <c r="F1136">
        <v>0</v>
      </c>
      <c r="G1136">
        <v>0</v>
      </c>
      <c r="H1136">
        <v>0</v>
      </c>
      <c r="I1136">
        <v>1</v>
      </c>
      <c r="J1136">
        <v>0</v>
      </c>
      <c r="K1136">
        <v>0</v>
      </c>
      <c r="L1136">
        <v>1</v>
      </c>
      <c r="M1136">
        <v>0</v>
      </c>
    </row>
    <row r="1137" spans="1:13" x14ac:dyDescent="0.3">
      <c r="A1137">
        <v>5.8081424899804439</v>
      </c>
      <c r="B1137">
        <v>5.2983673652980787</v>
      </c>
      <c r="C1137">
        <v>353</v>
      </c>
      <c r="D1137">
        <v>42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1</v>
      </c>
      <c r="K1137">
        <v>0</v>
      </c>
      <c r="L1137">
        <v>0</v>
      </c>
      <c r="M1137">
        <v>1</v>
      </c>
    </row>
    <row r="1138" spans="1:13" x14ac:dyDescent="0.3">
      <c r="A1138">
        <v>5.8081424899804439</v>
      </c>
      <c r="B1138">
        <v>3.5556337349665741</v>
      </c>
      <c r="C1138">
        <v>14</v>
      </c>
      <c r="D1138">
        <v>1</v>
      </c>
      <c r="E1138">
        <v>0</v>
      </c>
      <c r="F1138">
        <v>0</v>
      </c>
      <c r="G1138">
        <v>0</v>
      </c>
      <c r="H1138">
        <v>1</v>
      </c>
      <c r="I1138">
        <v>0</v>
      </c>
      <c r="J1138">
        <v>0</v>
      </c>
      <c r="K1138">
        <v>1</v>
      </c>
      <c r="L1138">
        <v>0</v>
      </c>
      <c r="M1138">
        <v>0</v>
      </c>
    </row>
    <row r="1139" spans="1:13" x14ac:dyDescent="0.3">
      <c r="A1139">
        <v>5.7899601708972535</v>
      </c>
      <c r="B1139">
        <v>5.2204098776715107</v>
      </c>
      <c r="C1139">
        <v>106</v>
      </c>
      <c r="D1139">
        <v>9.5</v>
      </c>
      <c r="E1139">
        <v>0</v>
      </c>
      <c r="F1139">
        <v>0</v>
      </c>
      <c r="G1139">
        <v>0</v>
      </c>
      <c r="H1139">
        <v>0</v>
      </c>
      <c r="I1139">
        <v>1</v>
      </c>
      <c r="J1139">
        <v>0</v>
      </c>
      <c r="K1139">
        <v>0</v>
      </c>
      <c r="L1139">
        <v>0</v>
      </c>
      <c r="M1139">
        <v>1</v>
      </c>
    </row>
    <row r="1140" spans="1:13" x14ac:dyDescent="0.3">
      <c r="A1140">
        <v>5.7838251823297373</v>
      </c>
      <c r="B1140">
        <v>3.6891294228691436</v>
      </c>
      <c r="C1140">
        <v>27</v>
      </c>
      <c r="D1140">
        <v>3.5</v>
      </c>
      <c r="E1140">
        <v>0</v>
      </c>
      <c r="F1140">
        <v>0</v>
      </c>
      <c r="G1140">
        <v>0</v>
      </c>
      <c r="H1140">
        <v>1</v>
      </c>
      <c r="I1140">
        <v>0</v>
      </c>
      <c r="J1140">
        <v>0</v>
      </c>
      <c r="K1140">
        <v>1</v>
      </c>
      <c r="L1140">
        <v>0</v>
      </c>
      <c r="M1140">
        <v>0</v>
      </c>
    </row>
    <row r="1141" spans="1:13" x14ac:dyDescent="0.3">
      <c r="A1141">
        <v>5.7838251823297373</v>
      </c>
      <c r="B1141">
        <v>4.3821516268620329</v>
      </c>
      <c r="C1141">
        <v>106</v>
      </c>
      <c r="D1141">
        <v>5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1</v>
      </c>
      <c r="K1141">
        <v>0</v>
      </c>
      <c r="L1141">
        <v>1</v>
      </c>
      <c r="M1141">
        <v>0</v>
      </c>
    </row>
    <row r="1142" spans="1:13" x14ac:dyDescent="0.3">
      <c r="A1142">
        <v>5.7745515455444085</v>
      </c>
      <c r="B1142">
        <v>3.9122229854308124</v>
      </c>
      <c r="C1142">
        <v>9</v>
      </c>
      <c r="D1142">
        <v>0.51666666999999999</v>
      </c>
      <c r="E1142">
        <v>0</v>
      </c>
      <c r="F1142">
        <v>0</v>
      </c>
      <c r="G1142">
        <v>0</v>
      </c>
      <c r="H1142">
        <v>0</v>
      </c>
      <c r="I1142">
        <v>1</v>
      </c>
      <c r="J1142">
        <v>0</v>
      </c>
      <c r="K1142">
        <v>0</v>
      </c>
      <c r="L1142">
        <v>0</v>
      </c>
      <c r="M1142">
        <v>1</v>
      </c>
    </row>
    <row r="1143" spans="1:13" x14ac:dyDescent="0.3">
      <c r="A1143">
        <v>5.7493929859082531</v>
      </c>
      <c r="B1143">
        <v>4.5539821492186583</v>
      </c>
      <c r="C1143">
        <v>49</v>
      </c>
      <c r="D1143">
        <v>6.5</v>
      </c>
      <c r="E1143">
        <v>0</v>
      </c>
      <c r="F1143">
        <v>0</v>
      </c>
      <c r="G1143">
        <v>0</v>
      </c>
      <c r="H1143">
        <v>0</v>
      </c>
      <c r="I1143">
        <v>1</v>
      </c>
      <c r="J1143">
        <v>0</v>
      </c>
      <c r="K1143">
        <v>1</v>
      </c>
      <c r="L1143">
        <v>0</v>
      </c>
      <c r="M1143">
        <v>0</v>
      </c>
    </row>
    <row r="1144" spans="1:13" x14ac:dyDescent="0.3">
      <c r="A1144">
        <v>5.7235851019523807</v>
      </c>
      <c r="B1144">
        <v>3.2192757448895279</v>
      </c>
      <c r="C1144">
        <v>42</v>
      </c>
      <c r="D1144">
        <v>3.5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1</v>
      </c>
    </row>
    <row r="1145" spans="1:13" x14ac:dyDescent="0.3">
      <c r="A1145">
        <v>5.7203117766074119</v>
      </c>
      <c r="B1145">
        <v>3.6891294228691436</v>
      </c>
      <c r="C1145">
        <v>9</v>
      </c>
      <c r="D1145">
        <v>2</v>
      </c>
      <c r="E1145">
        <v>0</v>
      </c>
      <c r="F1145">
        <v>0</v>
      </c>
      <c r="G1145">
        <v>0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1</v>
      </c>
    </row>
    <row r="1146" spans="1:13" x14ac:dyDescent="0.3">
      <c r="A1146">
        <v>5.7203117766074119</v>
      </c>
      <c r="B1146">
        <v>3.9122229854308124</v>
      </c>
      <c r="C1146">
        <v>13</v>
      </c>
      <c r="D1146">
        <v>2</v>
      </c>
      <c r="E1146">
        <v>0</v>
      </c>
      <c r="F1146">
        <v>0</v>
      </c>
      <c r="G1146">
        <v>0</v>
      </c>
      <c r="H1146">
        <v>0</v>
      </c>
      <c r="I1146">
        <v>1</v>
      </c>
      <c r="J1146">
        <v>0</v>
      </c>
      <c r="K1146">
        <v>0</v>
      </c>
      <c r="L1146">
        <v>0</v>
      </c>
      <c r="M1146">
        <v>1</v>
      </c>
    </row>
    <row r="1147" spans="1:13" x14ac:dyDescent="0.3">
      <c r="A1147">
        <v>5.7071102647488754</v>
      </c>
      <c r="B1147">
        <v>4.5539821492186583</v>
      </c>
      <c r="C1147">
        <v>91</v>
      </c>
      <c r="D1147">
        <v>7.5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0</v>
      </c>
      <c r="M1147">
        <v>1</v>
      </c>
    </row>
    <row r="1148" spans="1:13" x14ac:dyDescent="0.3">
      <c r="A1148">
        <v>5.7037824746562009</v>
      </c>
      <c r="B1148">
        <v>5.2983673652980787</v>
      </c>
      <c r="C1148">
        <v>66</v>
      </c>
      <c r="D1148">
        <v>6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1</v>
      </c>
      <c r="K1148">
        <v>0</v>
      </c>
      <c r="L1148">
        <v>0</v>
      </c>
      <c r="M1148">
        <v>1</v>
      </c>
    </row>
    <row r="1149" spans="1:13" x14ac:dyDescent="0.3">
      <c r="A1149">
        <v>5.7037824746562009</v>
      </c>
      <c r="B1149">
        <v>3.9122229854308124</v>
      </c>
      <c r="C1149">
        <v>38</v>
      </c>
      <c r="D1149">
        <v>3</v>
      </c>
      <c r="E1149">
        <v>0</v>
      </c>
      <c r="F1149">
        <v>0</v>
      </c>
      <c r="G1149">
        <v>0</v>
      </c>
      <c r="H1149">
        <v>0</v>
      </c>
      <c r="I1149">
        <v>1</v>
      </c>
      <c r="J1149">
        <v>0</v>
      </c>
      <c r="K1149">
        <v>0</v>
      </c>
      <c r="L1149">
        <v>0</v>
      </c>
      <c r="M1149">
        <v>1</v>
      </c>
    </row>
    <row r="1150" spans="1:13" x14ac:dyDescent="0.3">
      <c r="A1150">
        <v>5.7004435733906869</v>
      </c>
      <c r="B1150">
        <v>4.8283937341024714</v>
      </c>
      <c r="C1150">
        <v>34</v>
      </c>
      <c r="D1150">
        <v>3.5</v>
      </c>
      <c r="E1150">
        <v>0</v>
      </c>
      <c r="F1150">
        <v>0</v>
      </c>
      <c r="G1150">
        <v>0</v>
      </c>
      <c r="H1150">
        <v>0</v>
      </c>
      <c r="I1150">
        <v>1</v>
      </c>
      <c r="J1150">
        <v>0</v>
      </c>
      <c r="K1150">
        <v>0</v>
      </c>
      <c r="L1150">
        <v>0</v>
      </c>
      <c r="M1150">
        <v>1</v>
      </c>
    </row>
    <row r="1151" spans="1:13" x14ac:dyDescent="0.3">
      <c r="A1151">
        <v>5.6970934865054046</v>
      </c>
      <c r="B1151">
        <v>3.5556337349665741</v>
      </c>
      <c r="C1151">
        <v>24</v>
      </c>
      <c r="D1151">
        <v>1.5</v>
      </c>
      <c r="E1151">
        <v>0</v>
      </c>
      <c r="F1151">
        <v>0</v>
      </c>
      <c r="G1151">
        <v>0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1</v>
      </c>
    </row>
    <row r="1152" spans="1:13" x14ac:dyDescent="0.3">
      <c r="A1152">
        <v>5.6801726090170677</v>
      </c>
      <c r="B1152">
        <v>4.8283937341024714</v>
      </c>
      <c r="C1152">
        <v>31</v>
      </c>
      <c r="D1152">
        <v>3.5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1</v>
      </c>
      <c r="K1152">
        <v>0</v>
      </c>
      <c r="L1152">
        <v>0</v>
      </c>
      <c r="M1152">
        <v>1</v>
      </c>
    </row>
    <row r="1153" spans="1:13" x14ac:dyDescent="0.3">
      <c r="A1153">
        <v>5.6664266881124323</v>
      </c>
      <c r="B1153">
        <v>3.2192757448895279</v>
      </c>
      <c r="C1153">
        <v>30</v>
      </c>
      <c r="D1153">
        <v>4</v>
      </c>
      <c r="E1153">
        <v>0</v>
      </c>
      <c r="F1153">
        <v>0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1</v>
      </c>
    </row>
    <row r="1154" spans="1:13" x14ac:dyDescent="0.3">
      <c r="A1154">
        <v>5.6312117818213654</v>
      </c>
      <c r="B1154">
        <v>5.2983673652980787</v>
      </c>
      <c r="C1154">
        <v>119</v>
      </c>
      <c r="D1154">
        <v>10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1</v>
      </c>
      <c r="K1154">
        <v>0</v>
      </c>
      <c r="L1154">
        <v>0</v>
      </c>
      <c r="M1154">
        <v>1</v>
      </c>
    </row>
    <row r="1155" spans="1:13" x14ac:dyDescent="0.3">
      <c r="A1155">
        <v>5.5721540321777647</v>
      </c>
      <c r="B1155">
        <v>2.996232148595642</v>
      </c>
      <c r="C1155">
        <v>7</v>
      </c>
      <c r="D1155">
        <v>1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1</v>
      </c>
      <c r="K1155">
        <v>0</v>
      </c>
      <c r="L1155">
        <v>0</v>
      </c>
      <c r="M1155">
        <v>1</v>
      </c>
    </row>
    <row r="1156" spans="1:13" x14ac:dyDescent="0.3">
      <c r="A1156">
        <v>5.5606816310155276</v>
      </c>
      <c r="B1156">
        <v>5.2983673652980787</v>
      </c>
      <c r="C1156">
        <v>64</v>
      </c>
      <c r="D1156">
        <v>11</v>
      </c>
      <c r="E1156">
        <v>0</v>
      </c>
      <c r="F1156">
        <v>0</v>
      </c>
      <c r="G1156">
        <v>0</v>
      </c>
      <c r="H1156">
        <v>0</v>
      </c>
      <c r="I1156">
        <v>1</v>
      </c>
      <c r="J1156">
        <v>0</v>
      </c>
      <c r="K1156">
        <v>0</v>
      </c>
      <c r="L1156">
        <v>0</v>
      </c>
      <c r="M1156">
        <v>1</v>
      </c>
    </row>
    <row r="1157" spans="1:13" x14ac:dyDescent="0.3">
      <c r="A1157">
        <v>5.5412635451584258</v>
      </c>
      <c r="B1157">
        <v>3.4015306594522756</v>
      </c>
      <c r="C1157">
        <v>9</v>
      </c>
      <c r="D1157">
        <v>1</v>
      </c>
      <c r="E1157">
        <v>0</v>
      </c>
      <c r="F1157">
        <v>0</v>
      </c>
      <c r="G1157">
        <v>0</v>
      </c>
      <c r="H1157">
        <v>0</v>
      </c>
      <c r="I1157">
        <v>1</v>
      </c>
      <c r="J1157">
        <v>0</v>
      </c>
      <c r="K1157">
        <v>1</v>
      </c>
      <c r="L1157">
        <v>0</v>
      </c>
      <c r="M1157">
        <v>0</v>
      </c>
    </row>
    <row r="1158" spans="1:13" x14ac:dyDescent="0.3">
      <c r="A1158">
        <v>5.5333894887275203</v>
      </c>
      <c r="B1158">
        <v>4.6052701809884251</v>
      </c>
      <c r="C1158">
        <v>45</v>
      </c>
      <c r="D1158">
        <v>7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1</v>
      </c>
      <c r="L1158">
        <v>0</v>
      </c>
      <c r="M1158">
        <v>0</v>
      </c>
    </row>
    <row r="1159" spans="1:13" x14ac:dyDescent="0.3">
      <c r="A1159">
        <v>5.5294290875114234</v>
      </c>
      <c r="B1159">
        <v>3.6891294228691436</v>
      </c>
      <c r="C1159">
        <v>79</v>
      </c>
      <c r="D1159">
        <v>6.5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1</v>
      </c>
      <c r="K1159">
        <v>0</v>
      </c>
      <c r="L1159">
        <v>1</v>
      </c>
      <c r="M1159">
        <v>0</v>
      </c>
    </row>
    <row r="1160" spans="1:13" x14ac:dyDescent="0.3">
      <c r="A1160">
        <v>5.5254529391317835</v>
      </c>
      <c r="B1160">
        <v>4.9768027055598036</v>
      </c>
      <c r="C1160">
        <v>25</v>
      </c>
      <c r="D1160">
        <v>3.5</v>
      </c>
      <c r="E1160">
        <v>0</v>
      </c>
      <c r="F1160">
        <v>0</v>
      </c>
      <c r="G1160">
        <v>0</v>
      </c>
      <c r="H1160">
        <v>0</v>
      </c>
      <c r="I1160">
        <v>1</v>
      </c>
      <c r="J1160">
        <v>0</v>
      </c>
      <c r="K1160">
        <v>1</v>
      </c>
      <c r="L1160">
        <v>0</v>
      </c>
      <c r="M1160">
        <v>0</v>
      </c>
    </row>
    <row r="1161" spans="1:13" x14ac:dyDescent="0.3">
      <c r="A1161">
        <v>5.5012582105447274</v>
      </c>
      <c r="B1161">
        <v>3.6891294228691436</v>
      </c>
      <c r="C1161">
        <v>36</v>
      </c>
      <c r="D1161">
        <v>1</v>
      </c>
      <c r="E1161">
        <v>0</v>
      </c>
      <c r="F1161">
        <v>0</v>
      </c>
      <c r="G1161">
        <v>0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1</v>
      </c>
    </row>
    <row r="1162" spans="1:13" x14ac:dyDescent="0.3">
      <c r="A1162">
        <v>5.4971682252932021</v>
      </c>
      <c r="B1162">
        <v>3.5556337349665741</v>
      </c>
      <c r="C1162">
        <v>21</v>
      </c>
      <c r="D1162">
        <v>3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1</v>
      </c>
      <c r="K1162">
        <v>1</v>
      </c>
      <c r="L1162">
        <v>0</v>
      </c>
      <c r="M1162">
        <v>0</v>
      </c>
    </row>
    <row r="1163" spans="1:13" x14ac:dyDescent="0.3">
      <c r="A1163">
        <v>5.4806389233419912</v>
      </c>
      <c r="B1163">
        <v>3.9122229854308124</v>
      </c>
      <c r="C1163">
        <v>358</v>
      </c>
      <c r="D1163">
        <v>66.5</v>
      </c>
      <c r="E1163">
        <v>0</v>
      </c>
      <c r="F1163">
        <v>0</v>
      </c>
      <c r="G1163">
        <v>0</v>
      </c>
      <c r="H1163">
        <v>0</v>
      </c>
      <c r="I1163">
        <v>1</v>
      </c>
      <c r="J1163">
        <v>0</v>
      </c>
      <c r="K1163">
        <v>0</v>
      </c>
      <c r="L1163">
        <v>0</v>
      </c>
      <c r="M1163">
        <v>1</v>
      </c>
    </row>
    <row r="1164" spans="1:13" x14ac:dyDescent="0.3">
      <c r="A1164">
        <v>5.4680601411351315</v>
      </c>
      <c r="B1164">
        <v>4.1745411042163774</v>
      </c>
      <c r="C1164">
        <v>52</v>
      </c>
      <c r="D1164">
        <v>3.5</v>
      </c>
      <c r="E1164">
        <v>0</v>
      </c>
      <c r="F1164">
        <v>0</v>
      </c>
      <c r="G1164">
        <v>0</v>
      </c>
      <c r="H1164">
        <v>0</v>
      </c>
      <c r="I1164">
        <v>1</v>
      </c>
      <c r="J1164">
        <v>0</v>
      </c>
      <c r="K1164">
        <v>1</v>
      </c>
      <c r="L1164">
        <v>0</v>
      </c>
      <c r="M1164">
        <v>0</v>
      </c>
    </row>
    <row r="1165" spans="1:13" x14ac:dyDescent="0.3">
      <c r="A1165">
        <v>5.4638318050256105</v>
      </c>
      <c r="B1165">
        <v>3.6891294228691436</v>
      </c>
      <c r="C1165">
        <v>35</v>
      </c>
      <c r="D1165">
        <v>4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0</v>
      </c>
      <c r="L1165">
        <v>0</v>
      </c>
      <c r="M1165">
        <v>1</v>
      </c>
    </row>
    <row r="1166" spans="1:13" x14ac:dyDescent="0.3">
      <c r="A1166">
        <v>5.4293456289544411</v>
      </c>
      <c r="B1166">
        <v>5.0107019585407988</v>
      </c>
      <c r="C1166">
        <v>72</v>
      </c>
      <c r="D1166">
        <v>6.5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1</v>
      </c>
      <c r="K1166">
        <v>1</v>
      </c>
      <c r="L1166">
        <v>0</v>
      </c>
      <c r="M1166">
        <v>0</v>
      </c>
    </row>
    <row r="1167" spans="1:13" x14ac:dyDescent="0.3">
      <c r="A1167">
        <v>5.4249500174814029</v>
      </c>
      <c r="B1167">
        <v>4.5539821492186583</v>
      </c>
      <c r="C1167">
        <v>20</v>
      </c>
      <c r="D1167">
        <v>2</v>
      </c>
      <c r="E1167">
        <v>0</v>
      </c>
      <c r="F1167">
        <v>0</v>
      </c>
      <c r="G1167">
        <v>0</v>
      </c>
      <c r="H1167">
        <v>0</v>
      </c>
      <c r="I1167">
        <v>1</v>
      </c>
      <c r="J1167">
        <v>0</v>
      </c>
      <c r="K1167">
        <v>0</v>
      </c>
      <c r="L1167">
        <v>0</v>
      </c>
      <c r="M1167">
        <v>1</v>
      </c>
    </row>
    <row r="1168" spans="1:13" x14ac:dyDescent="0.3">
      <c r="A1168">
        <v>5.4071717714601188</v>
      </c>
      <c r="B1168">
        <v>4.8283937341024714</v>
      </c>
      <c r="C1168">
        <v>27</v>
      </c>
      <c r="D1168">
        <v>3.5</v>
      </c>
      <c r="E1168">
        <v>0</v>
      </c>
      <c r="F1168">
        <v>0</v>
      </c>
      <c r="G1168">
        <v>0</v>
      </c>
      <c r="H1168">
        <v>0</v>
      </c>
      <c r="I1168">
        <v>1</v>
      </c>
      <c r="J1168">
        <v>0</v>
      </c>
      <c r="K1168">
        <v>0</v>
      </c>
      <c r="L1168">
        <v>0</v>
      </c>
      <c r="M1168">
        <v>0</v>
      </c>
    </row>
    <row r="1169" spans="1:13" x14ac:dyDescent="0.3">
      <c r="A1169">
        <v>5.4026773818722793</v>
      </c>
      <c r="B1169">
        <v>3.9122229854308124</v>
      </c>
      <c r="C1169">
        <v>60</v>
      </c>
      <c r="D1169">
        <v>8.5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1</v>
      </c>
      <c r="K1169">
        <v>0</v>
      </c>
      <c r="L1169">
        <v>0</v>
      </c>
      <c r="M1169">
        <v>1</v>
      </c>
    </row>
    <row r="1170" spans="1:13" x14ac:dyDescent="0.3">
      <c r="A1170">
        <v>5.3752784076841653</v>
      </c>
      <c r="B1170">
        <v>4.5539821492186583</v>
      </c>
      <c r="C1170">
        <v>16</v>
      </c>
      <c r="D1170">
        <v>2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1</v>
      </c>
      <c r="M1170">
        <v>0</v>
      </c>
    </row>
    <row r="1171" spans="1:13" x14ac:dyDescent="0.3">
      <c r="A1171">
        <v>5.3659760150218512</v>
      </c>
      <c r="B1171">
        <v>3.2192757448895279</v>
      </c>
      <c r="C1171">
        <v>24</v>
      </c>
      <c r="D1171">
        <v>2</v>
      </c>
      <c r="E1171">
        <v>0</v>
      </c>
      <c r="F1171">
        <v>0</v>
      </c>
      <c r="G1171">
        <v>0</v>
      </c>
      <c r="H1171">
        <v>0</v>
      </c>
      <c r="I1171">
        <v>1</v>
      </c>
      <c r="J1171">
        <v>0</v>
      </c>
      <c r="K1171">
        <v>1</v>
      </c>
      <c r="L1171">
        <v>0</v>
      </c>
      <c r="M1171">
        <v>0</v>
      </c>
    </row>
    <row r="1172" spans="1:13" x14ac:dyDescent="0.3">
      <c r="A1172">
        <v>5.3471075307174685</v>
      </c>
      <c r="B1172">
        <v>3.4015306594522756</v>
      </c>
      <c r="C1172">
        <v>41</v>
      </c>
      <c r="D1172">
        <v>5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1</v>
      </c>
      <c r="K1172">
        <v>0</v>
      </c>
      <c r="L1172">
        <v>0</v>
      </c>
      <c r="M1172">
        <v>1</v>
      </c>
    </row>
    <row r="1173" spans="1:13" x14ac:dyDescent="0.3">
      <c r="A1173">
        <v>5.3375380797013179</v>
      </c>
      <c r="B1173">
        <v>3.9122229854308124</v>
      </c>
      <c r="C1173">
        <v>29</v>
      </c>
      <c r="D1173">
        <v>2</v>
      </c>
      <c r="E1173">
        <v>0</v>
      </c>
      <c r="F1173">
        <v>0</v>
      </c>
      <c r="G1173">
        <v>0</v>
      </c>
      <c r="H1173">
        <v>0</v>
      </c>
      <c r="I1173">
        <v>1</v>
      </c>
      <c r="J1173">
        <v>0</v>
      </c>
      <c r="K1173">
        <v>0</v>
      </c>
      <c r="L1173">
        <v>0</v>
      </c>
      <c r="M1173">
        <v>1</v>
      </c>
    </row>
    <row r="1174" spans="1:13" x14ac:dyDescent="0.3">
      <c r="A1174">
        <v>5.3327187932653688</v>
      </c>
      <c r="B1174">
        <v>3.6891294228691436</v>
      </c>
      <c r="C1174">
        <v>32</v>
      </c>
      <c r="D1174">
        <v>5</v>
      </c>
      <c r="E1174">
        <v>0</v>
      </c>
      <c r="F1174">
        <v>0</v>
      </c>
      <c r="G1174">
        <v>0</v>
      </c>
      <c r="H1174">
        <v>0</v>
      </c>
      <c r="I1174">
        <v>1</v>
      </c>
      <c r="J1174">
        <v>0</v>
      </c>
      <c r="K1174">
        <v>1</v>
      </c>
      <c r="L1174">
        <v>0</v>
      </c>
      <c r="M1174">
        <v>0</v>
      </c>
    </row>
    <row r="1175" spans="1:13" x14ac:dyDescent="0.3">
      <c r="A1175">
        <v>5.3230099791384085</v>
      </c>
      <c r="B1175">
        <v>4.6052701809884251</v>
      </c>
      <c r="C1175">
        <v>97</v>
      </c>
      <c r="D1175">
        <v>13.5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1</v>
      </c>
      <c r="K1175">
        <v>1</v>
      </c>
      <c r="L1175">
        <v>0</v>
      </c>
      <c r="M1175">
        <v>0</v>
      </c>
    </row>
    <row r="1176" spans="1:13" x14ac:dyDescent="0.3">
      <c r="A1176">
        <v>5.3132059790417872</v>
      </c>
      <c r="B1176">
        <v>3.9122229854308124</v>
      </c>
      <c r="C1176">
        <v>15</v>
      </c>
      <c r="D1176">
        <v>3</v>
      </c>
      <c r="E1176">
        <v>0</v>
      </c>
      <c r="F1176">
        <v>0</v>
      </c>
      <c r="G1176">
        <v>0</v>
      </c>
      <c r="H1176">
        <v>1</v>
      </c>
      <c r="I1176">
        <v>0</v>
      </c>
      <c r="J1176">
        <v>0</v>
      </c>
      <c r="K1176">
        <v>1</v>
      </c>
      <c r="L1176">
        <v>0</v>
      </c>
      <c r="M1176">
        <v>0</v>
      </c>
    </row>
    <row r="1177" spans="1:13" x14ac:dyDescent="0.3">
      <c r="A1177">
        <v>5.2832037287379885</v>
      </c>
      <c r="B1177">
        <v>4.4427688966292678</v>
      </c>
      <c r="C1177">
        <v>28</v>
      </c>
      <c r="D1177">
        <v>3.5</v>
      </c>
      <c r="E1177">
        <v>0</v>
      </c>
      <c r="F1177">
        <v>0</v>
      </c>
      <c r="G1177">
        <v>0</v>
      </c>
      <c r="H1177">
        <v>0</v>
      </c>
      <c r="I1177">
        <v>1</v>
      </c>
      <c r="J1177">
        <v>0</v>
      </c>
      <c r="K1177">
        <v>0</v>
      </c>
      <c r="L1177">
        <v>0</v>
      </c>
      <c r="M1177">
        <v>1</v>
      </c>
    </row>
    <row r="1178" spans="1:13" x14ac:dyDescent="0.3">
      <c r="A1178">
        <v>5.2832037287379885</v>
      </c>
      <c r="B1178">
        <v>4.6052701809884251</v>
      </c>
      <c r="C1178">
        <v>53</v>
      </c>
      <c r="D1178">
        <v>3.5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1</v>
      </c>
      <c r="K1178">
        <v>1</v>
      </c>
      <c r="L1178">
        <v>0</v>
      </c>
      <c r="M1178">
        <v>0</v>
      </c>
    </row>
    <row r="1179" spans="1:13" x14ac:dyDescent="0.3">
      <c r="A1179">
        <v>5.2678581590633282</v>
      </c>
      <c r="B1179">
        <v>3.6891294228691436</v>
      </c>
      <c r="C1179">
        <v>87</v>
      </c>
      <c r="D1179">
        <v>10</v>
      </c>
      <c r="E1179">
        <v>0</v>
      </c>
      <c r="F1179">
        <v>0</v>
      </c>
      <c r="G1179">
        <v>0</v>
      </c>
      <c r="H1179">
        <v>0</v>
      </c>
      <c r="I1179">
        <v>1</v>
      </c>
      <c r="J1179">
        <v>0</v>
      </c>
      <c r="K1179">
        <v>0</v>
      </c>
      <c r="L1179">
        <v>0</v>
      </c>
      <c r="M1179">
        <v>1</v>
      </c>
    </row>
    <row r="1180" spans="1:13" x14ac:dyDescent="0.3">
      <c r="A1180">
        <v>5.2417470150596426</v>
      </c>
      <c r="B1180">
        <v>3.5556337349665741</v>
      </c>
      <c r="C1180">
        <v>16</v>
      </c>
      <c r="D1180">
        <v>1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1</v>
      </c>
      <c r="K1180">
        <v>1</v>
      </c>
      <c r="L1180">
        <v>0</v>
      </c>
      <c r="M1180">
        <v>0</v>
      </c>
    </row>
    <row r="1181" spans="1:13" x14ac:dyDescent="0.3">
      <c r="A1181">
        <v>5.2094861528414214</v>
      </c>
      <c r="B1181">
        <v>5.1060060781247136</v>
      </c>
      <c r="C1181">
        <v>47</v>
      </c>
      <c r="D1181">
        <v>5.5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1</v>
      </c>
      <c r="K1181">
        <v>1</v>
      </c>
      <c r="L1181">
        <v>0</v>
      </c>
      <c r="M1181">
        <v>0</v>
      </c>
    </row>
    <row r="1182" spans="1:13" x14ac:dyDescent="0.3">
      <c r="A1182">
        <v>5.1761497325738288</v>
      </c>
      <c r="B1182">
        <v>4.5539821492186583</v>
      </c>
      <c r="C1182">
        <v>10</v>
      </c>
      <c r="D1182">
        <v>1</v>
      </c>
      <c r="E1182">
        <v>0</v>
      </c>
      <c r="F1182">
        <v>0</v>
      </c>
      <c r="G1182">
        <v>0</v>
      </c>
      <c r="H1182">
        <v>0</v>
      </c>
      <c r="I1182">
        <v>1</v>
      </c>
      <c r="J1182">
        <v>0</v>
      </c>
      <c r="K1182">
        <v>0</v>
      </c>
      <c r="L1182">
        <v>0</v>
      </c>
      <c r="M1182">
        <v>1</v>
      </c>
    </row>
    <row r="1183" spans="1:13" x14ac:dyDescent="0.3">
      <c r="A1183">
        <v>5.1357984370502621</v>
      </c>
      <c r="B1183">
        <v>4.8283937341024714</v>
      </c>
      <c r="C1183">
        <v>78</v>
      </c>
      <c r="D1183">
        <v>9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1</v>
      </c>
      <c r="K1183">
        <v>0</v>
      </c>
      <c r="L1183">
        <v>0</v>
      </c>
      <c r="M1183">
        <v>1</v>
      </c>
    </row>
    <row r="1184" spans="1:13" x14ac:dyDescent="0.3">
      <c r="A1184">
        <v>5.1119877883565437</v>
      </c>
      <c r="B1184">
        <v>3.9122229854308124</v>
      </c>
      <c r="C1184">
        <v>37</v>
      </c>
      <c r="D1184">
        <v>2.5</v>
      </c>
      <c r="E1184">
        <v>0</v>
      </c>
      <c r="F1184">
        <v>0</v>
      </c>
      <c r="G1184">
        <v>0</v>
      </c>
      <c r="H1184">
        <v>0</v>
      </c>
      <c r="I1184">
        <v>1</v>
      </c>
      <c r="J1184">
        <v>0</v>
      </c>
      <c r="K1184">
        <v>0</v>
      </c>
      <c r="L1184">
        <v>0</v>
      </c>
      <c r="M1184">
        <v>1</v>
      </c>
    </row>
    <row r="1185" spans="1:13" x14ac:dyDescent="0.3">
      <c r="A1185">
        <v>5.1059454739005803</v>
      </c>
      <c r="B1185">
        <v>3.9122229854308124</v>
      </c>
      <c r="C1185">
        <v>28</v>
      </c>
      <c r="D1185">
        <v>3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1</v>
      </c>
      <c r="L1185">
        <v>0</v>
      </c>
      <c r="M1185">
        <v>0</v>
      </c>
    </row>
    <row r="1186" spans="1:13" x14ac:dyDescent="0.3">
      <c r="A1186">
        <v>5.0434251169192468</v>
      </c>
      <c r="B1186">
        <v>5.2983673652980787</v>
      </c>
      <c r="C1186">
        <v>37</v>
      </c>
      <c r="D1186">
        <v>6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1</v>
      </c>
      <c r="M1186">
        <v>0</v>
      </c>
    </row>
    <row r="1187" spans="1:13" x14ac:dyDescent="0.3">
      <c r="A1187">
        <v>5.0172798368149243</v>
      </c>
      <c r="B1187">
        <v>2.996232148595642</v>
      </c>
      <c r="C1187">
        <v>30</v>
      </c>
      <c r="D1187">
        <v>5</v>
      </c>
      <c r="E1187">
        <v>0</v>
      </c>
      <c r="F1187">
        <v>0</v>
      </c>
      <c r="G1187">
        <v>0</v>
      </c>
      <c r="H1187">
        <v>0</v>
      </c>
      <c r="I1187">
        <v>1</v>
      </c>
      <c r="J1187">
        <v>0</v>
      </c>
      <c r="K1187">
        <v>0</v>
      </c>
      <c r="L1187">
        <v>0</v>
      </c>
      <c r="M1187">
        <v>1</v>
      </c>
    </row>
    <row r="1188" spans="1:13" x14ac:dyDescent="0.3">
      <c r="A1188">
        <v>4.8675344504555822</v>
      </c>
      <c r="B1188">
        <v>2.996232148595642</v>
      </c>
      <c r="C1188">
        <v>20</v>
      </c>
      <c r="D1188">
        <v>0.61666666999999997</v>
      </c>
      <c r="E1188">
        <v>0</v>
      </c>
      <c r="F1188">
        <v>0</v>
      </c>
      <c r="G1188">
        <v>0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1</v>
      </c>
    </row>
    <row r="1189" spans="1:13" x14ac:dyDescent="0.3">
      <c r="A1189">
        <v>4.8040210447332568</v>
      </c>
      <c r="B1189">
        <v>3.9122229854308124</v>
      </c>
      <c r="C1189">
        <v>116</v>
      </c>
      <c r="D1189">
        <v>10.5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1</v>
      </c>
      <c r="L1189">
        <v>0</v>
      </c>
      <c r="M1189">
        <v>0</v>
      </c>
    </row>
    <row r="1190" spans="1:13" x14ac:dyDescent="0.3">
      <c r="A1190">
        <v>4.7791234931115296</v>
      </c>
      <c r="B1190">
        <v>3.9122229854308124</v>
      </c>
      <c r="C1190">
        <v>70</v>
      </c>
      <c r="D1190">
        <v>10.5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1</v>
      </c>
      <c r="L1190">
        <v>0</v>
      </c>
      <c r="M1190">
        <v>0</v>
      </c>
    </row>
    <row r="1191" spans="1:13" x14ac:dyDescent="0.3">
      <c r="A1191">
        <v>4.7535901911063645</v>
      </c>
      <c r="B1191">
        <v>3.4015306594522756</v>
      </c>
      <c r="C1191">
        <v>7</v>
      </c>
      <c r="D1191">
        <v>1</v>
      </c>
      <c r="E1191">
        <v>0</v>
      </c>
      <c r="F1191">
        <v>0</v>
      </c>
      <c r="G1191">
        <v>0</v>
      </c>
      <c r="H1191">
        <v>0</v>
      </c>
      <c r="I1191">
        <v>1</v>
      </c>
      <c r="J1191">
        <v>0</v>
      </c>
      <c r="K1191">
        <v>1</v>
      </c>
      <c r="L1191">
        <v>0</v>
      </c>
      <c r="M1191">
        <v>0</v>
      </c>
    </row>
    <row r="1192" spans="1:13" x14ac:dyDescent="0.3">
      <c r="A1192">
        <v>4.6913478822291435</v>
      </c>
      <c r="B1192">
        <v>5.1648431151480656</v>
      </c>
      <c r="C1192">
        <v>69</v>
      </c>
      <c r="D1192">
        <v>9.5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1</v>
      </c>
    </row>
    <row r="1193" spans="1:13" x14ac:dyDescent="0.3">
      <c r="A1193">
        <v>4.6347289882296359</v>
      </c>
      <c r="B1193">
        <v>5.2983673652980787</v>
      </c>
      <c r="C1193">
        <v>72</v>
      </c>
      <c r="D1193">
        <v>5.5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1</v>
      </c>
      <c r="K1193">
        <v>0</v>
      </c>
      <c r="L1193">
        <v>0</v>
      </c>
      <c r="M1193">
        <v>1</v>
      </c>
    </row>
    <row r="1194" spans="1:13" x14ac:dyDescent="0.3">
      <c r="A1194">
        <v>4.6249728132842707</v>
      </c>
      <c r="B1194">
        <v>3.2192757448895279</v>
      </c>
      <c r="C1194">
        <v>36</v>
      </c>
      <c r="D1194">
        <v>2.5</v>
      </c>
      <c r="E1194">
        <v>0</v>
      </c>
      <c r="F1194">
        <v>0</v>
      </c>
      <c r="G1194">
        <v>0</v>
      </c>
      <c r="H1194">
        <v>0</v>
      </c>
      <c r="I1194">
        <v>1</v>
      </c>
      <c r="J1194">
        <v>0</v>
      </c>
      <c r="K1194">
        <v>0</v>
      </c>
      <c r="L1194">
        <v>0</v>
      </c>
      <c r="M1194">
        <v>1</v>
      </c>
    </row>
    <row r="1195" spans="1:13" x14ac:dyDescent="0.3">
      <c r="A1195">
        <v>4.5108595065168497</v>
      </c>
      <c r="B1195">
        <v>5.2983673652980787</v>
      </c>
      <c r="C1195">
        <v>53</v>
      </c>
      <c r="D1195">
        <v>6.5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1</v>
      </c>
      <c r="K1195">
        <v>1</v>
      </c>
      <c r="L1195">
        <v>0</v>
      </c>
      <c r="M1195">
        <v>0</v>
      </c>
    </row>
    <row r="1196" spans="1:13" x14ac:dyDescent="0.3">
      <c r="A1196">
        <v>4.4773368144782069</v>
      </c>
      <c r="B1196">
        <v>5.2983673652980787</v>
      </c>
      <c r="C1196">
        <v>55</v>
      </c>
      <c r="D1196">
        <v>4.5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1</v>
      </c>
      <c r="K1196">
        <v>1</v>
      </c>
      <c r="L1196">
        <v>0</v>
      </c>
      <c r="M1196">
        <v>0</v>
      </c>
    </row>
    <row r="1197" spans="1:13" x14ac:dyDescent="0.3">
      <c r="A1197">
        <v>4.3944491546724391</v>
      </c>
      <c r="B1197">
        <v>3.5556337349665741</v>
      </c>
      <c r="C1197">
        <v>33</v>
      </c>
      <c r="D1197">
        <v>1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1</v>
      </c>
      <c r="K1197">
        <v>0</v>
      </c>
      <c r="L1197">
        <v>0</v>
      </c>
      <c r="M1197">
        <v>1</v>
      </c>
    </row>
    <row r="1198" spans="1:13" x14ac:dyDescent="0.3">
      <c r="A1198">
        <v>4.1108738641733114</v>
      </c>
      <c r="B1198">
        <v>4.6052701809884251</v>
      </c>
      <c r="C1198">
        <v>44</v>
      </c>
      <c r="D1198">
        <v>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1</v>
      </c>
      <c r="K1198">
        <v>0</v>
      </c>
      <c r="L1198">
        <v>0</v>
      </c>
      <c r="M1198">
        <v>1</v>
      </c>
    </row>
    <row r="1199" spans="1:13" x14ac:dyDescent="0.3">
      <c r="A1199">
        <v>4.0073331852324712</v>
      </c>
      <c r="B1199">
        <v>3.4015306594522756</v>
      </c>
      <c r="C1199">
        <v>31</v>
      </c>
      <c r="D1199">
        <v>1.5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1</v>
      </c>
    </row>
    <row r="1200" spans="1:13" x14ac:dyDescent="0.3">
      <c r="A1200">
        <v>3.912023005428146</v>
      </c>
      <c r="B1200">
        <v>5.2983673652980787</v>
      </c>
      <c r="C1200">
        <v>60</v>
      </c>
      <c r="D1200">
        <v>5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1</v>
      </c>
      <c r="K1200">
        <v>1</v>
      </c>
      <c r="L1200">
        <v>0</v>
      </c>
      <c r="M1200">
        <v>0</v>
      </c>
    </row>
    <row r="1201" spans="1:13" x14ac:dyDescent="0.3">
      <c r="A1201">
        <v>3.784189633918261</v>
      </c>
      <c r="B1201">
        <v>3.6891294228691436</v>
      </c>
      <c r="C1201">
        <v>68</v>
      </c>
      <c r="D1201">
        <v>8.5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1</v>
      </c>
    </row>
    <row r="1202" spans="1:13" x14ac:dyDescent="0.3">
      <c r="A1202">
        <v>3.5263605246161616</v>
      </c>
      <c r="B1202">
        <v>4.8283937341024714</v>
      </c>
      <c r="C1202">
        <v>21</v>
      </c>
      <c r="D1202">
        <v>1.5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1</v>
      </c>
      <c r="K1202">
        <v>1</v>
      </c>
      <c r="L1202">
        <v>0</v>
      </c>
      <c r="M1202">
        <v>0</v>
      </c>
    </row>
    <row r="1203" spans="1:13" x14ac:dyDescent="0.3">
      <c r="A1203">
        <v>3.2188758248682006</v>
      </c>
      <c r="B1203">
        <v>4.6052701809884251</v>
      </c>
      <c r="C1203">
        <v>66</v>
      </c>
      <c r="D1203">
        <v>12.5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1</v>
      </c>
      <c r="K1203">
        <v>1</v>
      </c>
      <c r="L1203">
        <v>0</v>
      </c>
      <c r="M1203">
        <v>0</v>
      </c>
    </row>
    <row r="1204" spans="1:13" x14ac:dyDescent="0.3">
      <c r="A1204">
        <v>2.9444389791664403</v>
      </c>
      <c r="B1204">
        <v>5.2983673652980787</v>
      </c>
      <c r="C1204">
        <v>33</v>
      </c>
      <c r="D1204">
        <v>4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1</v>
      </c>
      <c r="K1204">
        <v>1</v>
      </c>
      <c r="L1204">
        <v>0</v>
      </c>
      <c r="M120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7CA8-BAC1-4541-806D-AFA07BCB67BF}">
  <dimension ref="A1:U71"/>
  <sheetViews>
    <sheetView tabSelected="1" topLeftCell="A26" zoomScale="70" zoomScaleNormal="70" workbookViewId="0">
      <selection activeCell="T48" sqref="T48:U59"/>
    </sheetView>
  </sheetViews>
  <sheetFormatPr defaultRowHeight="14.4" x14ac:dyDescent="0.3"/>
  <cols>
    <col min="1" max="1" width="26" bestFit="1" customWidth="1"/>
    <col min="3" max="3" width="14.6640625" bestFit="1" customWidth="1"/>
    <col min="20" max="20" width="11.6640625" bestFit="1" customWidth="1"/>
    <col min="21" max="21" width="11.5546875" bestFit="1" customWidth="1"/>
  </cols>
  <sheetData>
    <row r="1" spans="1:10" x14ac:dyDescent="0.3">
      <c r="B1" t="s">
        <v>2451</v>
      </c>
    </row>
    <row r="2" spans="1:10" ht="15" thickBot="1" x14ac:dyDescent="0.35"/>
    <row r="3" spans="1:10" x14ac:dyDescent="0.3">
      <c r="B3" s="8" t="s">
        <v>2452</v>
      </c>
      <c r="C3" s="8"/>
    </row>
    <row r="4" spans="1:10" x14ac:dyDescent="0.3">
      <c r="B4" t="s">
        <v>2453</v>
      </c>
      <c r="C4">
        <v>0.32832432971184761</v>
      </c>
    </row>
    <row r="5" spans="1:10" x14ac:dyDescent="0.3">
      <c r="B5" t="s">
        <v>2454</v>
      </c>
      <c r="C5">
        <v>0.10779686548073403</v>
      </c>
    </row>
    <row r="6" spans="1:10" x14ac:dyDescent="0.3">
      <c r="B6" t="s">
        <v>2455</v>
      </c>
      <c r="C6">
        <v>9.8799859082220415E-2</v>
      </c>
    </row>
    <row r="7" spans="1:10" x14ac:dyDescent="0.3">
      <c r="B7" t="s">
        <v>2419</v>
      </c>
      <c r="C7">
        <v>13821.483839829703</v>
      </c>
    </row>
    <row r="8" spans="1:10" ht="15" thickBot="1" x14ac:dyDescent="0.35">
      <c r="B8" s="1" t="s">
        <v>2436</v>
      </c>
      <c r="C8" s="1">
        <v>1203</v>
      </c>
    </row>
    <row r="10" spans="1:10" ht="15" thickBot="1" x14ac:dyDescent="0.35">
      <c r="B10" t="s">
        <v>2456</v>
      </c>
    </row>
    <row r="11" spans="1:10" x14ac:dyDescent="0.3">
      <c r="B11" s="2"/>
      <c r="C11" s="2" t="s">
        <v>2438</v>
      </c>
      <c r="D11" s="2" t="s">
        <v>2461</v>
      </c>
      <c r="E11" s="2" t="s">
        <v>2462</v>
      </c>
      <c r="F11" s="2" t="s">
        <v>2446</v>
      </c>
      <c r="G11" s="2" t="s">
        <v>2463</v>
      </c>
    </row>
    <row r="12" spans="1:10" x14ac:dyDescent="0.3">
      <c r="B12" t="s">
        <v>2457</v>
      </c>
      <c r="C12">
        <v>12</v>
      </c>
      <c r="D12">
        <v>27466207070.98999</v>
      </c>
      <c r="E12">
        <v>2288850589.249166</v>
      </c>
      <c r="F12">
        <v>11.981414784649163</v>
      </c>
      <c r="G12">
        <v>3.3424070103993618E-23</v>
      </c>
    </row>
    <row r="13" spans="1:10" x14ac:dyDescent="0.3">
      <c r="B13" t="s">
        <v>2458</v>
      </c>
      <c r="C13">
        <v>1190</v>
      </c>
      <c r="D13">
        <v>227329764486.26166</v>
      </c>
      <c r="E13">
        <v>191033415.53467366</v>
      </c>
    </row>
    <row r="14" spans="1:10" ht="15" thickBot="1" x14ac:dyDescent="0.35">
      <c r="B14" s="1" t="s">
        <v>2459</v>
      </c>
      <c r="C14" s="1">
        <v>1202</v>
      </c>
      <c r="D14" s="1">
        <v>254795971557.25165</v>
      </c>
      <c r="E14" s="1"/>
      <c r="F14" s="1"/>
      <c r="G14" s="1"/>
    </row>
    <row r="15" spans="1:10" ht="15" thickBot="1" x14ac:dyDescent="0.35"/>
    <row r="16" spans="1:10" x14ac:dyDescent="0.3">
      <c r="A16" s="2" t="s">
        <v>2474</v>
      </c>
      <c r="B16" s="2"/>
      <c r="C16" s="2" t="s">
        <v>2464</v>
      </c>
      <c r="D16" s="2" t="s">
        <v>2419</v>
      </c>
      <c r="E16" s="2" t="s">
        <v>2439</v>
      </c>
      <c r="F16" s="2" t="s">
        <v>2465</v>
      </c>
      <c r="G16" s="2" t="s">
        <v>2466</v>
      </c>
      <c r="H16" s="2" t="s">
        <v>2467</v>
      </c>
      <c r="I16" s="2" t="s">
        <v>2468</v>
      </c>
      <c r="J16" s="2" t="s">
        <v>2469</v>
      </c>
    </row>
    <row r="17" spans="1:10" x14ac:dyDescent="0.3">
      <c r="B17" t="s">
        <v>2460</v>
      </c>
      <c r="C17" s="9">
        <v>29450.38665466079</v>
      </c>
      <c r="D17" s="9">
        <v>7250.6608277520372</v>
      </c>
      <c r="E17" s="9">
        <v>4.0617520739542661</v>
      </c>
      <c r="F17" s="9">
        <v>5.1893805710600186E-5</v>
      </c>
      <c r="G17" s="9">
        <v>15224.883875178713</v>
      </c>
      <c r="H17" s="9">
        <v>43675.889434142868</v>
      </c>
      <c r="I17" s="9">
        <v>15224.883875178713</v>
      </c>
      <c r="J17" s="9">
        <v>43675.889434142868</v>
      </c>
    </row>
    <row r="18" spans="1:10" x14ac:dyDescent="0.3">
      <c r="B18" t="s">
        <v>3</v>
      </c>
      <c r="C18" s="9">
        <v>-4.4253245251108035</v>
      </c>
      <c r="D18" s="9">
        <v>6.6833871585827511</v>
      </c>
      <c r="E18" s="9">
        <v>-0.66213798783567968</v>
      </c>
      <c r="F18" s="9">
        <v>0.50801099556607987</v>
      </c>
      <c r="G18" s="9">
        <v>-17.537859349091839</v>
      </c>
      <c r="H18" s="9">
        <v>8.6872102988702302</v>
      </c>
      <c r="I18" s="9">
        <v>-17.537859349091839</v>
      </c>
      <c r="J18" s="9">
        <v>8.6872102988702302</v>
      </c>
    </row>
    <row r="19" spans="1:10" x14ac:dyDescent="0.3">
      <c r="A19">
        <v>50</v>
      </c>
      <c r="B19" t="s">
        <v>6</v>
      </c>
      <c r="C19" s="9">
        <v>0.22626879188263779</v>
      </c>
      <c r="D19" s="9">
        <v>12.609638618873481</v>
      </c>
      <c r="E19" s="9">
        <v>1.7944113921232439E-2</v>
      </c>
      <c r="F19" s="9">
        <v>0.98568644486084145</v>
      </c>
      <c r="G19" s="9">
        <v>-24.513331291805585</v>
      </c>
      <c r="H19" s="9">
        <v>24.965868875570862</v>
      </c>
      <c r="I19" s="9">
        <v>-24.513331291805585</v>
      </c>
      <c r="J19" s="9">
        <v>24.965868875570862</v>
      </c>
    </row>
    <row r="20" spans="1:10" x14ac:dyDescent="0.3">
      <c r="A20">
        <v>10</v>
      </c>
      <c r="B20" t="s">
        <v>8</v>
      </c>
      <c r="C20" s="9">
        <v>300.73030699004124</v>
      </c>
      <c r="D20" s="9">
        <v>108.60605576405517</v>
      </c>
      <c r="E20" s="9">
        <v>2.769001275982002</v>
      </c>
      <c r="F20" s="9">
        <v>5.71017261032315E-3</v>
      </c>
      <c r="G20" s="9">
        <v>87.649625815888243</v>
      </c>
      <c r="H20" s="9">
        <v>513.81098816419421</v>
      </c>
      <c r="I20" s="9">
        <v>87.649625815888243</v>
      </c>
      <c r="J20" s="9">
        <v>513.81098816419421</v>
      </c>
    </row>
    <row r="21" spans="1:10" x14ac:dyDescent="0.3">
      <c r="A21">
        <v>0</v>
      </c>
      <c r="B21">
        <v>2012</v>
      </c>
      <c r="C21" s="9">
        <v>-6174.2817253322446</v>
      </c>
      <c r="D21" s="9">
        <v>6954.1326060913079</v>
      </c>
      <c r="E21" s="9">
        <v>-0.88785792205400693</v>
      </c>
      <c r="F21" s="9">
        <v>0.37479659520853148</v>
      </c>
      <c r="G21" s="9">
        <v>-19818.008147922257</v>
      </c>
      <c r="H21" s="9">
        <v>7469.4446972577662</v>
      </c>
      <c r="I21" s="9">
        <v>-19818.008147922257</v>
      </c>
      <c r="J21" s="9">
        <v>7469.4446972577662</v>
      </c>
    </row>
    <row r="22" spans="1:10" x14ac:dyDescent="0.3">
      <c r="A22">
        <v>0</v>
      </c>
      <c r="B22">
        <v>2013</v>
      </c>
      <c r="C22" s="9">
        <v>-1641.5041738709449</v>
      </c>
      <c r="D22" s="9">
        <v>6480.093554105124</v>
      </c>
      <c r="E22" s="9">
        <v>-0.25331488815173908</v>
      </c>
      <c r="F22" s="9">
        <v>0.80006864659546617</v>
      </c>
      <c r="G22" s="9">
        <v>-14355.185182420644</v>
      </c>
      <c r="H22" s="9">
        <v>11072.176834678756</v>
      </c>
      <c r="I22" s="9">
        <v>-14355.185182420644</v>
      </c>
      <c r="J22" s="9">
        <v>11072.176834678756</v>
      </c>
    </row>
    <row r="23" spans="1:10" x14ac:dyDescent="0.3">
      <c r="A23">
        <v>0</v>
      </c>
      <c r="B23">
        <v>2014</v>
      </c>
      <c r="C23" s="9">
        <v>-12845.698256673615</v>
      </c>
      <c r="D23" s="9">
        <v>6339.8247684149637</v>
      </c>
      <c r="E23" s="9">
        <v>-2.0261913737223374</v>
      </c>
      <c r="F23" s="9">
        <v>4.2967895869070592E-2</v>
      </c>
      <c r="G23" s="9">
        <v>-25284.177590767307</v>
      </c>
      <c r="H23" s="9">
        <v>-407.21892257992295</v>
      </c>
      <c r="I23" s="9">
        <v>-25284.177590767307</v>
      </c>
      <c r="J23" s="9">
        <v>-407.21892257992295</v>
      </c>
    </row>
    <row r="24" spans="1:10" x14ac:dyDescent="0.3">
      <c r="A24">
        <v>0</v>
      </c>
      <c r="B24">
        <v>2015</v>
      </c>
      <c r="C24" s="9">
        <v>-15160.559038681744</v>
      </c>
      <c r="D24" s="9">
        <v>6250.4141705114898</v>
      </c>
      <c r="E24" s="9">
        <v>-2.425528712994248</v>
      </c>
      <c r="F24" s="9">
        <v>1.5434068950483685E-2</v>
      </c>
      <c r="G24" s="9">
        <v>-27423.61840220906</v>
      </c>
      <c r="H24" s="9">
        <v>-2897.4996751544259</v>
      </c>
      <c r="I24" s="9">
        <v>-27423.61840220906</v>
      </c>
      <c r="J24" s="9">
        <v>-2897.4996751544259</v>
      </c>
    </row>
    <row r="25" spans="1:10" x14ac:dyDescent="0.3">
      <c r="A25">
        <v>0</v>
      </c>
      <c r="B25">
        <v>2016</v>
      </c>
      <c r="C25" s="9">
        <v>-17797.349543548793</v>
      </c>
      <c r="D25" s="9">
        <v>6238.6890413640904</v>
      </c>
      <c r="E25" s="9">
        <v>-2.852738680441973</v>
      </c>
      <c r="F25" s="9">
        <v>4.4094355219316079E-3</v>
      </c>
      <c r="G25" s="9">
        <v>-30037.404678739062</v>
      </c>
      <c r="H25" s="9">
        <v>-5557.2944083585262</v>
      </c>
      <c r="I25" s="9">
        <v>-30037.404678739062</v>
      </c>
      <c r="J25" s="9">
        <v>-5557.2944083585262</v>
      </c>
    </row>
    <row r="26" spans="1:10" x14ac:dyDescent="0.3">
      <c r="A26">
        <v>1</v>
      </c>
      <c r="B26">
        <v>2017</v>
      </c>
      <c r="C26" s="9">
        <v>-19433.135936005303</v>
      </c>
      <c r="D26" s="9">
        <v>6278.636839093032</v>
      </c>
      <c r="E26" s="9">
        <v>-3.095120236132733</v>
      </c>
      <c r="F26" s="9">
        <v>2.0132565791124092E-3</v>
      </c>
      <c r="G26" s="9">
        <v>-31751.567031832448</v>
      </c>
      <c r="H26" s="9">
        <v>-7114.7048401781576</v>
      </c>
      <c r="I26" s="9">
        <v>-31751.567031832448</v>
      </c>
      <c r="J26" s="9">
        <v>-7114.7048401781576</v>
      </c>
    </row>
    <row r="27" spans="1:10" x14ac:dyDescent="0.3">
      <c r="A27">
        <v>1</v>
      </c>
      <c r="B27">
        <v>1</v>
      </c>
      <c r="C27" s="9">
        <v>-7633.0286038223403</v>
      </c>
      <c r="D27" s="9">
        <v>3765.2935491437661</v>
      </c>
      <c r="E27" s="9">
        <v>-2.0272067779570873</v>
      </c>
      <c r="F27" s="9">
        <v>4.2863822132847652E-2</v>
      </c>
      <c r="G27" s="9">
        <v>-15020.38199427421</v>
      </c>
      <c r="H27" s="9">
        <v>-245.67521337047037</v>
      </c>
      <c r="I27" s="9">
        <v>-15020.38199427421</v>
      </c>
      <c r="J27" s="9">
        <v>-245.67521337047037</v>
      </c>
    </row>
    <row r="28" spans="1:10" x14ac:dyDescent="0.3">
      <c r="A28">
        <v>0</v>
      </c>
      <c r="B28">
        <v>2</v>
      </c>
      <c r="C28" s="9">
        <v>-9247.7937918699226</v>
      </c>
      <c r="D28" s="9">
        <v>3890.546617823723</v>
      </c>
      <c r="E28" s="9">
        <v>-2.3769908705124099</v>
      </c>
      <c r="F28" s="9">
        <v>1.7611896822031702E-2</v>
      </c>
      <c r="G28" s="9">
        <v>-16880.888628373934</v>
      </c>
      <c r="H28" s="9">
        <v>-1614.6989553659132</v>
      </c>
      <c r="I28" s="9">
        <v>-16880.888628373934</v>
      </c>
      <c r="J28" s="9">
        <v>-1614.6989553659132</v>
      </c>
    </row>
    <row r="29" spans="1:10" ht="15" thickBot="1" x14ac:dyDescent="0.35">
      <c r="A29">
        <v>0</v>
      </c>
      <c r="B29" s="1">
        <v>4</v>
      </c>
      <c r="C29" s="10">
        <v>-8671.5445024290602</v>
      </c>
      <c r="D29" s="10">
        <v>3744.4052352331296</v>
      </c>
      <c r="E29" s="10">
        <v>-2.315866995600214</v>
      </c>
      <c r="F29" s="10">
        <v>2.0734834725044574E-2</v>
      </c>
      <c r="G29" s="10">
        <v>-16017.91586728995</v>
      </c>
      <c r="H29" s="10">
        <v>-1325.1731375681702</v>
      </c>
      <c r="I29" s="10">
        <v>-16017.91586728995</v>
      </c>
      <c r="J29" s="10">
        <v>-1325.1731375681702</v>
      </c>
    </row>
    <row r="33" spans="2:21" x14ac:dyDescent="0.3">
      <c r="B33" t="s">
        <v>2472</v>
      </c>
      <c r="C33" t="s">
        <v>2473</v>
      </c>
    </row>
    <row r="34" spans="2:21" x14ac:dyDescent="0.3">
      <c r="B34">
        <v>0</v>
      </c>
      <c r="C34" s="16">
        <f>$C$17+$C$18*B34+$C$19*$A$19+$C$20*$A$20+$C$21*$A$21+$C$22*$A$22+$C$23*$A$23+$C$24*$A$24+$C$25*$A$25+$C$26*$A$26+$C$27*$A$27+$C$28*$A$28+$C$29*$A$29</f>
        <v>5402.8386243276891</v>
      </c>
    </row>
    <row r="35" spans="2:21" x14ac:dyDescent="0.3">
      <c r="B35">
        <v>20</v>
      </c>
      <c r="C35" s="16">
        <f t="shared" ref="C35:C71" si="0">$C$17+$C$18*B35+$C$19*$A$19+$C$20*$A$20+$C$21*$A$21+$C$22*$A$22+$C$23*$A$23+$C$24*$A$24+$C$25*$A$25+$C$26*$A$26+$C$27*$A$27+$C$28*$A$28+$C$29*$A$29</f>
        <v>5314.3321338254736</v>
      </c>
    </row>
    <row r="36" spans="2:21" x14ac:dyDescent="0.3">
      <c r="B36">
        <v>25</v>
      </c>
      <c r="C36" s="16">
        <f t="shared" si="0"/>
        <v>5292.2055111999198</v>
      </c>
    </row>
    <row r="37" spans="2:21" x14ac:dyDescent="0.3">
      <c r="B37">
        <v>30</v>
      </c>
      <c r="C37" s="16">
        <f t="shared" si="0"/>
        <v>5270.0788885743659</v>
      </c>
    </row>
    <row r="38" spans="2:21" x14ac:dyDescent="0.3">
      <c r="B38">
        <v>35</v>
      </c>
      <c r="C38" s="16">
        <f t="shared" si="0"/>
        <v>5247.9522659488121</v>
      </c>
    </row>
    <row r="39" spans="2:21" x14ac:dyDescent="0.3">
      <c r="B39">
        <v>40</v>
      </c>
      <c r="C39" s="16">
        <f t="shared" si="0"/>
        <v>5225.8256433232582</v>
      </c>
    </row>
    <row r="40" spans="2:21" x14ac:dyDescent="0.3">
      <c r="B40">
        <v>45</v>
      </c>
      <c r="C40" s="16">
        <f t="shared" si="0"/>
        <v>5203.6990206977043</v>
      </c>
    </row>
    <row r="41" spans="2:21" x14ac:dyDescent="0.3">
      <c r="B41">
        <v>50</v>
      </c>
      <c r="C41" s="16">
        <f t="shared" si="0"/>
        <v>5181.5723980721505</v>
      </c>
    </row>
    <row r="42" spans="2:21" x14ac:dyDescent="0.3">
      <c r="B42">
        <v>55</v>
      </c>
      <c r="C42" s="16">
        <f>$C$17+$C$18*B42+$C$19*$A$19+$C$20*$A$20+$C$21*$A$21+$C$22*$A$22+$C$23*$A$23+$C$24*$A$24+$C$25*$A$25+$C$26*$A$26+$C$27*$A$27+$C$28*$A$28+$C$29*$A$29</f>
        <v>5159.4457754465966</v>
      </c>
    </row>
    <row r="43" spans="2:21" x14ac:dyDescent="0.3">
      <c r="B43">
        <v>60</v>
      </c>
      <c r="C43" s="16">
        <f t="shared" si="0"/>
        <v>5137.3191528210427</v>
      </c>
    </row>
    <row r="44" spans="2:21" x14ac:dyDescent="0.3">
      <c r="B44">
        <v>65</v>
      </c>
      <c r="C44" s="16">
        <f t="shared" si="0"/>
        <v>5115.1925301954852</v>
      </c>
    </row>
    <row r="45" spans="2:21" x14ac:dyDescent="0.3">
      <c r="B45">
        <v>70</v>
      </c>
      <c r="C45" s="16">
        <f t="shared" si="0"/>
        <v>5093.0659075699314</v>
      </c>
    </row>
    <row r="46" spans="2:21" x14ac:dyDescent="0.3">
      <c r="B46">
        <v>75</v>
      </c>
      <c r="C46" s="16">
        <f t="shared" si="0"/>
        <v>5070.9392849443775</v>
      </c>
    </row>
    <row r="47" spans="2:21" x14ac:dyDescent="0.3">
      <c r="B47">
        <v>80</v>
      </c>
      <c r="C47" s="16">
        <f t="shared" si="0"/>
        <v>5048.8126623188236</v>
      </c>
    </row>
    <row r="48" spans="2:21" x14ac:dyDescent="0.3">
      <c r="B48">
        <v>85</v>
      </c>
      <c r="C48" s="16">
        <f t="shared" si="0"/>
        <v>5026.6860396932698</v>
      </c>
      <c r="T48" t="s">
        <v>2475</v>
      </c>
      <c r="U48" t="s">
        <v>2476</v>
      </c>
    </row>
    <row r="49" spans="2:21" x14ac:dyDescent="0.3">
      <c r="B49">
        <v>90</v>
      </c>
      <c r="C49" s="16">
        <f t="shared" si="0"/>
        <v>5004.5594170677159</v>
      </c>
      <c r="T49" t="s">
        <v>2477</v>
      </c>
      <c r="U49">
        <v>794</v>
      </c>
    </row>
    <row r="50" spans="2:21" x14ac:dyDescent="0.3">
      <c r="B50">
        <v>95</v>
      </c>
      <c r="C50" s="16">
        <f t="shared" si="0"/>
        <v>4982.432794442162</v>
      </c>
      <c r="T50" t="s">
        <v>2478</v>
      </c>
      <c r="U50">
        <v>500</v>
      </c>
    </row>
    <row r="51" spans="2:21" x14ac:dyDescent="0.3">
      <c r="B51">
        <v>100</v>
      </c>
      <c r="C51" s="16">
        <f t="shared" si="0"/>
        <v>4960.3061718166082</v>
      </c>
      <c r="T51" t="s">
        <v>2479</v>
      </c>
      <c r="U51">
        <v>235</v>
      </c>
    </row>
    <row r="52" spans="2:21" x14ac:dyDescent="0.3">
      <c r="B52">
        <v>105</v>
      </c>
      <c r="C52" s="16">
        <f t="shared" si="0"/>
        <v>4938.1795491910543</v>
      </c>
      <c r="T52" t="s">
        <v>2480</v>
      </c>
      <c r="U52">
        <v>380</v>
      </c>
    </row>
    <row r="53" spans="2:21" x14ac:dyDescent="0.3">
      <c r="B53">
        <v>110</v>
      </c>
      <c r="C53" s="16">
        <f t="shared" si="0"/>
        <v>4916.0529265655005</v>
      </c>
      <c r="T53" t="s">
        <v>2481</v>
      </c>
      <c r="U53">
        <v>618</v>
      </c>
    </row>
    <row r="54" spans="2:21" x14ac:dyDescent="0.3">
      <c r="B54">
        <v>115</v>
      </c>
      <c r="C54" s="16">
        <f t="shared" si="0"/>
        <v>4893.9263039399466</v>
      </c>
      <c r="T54" t="s">
        <v>2482</v>
      </c>
      <c r="U54">
        <v>164</v>
      </c>
    </row>
    <row r="55" spans="2:21" x14ac:dyDescent="0.3">
      <c r="B55">
        <v>120</v>
      </c>
      <c r="C55" s="16">
        <f t="shared" si="0"/>
        <v>4871.7996813143927</v>
      </c>
      <c r="T55" t="s">
        <v>2483</v>
      </c>
      <c r="U55">
        <v>116</v>
      </c>
    </row>
    <row r="56" spans="2:21" x14ac:dyDescent="0.3">
      <c r="B56">
        <v>125</v>
      </c>
      <c r="C56" s="16">
        <f t="shared" si="0"/>
        <v>4849.6730586888389</v>
      </c>
      <c r="T56" t="s">
        <v>2484</v>
      </c>
      <c r="U56">
        <v>165</v>
      </c>
    </row>
    <row r="57" spans="2:21" x14ac:dyDescent="0.3">
      <c r="B57">
        <v>130</v>
      </c>
      <c r="C57" s="16">
        <f t="shared" si="0"/>
        <v>4827.546436063285</v>
      </c>
      <c r="T57" t="s">
        <v>2485</v>
      </c>
      <c r="U57">
        <v>305</v>
      </c>
    </row>
    <row r="58" spans="2:21" x14ac:dyDescent="0.3">
      <c r="B58">
        <v>135</v>
      </c>
      <c r="C58" s="16">
        <f t="shared" si="0"/>
        <v>4805.4198134377311</v>
      </c>
      <c r="T58" t="s">
        <v>2486</v>
      </c>
      <c r="U58">
        <v>109</v>
      </c>
    </row>
    <row r="59" spans="2:21" x14ac:dyDescent="0.3">
      <c r="B59">
        <v>140</v>
      </c>
      <c r="C59" s="16">
        <f t="shared" si="0"/>
        <v>4783.2931908121773</v>
      </c>
      <c r="T59" t="s">
        <v>2459</v>
      </c>
      <c r="U59">
        <f>SUM(U49:U58)</f>
        <v>3386</v>
      </c>
    </row>
    <row r="60" spans="2:21" x14ac:dyDescent="0.3">
      <c r="B60">
        <v>145</v>
      </c>
      <c r="C60" s="16">
        <f t="shared" si="0"/>
        <v>4761.1665681866234</v>
      </c>
    </row>
    <row r="61" spans="2:21" x14ac:dyDescent="0.3">
      <c r="B61">
        <v>150</v>
      </c>
      <c r="C61" s="16">
        <f t="shared" si="0"/>
        <v>4739.0399455610695</v>
      </c>
    </row>
    <row r="62" spans="2:21" x14ac:dyDescent="0.3">
      <c r="B62">
        <v>155</v>
      </c>
      <c r="C62" s="16">
        <f t="shared" si="0"/>
        <v>4716.9133229355157</v>
      </c>
    </row>
    <row r="63" spans="2:21" x14ac:dyDescent="0.3">
      <c r="B63">
        <v>160</v>
      </c>
      <c r="C63" s="16">
        <f t="shared" si="0"/>
        <v>4694.7867003099618</v>
      </c>
    </row>
    <row r="64" spans="2:21" x14ac:dyDescent="0.3">
      <c r="B64">
        <v>165</v>
      </c>
      <c r="C64" s="16">
        <f t="shared" si="0"/>
        <v>4672.660077684408</v>
      </c>
    </row>
    <row r="65" spans="2:3" x14ac:dyDescent="0.3">
      <c r="B65">
        <v>170</v>
      </c>
      <c r="C65" s="16">
        <f t="shared" si="0"/>
        <v>4650.5334550588541</v>
      </c>
    </row>
    <row r="66" spans="2:3" x14ac:dyDescent="0.3">
      <c r="B66">
        <v>175</v>
      </c>
      <c r="C66" s="16">
        <f t="shared" si="0"/>
        <v>4628.4068324333002</v>
      </c>
    </row>
    <row r="67" spans="2:3" x14ac:dyDescent="0.3">
      <c r="B67">
        <v>180</v>
      </c>
      <c r="C67" s="16">
        <f t="shared" si="0"/>
        <v>4606.2802098077427</v>
      </c>
    </row>
    <row r="68" spans="2:3" x14ac:dyDescent="0.3">
      <c r="B68">
        <v>185</v>
      </c>
      <c r="C68" s="16">
        <f t="shared" si="0"/>
        <v>4584.1535871821889</v>
      </c>
    </row>
    <row r="69" spans="2:3" x14ac:dyDescent="0.3">
      <c r="B69">
        <v>190</v>
      </c>
      <c r="C69" s="16">
        <f t="shared" si="0"/>
        <v>4562.026964556635</v>
      </c>
    </row>
    <row r="70" spans="2:3" x14ac:dyDescent="0.3">
      <c r="B70">
        <v>195</v>
      </c>
      <c r="C70" s="16">
        <f t="shared" si="0"/>
        <v>4539.9003419310811</v>
      </c>
    </row>
    <row r="71" spans="2:3" x14ac:dyDescent="0.3">
      <c r="B71">
        <v>200</v>
      </c>
      <c r="C71" s="16">
        <f t="shared" si="0"/>
        <v>4517.7737193055273</v>
      </c>
    </row>
  </sheetData>
  <phoneticPr fontId="3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23adb74-9347-4fc8-b498-eb7d889ee1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0131BDB11A1489EE86C61EC436E15" ma:contentTypeVersion="12" ma:contentTypeDescription="Create a new document." ma:contentTypeScope="" ma:versionID="c063648c8e6946949600297a4a1fe77d">
  <xsd:schema xmlns:xsd="http://www.w3.org/2001/XMLSchema" xmlns:xs="http://www.w3.org/2001/XMLSchema" xmlns:p="http://schemas.microsoft.com/office/2006/metadata/properties" xmlns:ns3="423adb74-9347-4fc8-b498-eb7d889ee1ed" targetNamespace="http://schemas.microsoft.com/office/2006/metadata/properties" ma:root="true" ma:fieldsID="c85ef2aaf86e361f3329555d41f21eac" ns3:_="">
    <xsd:import namespace="423adb74-9347-4fc8-b498-eb7d889ee1e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_activity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adb74-9347-4fc8-b498-eb7d889ee1e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4BD2615-0554-4D17-8D73-80BCBDE5C6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6CE8573-9305-4D5F-A657-9ACC9664F3E9}">
  <ds:schemaRefs>
    <ds:schemaRef ds:uri="http://purl.org/dc/dcmitype/"/>
    <ds:schemaRef ds:uri="http://purl.org/dc/elements/1.1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23adb74-9347-4fc8-b498-eb7d889ee1ed"/>
  </ds:schemaRefs>
</ds:datastoreItem>
</file>

<file path=customXml/itemProps3.xml><?xml version="1.0" encoding="utf-8"?>
<ds:datastoreItem xmlns:ds="http://schemas.openxmlformats.org/officeDocument/2006/customXml" ds:itemID="{A8643118-3933-4A14-A8E6-87D6D9D097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3adb74-9347-4fc8-b498-eb7d889ee1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Dataset</vt:lpstr>
      <vt:lpstr>Q1. Summary Statistics</vt:lpstr>
      <vt:lpstr>Q2. Visualize Frequency</vt:lpstr>
      <vt:lpstr>Q3. Null &amp; Alt. Hypo.</vt:lpstr>
      <vt:lpstr>Q4. Corr. btw Price &amp; Subs</vt:lpstr>
      <vt:lpstr>Q5. Regression Analysis</vt:lpstr>
      <vt:lpstr>Q10. Using Log for Regression</vt:lpstr>
      <vt:lpstr>Q11. Demand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Kettlewell</dc:creator>
  <cp:lastModifiedBy>Somesh Shanbhag</cp:lastModifiedBy>
  <dcterms:created xsi:type="dcterms:W3CDTF">2023-10-10T00:55:56Z</dcterms:created>
  <dcterms:modified xsi:type="dcterms:W3CDTF">2024-10-23T07:00:08Z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a6c3db-1667-4f49-995a-8b9973972958_Enabled">
    <vt:lpwstr>true</vt:lpwstr>
  </property>
  <property fmtid="{D5CDD505-2E9C-101B-9397-08002B2CF9AE}" pid="3" name="MSIP_Label_51a6c3db-1667-4f49-995a-8b9973972958_SetDate">
    <vt:lpwstr>2023-10-10T00:57:13Z</vt:lpwstr>
  </property>
  <property fmtid="{D5CDD505-2E9C-101B-9397-08002B2CF9AE}" pid="4" name="MSIP_Label_51a6c3db-1667-4f49-995a-8b9973972958_Method">
    <vt:lpwstr>Standard</vt:lpwstr>
  </property>
  <property fmtid="{D5CDD505-2E9C-101B-9397-08002B2CF9AE}" pid="5" name="MSIP_Label_51a6c3db-1667-4f49-995a-8b9973972958_Name">
    <vt:lpwstr>UTS-Internal</vt:lpwstr>
  </property>
  <property fmtid="{D5CDD505-2E9C-101B-9397-08002B2CF9AE}" pid="6" name="MSIP_Label_51a6c3db-1667-4f49-995a-8b9973972958_SiteId">
    <vt:lpwstr>e8911c26-cf9f-4a9c-878e-527807be8791</vt:lpwstr>
  </property>
  <property fmtid="{D5CDD505-2E9C-101B-9397-08002B2CF9AE}" pid="7" name="MSIP_Label_51a6c3db-1667-4f49-995a-8b9973972958_ActionId">
    <vt:lpwstr>adbae8ec-f23d-4316-becb-aa77cd8afa9c</vt:lpwstr>
  </property>
  <property fmtid="{D5CDD505-2E9C-101B-9397-08002B2CF9AE}" pid="8" name="MSIP_Label_51a6c3db-1667-4f49-995a-8b9973972958_ContentBits">
    <vt:lpwstr>0</vt:lpwstr>
  </property>
  <property fmtid="{D5CDD505-2E9C-101B-9397-08002B2CF9AE}" pid="9" name="ContentTypeId">
    <vt:lpwstr>0x010100DE90131BDB11A1489EE86C61EC436E15</vt:lpwstr>
  </property>
</Properties>
</file>