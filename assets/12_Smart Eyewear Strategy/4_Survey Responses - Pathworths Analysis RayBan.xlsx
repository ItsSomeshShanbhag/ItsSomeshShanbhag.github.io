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icha\OneDrive\Desktop\Narm UTS\Semester2\Customer Analytics\Asgn2 to submit\"/>
    </mc:Choice>
  </mc:AlternateContent>
  <xr:revisionPtr revIDLastSave="0" documentId="13_ncr:1_{1CFE622F-5DFF-42E7-9BE6-4F290CE5EA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utput_pathworths &amp; R2" sheetId="18" r:id="rId1"/>
    <sheet name="Report Part1 &gt;&gt;" sheetId="17" r:id="rId2"/>
    <sheet name="T1_Avg. Part-Worth" sheetId="19" r:id="rId3"/>
    <sheet name="T2_Relative Importance Anal" sheetId="20" r:id="rId4"/>
    <sheet name="T3_Summary Insight" sheetId="21" r:id="rId5"/>
    <sheet name="Report Part2 &gt;&gt;" sheetId="16" r:id="rId6"/>
    <sheet name="T4_Cluster Analysis" sheetId="6" r:id="rId7"/>
    <sheet name="T4.2_Summary Cluster" sheetId="22" r:id="rId8"/>
    <sheet name="T4.3_Cluster Demographic" sheetId="15" r:id="rId9"/>
  </sheets>
  <definedNames>
    <definedName name="_xlnm._FilterDatabase" localSheetId="0" hidden="1">'Output_pathworths &amp; R2'!$A$1:$M$44</definedName>
    <definedName name="_xlnm._FilterDatabase" localSheetId="2" hidden="1">'T1_Avg. Part-Worth'!$A$1:$M$45</definedName>
    <definedName name="_xlnm._FilterDatabase" localSheetId="3" hidden="1">'T2_Relative Importance Anal'!$A$1:$M$45</definedName>
  </definedNames>
  <calcPr calcId="191028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6" l="1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B45" i="20"/>
  <c r="C45" i="20"/>
  <c r="D45" i="20"/>
  <c r="E45" i="20"/>
  <c r="F45" i="20"/>
  <c r="G45" i="20"/>
  <c r="H45" i="20"/>
  <c r="I45" i="20"/>
  <c r="J45" i="20"/>
  <c r="K45" i="20"/>
  <c r="L45" i="20"/>
  <c r="B49" i="20"/>
  <c r="E94" i="20" s="1"/>
  <c r="C49" i="20"/>
  <c r="C94" i="20" s="1"/>
  <c r="D49" i="20"/>
  <c r="D94" i="20" s="1"/>
  <c r="E49" i="20"/>
  <c r="F49" i="20"/>
  <c r="F94" i="20" s="1"/>
  <c r="B50" i="20"/>
  <c r="C95" i="20" s="1"/>
  <c r="C50" i="20"/>
  <c r="D50" i="20"/>
  <c r="E50" i="20"/>
  <c r="F50" i="20"/>
  <c r="B51" i="20"/>
  <c r="E96" i="20" s="1"/>
  <c r="C51" i="20"/>
  <c r="C96" i="20" s="1"/>
  <c r="D51" i="20"/>
  <c r="D96" i="20" s="1"/>
  <c r="E51" i="20"/>
  <c r="F51" i="20"/>
  <c r="F96" i="20" s="1"/>
  <c r="B52" i="20"/>
  <c r="B97" i="20" s="1"/>
  <c r="C52" i="20"/>
  <c r="C97" i="20" s="1"/>
  <c r="D52" i="20"/>
  <c r="D97" i="20" s="1"/>
  <c r="E52" i="20"/>
  <c r="E97" i="20" s="1"/>
  <c r="F52" i="20"/>
  <c r="F97" i="20" s="1"/>
  <c r="B53" i="20"/>
  <c r="B98" i="20" s="1"/>
  <c r="C53" i="20"/>
  <c r="C98" i="20" s="1"/>
  <c r="D53" i="20"/>
  <c r="D98" i="20" s="1"/>
  <c r="E53" i="20"/>
  <c r="E98" i="20" s="1"/>
  <c r="F53" i="20"/>
  <c r="F98" i="20" s="1"/>
  <c r="B54" i="20"/>
  <c r="C54" i="20"/>
  <c r="B99" i="20" s="1"/>
  <c r="D54" i="20"/>
  <c r="E99" i="20" s="1"/>
  <c r="E54" i="20"/>
  <c r="F54" i="20"/>
  <c r="B55" i="20"/>
  <c r="C55" i="20"/>
  <c r="D55" i="20"/>
  <c r="E55" i="20"/>
  <c r="E100" i="20" s="1"/>
  <c r="F55" i="20"/>
  <c r="F100" i="20" s="1"/>
  <c r="B56" i="20"/>
  <c r="C56" i="20"/>
  <c r="C101" i="20" s="1"/>
  <c r="D56" i="20"/>
  <c r="D101" i="20" s="1"/>
  <c r="E56" i="20"/>
  <c r="E101" i="20" s="1"/>
  <c r="F56" i="20"/>
  <c r="F101" i="20" s="1"/>
  <c r="B57" i="20"/>
  <c r="B102" i="20" s="1"/>
  <c r="C57" i="20"/>
  <c r="C102" i="20" s="1"/>
  <c r="D57" i="20"/>
  <c r="D102" i="20" s="1"/>
  <c r="E57" i="20"/>
  <c r="E102" i="20" s="1"/>
  <c r="F57" i="20"/>
  <c r="F102" i="20" s="1"/>
  <c r="B58" i="20"/>
  <c r="B103" i="20" s="1"/>
  <c r="C58" i="20"/>
  <c r="C103" i="20" s="1"/>
  <c r="D58" i="20"/>
  <c r="E58" i="20"/>
  <c r="E103" i="20" s="1"/>
  <c r="F58" i="20"/>
  <c r="F103" i="20" s="1"/>
  <c r="B59" i="20"/>
  <c r="C59" i="20"/>
  <c r="D59" i="20"/>
  <c r="E59" i="20"/>
  <c r="F59" i="20"/>
  <c r="B60" i="20"/>
  <c r="B105" i="20" s="1"/>
  <c r="C60" i="20"/>
  <c r="C105" i="20" s="1"/>
  <c r="D60" i="20"/>
  <c r="E60" i="20"/>
  <c r="E105" i="20" s="1"/>
  <c r="F60" i="20"/>
  <c r="F105" i="20" s="1"/>
  <c r="B61" i="20"/>
  <c r="B106" i="20" s="1"/>
  <c r="C61" i="20"/>
  <c r="C106" i="20" s="1"/>
  <c r="D61" i="20"/>
  <c r="D106" i="20" s="1"/>
  <c r="E61" i="20"/>
  <c r="E106" i="20" s="1"/>
  <c r="F61" i="20"/>
  <c r="F106" i="20" s="1"/>
  <c r="B62" i="20"/>
  <c r="F107" i="20" s="1"/>
  <c r="C62" i="20"/>
  <c r="C107" i="20" s="1"/>
  <c r="D62" i="20"/>
  <c r="D107" i="20" s="1"/>
  <c r="E62" i="20"/>
  <c r="E107" i="20" s="1"/>
  <c r="F62" i="20"/>
  <c r="B63" i="20"/>
  <c r="B108" i="20" s="1"/>
  <c r="C63" i="20"/>
  <c r="C108" i="20" s="1"/>
  <c r="D63" i="20"/>
  <c r="E63" i="20"/>
  <c r="F63" i="20"/>
  <c r="B64" i="20"/>
  <c r="F109" i="20" s="1"/>
  <c r="C64" i="20"/>
  <c r="D64" i="20"/>
  <c r="D109" i="20" s="1"/>
  <c r="E64" i="20"/>
  <c r="E109" i="20" s="1"/>
  <c r="F64" i="20"/>
  <c r="B65" i="20"/>
  <c r="B110" i="20" s="1"/>
  <c r="C65" i="20"/>
  <c r="C110" i="20" s="1"/>
  <c r="D65" i="20"/>
  <c r="D110" i="20" s="1"/>
  <c r="E65" i="20"/>
  <c r="E110" i="20" s="1"/>
  <c r="F65" i="20"/>
  <c r="F110" i="20" s="1"/>
  <c r="B66" i="20"/>
  <c r="B111" i="20" s="1"/>
  <c r="C66" i="20"/>
  <c r="C111" i="20" s="1"/>
  <c r="D66" i="20"/>
  <c r="D111" i="20" s="1"/>
  <c r="E66" i="20"/>
  <c r="E111" i="20" s="1"/>
  <c r="F66" i="20"/>
  <c r="F111" i="20" s="1"/>
  <c r="B67" i="20"/>
  <c r="F112" i="20" s="1"/>
  <c r="C67" i="20"/>
  <c r="D67" i="20"/>
  <c r="D112" i="20" s="1"/>
  <c r="E67" i="20"/>
  <c r="E112" i="20" s="1"/>
  <c r="F67" i="20"/>
  <c r="B68" i="20"/>
  <c r="C68" i="20"/>
  <c r="D68" i="20"/>
  <c r="E68" i="20"/>
  <c r="F68" i="20"/>
  <c r="F113" i="20" s="1"/>
  <c r="B69" i="20"/>
  <c r="C114" i="20" s="1"/>
  <c r="C69" i="20"/>
  <c r="D69" i="20"/>
  <c r="D114" i="20" s="1"/>
  <c r="E69" i="20"/>
  <c r="E114" i="20" s="1"/>
  <c r="F69" i="20"/>
  <c r="F114" i="20" s="1"/>
  <c r="B70" i="20"/>
  <c r="B115" i="20" s="1"/>
  <c r="C70" i="20"/>
  <c r="C115" i="20" s="1"/>
  <c r="D70" i="20"/>
  <c r="D115" i="20" s="1"/>
  <c r="E70" i="20"/>
  <c r="E115" i="20" s="1"/>
  <c r="F70" i="20"/>
  <c r="F115" i="20" s="1"/>
  <c r="B71" i="20"/>
  <c r="E116" i="20" s="1"/>
  <c r="C71" i="20"/>
  <c r="C116" i="20" s="1"/>
  <c r="D71" i="20"/>
  <c r="D116" i="20" s="1"/>
  <c r="E71" i="20"/>
  <c r="F71" i="20"/>
  <c r="F116" i="20" s="1"/>
  <c r="B72" i="20"/>
  <c r="D117" i="20" s="1"/>
  <c r="C72" i="20"/>
  <c r="D72" i="20"/>
  <c r="E72" i="20"/>
  <c r="F72" i="20"/>
  <c r="B73" i="20"/>
  <c r="E118" i="20" s="1"/>
  <c r="C73" i="20"/>
  <c r="C118" i="20" s="1"/>
  <c r="D73" i="20"/>
  <c r="D118" i="20" s="1"/>
  <c r="E73" i="20"/>
  <c r="F73" i="20"/>
  <c r="F118" i="20" s="1"/>
  <c r="B74" i="20"/>
  <c r="B119" i="20" s="1"/>
  <c r="C74" i="20"/>
  <c r="C119" i="20" s="1"/>
  <c r="D74" i="20"/>
  <c r="D119" i="20" s="1"/>
  <c r="E74" i="20"/>
  <c r="E119" i="20" s="1"/>
  <c r="F74" i="20"/>
  <c r="F119" i="20" s="1"/>
  <c r="B75" i="20"/>
  <c r="B120" i="20" s="1"/>
  <c r="C75" i="20"/>
  <c r="C120" i="20" s="1"/>
  <c r="D75" i="20"/>
  <c r="D120" i="20" s="1"/>
  <c r="E75" i="20"/>
  <c r="E120" i="20" s="1"/>
  <c r="F75" i="20"/>
  <c r="F120" i="20" s="1"/>
  <c r="B76" i="20"/>
  <c r="C76" i="20"/>
  <c r="B121" i="20" s="1"/>
  <c r="D76" i="20"/>
  <c r="D121" i="20" s="1"/>
  <c r="E76" i="20"/>
  <c r="F76" i="20"/>
  <c r="B77" i="20"/>
  <c r="C77" i="20"/>
  <c r="D77" i="20"/>
  <c r="E77" i="20"/>
  <c r="E122" i="20" s="1"/>
  <c r="F77" i="20"/>
  <c r="F122" i="20" s="1"/>
  <c r="B78" i="20"/>
  <c r="C78" i="20"/>
  <c r="C123" i="20" s="1"/>
  <c r="D78" i="20"/>
  <c r="D123" i="20" s="1"/>
  <c r="E78" i="20"/>
  <c r="E123" i="20" s="1"/>
  <c r="F78" i="20"/>
  <c r="F123" i="20" s="1"/>
  <c r="B79" i="20"/>
  <c r="B124" i="20" s="1"/>
  <c r="C79" i="20"/>
  <c r="C124" i="20" s="1"/>
  <c r="D79" i="20"/>
  <c r="D124" i="20" s="1"/>
  <c r="E79" i="20"/>
  <c r="E124" i="20" s="1"/>
  <c r="F79" i="20"/>
  <c r="F124" i="20" s="1"/>
  <c r="B80" i="20"/>
  <c r="D125" i="20" s="1"/>
  <c r="C80" i="20"/>
  <c r="C125" i="20" s="1"/>
  <c r="D80" i="20"/>
  <c r="E80" i="20"/>
  <c r="E125" i="20" s="1"/>
  <c r="F80" i="20"/>
  <c r="F125" i="20" s="1"/>
  <c r="B81" i="20"/>
  <c r="C81" i="20"/>
  <c r="D81" i="20"/>
  <c r="E81" i="20"/>
  <c r="F81" i="20"/>
  <c r="B82" i="20"/>
  <c r="B127" i="20" s="1"/>
  <c r="C82" i="20"/>
  <c r="C127" i="20" s="1"/>
  <c r="D82" i="20"/>
  <c r="E82" i="20"/>
  <c r="E127" i="20" s="1"/>
  <c r="F82" i="20"/>
  <c r="F127" i="20" s="1"/>
  <c r="B83" i="20"/>
  <c r="B128" i="20" s="1"/>
  <c r="C83" i="20"/>
  <c r="D83" i="20"/>
  <c r="C128" i="20" s="1"/>
  <c r="E83" i="20"/>
  <c r="E128" i="20" s="1"/>
  <c r="F83" i="20"/>
  <c r="F128" i="20" s="1"/>
  <c r="B84" i="20"/>
  <c r="F129" i="20" s="1"/>
  <c r="C84" i="20"/>
  <c r="C129" i="20" s="1"/>
  <c r="D84" i="20"/>
  <c r="D129" i="20" s="1"/>
  <c r="E84" i="20"/>
  <c r="E129" i="20" s="1"/>
  <c r="F84" i="20"/>
  <c r="B85" i="20"/>
  <c r="B130" i="20" s="1"/>
  <c r="C85" i="20"/>
  <c r="C130" i="20" s="1"/>
  <c r="D85" i="20"/>
  <c r="E85" i="20"/>
  <c r="F85" i="20"/>
  <c r="B86" i="20"/>
  <c r="F131" i="20" s="1"/>
  <c r="C86" i="20"/>
  <c r="D86" i="20"/>
  <c r="D131" i="20" s="1"/>
  <c r="E86" i="20"/>
  <c r="E131" i="20" s="1"/>
  <c r="F86" i="20"/>
  <c r="B87" i="20"/>
  <c r="B132" i="20" s="1"/>
  <c r="C87" i="20"/>
  <c r="C132" i="20" s="1"/>
  <c r="D87" i="20"/>
  <c r="D132" i="20" s="1"/>
  <c r="E87" i="20"/>
  <c r="E132" i="20" s="1"/>
  <c r="F87" i="20"/>
  <c r="F132" i="20" s="1"/>
  <c r="B88" i="20"/>
  <c r="B133" i="20" s="1"/>
  <c r="C88" i="20"/>
  <c r="C133" i="20" s="1"/>
  <c r="D88" i="20"/>
  <c r="D133" i="20" s="1"/>
  <c r="E88" i="20"/>
  <c r="E133" i="20" s="1"/>
  <c r="F88" i="20"/>
  <c r="F133" i="20" s="1"/>
  <c r="B89" i="20"/>
  <c r="C134" i="20" s="1"/>
  <c r="C89" i="20"/>
  <c r="D89" i="20"/>
  <c r="D134" i="20" s="1"/>
  <c r="E89" i="20"/>
  <c r="E134" i="20" s="1"/>
  <c r="F89" i="20"/>
  <c r="B90" i="20"/>
  <c r="C90" i="20"/>
  <c r="D90" i="20"/>
  <c r="E90" i="20"/>
  <c r="F90" i="20"/>
  <c r="F135" i="20" s="1"/>
  <c r="B91" i="20"/>
  <c r="B136" i="20" s="1"/>
  <c r="C91" i="20"/>
  <c r="D91" i="20"/>
  <c r="D136" i="20" s="1"/>
  <c r="E91" i="20"/>
  <c r="E136" i="20" s="1"/>
  <c r="F91" i="20"/>
  <c r="F136" i="20" s="1"/>
  <c r="B96" i="20"/>
  <c r="B100" i="20"/>
  <c r="C100" i="20"/>
  <c r="D100" i="20"/>
  <c r="B104" i="20"/>
  <c r="C104" i="20"/>
  <c r="D104" i="20"/>
  <c r="E104" i="20"/>
  <c r="F104" i="20"/>
  <c r="B109" i="20"/>
  <c r="C109" i="20"/>
  <c r="B113" i="20"/>
  <c r="C113" i="20"/>
  <c r="D113" i="20"/>
  <c r="E113" i="20"/>
  <c r="B118" i="20"/>
  <c r="B122" i="20"/>
  <c r="C122" i="20"/>
  <c r="D122" i="20"/>
  <c r="B126" i="20"/>
  <c r="C126" i="20"/>
  <c r="D126" i="20"/>
  <c r="E126" i="20"/>
  <c r="F126" i="20"/>
  <c r="B131" i="20"/>
  <c r="C131" i="20"/>
  <c r="B135" i="20"/>
  <c r="C135" i="20"/>
  <c r="D135" i="20"/>
  <c r="E135" i="20"/>
  <c r="B45" i="19"/>
  <c r="C45" i="19"/>
  <c r="D49" i="19" s="1"/>
  <c r="D45" i="19"/>
  <c r="D50" i="19" s="1"/>
  <c r="E45" i="19"/>
  <c r="D51" i="19" s="1"/>
  <c r="F45" i="19"/>
  <c r="D52" i="19" s="1"/>
  <c r="G45" i="19"/>
  <c r="D53" i="19" s="1"/>
  <c r="H45" i="19"/>
  <c r="I45" i="19"/>
  <c r="J45" i="19"/>
  <c r="K45" i="19"/>
  <c r="L45" i="19"/>
  <c r="F50" i="19" s="1"/>
  <c r="D54" i="19"/>
  <c r="D55" i="19"/>
  <c r="D56" i="19"/>
  <c r="D57" i="19"/>
  <c r="L50" i="6" l="1"/>
  <c r="F137" i="20"/>
  <c r="F143" i="20" s="1"/>
  <c r="E6" i="21" s="1"/>
  <c r="F117" i="20"/>
  <c r="F95" i="20"/>
  <c r="F130" i="20"/>
  <c r="E117" i="20"/>
  <c r="F108" i="20"/>
  <c r="E95" i="20"/>
  <c r="E137" i="20" s="1"/>
  <c r="F145" i="20" s="1"/>
  <c r="E8" i="21" s="1"/>
  <c r="E130" i="20"/>
  <c r="F121" i="20"/>
  <c r="E108" i="20"/>
  <c r="D95" i="20"/>
  <c r="D137" i="20" s="1"/>
  <c r="F144" i="20" s="1"/>
  <c r="E7" i="21" s="1"/>
  <c r="D130" i="20"/>
  <c r="E121" i="20"/>
  <c r="B117" i="20"/>
  <c r="C121" i="20"/>
  <c r="C99" i="20"/>
  <c r="C137" i="20" s="1"/>
  <c r="F141" i="20" s="1"/>
  <c r="E5" i="21" s="1"/>
  <c r="C112" i="20"/>
  <c r="D103" i="20"/>
  <c r="B125" i="20"/>
  <c r="B116" i="20"/>
  <c r="B129" i="20"/>
  <c r="B107" i="20"/>
  <c r="D128" i="20"/>
  <c r="F99" i="20"/>
  <c r="F134" i="20"/>
  <c r="C117" i="20"/>
  <c r="D108" i="20"/>
  <c r="D99" i="20"/>
  <c r="B95" i="20"/>
  <c r="B134" i="20"/>
  <c r="B112" i="20"/>
  <c r="B94" i="20"/>
  <c r="D127" i="20"/>
  <c r="B123" i="20"/>
  <c r="D105" i="20"/>
  <c r="B101" i="20"/>
  <c r="C136" i="20"/>
  <c r="B114" i="20"/>
  <c r="B137" i="20" l="1"/>
  <c r="F142" i="20" s="1"/>
  <c r="E4" i="21" s="1"/>
  <c r="N10" i="6" l="1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N9" i="6"/>
  <c r="M9" i="6"/>
  <c r="P58" i="6"/>
  <c r="Q57" i="6" s="1"/>
  <c r="Q50" i="6"/>
  <c r="P50" i="6"/>
  <c r="O50" i="6"/>
  <c r="Q7" i="6"/>
  <c r="P7" i="6"/>
  <c r="O7" i="6"/>
  <c r="N50" i="6" l="1"/>
  <c r="M50" i="6"/>
  <c r="Q55" i="6"/>
  <c r="Q56" i="6"/>
</calcChain>
</file>

<file path=xl/sharedStrings.xml><?xml version="1.0" encoding="utf-8"?>
<sst xmlns="http://schemas.openxmlformats.org/spreadsheetml/2006/main" count="469" uniqueCount="101">
  <si>
    <t>Option</t>
  </si>
  <si>
    <t>Intercept</t>
  </si>
  <si>
    <t>450</t>
  </si>
  <si>
    <t>550</t>
  </si>
  <si>
    <t>Indoor2_Smart Adaptive Display</t>
  </si>
  <si>
    <t>Indoor3_AI-Optimized Vision</t>
  </si>
  <si>
    <t>Outdoor2_Advanced GPS &amp; Live Mapping</t>
  </si>
  <si>
    <t>Outdoor3_AR Navigation &amp; Real-Time Environmental Data</t>
  </si>
  <si>
    <t>Professional2_Smart Voice Commands &amp; Reminders</t>
  </si>
  <si>
    <t>Professional3_AI Assistant &amp; Hands-Free Control</t>
  </si>
  <si>
    <t>Fitness2_Heart Rate &amp; Workout Insights</t>
  </si>
  <si>
    <t>Fitness3_Full Biometric Analysis &amp; AI Coaching</t>
  </si>
  <si>
    <t>R_squared</t>
  </si>
  <si>
    <t>Mean</t>
  </si>
  <si>
    <t>Attribute</t>
  </si>
  <si>
    <t>Level</t>
  </si>
  <si>
    <t>Average Part-Worth Utility</t>
  </si>
  <si>
    <t>Price</t>
  </si>
  <si>
    <t>Price $450</t>
  </si>
  <si>
    <t>Average R-Square</t>
  </si>
  <si>
    <t>Price $550</t>
  </si>
  <si>
    <t>Indoor</t>
  </si>
  <si>
    <t>Smart Adaptive Display</t>
  </si>
  <si>
    <t>AI-Optimized Vision</t>
  </si>
  <si>
    <t>Outdoor</t>
  </si>
  <si>
    <t>Advanced GPS &amp; Live Mapping</t>
  </si>
  <si>
    <t>AR Navigation &amp; Real-Time Environmental Data</t>
  </si>
  <si>
    <t>Professional</t>
  </si>
  <si>
    <t>Smart Voice Commands &amp; Reminders</t>
  </si>
  <si>
    <t>AI Assistant &amp; Hands-Free Control</t>
  </si>
  <si>
    <t>Health&amp;Fitness</t>
  </si>
  <si>
    <t>Heart Rate &amp; Workout Insights</t>
  </si>
  <si>
    <t>Relative Importance (%)</t>
  </si>
  <si>
    <t>Indoor Features</t>
  </si>
  <si>
    <t>Health &amp; Fitness</t>
  </si>
  <si>
    <t>Professional Use</t>
  </si>
  <si>
    <t>Outdoor Features</t>
  </si>
  <si>
    <t>Top-Rated Feature Level</t>
  </si>
  <si>
    <t>Average Utility</t>
  </si>
  <si>
    <t xml:space="preserve">Product </t>
  </si>
  <si>
    <t>Indoor1_Auto-Brightness Adjustment</t>
  </si>
  <si>
    <t>Outdoor1_Basic GPS &amp; Weather Updates</t>
  </si>
  <si>
    <t>Professional1_Distraction-Free Alerts</t>
  </si>
  <si>
    <t>Fitness1_Step &amp; Calorie Tracking</t>
  </si>
  <si>
    <t>Lite</t>
  </si>
  <si>
    <t>Pro</t>
  </si>
  <si>
    <t>Elite</t>
  </si>
  <si>
    <t>Count Chosen</t>
  </si>
  <si>
    <t>Respondent</t>
  </si>
  <si>
    <t>Choose Lite</t>
  </si>
  <si>
    <t>Choosing Pro</t>
  </si>
  <si>
    <t>Choosing Elite</t>
  </si>
  <si>
    <t>Cluster Names</t>
  </si>
  <si>
    <t>Cluster 1</t>
  </si>
  <si>
    <t>Cluster 2</t>
  </si>
  <si>
    <t>Cluster 3</t>
  </si>
  <si>
    <t>Average Utility =</t>
  </si>
  <si>
    <t>Rank =</t>
  </si>
  <si>
    <t>Rank By Demand</t>
  </si>
  <si>
    <t>Products</t>
  </si>
  <si>
    <t>Count</t>
  </si>
  <si>
    <t>Market Interest</t>
  </si>
  <si>
    <t>Rank</t>
  </si>
  <si>
    <t>Total=</t>
  </si>
  <si>
    <t>Choice per Cluster</t>
  </si>
  <si>
    <t>Row Labels</t>
  </si>
  <si>
    <t>Average of Choose Lite</t>
  </si>
  <si>
    <t>Average of Choosing Pro</t>
  </si>
  <si>
    <t>Average of Choosing Elite</t>
  </si>
  <si>
    <t>Grand Total</t>
  </si>
  <si>
    <t>Cluster Analysis without Demographic data</t>
  </si>
  <si>
    <t>Clustering Analysis with demographic data</t>
  </si>
  <si>
    <t>18-24</t>
  </si>
  <si>
    <t>25-34</t>
  </si>
  <si>
    <t>45+</t>
  </si>
  <si>
    <t>Female</t>
  </si>
  <si>
    <t>Male</t>
  </si>
  <si>
    <t>Prefer not to say</t>
  </si>
  <si>
    <t>Graduate or professional degree (MA, MS, MBA, PhD, Law Degree, Medical Degree etc)</t>
  </si>
  <si>
    <t>University - Bachelors Degree</t>
  </si>
  <si>
    <t>Vocational or Similar</t>
  </si>
  <si>
    <t>Employee</t>
  </si>
  <si>
    <t>Student</t>
  </si>
  <si>
    <t>Age</t>
  </si>
  <si>
    <t>Education Level</t>
  </si>
  <si>
    <t>Gender</t>
  </si>
  <si>
    <t>Occupation</t>
  </si>
  <si>
    <t>Pincode</t>
  </si>
  <si>
    <t>State</t>
  </si>
  <si>
    <t>Income</t>
  </si>
  <si>
    <t>New South Wales</t>
  </si>
  <si>
    <t>Victoria</t>
  </si>
  <si>
    <t>South Australia</t>
  </si>
  <si>
    <t xml:space="preserve">L1 Distraction-Free Alerts </t>
  </si>
  <si>
    <t>L1 Basic GPS &amp; Weather Updates</t>
  </si>
  <si>
    <t>L1 Step &amp; Calorie Tracking / 
L3 Full Biometric Analysis &amp; AI Coaching</t>
  </si>
  <si>
    <t>None
(Below baseline)</t>
  </si>
  <si>
    <t xml:space="preserve">L2 Auto-Brightness Adjustment </t>
  </si>
  <si>
    <t>–0.20 to –0.27</t>
  </si>
  <si>
    <t>L1 Price $350</t>
  </si>
  <si>
    <t>Baseline Feature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</si>
</sst>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0_-;\-* #,##0.000_-;_-* &quot;-&quot;??_-;_-@_-"/>
    <numFmt numFmtId="165" formatCode="0.0%"/>
    <numFmt numFmtId="166" formatCode="0.000"/>
    <numFmt numFmtId="171" formatCode="#,##0.00;\(#,##0.00\);&quot;-&quot;;@"/>
  </numFmts>
  <fonts count="1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Aptos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5">
    <xf numFmtId="0" fontId="0" fillId="0" borderId="0" xfId="0"/>
    <xf numFmtId="164" fontId="0" fillId="0" borderId="0" xfId="1" applyNumberFormat="1" applyFont="1"/>
    <xf numFmtId="0" fontId="0" fillId="0" borderId="0" xfId="1" applyNumberFormat="1" applyFont="1"/>
    <xf numFmtId="0" fontId="0" fillId="2" borderId="0" xfId="1" applyNumberFormat="1" applyFont="1" applyFill="1"/>
    <xf numFmtId="164" fontId="0" fillId="2" borderId="0" xfId="1" applyNumberFormat="1" applyFont="1" applyFill="1"/>
    <xf numFmtId="43" fontId="0" fillId="2" borderId="0" xfId="1" applyFont="1" applyFill="1"/>
    <xf numFmtId="0" fontId="5" fillId="3" borderId="5" xfId="0" applyFont="1" applyFill="1" applyBorder="1" applyAlignment="1">
      <alignment horizontal="center" vertical="center" wrapText="1"/>
    </xf>
    <xf numFmtId="164" fontId="6" fillId="0" borderId="5" xfId="1" applyNumberFormat="1" applyFont="1" applyBorder="1"/>
    <xf numFmtId="164" fontId="4" fillId="3" borderId="0" xfId="1" applyNumberFormat="1" applyFont="1" applyFill="1"/>
    <xf numFmtId="0" fontId="3" fillId="4" borderId="0" xfId="1" applyNumberFormat="1" applyFont="1" applyFill="1"/>
    <xf numFmtId="165" fontId="3" fillId="4" borderId="0" xfId="2" applyNumberFormat="1" applyFont="1" applyFill="1"/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0" fontId="9" fillId="0" borderId="4" xfId="0" applyNumberFormat="1" applyFont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0" fontId="9" fillId="0" borderId="5" xfId="0" applyNumberFormat="1" applyFont="1" applyBorder="1" applyAlignment="1">
      <alignment horizontal="center" vertical="center" wrapText="1"/>
    </xf>
    <xf numFmtId="0" fontId="0" fillId="10" borderId="0" xfId="0" applyFill="1"/>
    <xf numFmtId="0" fontId="10" fillId="0" borderId="13" xfId="0" applyFont="1" applyBorder="1" applyAlignment="1">
      <alignment horizontal="center" vertical="top"/>
    </xf>
    <xf numFmtId="166" fontId="0" fillId="0" borderId="0" xfId="0" applyNumberFormat="1"/>
    <xf numFmtId="166" fontId="0" fillId="0" borderId="8" xfId="0" applyNumberFormat="1" applyBorder="1"/>
    <xf numFmtId="166" fontId="0" fillId="0" borderId="14" xfId="0" applyNumberFormat="1" applyBorder="1"/>
    <xf numFmtId="0" fontId="0" fillId="0" borderId="15" xfId="0" applyBorder="1"/>
    <xf numFmtId="9" fontId="0" fillId="0" borderId="15" xfId="2" applyFont="1" applyBorder="1"/>
    <xf numFmtId="0" fontId="0" fillId="0" borderId="16" xfId="0" applyBorder="1"/>
    <xf numFmtId="0" fontId="0" fillId="0" borderId="10" xfId="0" applyBorder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166" fontId="0" fillId="11" borderId="20" xfId="0" applyNumberFormat="1" applyFill="1" applyBorder="1"/>
    <xf numFmtId="166" fontId="0" fillId="0" borderId="21" xfId="0" applyNumberFormat="1" applyBorder="1"/>
    <xf numFmtId="166" fontId="0" fillId="11" borderId="0" xfId="0" applyNumberFormat="1" applyFill="1"/>
    <xf numFmtId="166" fontId="0" fillId="0" borderId="20" xfId="0" applyNumberFormat="1" applyBorder="1"/>
    <xf numFmtId="166" fontId="0" fillId="11" borderId="21" xfId="0" applyNumberFormat="1" applyFill="1" applyBorder="1"/>
    <xf numFmtId="166" fontId="0" fillId="11" borderId="22" xfId="0" applyNumberFormat="1" applyFill="1" applyBorder="1"/>
    <xf numFmtId="166" fontId="0" fillId="11" borderId="4" xfId="0" applyNumberFormat="1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4" xfId="0" applyBorder="1"/>
    <xf numFmtId="0" fontId="0" fillId="0" borderId="4" xfId="0" applyBorder="1"/>
    <xf numFmtId="0" fontId="0" fillId="0" borderId="24" xfId="0" applyBorder="1"/>
    <xf numFmtId="0" fontId="0" fillId="0" borderId="3" xfId="0" applyBorder="1"/>
    <xf numFmtId="2" fontId="0" fillId="0" borderId="0" xfId="0" applyNumberFormat="1"/>
    <xf numFmtId="2" fontId="0" fillId="11" borderId="0" xfId="0" applyNumberFormat="1" applyFill="1"/>
    <xf numFmtId="0" fontId="0" fillId="0" borderId="6" xfId="0" applyBorder="1" applyAlignment="1">
      <alignment horizontal="left"/>
    </xf>
    <xf numFmtId="2" fontId="0" fillId="0" borderId="7" xfId="0" applyNumberFormat="1" applyBorder="1"/>
    <xf numFmtId="0" fontId="0" fillId="0" borderId="28" xfId="0" applyBorder="1" applyAlignment="1">
      <alignment horizontal="left"/>
    </xf>
    <xf numFmtId="2" fontId="0" fillId="0" borderId="8" xfId="0" applyNumberFormat="1" applyBorder="1"/>
    <xf numFmtId="2" fontId="0" fillId="11" borderId="8" xfId="0" applyNumberFormat="1" applyFill="1" applyBorder="1"/>
    <xf numFmtId="2" fontId="0" fillId="0" borderId="9" xfId="0" applyNumberFormat="1" applyBorder="1"/>
    <xf numFmtId="0" fontId="0" fillId="0" borderId="25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1" fillId="14" borderId="1" xfId="0" applyFont="1" applyFill="1" applyBorder="1" applyAlignment="1">
      <alignment horizontal="center" vertical="top"/>
    </xf>
    <xf numFmtId="0" fontId="10" fillId="15" borderId="12" xfId="0" applyFont="1" applyFill="1" applyBorder="1" applyAlignment="1">
      <alignment horizontal="center" vertical="top"/>
    </xf>
    <xf numFmtId="0" fontId="10" fillId="15" borderId="10" xfId="0" applyFont="1" applyFill="1" applyBorder="1" applyAlignment="1">
      <alignment horizontal="center" vertical="top"/>
    </xf>
    <xf numFmtId="0" fontId="10" fillId="12" borderId="16" xfId="0" applyFont="1" applyFill="1" applyBorder="1" applyAlignment="1">
      <alignment horizontal="center" vertical="top"/>
    </xf>
    <xf numFmtId="0" fontId="10" fillId="12" borderId="10" xfId="0" applyFont="1" applyFill="1" applyBorder="1" applyAlignment="1">
      <alignment horizontal="center" vertical="top"/>
    </xf>
    <xf numFmtId="0" fontId="10" fillId="12" borderId="19" xfId="0" applyFont="1" applyFill="1" applyBorder="1" applyAlignment="1">
      <alignment horizontal="center" vertical="top"/>
    </xf>
    <xf numFmtId="0" fontId="10" fillId="16" borderId="16" xfId="0" applyFont="1" applyFill="1" applyBorder="1" applyAlignment="1">
      <alignment horizontal="center" vertical="top"/>
    </xf>
    <xf numFmtId="0" fontId="10" fillId="16" borderId="10" xfId="0" applyFont="1" applyFill="1" applyBorder="1" applyAlignment="1">
      <alignment horizontal="center" vertical="top"/>
    </xf>
    <xf numFmtId="0" fontId="10" fillId="16" borderId="11" xfId="0" applyFont="1" applyFill="1" applyBorder="1" applyAlignment="1">
      <alignment horizontal="center" vertical="top"/>
    </xf>
    <xf numFmtId="0" fontId="3" fillId="17" borderId="23" xfId="0" applyFont="1" applyFill="1" applyBorder="1"/>
    <xf numFmtId="0" fontId="0" fillId="0" borderId="7" xfId="0" applyBorder="1"/>
    <xf numFmtId="0" fontId="1" fillId="0" borderId="29" xfId="1" applyNumberFormat="1" applyFont="1" applyBorder="1" applyAlignment="1">
      <alignment horizontal="center" vertical="top"/>
    </xf>
    <xf numFmtId="164" fontId="1" fillId="0" borderId="29" xfId="1" applyNumberFormat="1" applyFont="1" applyBorder="1" applyAlignment="1">
      <alignment horizontal="center" vertical="top"/>
    </xf>
    <xf numFmtId="0" fontId="7" fillId="3" borderId="29" xfId="1" applyNumberFormat="1" applyFont="1" applyFill="1" applyBorder="1" applyAlignment="1">
      <alignment horizontal="center" vertical="top"/>
    </xf>
    <xf numFmtId="0" fontId="0" fillId="5" borderId="29" xfId="0" applyFill="1" applyBorder="1" applyAlignment="1">
      <alignment wrapText="1"/>
    </xf>
    <xf numFmtId="0" fontId="0" fillId="6" borderId="29" xfId="0" applyFill="1" applyBorder="1" applyAlignment="1">
      <alignment wrapText="1"/>
    </xf>
    <xf numFmtId="0" fontId="0" fillId="7" borderId="29" xfId="0" applyFill="1" applyBorder="1" applyAlignment="1">
      <alignment wrapText="1"/>
    </xf>
    <xf numFmtId="0" fontId="0" fillId="8" borderId="29" xfId="0" applyFill="1" applyBorder="1" applyAlignment="1">
      <alignment wrapText="1"/>
    </xf>
    <xf numFmtId="0" fontId="0" fillId="9" borderId="29" xfId="0" applyFill="1" applyBorder="1" applyAlignment="1">
      <alignment wrapText="1"/>
    </xf>
    <xf numFmtId="0" fontId="0" fillId="6" borderId="29" xfId="0" applyFill="1" applyBorder="1"/>
    <xf numFmtId="0" fontId="0" fillId="0" borderId="29" xfId="0" applyBorder="1"/>
    <xf numFmtId="0" fontId="0" fillId="7" borderId="29" xfId="0" applyFill="1" applyBorder="1"/>
    <xf numFmtId="0" fontId="0" fillId="8" borderId="29" xfId="0" applyFill="1" applyBorder="1"/>
    <xf numFmtId="0" fontId="0" fillId="9" borderId="29" xfId="0" applyFill="1" applyBorder="1"/>
    <xf numFmtId="0" fontId="0" fillId="5" borderId="29" xfId="0" applyFill="1" applyBorder="1"/>
    <xf numFmtId="0" fontId="10" fillId="0" borderId="30" xfId="0" applyFont="1" applyBorder="1" applyAlignment="1">
      <alignment horizontal="center" vertical="top"/>
    </xf>
    <xf numFmtId="9" fontId="0" fillId="0" borderId="29" xfId="2" applyFont="1" applyBorder="1"/>
    <xf numFmtId="0" fontId="0" fillId="0" borderId="31" xfId="0" applyBorder="1"/>
    <xf numFmtId="0" fontId="0" fillId="0" borderId="32" xfId="0" applyBorder="1" applyAlignment="1">
      <alignment horizontal="left"/>
    </xf>
    <xf numFmtId="2" fontId="0" fillId="0" borderId="33" xfId="0" applyNumberFormat="1" applyBorder="1"/>
    <xf numFmtId="2" fontId="11" fillId="11" borderId="34" xfId="0" applyNumberFormat="1" applyFont="1" applyFill="1" applyBorder="1"/>
    <xf numFmtId="0" fontId="1" fillId="0" borderId="29" xfId="0" applyFont="1" applyBorder="1" applyAlignment="1">
      <alignment horizontal="center" vertical="top"/>
    </xf>
    <xf numFmtId="0" fontId="3" fillId="4" borderId="0" xfId="0" applyFont="1" applyFill="1"/>
    <xf numFmtId="0" fontId="12" fillId="18" borderId="0" xfId="0" applyFont="1" applyFill="1"/>
    <xf numFmtId="0" fontId="0" fillId="13" borderId="17" xfId="0" applyFill="1" applyBorder="1" applyAlignment="1">
      <alignment horizontal="center"/>
    </xf>
    <xf numFmtId="0" fontId="0" fillId="13" borderId="18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2" borderId="17" xfId="0" applyFill="1" applyBorder="1" applyAlignment="1">
      <alignment horizontal="center" wrapText="1"/>
    </xf>
    <xf numFmtId="0" fontId="0" fillId="12" borderId="18" xfId="0" applyFill="1" applyBorder="1" applyAlignment="1">
      <alignment horizontal="center" wrapText="1"/>
    </xf>
    <xf numFmtId="0" fontId="0" fillId="12" borderId="2" xfId="0" applyFill="1" applyBorder="1" applyAlignment="1">
      <alignment horizontal="center" wrapText="1"/>
    </xf>
    <xf numFmtId="171" fontId="13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left" vertical="center" wrapText="1" indent="1"/>
    </xf>
    <xf numFmtId="171" fontId="14" fillId="0" borderId="4" xfId="0" applyNumberFormat="1" applyFont="1" applyBorder="1" applyAlignment="1">
      <alignment horizontal="center" vertical="center" wrapText="1"/>
    </xf>
    <xf numFmtId="171" fontId="15" fillId="0" borderId="4" xfId="0" applyNumberFormat="1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left" vertical="center" wrapText="1" indent="1"/>
    </xf>
    <xf numFmtId="0" fontId="9" fillId="19" borderId="5" xfId="0" applyFont="1" applyFill="1" applyBorder="1" applyAlignment="1">
      <alignment horizontal="center" vertical="center" wrapText="1"/>
    </xf>
    <xf numFmtId="11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">
    <dxf>
      <numFmt numFmtId="2" formatCode="0.00"/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476471</xdr:colOff>
      <xdr:row>3</xdr:row>
      <xdr:rowOff>106699</xdr:rowOff>
    </xdr:from>
    <xdr:to>
      <xdr:col>10</xdr:col>
      <xdr:colOff>552156</xdr:colOff>
      <xdr:row>10</xdr:row>
      <xdr:rowOff>12608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7EEB9055-C8A2-6C87-A76F-F57A332C41F4}"/>
            </a:ext>
            <a:ext uri="{147F2762-F138-4A5C-976F-8EAC2B608ADB}">
              <a16:predDERef xmlns:a16="http://schemas.microsoft.com/office/drawing/2014/main" pred="{B2A8F620-5263-3349-BA2F-57EE92BE0BAC}"/>
            </a:ext>
          </a:extLst>
        </xdr:cNvPr>
        <xdr:cNvSpPr/>
      </xdr:nvSpPr>
      <xdr:spPr>
        <a:xfrm>
          <a:off x="6221353" y="666993"/>
          <a:ext cx="4363803" cy="1213262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If Demographic data is added during cluster analysis it makes various</a:t>
          </a:r>
        </a:p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fields insignifcant. </a:t>
          </a:r>
        </a:p>
        <a:p>
          <a:pPr marL="0" indent="0" algn="l"/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However when clustering is done without demographic data using </a:t>
          </a:r>
        </a:p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partworths then the data is significant for all the fields.</a:t>
          </a:r>
        </a:p>
      </xdr:txBody>
    </xdr:sp>
    <xdr:clientData/>
  </xdr:twoCellAnchor>
  <xdr:twoCellAnchor>
    <xdr:from>
      <xdr:col>1</xdr:col>
      <xdr:colOff>0</xdr:colOff>
      <xdr:row>1</xdr:row>
      <xdr:rowOff>57207</xdr:rowOff>
    </xdr:from>
    <xdr:to>
      <xdr:col>3</xdr:col>
      <xdr:colOff>57798</xdr:colOff>
      <xdr:row>11</xdr:row>
      <xdr:rowOff>45594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978C17B4-5E26-9533-C51C-EE3EC5B3828E}"/>
            </a:ext>
          </a:extLst>
        </xdr:cNvPr>
        <xdr:cNvGrpSpPr/>
      </xdr:nvGrpSpPr>
      <xdr:grpSpPr>
        <a:xfrm>
          <a:off x="440765" y="243972"/>
          <a:ext cx="5190092" cy="1856034"/>
          <a:chOff x="612117" y="240270"/>
          <a:chExt cx="5189285" cy="1819018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86CB4962-632D-C482-4E43-997E234FC6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12117" y="240270"/>
            <a:ext cx="5119444" cy="1819018"/>
          </a:xfrm>
          <a:prstGeom prst="rect">
            <a:avLst/>
          </a:prstGeom>
        </xdr:spPr>
      </xdr:pic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1E4823CB-CA1B-3FF0-D25D-5E17C403B40D}"/>
              </a:ext>
            </a:extLst>
          </xdr:cNvPr>
          <xdr:cNvSpPr/>
        </xdr:nvSpPr>
        <xdr:spPr>
          <a:xfrm>
            <a:off x="5071122" y="492770"/>
            <a:ext cx="730280" cy="1522896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0</xdr:colOff>
      <xdr:row>13</xdr:row>
      <xdr:rowOff>83384</xdr:rowOff>
    </xdr:from>
    <xdr:to>
      <xdr:col>3</xdr:col>
      <xdr:colOff>72989</xdr:colOff>
      <xdr:row>27</xdr:row>
      <xdr:rowOff>109483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66040242-BBDB-A339-AB94-A4AD74DA0C1E}"/>
            </a:ext>
          </a:extLst>
        </xdr:cNvPr>
        <xdr:cNvGrpSpPr/>
      </xdr:nvGrpSpPr>
      <xdr:grpSpPr>
        <a:xfrm>
          <a:off x="440765" y="2511325"/>
          <a:ext cx="5205283" cy="2640805"/>
          <a:chOff x="612117" y="2463204"/>
          <a:chExt cx="5204476" cy="258898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B2A8F620-5263-3349-BA2F-57EE92BE0BAC}"/>
              </a:ext>
              <a:ext uri="{147F2762-F138-4A5C-976F-8EAC2B608ADB}">
                <a16:predDERef xmlns:a16="http://schemas.microsoft.com/office/drawing/2014/main" pred="{86CB4962-632D-C482-4E43-997E234FC6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12117" y="2463204"/>
            <a:ext cx="5071819" cy="2510223"/>
          </a:xfrm>
          <a:prstGeom prst="rect">
            <a:avLst/>
          </a:prstGeom>
        </xdr:spPr>
      </xdr:pic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A3AAB253-35B4-480D-9A1B-FAC87D8F0E93}"/>
              </a:ext>
            </a:extLst>
          </xdr:cNvPr>
          <xdr:cNvSpPr/>
        </xdr:nvSpPr>
        <xdr:spPr>
          <a:xfrm>
            <a:off x="5086313" y="2716159"/>
            <a:ext cx="730280" cy="233602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mesh Shanbhag" refreshedDate="45770.816424421297" createdVersion="8" refreshedVersion="8" minRefreshableVersion="3" recordCount="41" xr:uid="{B4C9DCEA-3950-4D80-9DE2-91FBF5DAC3A1}">
  <cacheSource type="worksheet">
    <worksheetSource ref="O8:R49" sheet="T4_Cluster Analysis"/>
  </cacheSource>
  <cacheFields count="4">
    <cacheField name="Choose Lite" numFmtId="0">
      <sharedItems containsSemiMixedTypes="0" containsString="0" containsNumber="1" minValue="0" maxValue="1"/>
    </cacheField>
    <cacheField name="Choosing Pro" numFmtId="0">
      <sharedItems containsSemiMixedTypes="0" containsString="0" containsNumber="1" minValue="0" maxValue="1"/>
    </cacheField>
    <cacheField name="Choosing Elite" numFmtId="0">
      <sharedItems containsSemiMixedTypes="0" containsString="0" containsNumber="1" minValue="0" maxValue="1"/>
    </cacheField>
    <cacheField name="Cluster Names" numFmtId="0">
      <sharedItems count="3">
        <s v="Cluster 1"/>
        <s v="Cluster 2"/>
        <s v="Cluster 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1"/>
    <n v="0"/>
    <n v="0"/>
    <x v="0"/>
  </r>
  <r>
    <n v="1"/>
    <n v="0"/>
    <n v="0"/>
    <x v="1"/>
  </r>
  <r>
    <n v="0.5"/>
    <n v="0.5"/>
    <n v="0"/>
    <x v="1"/>
  </r>
  <r>
    <n v="0"/>
    <n v="0"/>
    <n v="1"/>
    <x v="0"/>
  </r>
  <r>
    <n v="0"/>
    <n v="0"/>
    <n v="1"/>
    <x v="0"/>
  </r>
  <r>
    <n v="0.5"/>
    <n v="0"/>
    <n v="0.5"/>
    <x v="1"/>
  </r>
  <r>
    <n v="0.33"/>
    <n v="0.33"/>
    <n v="0.33"/>
    <x v="1"/>
  </r>
  <r>
    <n v="0"/>
    <n v="0.5"/>
    <n v="0.5"/>
    <x v="1"/>
  </r>
  <r>
    <n v="0"/>
    <n v="0.5"/>
    <n v="0.5"/>
    <x v="0"/>
  </r>
  <r>
    <n v="0"/>
    <n v="1"/>
    <n v="0"/>
    <x v="1"/>
  </r>
  <r>
    <n v="1"/>
    <n v="0"/>
    <n v="0"/>
    <x v="0"/>
  </r>
  <r>
    <n v="0.5"/>
    <n v="0.5"/>
    <n v="0"/>
    <x v="1"/>
  </r>
  <r>
    <n v="0"/>
    <n v="0"/>
    <n v="1"/>
    <x v="0"/>
  </r>
  <r>
    <n v="0.5"/>
    <n v="0"/>
    <n v="0.5"/>
    <x v="2"/>
  </r>
  <r>
    <n v="0.5"/>
    <n v="0"/>
    <n v="0.5"/>
    <x v="0"/>
  </r>
  <r>
    <n v="0"/>
    <n v="1"/>
    <n v="0"/>
    <x v="1"/>
  </r>
  <r>
    <n v="0"/>
    <n v="1"/>
    <n v="0"/>
    <x v="0"/>
  </r>
  <r>
    <n v="0"/>
    <n v="1"/>
    <n v="0"/>
    <x v="1"/>
  </r>
  <r>
    <n v="0"/>
    <n v="1"/>
    <n v="0"/>
    <x v="1"/>
  </r>
  <r>
    <n v="0"/>
    <n v="0"/>
    <n v="1"/>
    <x v="1"/>
  </r>
  <r>
    <n v="0"/>
    <n v="1"/>
    <n v="0"/>
    <x v="1"/>
  </r>
  <r>
    <n v="0"/>
    <n v="0"/>
    <n v="1"/>
    <x v="1"/>
  </r>
  <r>
    <n v="0"/>
    <n v="1"/>
    <n v="0"/>
    <x v="1"/>
  </r>
  <r>
    <n v="0.33"/>
    <n v="0.33"/>
    <n v="0.33"/>
    <x v="0"/>
  </r>
  <r>
    <n v="0"/>
    <n v="1"/>
    <n v="0"/>
    <x v="2"/>
  </r>
  <r>
    <n v="0.5"/>
    <n v="0"/>
    <n v="0.5"/>
    <x v="1"/>
  </r>
  <r>
    <n v="0.5"/>
    <n v="0"/>
    <n v="0.5"/>
    <x v="1"/>
  </r>
  <r>
    <n v="0"/>
    <n v="1"/>
    <n v="0"/>
    <x v="1"/>
  </r>
  <r>
    <n v="0"/>
    <n v="0"/>
    <n v="1"/>
    <x v="0"/>
  </r>
  <r>
    <n v="1"/>
    <n v="0"/>
    <n v="0"/>
    <x v="0"/>
  </r>
  <r>
    <n v="1"/>
    <n v="0"/>
    <n v="0"/>
    <x v="0"/>
  </r>
  <r>
    <n v="0"/>
    <n v="1"/>
    <n v="0"/>
    <x v="1"/>
  </r>
  <r>
    <n v="0"/>
    <n v="0"/>
    <n v="1"/>
    <x v="1"/>
  </r>
  <r>
    <n v="0"/>
    <n v="0"/>
    <n v="1"/>
    <x v="1"/>
  </r>
  <r>
    <n v="0"/>
    <n v="1"/>
    <n v="0"/>
    <x v="1"/>
  </r>
  <r>
    <n v="0"/>
    <n v="1"/>
    <n v="0"/>
    <x v="1"/>
  </r>
  <r>
    <n v="1"/>
    <n v="0"/>
    <n v="0"/>
    <x v="0"/>
  </r>
  <r>
    <n v="0.5"/>
    <n v="0.5"/>
    <n v="0"/>
    <x v="2"/>
  </r>
  <r>
    <n v="0"/>
    <n v="0.5"/>
    <n v="0.5"/>
    <x v="2"/>
  </r>
  <r>
    <n v="0"/>
    <n v="0"/>
    <n v="1"/>
    <x v="0"/>
  </r>
  <r>
    <n v="0.5"/>
    <n v="0"/>
    <n v="0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6152D-3AE8-4A58-BEBB-17CEBA40EFE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J61:M65" firstHeaderRow="0" firstDataRow="1" firstDataCol="1"/>
  <pivotFields count="4">
    <pivotField dataField="1" showAll="0"/>
    <pivotField dataField="1"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hoose Lite" fld="0" subtotal="average" baseField="0" baseItem="0"/>
    <dataField name="Average of Choosing Pro" fld="1" subtotal="average" baseField="0" baseItem="0"/>
    <dataField name="Average of Choosing Elite" fld="2" subtotal="average" baseField="0" baseItem="0"/>
  </dataFields>
  <formats count="1">
    <format dxfId="0">
      <pivotArea collapsedLevelsAreSubtotals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9467-7245-4993-B065-7157F082E6A8}">
  <sheetPr>
    <tabColor rgb="FF002060"/>
  </sheetPr>
  <dimension ref="A1:M44"/>
  <sheetViews>
    <sheetView tabSelected="1" zoomScale="55" zoomScaleNormal="55" workbookViewId="0">
      <pane xSplit="1" ySplit="1" topLeftCell="G2" activePane="bottomRight" state="frozen"/>
      <selection activeCell="G32" sqref="G32"/>
      <selection pane="topRight" activeCell="G32" sqref="G32"/>
      <selection pane="bottomLeft" activeCell="G32" sqref="G32"/>
      <selection pane="bottomRight" activeCell="G7" sqref="G7"/>
    </sheetView>
  </sheetViews>
  <sheetFormatPr defaultColWidth="8.81640625" defaultRowHeight="14.5" x14ac:dyDescent="0.35"/>
  <cols>
    <col min="1" max="1" width="17.6328125" style="2" bestFit="1" customWidth="1"/>
    <col min="2" max="2" width="14.81640625" style="1" customWidth="1"/>
    <col min="3" max="4" width="13.6328125" style="1" bestFit="1" customWidth="1"/>
    <col min="5" max="5" width="29.54296875" style="1" bestFit="1" customWidth="1"/>
    <col min="6" max="6" width="26.6328125" style="1" bestFit="1" customWidth="1"/>
    <col min="7" max="7" width="37.08984375" style="1" bestFit="1" customWidth="1"/>
    <col min="8" max="8" width="51.6328125" style="1" bestFit="1" customWidth="1"/>
    <col min="9" max="9" width="46.36328125" style="1" bestFit="1" customWidth="1"/>
    <col min="10" max="10" width="43.54296875" style="1" bestFit="1" customWidth="1"/>
    <col min="11" max="11" width="36.1796875" style="1" bestFit="1" customWidth="1"/>
    <col min="12" max="12" width="41.1796875" style="1" bestFit="1" customWidth="1"/>
    <col min="13" max="13" width="16.1796875" style="1" customWidth="1"/>
    <col min="14" max="16384" width="8.81640625" style="1"/>
  </cols>
  <sheetData>
    <row r="1" spans="1:13" x14ac:dyDescent="0.35">
      <c r="A1" s="67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10</v>
      </c>
      <c r="L1" s="68" t="s">
        <v>12</v>
      </c>
      <c r="M1" s="68"/>
    </row>
    <row r="2" spans="1:13" x14ac:dyDescent="0.35">
      <c r="A2" s="67">
        <v>1</v>
      </c>
      <c r="B2" s="1">
        <v>7.1666666666666679</v>
      </c>
      <c r="C2" s="1">
        <v>2.333333333333337</v>
      </c>
      <c r="D2" s="1">
        <v>0.33333333333333348</v>
      </c>
      <c r="E2" s="1">
        <v>-0.16666666666666621</v>
      </c>
      <c r="F2" s="1">
        <v>-1.0000000000000011</v>
      </c>
      <c r="G2" s="1">
        <v>-0.66666666666666796</v>
      </c>
      <c r="H2" s="1">
        <v>-9.7414326862439766E-16</v>
      </c>
      <c r="I2" s="1">
        <v>-1.1666666666666681</v>
      </c>
      <c r="J2" s="1">
        <v>-1.3333333333333339</v>
      </c>
      <c r="K2" s="1">
        <v>-1.3333333333333359</v>
      </c>
      <c r="L2" s="1">
        <v>0.97587719298245612</v>
      </c>
    </row>
    <row r="3" spans="1:13" x14ac:dyDescent="0.35">
      <c r="A3" s="67">
        <v>2</v>
      </c>
      <c r="B3" s="1">
        <v>5.6666666666666679</v>
      </c>
      <c r="C3" s="1">
        <v>3.333333333333333</v>
      </c>
      <c r="D3" s="1">
        <v>2.3333333333333299</v>
      </c>
      <c r="E3" s="1">
        <v>1.3333333333333319</v>
      </c>
      <c r="F3" s="1">
        <v>-1.4999999999999969</v>
      </c>
      <c r="G3" s="1">
        <v>-2.666666666666667</v>
      </c>
      <c r="H3" s="1">
        <v>-4.4999999999999973</v>
      </c>
      <c r="I3" s="1">
        <v>0.83333333333332915</v>
      </c>
      <c r="J3" s="1">
        <v>0.6666666666666653</v>
      </c>
      <c r="K3" s="1">
        <v>-3.8333333333333308</v>
      </c>
      <c r="L3" s="1">
        <v>0.97505668934240364</v>
      </c>
    </row>
    <row r="4" spans="1:13" x14ac:dyDescent="0.35">
      <c r="A4" s="67">
        <v>3</v>
      </c>
      <c r="B4" s="1">
        <v>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</row>
    <row r="5" spans="1:13" x14ac:dyDescent="0.35">
      <c r="A5" s="67">
        <v>5</v>
      </c>
      <c r="B5" s="1">
        <v>5.8333333333333357</v>
      </c>
      <c r="C5" s="1">
        <v>3.6666666666666661</v>
      </c>
      <c r="D5" s="1">
        <v>3.6666666666666652</v>
      </c>
      <c r="E5" s="1">
        <v>1.1666666666666661</v>
      </c>
      <c r="F5" s="1">
        <v>-2.4999999999999978</v>
      </c>
      <c r="G5" s="1">
        <v>-2.3333333333333339</v>
      </c>
      <c r="H5" s="1">
        <v>-2.5</v>
      </c>
      <c r="I5" s="1">
        <v>-0.33333333333333498</v>
      </c>
      <c r="J5" s="1">
        <v>0.33333333333333148</v>
      </c>
      <c r="K5" s="1">
        <v>-2.1666666666666652</v>
      </c>
      <c r="L5" s="1">
        <v>0.99003623188405798</v>
      </c>
    </row>
    <row r="6" spans="1:13" x14ac:dyDescent="0.35">
      <c r="A6" s="67">
        <v>6</v>
      </c>
      <c r="B6" s="1">
        <v>1.166666666666665</v>
      </c>
      <c r="C6" s="1">
        <v>-1.6666666666666661</v>
      </c>
      <c r="D6" s="1">
        <v>-0.66666666666666363</v>
      </c>
      <c r="E6" s="1">
        <v>-0.16666666666666599</v>
      </c>
      <c r="F6" s="1">
        <v>0.99999999999999933</v>
      </c>
      <c r="G6" s="1">
        <v>2.333333333333333</v>
      </c>
      <c r="H6" s="1">
        <v>1.999999999999998</v>
      </c>
      <c r="I6" s="1">
        <v>0.83333333333333548</v>
      </c>
      <c r="J6" s="1">
        <v>0.66666666666666763</v>
      </c>
      <c r="K6" s="1">
        <v>0.6666666666666663</v>
      </c>
      <c r="L6" s="1">
        <v>0.74250936329588013</v>
      </c>
    </row>
    <row r="7" spans="1:13" x14ac:dyDescent="0.35">
      <c r="A7" s="67">
        <v>7</v>
      </c>
      <c r="B7" s="1">
        <v>4.1666666666666679</v>
      </c>
      <c r="C7" s="1">
        <v>-0.66666666666666996</v>
      </c>
      <c r="D7" s="1">
        <v>-1.666666666666669</v>
      </c>
      <c r="E7" s="1">
        <v>0.83333333333333071</v>
      </c>
      <c r="F7" s="1">
        <v>4.0000000000000009</v>
      </c>
      <c r="G7" s="1">
        <v>-0.66666666666666374</v>
      </c>
      <c r="H7" s="1">
        <v>1.000000000000002</v>
      </c>
      <c r="I7" s="1">
        <v>-1.166666666666669</v>
      </c>
      <c r="J7" s="1">
        <v>-0.33333333333333309</v>
      </c>
      <c r="K7" s="1">
        <v>-0.33333333333333132</v>
      </c>
      <c r="L7" s="1">
        <v>0.99625850340136057</v>
      </c>
    </row>
    <row r="8" spans="1:13" x14ac:dyDescent="0.35">
      <c r="A8" s="67">
        <v>8</v>
      </c>
      <c r="B8" s="1">
        <v>5.5</v>
      </c>
      <c r="C8" s="1">
        <v>2.0000000000000031</v>
      </c>
      <c r="D8" s="1">
        <v>2.0000000000000031</v>
      </c>
      <c r="E8" s="1">
        <v>-0.49999999999999928</v>
      </c>
      <c r="F8" s="1">
        <v>-2.5000000000000009</v>
      </c>
      <c r="G8" s="1">
        <v>-1.0000000000000031</v>
      </c>
      <c r="H8" s="1">
        <v>-0.50000000000000155</v>
      </c>
      <c r="I8" s="1">
        <v>2.5330249156352442E-16</v>
      </c>
      <c r="J8" s="1">
        <v>1</v>
      </c>
      <c r="K8" s="1">
        <v>-1.5000000000000031</v>
      </c>
      <c r="L8" s="1">
        <v>0.84999999999999987</v>
      </c>
    </row>
    <row r="9" spans="1:13" x14ac:dyDescent="0.35">
      <c r="A9" s="67">
        <v>9</v>
      </c>
      <c r="B9" s="1">
        <v>4.6666666666666679</v>
      </c>
      <c r="C9" s="1">
        <v>0.33333333333333182</v>
      </c>
      <c r="D9" s="1">
        <v>2.333333333333329</v>
      </c>
      <c r="E9" s="1">
        <v>2.3333333333333339</v>
      </c>
      <c r="F9" s="1">
        <v>1.5000000000000011</v>
      </c>
      <c r="G9" s="1">
        <v>-0.66666666666666796</v>
      </c>
      <c r="H9" s="1">
        <v>-3.4999999999999991</v>
      </c>
      <c r="I9" s="1">
        <v>0.83333333333333226</v>
      </c>
      <c r="J9" s="1">
        <v>-0.33333333333333359</v>
      </c>
      <c r="K9" s="1">
        <v>-2.8333333333333321</v>
      </c>
      <c r="L9" s="1">
        <v>0.96474358974358976</v>
      </c>
    </row>
    <row r="10" spans="1:13" x14ac:dyDescent="0.35">
      <c r="A10" s="67">
        <v>10</v>
      </c>
      <c r="B10" s="1">
        <v>2.3333333333333348</v>
      </c>
      <c r="C10" s="1">
        <v>-1.333333333333343</v>
      </c>
      <c r="D10" s="1">
        <v>1.166666666666661</v>
      </c>
      <c r="E10" s="1">
        <v>3.6666666666666652</v>
      </c>
      <c r="F10" s="1">
        <v>2.0000000000000062</v>
      </c>
      <c r="G10" s="1">
        <v>-2.8333333333333321</v>
      </c>
      <c r="H10" s="1">
        <v>-3.9999999999999991</v>
      </c>
      <c r="I10" s="1">
        <v>1.6666666666666621</v>
      </c>
      <c r="J10" s="1">
        <v>2.8333333333333299</v>
      </c>
      <c r="K10" s="1">
        <v>0.83333333333334181</v>
      </c>
      <c r="L10" s="1">
        <v>0.9273927392739274</v>
      </c>
    </row>
    <row r="11" spans="1:13" x14ac:dyDescent="0.35">
      <c r="A11" s="67">
        <v>11</v>
      </c>
      <c r="B11" s="1">
        <v>5.8333333333333321</v>
      </c>
      <c r="C11" s="1">
        <v>-0.33333333333333071</v>
      </c>
      <c r="D11" s="1">
        <v>-0.83333333333333104</v>
      </c>
      <c r="E11" s="1">
        <v>-0.83333333333333248</v>
      </c>
      <c r="F11" s="1">
        <v>0.49999999999999861</v>
      </c>
      <c r="G11" s="1">
        <v>1.1666666666666661</v>
      </c>
      <c r="H11" s="1">
        <v>1.4999999999999989</v>
      </c>
      <c r="I11" s="1">
        <v>0.66666666666666841</v>
      </c>
      <c r="J11" s="1">
        <v>-0.16666666666666591</v>
      </c>
      <c r="K11" s="1">
        <v>0.33333333333333143</v>
      </c>
      <c r="L11" s="1">
        <v>0.96014492753623193</v>
      </c>
    </row>
    <row r="12" spans="1:13" x14ac:dyDescent="0.35">
      <c r="A12" s="67">
        <v>13</v>
      </c>
      <c r="B12" s="1">
        <v>1.166666666666667</v>
      </c>
      <c r="C12" s="1">
        <v>3.3333333333333282</v>
      </c>
      <c r="D12" s="1">
        <v>5.333333333333325</v>
      </c>
      <c r="E12" s="1">
        <v>4.8333333333333286</v>
      </c>
      <c r="F12" s="1">
        <v>2.5000000000000062</v>
      </c>
      <c r="G12" s="1">
        <v>-2.6666666666666639</v>
      </c>
      <c r="H12" s="1">
        <v>-4.4999999999999938</v>
      </c>
      <c r="I12" s="1">
        <v>2.3333333333333299</v>
      </c>
      <c r="J12" s="1">
        <v>0.66666666666666208</v>
      </c>
      <c r="K12" s="1">
        <v>-1.833333333333325</v>
      </c>
      <c r="L12" s="1">
        <v>0.99444444444444446</v>
      </c>
    </row>
    <row r="13" spans="1:13" x14ac:dyDescent="0.35">
      <c r="A13" s="67">
        <v>14</v>
      </c>
      <c r="B13" s="1">
        <v>6.6666666666666679</v>
      </c>
      <c r="C13" s="1">
        <v>-0.66666666666665975</v>
      </c>
      <c r="D13" s="1">
        <v>-3.1666666666666639</v>
      </c>
      <c r="E13" s="1">
        <v>-1.666666666666665</v>
      </c>
      <c r="F13" s="1">
        <v>1.499999999999996</v>
      </c>
      <c r="G13" s="1">
        <v>-0.1666666666666671</v>
      </c>
      <c r="H13" s="1">
        <v>3.4999999999999969</v>
      </c>
      <c r="I13" s="1">
        <v>-1.1666666666666681</v>
      </c>
      <c r="J13" s="1">
        <v>-2.8333333333333308</v>
      </c>
      <c r="K13" s="1">
        <v>-1.3333333333333399</v>
      </c>
      <c r="L13" s="1">
        <v>0.98671497584541068</v>
      </c>
    </row>
    <row r="14" spans="1:13" x14ac:dyDescent="0.35">
      <c r="A14" s="67">
        <v>16</v>
      </c>
      <c r="B14" s="1">
        <v>5.333333333333333</v>
      </c>
      <c r="C14" s="1">
        <v>-0.33333333333333598</v>
      </c>
      <c r="D14" s="1">
        <v>-0.33333333333333459</v>
      </c>
      <c r="E14" s="1">
        <v>-0.33333333333333443</v>
      </c>
      <c r="F14" s="1">
        <v>-2.9999999999999991</v>
      </c>
      <c r="G14" s="1">
        <v>-0.33333333333333132</v>
      </c>
      <c r="H14" s="1">
        <v>1.2513300761420999E-15</v>
      </c>
      <c r="I14" s="1">
        <v>0.6666666666666663</v>
      </c>
      <c r="J14" s="1">
        <v>1.333333333333333</v>
      </c>
      <c r="K14" s="1">
        <v>0.33333333333333459</v>
      </c>
      <c r="L14" s="1">
        <v>0.94270833333333326</v>
      </c>
    </row>
    <row r="15" spans="1:13" x14ac:dyDescent="0.35">
      <c r="A15" s="67">
        <v>17</v>
      </c>
      <c r="B15" s="1">
        <v>5.3333333333333321</v>
      </c>
      <c r="C15" s="1">
        <v>-2.3333333333333361</v>
      </c>
      <c r="D15" s="1">
        <v>-0.33333333333333282</v>
      </c>
      <c r="E15" s="1">
        <v>-0.33333333333333331</v>
      </c>
      <c r="F15" s="1">
        <v>0.50000000000000033</v>
      </c>
      <c r="G15" s="1">
        <v>-0.3333333333333327</v>
      </c>
      <c r="H15" s="1">
        <v>0.49999999999999978</v>
      </c>
      <c r="I15" s="1">
        <v>0.16666666666666741</v>
      </c>
      <c r="J15" s="1">
        <v>0.33333333333333443</v>
      </c>
      <c r="K15" s="1">
        <v>1.833333333333335</v>
      </c>
      <c r="L15" s="1">
        <v>0.92198581560283688</v>
      </c>
    </row>
    <row r="16" spans="1:13" x14ac:dyDescent="0.35">
      <c r="A16" s="67">
        <v>18</v>
      </c>
      <c r="B16" s="1">
        <v>4.1666666666666661</v>
      </c>
      <c r="C16" s="1">
        <v>-4.666666666666667</v>
      </c>
      <c r="D16" s="1">
        <v>-4.1666666666666643</v>
      </c>
      <c r="E16" s="1">
        <v>-1.166666666666667</v>
      </c>
      <c r="F16" s="1">
        <v>2.4999999999999978</v>
      </c>
      <c r="G16" s="1">
        <v>2.8333333333333339</v>
      </c>
      <c r="H16" s="1">
        <v>2.5</v>
      </c>
      <c r="I16" s="1">
        <v>-1.666666666666665</v>
      </c>
      <c r="J16" s="1">
        <v>-0.83333333333333171</v>
      </c>
      <c r="K16" s="1">
        <v>3.6666666666666661</v>
      </c>
      <c r="L16" s="1">
        <v>0.98472222222222228</v>
      </c>
    </row>
    <row r="17" spans="1:12" x14ac:dyDescent="0.35">
      <c r="A17" s="67">
        <v>20</v>
      </c>
      <c r="B17" s="1">
        <v>5.3333333333333339</v>
      </c>
      <c r="C17" s="1">
        <v>-0.33333333333333193</v>
      </c>
      <c r="D17" s="1">
        <v>0.16666666666666741</v>
      </c>
      <c r="E17" s="1">
        <v>-0.33333333333333259</v>
      </c>
      <c r="F17" s="1">
        <v>-0.50000000000000033</v>
      </c>
      <c r="G17" s="1">
        <v>1.166666666666665</v>
      </c>
      <c r="H17" s="1">
        <v>0.499999999999999</v>
      </c>
      <c r="I17" s="1">
        <v>-0.83333333333333326</v>
      </c>
      <c r="J17" s="1">
        <v>-0.16666666666666741</v>
      </c>
      <c r="K17" s="1">
        <v>-0.66666666666666829</v>
      </c>
      <c r="L17" s="1">
        <v>0.75555555555555554</v>
      </c>
    </row>
    <row r="18" spans="1:12" x14ac:dyDescent="0.35">
      <c r="A18" s="67">
        <v>21</v>
      </c>
      <c r="B18" s="1">
        <v>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</row>
    <row r="19" spans="1:12" x14ac:dyDescent="0.35">
      <c r="A19" s="67">
        <v>22</v>
      </c>
      <c r="B19" s="1">
        <v>3.6666666666666692</v>
      </c>
      <c r="C19" s="1">
        <v>2.3333333333333348</v>
      </c>
      <c r="D19" s="1">
        <v>1.833333333333331</v>
      </c>
      <c r="E19" s="1">
        <v>1.3333333333333319</v>
      </c>
      <c r="F19" s="1">
        <v>-0.49999999999999922</v>
      </c>
      <c r="G19" s="1">
        <v>-0.16666666666666771</v>
      </c>
      <c r="H19" s="1">
        <v>-1.4999999999999989</v>
      </c>
      <c r="I19" s="1">
        <v>-0.16666666666666791</v>
      </c>
      <c r="J19" s="1">
        <v>-0.83333333333333515</v>
      </c>
      <c r="K19" s="1">
        <v>-2.3333333333333339</v>
      </c>
      <c r="L19" s="1">
        <v>0.93678160919540232</v>
      </c>
    </row>
    <row r="20" spans="1:12" x14ac:dyDescent="0.35">
      <c r="A20" s="67">
        <v>23</v>
      </c>
      <c r="B20" s="1">
        <v>6.1666666666666661</v>
      </c>
      <c r="C20" s="1">
        <v>1.333333333333337</v>
      </c>
      <c r="D20" s="1">
        <v>-0.16666666666666441</v>
      </c>
      <c r="E20" s="1">
        <v>-1.1666666666666661</v>
      </c>
      <c r="F20" s="1">
        <v>-0.50000000000000333</v>
      </c>
      <c r="G20" s="1">
        <v>0.83333333333333182</v>
      </c>
      <c r="H20" s="1">
        <v>0.49999999999999911</v>
      </c>
      <c r="I20" s="1">
        <v>-0.66666666666666474</v>
      </c>
      <c r="J20" s="1">
        <v>-1.833333333333331</v>
      </c>
      <c r="K20" s="1">
        <v>0.66666666666666474</v>
      </c>
      <c r="L20" s="1">
        <v>0.9844632768361582</v>
      </c>
    </row>
    <row r="21" spans="1:12" x14ac:dyDescent="0.35">
      <c r="A21" s="67">
        <v>24</v>
      </c>
      <c r="B21" s="1">
        <v>2.3333333333333308</v>
      </c>
      <c r="C21" s="1">
        <v>-0.33333333333333642</v>
      </c>
      <c r="D21" s="1">
        <v>-0.83333333333333304</v>
      </c>
      <c r="E21" s="1">
        <v>-1.3333333333333339</v>
      </c>
      <c r="F21" s="1">
        <v>-1.499999999999998</v>
      </c>
      <c r="G21" s="1">
        <v>2.1666666666666692</v>
      </c>
      <c r="H21" s="1">
        <v>1.5</v>
      </c>
      <c r="I21" s="1">
        <v>1.166666666666671</v>
      </c>
      <c r="J21" s="1">
        <v>1.833333333333333</v>
      </c>
      <c r="K21" s="1">
        <v>3.3333333333333361</v>
      </c>
      <c r="L21" s="1">
        <v>0.98193760262725782</v>
      </c>
    </row>
    <row r="22" spans="1:12" x14ac:dyDescent="0.35">
      <c r="A22" s="67">
        <v>25</v>
      </c>
      <c r="B22" s="1">
        <v>3.3333333333333299</v>
      </c>
      <c r="C22" s="1">
        <v>-0.33333333333333298</v>
      </c>
      <c r="D22" s="1">
        <v>-0.33333333333332948</v>
      </c>
      <c r="E22" s="1">
        <v>-1.333333333333333</v>
      </c>
      <c r="F22" s="1">
        <v>-1.5</v>
      </c>
      <c r="G22" s="1">
        <v>1.666666666666667</v>
      </c>
      <c r="H22" s="1">
        <v>1.5</v>
      </c>
      <c r="I22" s="1">
        <v>1.1666666666666701</v>
      </c>
      <c r="J22" s="1">
        <v>1.3333333333333339</v>
      </c>
      <c r="K22" s="1">
        <v>2.8333333333333339</v>
      </c>
      <c r="L22" s="1">
        <v>0.97587719298245612</v>
      </c>
    </row>
    <row r="23" spans="1:12" x14ac:dyDescent="0.35">
      <c r="A23" s="67">
        <v>26</v>
      </c>
      <c r="B23" s="1">
        <v>1.8333333333333319</v>
      </c>
      <c r="C23" s="1">
        <v>2.6666666666666679</v>
      </c>
      <c r="D23" s="1">
        <v>3.6666666666666679</v>
      </c>
      <c r="E23" s="1">
        <v>0.1666666666666658</v>
      </c>
      <c r="F23" s="1">
        <v>-0.499999999999998</v>
      </c>
      <c r="G23" s="1">
        <v>-0.33333333333333592</v>
      </c>
      <c r="H23" s="1">
        <v>-1.499999999999998</v>
      </c>
      <c r="I23" s="1">
        <v>2.6666666666666692</v>
      </c>
      <c r="J23" s="1">
        <v>3.3333333333333348</v>
      </c>
      <c r="K23" s="1">
        <v>-1.1666666666666681</v>
      </c>
      <c r="L23" s="1">
        <v>0.89241001564945233</v>
      </c>
    </row>
    <row r="24" spans="1:12" x14ac:dyDescent="0.35">
      <c r="A24" s="67">
        <v>27</v>
      </c>
      <c r="B24" s="1">
        <v>2.666666666666667</v>
      </c>
      <c r="C24" s="1">
        <v>3.333333333333333</v>
      </c>
      <c r="D24" s="1">
        <v>0.33333333333333132</v>
      </c>
      <c r="E24" s="1">
        <v>0.33333333333333098</v>
      </c>
      <c r="F24" s="1">
        <v>1.6593288232317709E-15</v>
      </c>
      <c r="G24" s="1">
        <v>0.33333333333333459</v>
      </c>
      <c r="H24" s="1">
        <v>1.7916925624477692E-15</v>
      </c>
      <c r="I24" s="1">
        <v>1.3333333333333339</v>
      </c>
      <c r="J24" s="1">
        <v>1.666666666666667</v>
      </c>
      <c r="K24" s="1">
        <v>-1.333333333333333</v>
      </c>
      <c r="L24" s="1">
        <v>0.89294403892944041</v>
      </c>
    </row>
    <row r="25" spans="1:12" x14ac:dyDescent="0.35">
      <c r="A25" s="67">
        <v>28</v>
      </c>
      <c r="B25" s="1">
        <v>3.3333333333333339</v>
      </c>
      <c r="C25" s="1">
        <v>1.666666666666665</v>
      </c>
      <c r="D25" s="1">
        <v>2.1666666666666652</v>
      </c>
      <c r="E25" s="1">
        <v>0.66666666666666563</v>
      </c>
      <c r="F25" s="1">
        <v>-1.999999999999996</v>
      </c>
      <c r="G25" s="1">
        <v>-1.8333333333333339</v>
      </c>
      <c r="H25" s="1">
        <v>1.0252062925827529E-16</v>
      </c>
      <c r="I25" s="1">
        <v>1.666666666666665</v>
      </c>
      <c r="J25" s="1">
        <v>1.8333333333333319</v>
      </c>
      <c r="K25" s="1">
        <v>-1.166666666666665</v>
      </c>
      <c r="L25" s="1">
        <v>0.7874396135265701</v>
      </c>
    </row>
    <row r="26" spans="1:12" x14ac:dyDescent="0.35">
      <c r="A26" s="67">
        <v>29</v>
      </c>
      <c r="B26" s="1">
        <v>4.166666666666667</v>
      </c>
      <c r="C26" s="1">
        <v>4.3333333333333357</v>
      </c>
      <c r="D26" s="1">
        <v>-0.16666666666666671</v>
      </c>
      <c r="E26" s="1">
        <v>-1.1666666666666681</v>
      </c>
      <c r="F26" s="1">
        <v>-2.9999999999999991</v>
      </c>
      <c r="G26" s="1">
        <v>-0.16666666666666671</v>
      </c>
      <c r="H26" s="1">
        <v>0.99999999999999978</v>
      </c>
      <c r="I26" s="1">
        <v>0.83333333333333515</v>
      </c>
      <c r="J26" s="1">
        <v>3.1666666666666661</v>
      </c>
      <c r="K26" s="1">
        <v>-1.833333333333337</v>
      </c>
      <c r="L26" s="1">
        <v>0.99408602150537628</v>
      </c>
    </row>
    <row r="27" spans="1:12" x14ac:dyDescent="0.35">
      <c r="A27" s="67">
        <v>30</v>
      </c>
      <c r="B27" s="1">
        <v>5</v>
      </c>
      <c r="C27" s="1">
        <v>1.000000000000002</v>
      </c>
      <c r="D27" s="1">
        <v>5.5511151231257827E-16</v>
      </c>
      <c r="E27" s="1">
        <v>2.9564872923028831E-16</v>
      </c>
      <c r="F27" s="1">
        <v>0.49999999999999911</v>
      </c>
      <c r="G27" s="1">
        <v>-5.6494957642341777E-16</v>
      </c>
      <c r="H27" s="1">
        <v>0.5</v>
      </c>
      <c r="I27" s="1">
        <v>-0.50000000000000011</v>
      </c>
      <c r="J27" s="1">
        <v>-0.99999999999999956</v>
      </c>
      <c r="K27" s="1">
        <v>-0.50000000000000155</v>
      </c>
      <c r="L27" s="1">
        <v>1</v>
      </c>
    </row>
    <row r="28" spans="1:12" x14ac:dyDescent="0.35">
      <c r="A28" s="67">
        <v>31</v>
      </c>
      <c r="B28" s="1">
        <v>4.9999999999999991</v>
      </c>
      <c r="C28" s="1">
        <v>-4</v>
      </c>
      <c r="D28" s="1">
        <v>-4.9999999999999973</v>
      </c>
      <c r="E28" s="1">
        <v>-1.999999999999998</v>
      </c>
      <c r="F28" s="1">
        <v>0.99999999999999645</v>
      </c>
      <c r="G28" s="1">
        <v>4.0000000000000018</v>
      </c>
      <c r="H28" s="1">
        <v>3.9999999999999969</v>
      </c>
      <c r="I28" s="1">
        <v>-0.99999999999999645</v>
      </c>
      <c r="J28" s="1">
        <v>-1.9999999999999989</v>
      </c>
      <c r="K28" s="1">
        <v>4.9999999999999982</v>
      </c>
      <c r="L28" s="1">
        <v>1</v>
      </c>
    </row>
    <row r="29" spans="1:12" x14ac:dyDescent="0.35">
      <c r="A29" s="67">
        <v>33</v>
      </c>
      <c r="B29" s="1">
        <v>5.3333333333333339</v>
      </c>
      <c r="C29" s="1">
        <v>1.6666666666666681</v>
      </c>
      <c r="D29" s="1">
        <v>0.66666666666666607</v>
      </c>
      <c r="E29" s="1">
        <v>0.66666666666666652</v>
      </c>
      <c r="F29" s="1">
        <v>-0.49999999999999972</v>
      </c>
      <c r="G29" s="1">
        <v>-1.333333333333333</v>
      </c>
      <c r="H29" s="1">
        <v>-0.49999999999999928</v>
      </c>
      <c r="I29" s="1">
        <v>0.16666666666666541</v>
      </c>
      <c r="J29" s="1">
        <v>0.33333333333333259</v>
      </c>
      <c r="K29" s="1">
        <v>-2.166666666666667</v>
      </c>
      <c r="L29" s="1">
        <v>0.86419753086419737</v>
      </c>
    </row>
    <row r="30" spans="1:12" x14ac:dyDescent="0.35">
      <c r="A30" s="67">
        <v>34</v>
      </c>
      <c r="B30" s="1">
        <v>7</v>
      </c>
      <c r="C30" s="1">
        <v>1.000000000000002</v>
      </c>
      <c r="D30" s="1">
        <v>0.50000000000000155</v>
      </c>
      <c r="E30" s="1">
        <v>-0.99999999999999967</v>
      </c>
      <c r="F30" s="1">
        <v>-1.5000000000000011</v>
      </c>
      <c r="G30" s="1">
        <v>-1.5000000000000011</v>
      </c>
      <c r="H30" s="1">
        <v>0.49999999999999928</v>
      </c>
      <c r="I30" s="1">
        <v>0.50000000000000022</v>
      </c>
      <c r="J30" s="1">
        <v>0.50000000000000033</v>
      </c>
      <c r="K30" s="1">
        <v>-1.000000000000002</v>
      </c>
      <c r="L30" s="1">
        <v>1</v>
      </c>
    </row>
    <row r="31" spans="1:12" x14ac:dyDescent="0.35">
      <c r="A31" s="67">
        <v>35</v>
      </c>
      <c r="B31" s="1">
        <v>5.0000000000000018</v>
      </c>
      <c r="C31" s="1">
        <v>1.9999999999999969</v>
      </c>
      <c r="D31" s="1">
        <v>1.9999999999999969</v>
      </c>
      <c r="E31" s="1">
        <v>2</v>
      </c>
      <c r="F31" s="1">
        <v>-1.4999999999999989</v>
      </c>
      <c r="G31" s="1">
        <v>-2.0000000000000009</v>
      </c>
      <c r="H31" s="1">
        <v>-3.5</v>
      </c>
      <c r="I31" s="1">
        <v>0.49999999999999728</v>
      </c>
      <c r="J31" s="1">
        <v>-2.4752492813097362E-15</v>
      </c>
      <c r="K31" s="1">
        <v>-0.49999999999999628</v>
      </c>
      <c r="L31" s="1">
        <v>1</v>
      </c>
    </row>
    <row r="32" spans="1:12" x14ac:dyDescent="0.35">
      <c r="A32" s="67">
        <v>36</v>
      </c>
      <c r="B32" s="1">
        <v>2.9999999999999991</v>
      </c>
      <c r="C32" s="1">
        <v>-1.0819871937078809E-15</v>
      </c>
      <c r="D32" s="1">
        <v>0.49999999999999922</v>
      </c>
      <c r="E32" s="1">
        <v>0.99999999999999933</v>
      </c>
      <c r="F32" s="1">
        <v>1.500000000000002</v>
      </c>
      <c r="G32" s="1">
        <v>0.5</v>
      </c>
      <c r="H32" s="1">
        <v>0.50000000000000067</v>
      </c>
      <c r="I32" s="1">
        <v>-0.50000000000000011</v>
      </c>
      <c r="J32" s="1">
        <v>0.50000000000000011</v>
      </c>
      <c r="K32" s="1">
        <v>1.055046113354799E-15</v>
      </c>
      <c r="L32" s="1">
        <v>1</v>
      </c>
    </row>
    <row r="33" spans="1:12" x14ac:dyDescent="0.35">
      <c r="A33" s="67">
        <v>37</v>
      </c>
      <c r="B33" s="1">
        <v>5.666666666666667</v>
      </c>
      <c r="C33" s="1">
        <v>-0.66666666666666408</v>
      </c>
      <c r="D33" s="1">
        <v>-0.16666666666666499</v>
      </c>
      <c r="E33" s="1">
        <v>-0.66666666666666519</v>
      </c>
      <c r="F33" s="1">
        <v>-0.50000000000000233</v>
      </c>
      <c r="G33" s="1">
        <v>0.83333333333333159</v>
      </c>
      <c r="H33" s="1">
        <v>-0.50000000000000089</v>
      </c>
      <c r="I33" s="1">
        <v>-0.1666666666666663</v>
      </c>
      <c r="J33" s="1">
        <v>-1.833333333333333</v>
      </c>
      <c r="K33" s="1">
        <v>-1.3333333333333359</v>
      </c>
      <c r="L33" s="1">
        <v>0.96811594202898554</v>
      </c>
    </row>
    <row r="34" spans="1:12" x14ac:dyDescent="0.35">
      <c r="A34" s="67">
        <v>39</v>
      </c>
      <c r="B34" s="1">
        <v>7.5</v>
      </c>
      <c r="C34" s="1">
        <v>-0.99999999999999689</v>
      </c>
      <c r="D34" s="1">
        <v>-0.99999999999999867</v>
      </c>
      <c r="E34" s="1">
        <v>-1.4999999999999989</v>
      </c>
      <c r="F34" s="1">
        <v>-1.0000000000000031</v>
      </c>
      <c r="G34" s="1">
        <v>-8.4929794575108866E-16</v>
      </c>
      <c r="H34" s="1">
        <v>6.6460410832833515E-17</v>
      </c>
      <c r="I34" s="1">
        <v>-1.5</v>
      </c>
      <c r="J34" s="1">
        <v>-0.99999999999999978</v>
      </c>
      <c r="K34" s="1">
        <v>-2.000000000000004</v>
      </c>
      <c r="L34" s="1">
        <v>0.95680628272251311</v>
      </c>
    </row>
    <row r="35" spans="1:12" x14ac:dyDescent="0.35">
      <c r="A35" s="67">
        <v>40</v>
      </c>
      <c r="B35" s="1">
        <v>4.0000000000000009</v>
      </c>
      <c r="C35" s="1">
        <v>5.0000000000000053</v>
      </c>
      <c r="D35" s="1">
        <v>2.442490654175344E-15</v>
      </c>
      <c r="E35" s="1">
        <v>-1.0000000000000011</v>
      </c>
      <c r="F35" s="1">
        <v>-3</v>
      </c>
      <c r="G35" s="1">
        <v>-2.298959682911805E-15</v>
      </c>
      <c r="H35" s="1">
        <v>0.99999999999999767</v>
      </c>
      <c r="I35" s="1">
        <v>1</v>
      </c>
      <c r="J35" s="1">
        <v>2.9999999999999991</v>
      </c>
      <c r="K35" s="1">
        <v>-2.000000000000004</v>
      </c>
      <c r="L35" s="1">
        <v>1</v>
      </c>
    </row>
    <row r="36" spans="1:12" x14ac:dyDescent="0.35">
      <c r="A36" s="67">
        <v>41</v>
      </c>
      <c r="B36" s="1">
        <v>2.9999999999999991</v>
      </c>
      <c r="C36" s="1">
        <v>1.0000000000000011</v>
      </c>
      <c r="D36" s="1">
        <v>0.50000000000000067</v>
      </c>
      <c r="E36" s="1">
        <v>-1.0000000000000031</v>
      </c>
      <c r="F36" s="1">
        <v>-0.49999999999999939</v>
      </c>
      <c r="G36" s="1">
        <v>0.50000000000000022</v>
      </c>
      <c r="H36" s="1">
        <v>-0.49999999999999972</v>
      </c>
      <c r="I36" s="1">
        <v>1.5000000000000031</v>
      </c>
      <c r="J36" s="1">
        <v>3.5000000000000009</v>
      </c>
      <c r="K36" s="1">
        <v>4.2723130981501429E-16</v>
      </c>
      <c r="L36" s="1">
        <v>1</v>
      </c>
    </row>
    <row r="37" spans="1:12" x14ac:dyDescent="0.35">
      <c r="A37" s="67">
        <v>42</v>
      </c>
      <c r="B37" s="1">
        <v>3.1666666666666661</v>
      </c>
      <c r="C37" s="1">
        <v>3.3333333333333388</v>
      </c>
      <c r="D37" s="1">
        <v>-0.16666666666666369</v>
      </c>
      <c r="E37" s="1">
        <v>-2.1666666666666692</v>
      </c>
      <c r="F37" s="1">
        <v>-2</v>
      </c>
      <c r="G37" s="1">
        <v>0.83333333333333248</v>
      </c>
      <c r="H37" s="1">
        <v>1.999999999999998</v>
      </c>
      <c r="I37" s="1">
        <v>0.83333333333333592</v>
      </c>
      <c r="J37" s="1">
        <v>3.1666666666666692</v>
      </c>
      <c r="K37" s="1">
        <v>-0.83333333333333603</v>
      </c>
      <c r="L37" s="1">
        <v>0.9950450450450451</v>
      </c>
    </row>
    <row r="38" spans="1:12" x14ac:dyDescent="0.35">
      <c r="A38" s="67">
        <v>43</v>
      </c>
      <c r="B38" s="1">
        <v>2.333333333333333</v>
      </c>
      <c r="C38" s="1">
        <v>1.666666666666665</v>
      </c>
      <c r="D38" s="1">
        <v>-0.83333333333333481</v>
      </c>
      <c r="E38" s="1">
        <v>-0.33333333333333531</v>
      </c>
      <c r="F38" s="1">
        <v>-1.9999999999999969</v>
      </c>
      <c r="G38" s="1">
        <v>-0.83333333333333137</v>
      </c>
      <c r="H38" s="1">
        <v>2.5730348119179792E-16</v>
      </c>
      <c r="I38" s="1">
        <v>2.6666666666666679</v>
      </c>
      <c r="J38" s="1">
        <v>4.833333333333333</v>
      </c>
      <c r="K38" s="1">
        <v>-0.16666666666666469</v>
      </c>
      <c r="L38" s="1">
        <v>0.98355754857997013</v>
      </c>
    </row>
    <row r="39" spans="1:12" x14ac:dyDescent="0.35">
      <c r="A39" s="67">
        <v>44</v>
      </c>
      <c r="B39" s="1">
        <v>4.0000000000000027</v>
      </c>
      <c r="C39" s="1">
        <v>3.0000000000000031</v>
      </c>
      <c r="D39" s="1">
        <v>0.99999999999999867</v>
      </c>
      <c r="E39" s="1">
        <v>-1.130271011935352E-15</v>
      </c>
      <c r="F39" s="1">
        <v>-3.5000000000000022</v>
      </c>
      <c r="G39" s="1">
        <v>0.99999999999999833</v>
      </c>
      <c r="H39" s="1">
        <v>-0.49999999999999911</v>
      </c>
      <c r="I39" s="1">
        <v>1.5000000000000011</v>
      </c>
      <c r="J39" s="1">
        <v>1.9999999999999989</v>
      </c>
      <c r="K39" s="1">
        <v>-3.500000000000004</v>
      </c>
      <c r="L39" s="1">
        <v>1</v>
      </c>
    </row>
    <row r="40" spans="1:12" x14ac:dyDescent="0.35">
      <c r="A40" s="67">
        <v>45</v>
      </c>
      <c r="B40" s="1">
        <v>4.8333333333333304</v>
      </c>
      <c r="C40" s="1">
        <v>-2.333333333333329</v>
      </c>
      <c r="D40" s="1">
        <v>-0.83333333333332726</v>
      </c>
      <c r="E40" s="1">
        <v>-3.8333333333333308</v>
      </c>
      <c r="F40" s="1">
        <v>-1.000000000000004</v>
      </c>
      <c r="G40" s="1">
        <v>2.1666666666666652</v>
      </c>
      <c r="H40" s="1">
        <v>1.999999999999998</v>
      </c>
      <c r="I40" s="1">
        <v>0.16666666666666999</v>
      </c>
      <c r="J40" s="1">
        <v>-1.1666666666666621</v>
      </c>
      <c r="K40" s="1">
        <v>2.8333333333333299</v>
      </c>
      <c r="L40" s="1">
        <v>0.99444444444444446</v>
      </c>
    </row>
    <row r="41" spans="1:12" x14ac:dyDescent="0.35">
      <c r="A41" s="67">
        <v>48</v>
      </c>
      <c r="B41" s="1">
        <v>4.3333333333333304</v>
      </c>
      <c r="C41" s="1">
        <v>-5.3333333333333339</v>
      </c>
      <c r="D41" s="1">
        <v>-2.8333333333333321</v>
      </c>
      <c r="E41" s="1">
        <v>-2.3333333333333321</v>
      </c>
      <c r="F41" s="1">
        <v>1.9999999999999969</v>
      </c>
      <c r="G41" s="1">
        <v>4.166666666666667</v>
      </c>
      <c r="H41" s="1">
        <v>0.99999999999999856</v>
      </c>
      <c r="I41" s="1">
        <v>-1.333333333333329</v>
      </c>
      <c r="J41" s="1">
        <v>-2.166666666666663</v>
      </c>
      <c r="K41" s="1">
        <v>4.8333333333333348</v>
      </c>
      <c r="L41" s="1">
        <v>0.96474358974358976</v>
      </c>
    </row>
    <row r="42" spans="1:12" x14ac:dyDescent="0.35">
      <c r="A42" s="67">
        <v>52</v>
      </c>
      <c r="B42" s="1">
        <v>2.6666666666666661</v>
      </c>
      <c r="C42" s="1">
        <v>-4.6666666666666776</v>
      </c>
      <c r="D42" s="1">
        <v>0.83333333333332726</v>
      </c>
      <c r="E42" s="1">
        <v>2.3333333333333308</v>
      </c>
      <c r="F42" s="1">
        <v>5.5000000000000018</v>
      </c>
      <c r="G42" s="1">
        <v>1.833333333333335</v>
      </c>
      <c r="H42" s="1">
        <v>-2.499999999999996</v>
      </c>
      <c r="I42" s="1">
        <v>-1.1666666666666661</v>
      </c>
      <c r="J42" s="1">
        <v>-1.833333333333333</v>
      </c>
      <c r="K42" s="1">
        <v>3.6666666666666758</v>
      </c>
      <c r="L42" s="1">
        <v>0.97693920335429763</v>
      </c>
    </row>
    <row r="43" spans="1:12" x14ac:dyDescent="0.35">
      <c r="A43" s="67">
        <v>61</v>
      </c>
      <c r="B43" s="1">
        <v>4.1666666666666661</v>
      </c>
      <c r="C43" s="1">
        <v>1.3333333333333379</v>
      </c>
      <c r="D43" s="1">
        <v>-0.16666666666666591</v>
      </c>
      <c r="E43" s="1">
        <v>-2.1666666666666679</v>
      </c>
      <c r="F43" s="1">
        <v>1.4999999999999989</v>
      </c>
      <c r="G43" s="1">
        <v>2.8333333333333321</v>
      </c>
      <c r="H43" s="1">
        <v>0.50000000000000044</v>
      </c>
      <c r="I43" s="1">
        <v>-1.6666666666666641</v>
      </c>
      <c r="J43" s="1">
        <v>0.16666666666666899</v>
      </c>
      <c r="K43" s="1">
        <v>-1.333333333333337</v>
      </c>
      <c r="L43" s="1">
        <v>0.99656679151061178</v>
      </c>
    </row>
    <row r="44" spans="1:12" x14ac:dyDescent="0.35">
      <c r="A44" s="67">
        <v>67</v>
      </c>
      <c r="B44" s="1">
        <v>4.833333333333333</v>
      </c>
      <c r="C44" s="1">
        <v>-0.33333333333332832</v>
      </c>
      <c r="D44" s="1">
        <v>-1.8333333333333299</v>
      </c>
      <c r="E44" s="1">
        <v>-2.8333333333333321</v>
      </c>
      <c r="F44" s="1">
        <v>-2.0000000000000031</v>
      </c>
      <c r="G44" s="1">
        <v>2.1666666666666652</v>
      </c>
      <c r="H44" s="1">
        <v>3.9999999999999969</v>
      </c>
      <c r="I44" s="1">
        <v>-0.83333333333332993</v>
      </c>
      <c r="J44" s="1">
        <v>-0.16666666666666591</v>
      </c>
      <c r="K44" s="1">
        <v>0.83333333333332904</v>
      </c>
      <c r="L44" s="1">
        <v>0.98882113821138218</v>
      </c>
    </row>
  </sheetData>
  <autoFilter ref="A1:M4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498A-DE13-41EE-90C7-E4D1EC6D4605}">
  <sheetPr>
    <tabColor theme="1"/>
  </sheetPr>
  <dimension ref="A1"/>
  <sheetViews>
    <sheetView view="pageBreakPreview" zoomScale="60" zoomScaleNormal="100" workbookViewId="0"/>
  </sheetViews>
  <sheetFormatPr defaultRowHeight="14.5" x14ac:dyDescent="0.3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7CBC1-CEDF-4BF3-B0F5-37B01CAEE937}">
  <sheetPr>
    <tabColor theme="8" tint="0.79998168889431442"/>
  </sheetPr>
  <dimension ref="A1:M57"/>
  <sheetViews>
    <sheetView topLeftCell="A19" zoomScale="40" zoomScaleNormal="40" workbookViewId="0">
      <selection activeCell="G55" sqref="G55"/>
    </sheetView>
  </sheetViews>
  <sheetFormatPr defaultColWidth="8.81640625" defaultRowHeight="14.5" outlineLevelRow="1" x14ac:dyDescent="0.35"/>
  <cols>
    <col min="1" max="1" width="17.6328125" style="2" bestFit="1" customWidth="1"/>
    <col min="2" max="2" width="23.08984375" style="1" customWidth="1"/>
    <col min="3" max="3" width="46.90625" style="1" customWidth="1"/>
    <col min="4" max="4" width="31" style="1" customWidth="1"/>
    <col min="5" max="5" width="29.54296875" style="1" bestFit="1" customWidth="1"/>
    <col min="6" max="6" width="26.6328125" style="1" bestFit="1" customWidth="1"/>
    <col min="7" max="7" width="37.08984375" style="1" bestFit="1" customWidth="1"/>
    <col min="8" max="8" width="51.6328125" style="1" bestFit="1" customWidth="1"/>
    <col min="9" max="9" width="46.36328125" style="1" bestFit="1" customWidth="1"/>
    <col min="10" max="10" width="43.54296875" style="1" bestFit="1" customWidth="1"/>
    <col min="11" max="11" width="36.1796875" style="1" bestFit="1" customWidth="1"/>
    <col min="12" max="12" width="41.1796875" style="1" bestFit="1" customWidth="1"/>
    <col min="13" max="13" width="16.1796875" style="1" customWidth="1"/>
    <col min="14" max="16384" width="8.81640625" style="1"/>
  </cols>
  <sheetData>
    <row r="1" spans="1:13" x14ac:dyDescent="0.35">
      <c r="A1" s="67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10</v>
      </c>
      <c r="L1" s="68" t="s">
        <v>12</v>
      </c>
      <c r="M1" s="68"/>
    </row>
    <row r="2" spans="1:13" outlineLevel="1" x14ac:dyDescent="0.35">
      <c r="A2" s="67">
        <v>1</v>
      </c>
      <c r="B2" s="1">
        <v>7.1666666666666679</v>
      </c>
      <c r="C2" s="1">
        <v>2.333333333333337</v>
      </c>
      <c r="D2" s="1">
        <v>0.33333333333333348</v>
      </c>
      <c r="E2" s="1">
        <v>-0.16666666666666621</v>
      </c>
      <c r="F2" s="1">
        <v>-1.0000000000000011</v>
      </c>
      <c r="G2" s="1">
        <v>-0.66666666666666796</v>
      </c>
      <c r="H2" s="1">
        <v>-9.7414326862439766E-16</v>
      </c>
      <c r="I2" s="1">
        <v>-1.1666666666666681</v>
      </c>
      <c r="J2" s="1">
        <v>-1.3333333333333339</v>
      </c>
      <c r="K2" s="1">
        <v>-1.3333333333333359</v>
      </c>
      <c r="L2" s="1">
        <v>0.97587719298245612</v>
      </c>
    </row>
    <row r="3" spans="1:13" outlineLevel="1" x14ac:dyDescent="0.35">
      <c r="A3" s="67">
        <v>2</v>
      </c>
      <c r="B3" s="1">
        <v>5.6666666666666679</v>
      </c>
      <c r="C3" s="1">
        <v>3.333333333333333</v>
      </c>
      <c r="D3" s="1">
        <v>2.3333333333333299</v>
      </c>
      <c r="E3" s="1">
        <v>1.3333333333333319</v>
      </c>
      <c r="F3" s="1">
        <v>-1.4999999999999969</v>
      </c>
      <c r="G3" s="1">
        <v>-2.666666666666667</v>
      </c>
      <c r="H3" s="1">
        <v>-4.4999999999999973</v>
      </c>
      <c r="I3" s="1">
        <v>0.83333333333332915</v>
      </c>
      <c r="J3" s="1">
        <v>0.6666666666666653</v>
      </c>
      <c r="K3" s="1">
        <v>-3.8333333333333308</v>
      </c>
      <c r="L3" s="1">
        <v>0.97505668934240364</v>
      </c>
    </row>
    <row r="4" spans="1:13" outlineLevel="1" x14ac:dyDescent="0.35">
      <c r="A4" s="67">
        <v>3</v>
      </c>
      <c r="B4" s="1">
        <v>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</row>
    <row r="5" spans="1:13" outlineLevel="1" x14ac:dyDescent="0.35">
      <c r="A5" s="67">
        <v>5</v>
      </c>
      <c r="B5" s="1">
        <v>5.8333333333333357</v>
      </c>
      <c r="C5" s="1">
        <v>3.6666666666666661</v>
      </c>
      <c r="D5" s="1">
        <v>3.6666666666666652</v>
      </c>
      <c r="E5" s="1">
        <v>1.1666666666666661</v>
      </c>
      <c r="F5" s="1">
        <v>-2.4999999999999978</v>
      </c>
      <c r="G5" s="1">
        <v>-2.3333333333333339</v>
      </c>
      <c r="H5" s="1">
        <v>-2.5</v>
      </c>
      <c r="I5" s="1">
        <v>-0.33333333333333498</v>
      </c>
      <c r="J5" s="1">
        <v>0.33333333333333148</v>
      </c>
      <c r="K5" s="1">
        <v>-2.1666666666666652</v>
      </c>
      <c r="L5" s="1">
        <v>0.99003623188405798</v>
      </c>
    </row>
    <row r="6" spans="1:13" outlineLevel="1" x14ac:dyDescent="0.35">
      <c r="A6" s="67">
        <v>6</v>
      </c>
      <c r="B6" s="1">
        <v>1.166666666666665</v>
      </c>
      <c r="C6" s="1">
        <v>-1.6666666666666661</v>
      </c>
      <c r="D6" s="1">
        <v>-0.66666666666666363</v>
      </c>
      <c r="E6" s="1">
        <v>-0.16666666666666599</v>
      </c>
      <c r="F6" s="1">
        <v>0.99999999999999933</v>
      </c>
      <c r="G6" s="1">
        <v>2.333333333333333</v>
      </c>
      <c r="H6" s="1">
        <v>1.999999999999998</v>
      </c>
      <c r="I6" s="1">
        <v>0.83333333333333548</v>
      </c>
      <c r="J6" s="1">
        <v>0.66666666666666763</v>
      </c>
      <c r="K6" s="1">
        <v>0.6666666666666663</v>
      </c>
      <c r="L6" s="1">
        <v>0.74250936329588013</v>
      </c>
    </row>
    <row r="7" spans="1:13" outlineLevel="1" x14ac:dyDescent="0.35">
      <c r="A7" s="67">
        <v>7</v>
      </c>
      <c r="B7" s="1">
        <v>4.1666666666666679</v>
      </c>
      <c r="C7" s="1">
        <v>-0.66666666666666996</v>
      </c>
      <c r="D7" s="1">
        <v>-1.666666666666669</v>
      </c>
      <c r="E7" s="1">
        <v>0.83333333333333071</v>
      </c>
      <c r="F7" s="1">
        <v>4.0000000000000009</v>
      </c>
      <c r="G7" s="1">
        <v>-0.66666666666666374</v>
      </c>
      <c r="H7" s="1">
        <v>1.000000000000002</v>
      </c>
      <c r="I7" s="1">
        <v>-1.166666666666669</v>
      </c>
      <c r="J7" s="1">
        <v>-0.33333333333333309</v>
      </c>
      <c r="K7" s="1">
        <v>-0.33333333333333132</v>
      </c>
      <c r="L7" s="1">
        <v>0.99625850340136057</v>
      </c>
    </row>
    <row r="8" spans="1:13" outlineLevel="1" x14ac:dyDescent="0.35">
      <c r="A8" s="67">
        <v>8</v>
      </c>
      <c r="B8" s="1">
        <v>5.5</v>
      </c>
      <c r="C8" s="1">
        <v>2.0000000000000031</v>
      </c>
      <c r="D8" s="1">
        <v>2.0000000000000031</v>
      </c>
      <c r="E8" s="1">
        <v>-0.49999999999999928</v>
      </c>
      <c r="F8" s="1">
        <v>-2.5000000000000009</v>
      </c>
      <c r="G8" s="1">
        <v>-1.0000000000000031</v>
      </c>
      <c r="H8" s="1">
        <v>-0.50000000000000155</v>
      </c>
      <c r="I8" s="1">
        <v>2.5330249156352442E-16</v>
      </c>
      <c r="J8" s="1">
        <v>1</v>
      </c>
      <c r="K8" s="1">
        <v>-1.5000000000000031</v>
      </c>
      <c r="L8" s="1">
        <v>0.84999999999999987</v>
      </c>
    </row>
    <row r="9" spans="1:13" outlineLevel="1" x14ac:dyDescent="0.35">
      <c r="A9" s="67">
        <v>9</v>
      </c>
      <c r="B9" s="1">
        <v>4.6666666666666679</v>
      </c>
      <c r="C9" s="1">
        <v>0.33333333333333182</v>
      </c>
      <c r="D9" s="1">
        <v>2.333333333333329</v>
      </c>
      <c r="E9" s="1">
        <v>2.3333333333333339</v>
      </c>
      <c r="F9" s="1">
        <v>1.5000000000000011</v>
      </c>
      <c r="G9" s="1">
        <v>-0.66666666666666796</v>
      </c>
      <c r="H9" s="1">
        <v>-3.4999999999999991</v>
      </c>
      <c r="I9" s="1">
        <v>0.83333333333333226</v>
      </c>
      <c r="J9" s="1">
        <v>-0.33333333333333359</v>
      </c>
      <c r="K9" s="1">
        <v>-2.8333333333333321</v>
      </c>
      <c r="L9" s="1">
        <v>0.96474358974358976</v>
      </c>
    </row>
    <row r="10" spans="1:13" outlineLevel="1" x14ac:dyDescent="0.35">
      <c r="A10" s="67">
        <v>10</v>
      </c>
      <c r="B10" s="1">
        <v>2.3333333333333348</v>
      </c>
      <c r="C10" s="1">
        <v>-1.333333333333343</v>
      </c>
      <c r="D10" s="1">
        <v>1.166666666666661</v>
      </c>
      <c r="E10" s="1">
        <v>3.6666666666666652</v>
      </c>
      <c r="F10" s="1">
        <v>2.0000000000000062</v>
      </c>
      <c r="G10" s="1">
        <v>-2.8333333333333321</v>
      </c>
      <c r="H10" s="1">
        <v>-3.9999999999999991</v>
      </c>
      <c r="I10" s="1">
        <v>1.6666666666666621</v>
      </c>
      <c r="J10" s="1">
        <v>2.8333333333333299</v>
      </c>
      <c r="K10" s="1">
        <v>0.83333333333334181</v>
      </c>
      <c r="L10" s="1">
        <v>0.9273927392739274</v>
      </c>
    </row>
    <row r="11" spans="1:13" outlineLevel="1" x14ac:dyDescent="0.35">
      <c r="A11" s="67">
        <v>11</v>
      </c>
      <c r="B11" s="1">
        <v>5.8333333333333321</v>
      </c>
      <c r="C11" s="1">
        <v>-0.33333333333333071</v>
      </c>
      <c r="D11" s="1">
        <v>-0.83333333333333104</v>
      </c>
      <c r="E11" s="1">
        <v>-0.83333333333333248</v>
      </c>
      <c r="F11" s="1">
        <v>0.49999999999999861</v>
      </c>
      <c r="G11" s="1">
        <v>1.1666666666666661</v>
      </c>
      <c r="H11" s="1">
        <v>1.4999999999999989</v>
      </c>
      <c r="I11" s="1">
        <v>0.66666666666666841</v>
      </c>
      <c r="J11" s="1">
        <v>-0.16666666666666591</v>
      </c>
      <c r="K11" s="1">
        <v>0.33333333333333143</v>
      </c>
      <c r="L11" s="1">
        <v>0.96014492753623193</v>
      </c>
    </row>
    <row r="12" spans="1:13" outlineLevel="1" x14ac:dyDescent="0.35">
      <c r="A12" s="67">
        <v>13</v>
      </c>
      <c r="B12" s="1">
        <v>1.166666666666667</v>
      </c>
      <c r="C12" s="1">
        <v>3.3333333333333282</v>
      </c>
      <c r="D12" s="1">
        <v>5.333333333333325</v>
      </c>
      <c r="E12" s="1">
        <v>4.8333333333333286</v>
      </c>
      <c r="F12" s="1">
        <v>2.5000000000000062</v>
      </c>
      <c r="G12" s="1">
        <v>-2.6666666666666639</v>
      </c>
      <c r="H12" s="1">
        <v>-4.4999999999999938</v>
      </c>
      <c r="I12" s="1">
        <v>2.3333333333333299</v>
      </c>
      <c r="J12" s="1">
        <v>0.66666666666666208</v>
      </c>
      <c r="K12" s="1">
        <v>-1.833333333333325</v>
      </c>
      <c r="L12" s="1">
        <v>0.99444444444444446</v>
      </c>
    </row>
    <row r="13" spans="1:13" outlineLevel="1" x14ac:dyDescent="0.35">
      <c r="A13" s="67">
        <v>14</v>
      </c>
      <c r="B13" s="1">
        <v>6.6666666666666679</v>
      </c>
      <c r="C13" s="1">
        <v>-0.66666666666665975</v>
      </c>
      <c r="D13" s="1">
        <v>-3.1666666666666639</v>
      </c>
      <c r="E13" s="1">
        <v>-1.666666666666665</v>
      </c>
      <c r="F13" s="1">
        <v>1.499999999999996</v>
      </c>
      <c r="G13" s="1">
        <v>-0.1666666666666671</v>
      </c>
      <c r="H13" s="1">
        <v>3.4999999999999969</v>
      </c>
      <c r="I13" s="1">
        <v>-1.1666666666666681</v>
      </c>
      <c r="J13" s="1">
        <v>-2.8333333333333308</v>
      </c>
      <c r="K13" s="1">
        <v>-1.3333333333333399</v>
      </c>
      <c r="L13" s="1">
        <v>0.98671497584541068</v>
      </c>
    </row>
    <row r="14" spans="1:13" outlineLevel="1" x14ac:dyDescent="0.35">
      <c r="A14" s="67">
        <v>16</v>
      </c>
      <c r="B14" s="1">
        <v>5.333333333333333</v>
      </c>
      <c r="C14" s="1">
        <v>-0.33333333333333598</v>
      </c>
      <c r="D14" s="1">
        <v>-0.33333333333333459</v>
      </c>
      <c r="E14" s="1">
        <v>-0.33333333333333443</v>
      </c>
      <c r="F14" s="1">
        <v>-2.9999999999999991</v>
      </c>
      <c r="G14" s="1">
        <v>-0.33333333333333132</v>
      </c>
      <c r="H14" s="1">
        <v>1.2513300761420999E-15</v>
      </c>
      <c r="I14" s="1">
        <v>0.6666666666666663</v>
      </c>
      <c r="J14" s="1">
        <v>1.333333333333333</v>
      </c>
      <c r="K14" s="1">
        <v>0.33333333333333459</v>
      </c>
      <c r="L14" s="1">
        <v>0.94270833333333326</v>
      </c>
    </row>
    <row r="15" spans="1:13" outlineLevel="1" x14ac:dyDescent="0.35">
      <c r="A15" s="67">
        <v>17</v>
      </c>
      <c r="B15" s="1">
        <v>5.3333333333333321</v>
      </c>
      <c r="C15" s="1">
        <v>-2.3333333333333361</v>
      </c>
      <c r="D15" s="1">
        <v>-0.33333333333333282</v>
      </c>
      <c r="E15" s="1">
        <v>-0.33333333333333331</v>
      </c>
      <c r="F15" s="1">
        <v>0.50000000000000033</v>
      </c>
      <c r="G15" s="1">
        <v>-0.3333333333333327</v>
      </c>
      <c r="H15" s="1">
        <v>0.49999999999999978</v>
      </c>
      <c r="I15" s="1">
        <v>0.16666666666666741</v>
      </c>
      <c r="J15" s="1">
        <v>0.33333333333333443</v>
      </c>
      <c r="K15" s="1">
        <v>1.833333333333335</v>
      </c>
      <c r="L15" s="1">
        <v>0.92198581560283688</v>
      </c>
    </row>
    <row r="16" spans="1:13" outlineLevel="1" x14ac:dyDescent="0.35">
      <c r="A16" s="67">
        <v>18</v>
      </c>
      <c r="B16" s="1">
        <v>4.1666666666666661</v>
      </c>
      <c r="C16" s="1">
        <v>-4.666666666666667</v>
      </c>
      <c r="D16" s="1">
        <v>-4.1666666666666643</v>
      </c>
      <c r="E16" s="1">
        <v>-1.166666666666667</v>
      </c>
      <c r="F16" s="1">
        <v>2.4999999999999978</v>
      </c>
      <c r="G16" s="1">
        <v>2.8333333333333339</v>
      </c>
      <c r="H16" s="1">
        <v>2.5</v>
      </c>
      <c r="I16" s="1">
        <v>-1.666666666666665</v>
      </c>
      <c r="J16" s="1">
        <v>-0.83333333333333171</v>
      </c>
      <c r="K16" s="1">
        <v>3.6666666666666661</v>
      </c>
      <c r="L16" s="1">
        <v>0.98472222222222228</v>
      </c>
    </row>
    <row r="17" spans="1:12" outlineLevel="1" x14ac:dyDescent="0.35">
      <c r="A17" s="67">
        <v>20</v>
      </c>
      <c r="B17" s="1">
        <v>5.3333333333333339</v>
      </c>
      <c r="C17" s="1">
        <v>-0.33333333333333193</v>
      </c>
      <c r="D17" s="1">
        <v>0.16666666666666741</v>
      </c>
      <c r="E17" s="1">
        <v>-0.33333333333333259</v>
      </c>
      <c r="F17" s="1">
        <v>-0.50000000000000033</v>
      </c>
      <c r="G17" s="1">
        <v>1.166666666666665</v>
      </c>
      <c r="H17" s="1">
        <v>0.499999999999999</v>
      </c>
      <c r="I17" s="1">
        <v>-0.83333333333333326</v>
      </c>
      <c r="J17" s="1">
        <v>-0.16666666666666741</v>
      </c>
      <c r="K17" s="1">
        <v>-0.66666666666666829</v>
      </c>
      <c r="L17" s="1">
        <v>0.75555555555555554</v>
      </c>
    </row>
    <row r="18" spans="1:12" outlineLevel="1" x14ac:dyDescent="0.35">
      <c r="A18" s="67">
        <v>21</v>
      </c>
      <c r="B18" s="1">
        <v>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</row>
    <row r="19" spans="1:12" outlineLevel="1" x14ac:dyDescent="0.35">
      <c r="A19" s="67">
        <v>22</v>
      </c>
      <c r="B19" s="1">
        <v>3.6666666666666692</v>
      </c>
      <c r="C19" s="1">
        <v>2.3333333333333348</v>
      </c>
      <c r="D19" s="1">
        <v>1.833333333333331</v>
      </c>
      <c r="E19" s="1">
        <v>1.3333333333333319</v>
      </c>
      <c r="F19" s="1">
        <v>-0.49999999999999922</v>
      </c>
      <c r="G19" s="1">
        <v>-0.16666666666666771</v>
      </c>
      <c r="H19" s="1">
        <v>-1.4999999999999989</v>
      </c>
      <c r="I19" s="1">
        <v>-0.16666666666666791</v>
      </c>
      <c r="J19" s="1">
        <v>-0.83333333333333515</v>
      </c>
      <c r="K19" s="1">
        <v>-2.3333333333333339</v>
      </c>
      <c r="L19" s="1">
        <v>0.93678160919540232</v>
      </c>
    </row>
    <row r="20" spans="1:12" outlineLevel="1" x14ac:dyDescent="0.35">
      <c r="A20" s="67">
        <v>23</v>
      </c>
      <c r="B20" s="1">
        <v>6.1666666666666661</v>
      </c>
      <c r="C20" s="1">
        <v>1.333333333333337</v>
      </c>
      <c r="D20" s="1">
        <v>-0.16666666666666441</v>
      </c>
      <c r="E20" s="1">
        <v>-1.1666666666666661</v>
      </c>
      <c r="F20" s="1">
        <v>-0.50000000000000333</v>
      </c>
      <c r="G20" s="1">
        <v>0.83333333333333182</v>
      </c>
      <c r="H20" s="1">
        <v>0.49999999999999911</v>
      </c>
      <c r="I20" s="1">
        <v>-0.66666666666666474</v>
      </c>
      <c r="J20" s="1">
        <v>-1.833333333333331</v>
      </c>
      <c r="K20" s="1">
        <v>0.66666666666666474</v>
      </c>
      <c r="L20" s="1">
        <v>0.9844632768361582</v>
      </c>
    </row>
    <row r="21" spans="1:12" outlineLevel="1" x14ac:dyDescent="0.35">
      <c r="A21" s="67">
        <v>24</v>
      </c>
      <c r="B21" s="1">
        <v>2.3333333333333308</v>
      </c>
      <c r="C21" s="1">
        <v>-0.33333333333333642</v>
      </c>
      <c r="D21" s="1">
        <v>-0.83333333333333304</v>
      </c>
      <c r="E21" s="1">
        <v>-1.3333333333333339</v>
      </c>
      <c r="F21" s="1">
        <v>-1.499999999999998</v>
      </c>
      <c r="G21" s="1">
        <v>2.1666666666666692</v>
      </c>
      <c r="H21" s="1">
        <v>1.5</v>
      </c>
      <c r="I21" s="1">
        <v>1.166666666666671</v>
      </c>
      <c r="J21" s="1">
        <v>1.833333333333333</v>
      </c>
      <c r="K21" s="1">
        <v>3.3333333333333361</v>
      </c>
      <c r="L21" s="1">
        <v>0.98193760262725782</v>
      </c>
    </row>
    <row r="22" spans="1:12" outlineLevel="1" x14ac:dyDescent="0.35">
      <c r="A22" s="67">
        <v>25</v>
      </c>
      <c r="B22" s="1">
        <v>3.3333333333333299</v>
      </c>
      <c r="C22" s="1">
        <v>-0.33333333333333298</v>
      </c>
      <c r="D22" s="1">
        <v>-0.33333333333332948</v>
      </c>
      <c r="E22" s="1">
        <v>-1.333333333333333</v>
      </c>
      <c r="F22" s="1">
        <v>-1.5</v>
      </c>
      <c r="G22" s="1">
        <v>1.666666666666667</v>
      </c>
      <c r="H22" s="1">
        <v>1.5</v>
      </c>
      <c r="I22" s="1">
        <v>1.1666666666666701</v>
      </c>
      <c r="J22" s="1">
        <v>1.3333333333333339</v>
      </c>
      <c r="K22" s="1">
        <v>2.8333333333333339</v>
      </c>
      <c r="L22" s="1">
        <v>0.97587719298245612</v>
      </c>
    </row>
    <row r="23" spans="1:12" outlineLevel="1" x14ac:dyDescent="0.35">
      <c r="A23" s="67">
        <v>26</v>
      </c>
      <c r="B23" s="1">
        <v>1.8333333333333319</v>
      </c>
      <c r="C23" s="1">
        <v>2.6666666666666679</v>
      </c>
      <c r="D23" s="1">
        <v>3.6666666666666679</v>
      </c>
      <c r="E23" s="1">
        <v>0.1666666666666658</v>
      </c>
      <c r="F23" s="1">
        <v>-0.499999999999998</v>
      </c>
      <c r="G23" s="1">
        <v>-0.33333333333333592</v>
      </c>
      <c r="H23" s="1">
        <v>-1.499999999999998</v>
      </c>
      <c r="I23" s="1">
        <v>2.6666666666666692</v>
      </c>
      <c r="J23" s="1">
        <v>3.3333333333333348</v>
      </c>
      <c r="K23" s="1">
        <v>-1.1666666666666681</v>
      </c>
      <c r="L23" s="1">
        <v>0.89241001564945233</v>
      </c>
    </row>
    <row r="24" spans="1:12" outlineLevel="1" x14ac:dyDescent="0.35">
      <c r="A24" s="67">
        <v>27</v>
      </c>
      <c r="B24" s="1">
        <v>2.666666666666667</v>
      </c>
      <c r="C24" s="1">
        <v>3.333333333333333</v>
      </c>
      <c r="D24" s="1">
        <v>0.33333333333333132</v>
      </c>
      <c r="E24" s="1">
        <v>0.33333333333333098</v>
      </c>
      <c r="F24" s="1">
        <v>1.6593288232317709E-15</v>
      </c>
      <c r="G24" s="1">
        <v>0.33333333333333459</v>
      </c>
      <c r="H24" s="1">
        <v>1.7916925624477692E-15</v>
      </c>
      <c r="I24" s="1">
        <v>1.3333333333333339</v>
      </c>
      <c r="J24" s="1">
        <v>1.666666666666667</v>
      </c>
      <c r="K24" s="1">
        <v>-1.333333333333333</v>
      </c>
      <c r="L24" s="1">
        <v>0.89294403892944041</v>
      </c>
    </row>
    <row r="25" spans="1:12" outlineLevel="1" x14ac:dyDescent="0.35">
      <c r="A25" s="67">
        <v>28</v>
      </c>
      <c r="B25" s="1">
        <v>3.3333333333333339</v>
      </c>
      <c r="C25" s="1">
        <v>1.666666666666665</v>
      </c>
      <c r="D25" s="1">
        <v>2.1666666666666652</v>
      </c>
      <c r="E25" s="1">
        <v>0.66666666666666563</v>
      </c>
      <c r="F25" s="1">
        <v>-1.999999999999996</v>
      </c>
      <c r="G25" s="1">
        <v>-1.8333333333333339</v>
      </c>
      <c r="H25" s="1">
        <v>1.0252062925827529E-16</v>
      </c>
      <c r="I25" s="1">
        <v>1.666666666666665</v>
      </c>
      <c r="J25" s="1">
        <v>1.8333333333333319</v>
      </c>
      <c r="K25" s="1">
        <v>-1.166666666666665</v>
      </c>
      <c r="L25" s="1">
        <v>0.7874396135265701</v>
      </c>
    </row>
    <row r="26" spans="1:12" outlineLevel="1" x14ac:dyDescent="0.35">
      <c r="A26" s="67">
        <v>29</v>
      </c>
      <c r="B26" s="1">
        <v>4.166666666666667</v>
      </c>
      <c r="C26" s="1">
        <v>4.3333333333333357</v>
      </c>
      <c r="D26" s="1">
        <v>-0.16666666666666671</v>
      </c>
      <c r="E26" s="1">
        <v>-1.1666666666666681</v>
      </c>
      <c r="F26" s="1">
        <v>-2.9999999999999991</v>
      </c>
      <c r="G26" s="1">
        <v>-0.16666666666666671</v>
      </c>
      <c r="H26" s="1">
        <v>0.99999999999999978</v>
      </c>
      <c r="I26" s="1">
        <v>0.83333333333333515</v>
      </c>
      <c r="J26" s="1">
        <v>3.1666666666666661</v>
      </c>
      <c r="K26" s="1">
        <v>-1.833333333333337</v>
      </c>
      <c r="L26" s="1">
        <v>0.99408602150537628</v>
      </c>
    </row>
    <row r="27" spans="1:12" outlineLevel="1" x14ac:dyDescent="0.35">
      <c r="A27" s="67">
        <v>30</v>
      </c>
      <c r="B27" s="1">
        <v>5</v>
      </c>
      <c r="C27" s="1">
        <v>1.000000000000002</v>
      </c>
      <c r="D27" s="1">
        <v>5.5511151231257827E-16</v>
      </c>
      <c r="E27" s="1">
        <v>2.9564872923028831E-16</v>
      </c>
      <c r="F27" s="1">
        <v>0.49999999999999911</v>
      </c>
      <c r="G27" s="1">
        <v>-5.6494957642341777E-16</v>
      </c>
      <c r="H27" s="1">
        <v>0.5</v>
      </c>
      <c r="I27" s="1">
        <v>-0.50000000000000011</v>
      </c>
      <c r="J27" s="1">
        <v>-0.99999999999999956</v>
      </c>
      <c r="K27" s="1">
        <v>-0.50000000000000155</v>
      </c>
      <c r="L27" s="1">
        <v>1</v>
      </c>
    </row>
    <row r="28" spans="1:12" outlineLevel="1" x14ac:dyDescent="0.35">
      <c r="A28" s="67">
        <v>31</v>
      </c>
      <c r="B28" s="1">
        <v>4.9999999999999991</v>
      </c>
      <c r="C28" s="1">
        <v>-4</v>
      </c>
      <c r="D28" s="1">
        <v>-4.9999999999999973</v>
      </c>
      <c r="E28" s="1">
        <v>-1.999999999999998</v>
      </c>
      <c r="F28" s="1">
        <v>0.99999999999999645</v>
      </c>
      <c r="G28" s="1">
        <v>4.0000000000000018</v>
      </c>
      <c r="H28" s="1">
        <v>3.9999999999999969</v>
      </c>
      <c r="I28" s="1">
        <v>-0.99999999999999645</v>
      </c>
      <c r="J28" s="1">
        <v>-1.9999999999999989</v>
      </c>
      <c r="K28" s="1">
        <v>4.9999999999999982</v>
      </c>
      <c r="L28" s="1">
        <v>1</v>
      </c>
    </row>
    <row r="29" spans="1:12" outlineLevel="1" x14ac:dyDescent="0.35">
      <c r="A29" s="67">
        <v>33</v>
      </c>
      <c r="B29" s="1">
        <v>5.3333333333333339</v>
      </c>
      <c r="C29" s="1">
        <v>1.6666666666666681</v>
      </c>
      <c r="D29" s="1">
        <v>0.66666666666666607</v>
      </c>
      <c r="E29" s="1">
        <v>0.66666666666666652</v>
      </c>
      <c r="F29" s="1">
        <v>-0.49999999999999972</v>
      </c>
      <c r="G29" s="1">
        <v>-1.333333333333333</v>
      </c>
      <c r="H29" s="1">
        <v>-0.49999999999999928</v>
      </c>
      <c r="I29" s="1">
        <v>0.16666666666666541</v>
      </c>
      <c r="J29" s="1">
        <v>0.33333333333333259</v>
      </c>
      <c r="K29" s="1">
        <v>-2.166666666666667</v>
      </c>
      <c r="L29" s="1">
        <v>0.86419753086419737</v>
      </c>
    </row>
    <row r="30" spans="1:12" outlineLevel="1" x14ac:dyDescent="0.35">
      <c r="A30" s="67">
        <v>34</v>
      </c>
      <c r="B30" s="1">
        <v>7</v>
      </c>
      <c r="C30" s="1">
        <v>1.000000000000002</v>
      </c>
      <c r="D30" s="1">
        <v>0.50000000000000155</v>
      </c>
      <c r="E30" s="1">
        <v>-0.99999999999999967</v>
      </c>
      <c r="F30" s="1">
        <v>-1.5000000000000011</v>
      </c>
      <c r="G30" s="1">
        <v>-1.5000000000000011</v>
      </c>
      <c r="H30" s="1">
        <v>0.49999999999999928</v>
      </c>
      <c r="I30" s="1">
        <v>0.50000000000000022</v>
      </c>
      <c r="J30" s="1">
        <v>0.50000000000000033</v>
      </c>
      <c r="K30" s="1">
        <v>-1.000000000000002</v>
      </c>
      <c r="L30" s="1">
        <v>1</v>
      </c>
    </row>
    <row r="31" spans="1:12" outlineLevel="1" x14ac:dyDescent="0.35">
      <c r="A31" s="67">
        <v>35</v>
      </c>
      <c r="B31" s="1">
        <v>5.0000000000000018</v>
      </c>
      <c r="C31" s="1">
        <v>1.9999999999999969</v>
      </c>
      <c r="D31" s="1">
        <v>1.9999999999999969</v>
      </c>
      <c r="E31" s="1">
        <v>2</v>
      </c>
      <c r="F31" s="1">
        <v>-1.4999999999999989</v>
      </c>
      <c r="G31" s="1">
        <v>-2.0000000000000009</v>
      </c>
      <c r="H31" s="1">
        <v>-3.5</v>
      </c>
      <c r="I31" s="1">
        <v>0.49999999999999728</v>
      </c>
      <c r="J31" s="1">
        <v>-2.4752492813097362E-15</v>
      </c>
      <c r="K31" s="1">
        <v>-0.49999999999999628</v>
      </c>
      <c r="L31" s="1">
        <v>1</v>
      </c>
    </row>
    <row r="32" spans="1:12" outlineLevel="1" x14ac:dyDescent="0.35">
      <c r="A32" s="67">
        <v>36</v>
      </c>
      <c r="B32" s="1">
        <v>2.9999999999999991</v>
      </c>
      <c r="C32" s="1">
        <v>-1.0819871937078809E-15</v>
      </c>
      <c r="D32" s="1">
        <v>0.49999999999999922</v>
      </c>
      <c r="E32" s="1">
        <v>0.99999999999999933</v>
      </c>
      <c r="F32" s="1">
        <v>1.500000000000002</v>
      </c>
      <c r="G32" s="1">
        <v>0.5</v>
      </c>
      <c r="H32" s="1">
        <v>0.50000000000000067</v>
      </c>
      <c r="I32" s="1">
        <v>-0.50000000000000011</v>
      </c>
      <c r="J32" s="1">
        <v>0.50000000000000011</v>
      </c>
      <c r="K32" s="1">
        <v>1.055046113354799E-15</v>
      </c>
      <c r="L32" s="1">
        <v>1</v>
      </c>
    </row>
    <row r="33" spans="1:13" outlineLevel="1" x14ac:dyDescent="0.35">
      <c r="A33" s="67">
        <v>37</v>
      </c>
      <c r="B33" s="1">
        <v>5.666666666666667</v>
      </c>
      <c r="C33" s="1">
        <v>-0.66666666666666408</v>
      </c>
      <c r="D33" s="1">
        <v>-0.16666666666666499</v>
      </c>
      <c r="E33" s="1">
        <v>-0.66666666666666519</v>
      </c>
      <c r="F33" s="1">
        <v>-0.50000000000000233</v>
      </c>
      <c r="G33" s="1">
        <v>0.83333333333333159</v>
      </c>
      <c r="H33" s="1">
        <v>-0.50000000000000089</v>
      </c>
      <c r="I33" s="1">
        <v>-0.1666666666666663</v>
      </c>
      <c r="J33" s="1">
        <v>-1.833333333333333</v>
      </c>
      <c r="K33" s="1">
        <v>-1.3333333333333359</v>
      </c>
      <c r="L33" s="1">
        <v>0.96811594202898554</v>
      </c>
    </row>
    <row r="34" spans="1:13" outlineLevel="1" x14ac:dyDescent="0.35">
      <c r="A34" s="67">
        <v>39</v>
      </c>
      <c r="B34" s="1">
        <v>7.5</v>
      </c>
      <c r="C34" s="1">
        <v>-0.99999999999999689</v>
      </c>
      <c r="D34" s="1">
        <v>-0.99999999999999867</v>
      </c>
      <c r="E34" s="1">
        <v>-1.4999999999999989</v>
      </c>
      <c r="F34" s="1">
        <v>-1.0000000000000031</v>
      </c>
      <c r="G34" s="1">
        <v>-8.4929794575108866E-16</v>
      </c>
      <c r="H34" s="1">
        <v>6.6460410832833515E-17</v>
      </c>
      <c r="I34" s="1">
        <v>-1.5</v>
      </c>
      <c r="J34" s="1">
        <v>-0.99999999999999978</v>
      </c>
      <c r="K34" s="1">
        <v>-2.000000000000004</v>
      </c>
      <c r="L34" s="1">
        <v>0.95680628272251311</v>
      </c>
    </row>
    <row r="35" spans="1:13" outlineLevel="1" x14ac:dyDescent="0.35">
      <c r="A35" s="67">
        <v>40</v>
      </c>
      <c r="B35" s="1">
        <v>4.0000000000000009</v>
      </c>
      <c r="C35" s="1">
        <v>5.0000000000000053</v>
      </c>
      <c r="D35" s="1">
        <v>2.442490654175344E-15</v>
      </c>
      <c r="E35" s="1">
        <v>-1.0000000000000011</v>
      </c>
      <c r="F35" s="1">
        <v>-3</v>
      </c>
      <c r="G35" s="1">
        <v>-2.298959682911805E-15</v>
      </c>
      <c r="H35" s="1">
        <v>0.99999999999999767</v>
      </c>
      <c r="I35" s="1">
        <v>1</v>
      </c>
      <c r="J35" s="1">
        <v>2.9999999999999991</v>
      </c>
      <c r="K35" s="1">
        <v>-2.000000000000004</v>
      </c>
      <c r="L35" s="1">
        <v>1</v>
      </c>
    </row>
    <row r="36" spans="1:13" outlineLevel="1" x14ac:dyDescent="0.35">
      <c r="A36" s="67">
        <v>41</v>
      </c>
      <c r="B36" s="1">
        <v>2.9999999999999991</v>
      </c>
      <c r="C36" s="1">
        <v>1.0000000000000011</v>
      </c>
      <c r="D36" s="1">
        <v>0.50000000000000067</v>
      </c>
      <c r="E36" s="1">
        <v>-1.0000000000000031</v>
      </c>
      <c r="F36" s="1">
        <v>-0.49999999999999939</v>
      </c>
      <c r="G36" s="1">
        <v>0.50000000000000022</v>
      </c>
      <c r="H36" s="1">
        <v>-0.49999999999999972</v>
      </c>
      <c r="I36" s="1">
        <v>1.5000000000000031</v>
      </c>
      <c r="J36" s="1">
        <v>3.5000000000000009</v>
      </c>
      <c r="K36" s="1">
        <v>4.2723130981501429E-16</v>
      </c>
      <c r="L36" s="1">
        <v>1</v>
      </c>
    </row>
    <row r="37" spans="1:13" outlineLevel="1" x14ac:dyDescent="0.35">
      <c r="A37" s="67">
        <v>42</v>
      </c>
      <c r="B37" s="1">
        <v>3.1666666666666661</v>
      </c>
      <c r="C37" s="1">
        <v>3.3333333333333388</v>
      </c>
      <c r="D37" s="1">
        <v>-0.16666666666666369</v>
      </c>
      <c r="E37" s="1">
        <v>-2.1666666666666692</v>
      </c>
      <c r="F37" s="1">
        <v>-2</v>
      </c>
      <c r="G37" s="1">
        <v>0.83333333333333248</v>
      </c>
      <c r="H37" s="1">
        <v>1.999999999999998</v>
      </c>
      <c r="I37" s="1">
        <v>0.83333333333333592</v>
      </c>
      <c r="J37" s="1">
        <v>3.1666666666666692</v>
      </c>
      <c r="K37" s="1">
        <v>-0.83333333333333603</v>
      </c>
      <c r="L37" s="1">
        <v>0.9950450450450451</v>
      </c>
    </row>
    <row r="38" spans="1:13" outlineLevel="1" x14ac:dyDescent="0.35">
      <c r="A38" s="67">
        <v>43</v>
      </c>
      <c r="B38" s="1">
        <v>2.333333333333333</v>
      </c>
      <c r="C38" s="1">
        <v>1.666666666666665</v>
      </c>
      <c r="D38" s="1">
        <v>-0.83333333333333481</v>
      </c>
      <c r="E38" s="1">
        <v>-0.33333333333333531</v>
      </c>
      <c r="F38" s="1">
        <v>-1.9999999999999969</v>
      </c>
      <c r="G38" s="1">
        <v>-0.83333333333333137</v>
      </c>
      <c r="H38" s="1">
        <v>2.5730348119179792E-16</v>
      </c>
      <c r="I38" s="1">
        <v>2.6666666666666679</v>
      </c>
      <c r="J38" s="1">
        <v>4.833333333333333</v>
      </c>
      <c r="K38" s="1">
        <v>-0.16666666666666469</v>
      </c>
      <c r="L38" s="1">
        <v>0.98355754857997013</v>
      </c>
    </row>
    <row r="39" spans="1:13" outlineLevel="1" x14ac:dyDescent="0.35">
      <c r="A39" s="67">
        <v>44</v>
      </c>
      <c r="B39" s="1">
        <v>4.0000000000000027</v>
      </c>
      <c r="C39" s="1">
        <v>3.0000000000000031</v>
      </c>
      <c r="D39" s="1">
        <v>0.99999999999999867</v>
      </c>
      <c r="E39" s="1">
        <v>-1.130271011935352E-15</v>
      </c>
      <c r="F39" s="1">
        <v>-3.5000000000000022</v>
      </c>
      <c r="G39" s="1">
        <v>0.99999999999999833</v>
      </c>
      <c r="H39" s="1">
        <v>-0.49999999999999911</v>
      </c>
      <c r="I39" s="1">
        <v>1.5000000000000011</v>
      </c>
      <c r="J39" s="1">
        <v>1.9999999999999989</v>
      </c>
      <c r="K39" s="1">
        <v>-3.500000000000004</v>
      </c>
      <c r="L39" s="1">
        <v>1</v>
      </c>
    </row>
    <row r="40" spans="1:13" outlineLevel="1" x14ac:dyDescent="0.35">
      <c r="A40" s="67">
        <v>45</v>
      </c>
      <c r="B40" s="1">
        <v>4.8333333333333304</v>
      </c>
      <c r="C40" s="1">
        <v>-2.333333333333329</v>
      </c>
      <c r="D40" s="1">
        <v>-0.83333333333332726</v>
      </c>
      <c r="E40" s="1">
        <v>-3.8333333333333308</v>
      </c>
      <c r="F40" s="1">
        <v>-1.000000000000004</v>
      </c>
      <c r="G40" s="1">
        <v>2.1666666666666652</v>
      </c>
      <c r="H40" s="1">
        <v>1.999999999999998</v>
      </c>
      <c r="I40" s="1">
        <v>0.16666666666666999</v>
      </c>
      <c r="J40" s="1">
        <v>-1.1666666666666621</v>
      </c>
      <c r="K40" s="1">
        <v>2.8333333333333299</v>
      </c>
      <c r="L40" s="1">
        <v>0.99444444444444446</v>
      </c>
    </row>
    <row r="41" spans="1:13" outlineLevel="1" x14ac:dyDescent="0.35">
      <c r="A41" s="67">
        <v>48</v>
      </c>
      <c r="B41" s="1">
        <v>4.3333333333333304</v>
      </c>
      <c r="C41" s="1">
        <v>-5.3333333333333339</v>
      </c>
      <c r="D41" s="1">
        <v>-2.8333333333333321</v>
      </c>
      <c r="E41" s="1">
        <v>-2.3333333333333321</v>
      </c>
      <c r="F41" s="1">
        <v>1.9999999999999969</v>
      </c>
      <c r="G41" s="1">
        <v>4.166666666666667</v>
      </c>
      <c r="H41" s="1">
        <v>0.99999999999999856</v>
      </c>
      <c r="I41" s="1">
        <v>-1.333333333333329</v>
      </c>
      <c r="J41" s="1">
        <v>-2.166666666666663</v>
      </c>
      <c r="K41" s="1">
        <v>4.8333333333333348</v>
      </c>
      <c r="L41" s="1">
        <v>0.96474358974358976</v>
      </c>
    </row>
    <row r="42" spans="1:13" outlineLevel="1" x14ac:dyDescent="0.35">
      <c r="A42" s="67">
        <v>52</v>
      </c>
      <c r="B42" s="1">
        <v>2.6666666666666661</v>
      </c>
      <c r="C42" s="1">
        <v>-4.6666666666666776</v>
      </c>
      <c r="D42" s="1">
        <v>0.83333333333332726</v>
      </c>
      <c r="E42" s="1">
        <v>2.3333333333333308</v>
      </c>
      <c r="F42" s="1">
        <v>5.5000000000000018</v>
      </c>
      <c r="G42" s="1">
        <v>1.833333333333335</v>
      </c>
      <c r="H42" s="1">
        <v>-2.499999999999996</v>
      </c>
      <c r="I42" s="1">
        <v>-1.1666666666666661</v>
      </c>
      <c r="J42" s="1">
        <v>-1.833333333333333</v>
      </c>
      <c r="K42" s="1">
        <v>3.6666666666666758</v>
      </c>
      <c r="L42" s="1">
        <v>0.97693920335429763</v>
      </c>
    </row>
    <row r="43" spans="1:13" outlineLevel="1" x14ac:dyDescent="0.35">
      <c r="A43" s="67">
        <v>61</v>
      </c>
      <c r="B43" s="1">
        <v>4.1666666666666661</v>
      </c>
      <c r="C43" s="1">
        <v>1.3333333333333379</v>
      </c>
      <c r="D43" s="1">
        <v>-0.16666666666666591</v>
      </c>
      <c r="E43" s="1">
        <v>-2.1666666666666679</v>
      </c>
      <c r="F43" s="1">
        <v>1.4999999999999989</v>
      </c>
      <c r="G43" s="1">
        <v>2.8333333333333321</v>
      </c>
      <c r="H43" s="1">
        <v>0.50000000000000044</v>
      </c>
      <c r="I43" s="1">
        <v>-1.6666666666666641</v>
      </c>
      <c r="J43" s="1">
        <v>0.16666666666666899</v>
      </c>
      <c r="K43" s="1">
        <v>-1.333333333333337</v>
      </c>
      <c r="L43" s="1">
        <v>0.99656679151061178</v>
      </c>
    </row>
    <row r="44" spans="1:13" outlineLevel="1" x14ac:dyDescent="0.35">
      <c r="A44" s="67">
        <v>67</v>
      </c>
      <c r="B44" s="1">
        <v>4.833333333333333</v>
      </c>
      <c r="C44" s="1">
        <v>-0.33333333333332832</v>
      </c>
      <c r="D44" s="1">
        <v>-1.8333333333333299</v>
      </c>
      <c r="E44" s="1">
        <v>-2.8333333333333321</v>
      </c>
      <c r="F44" s="1">
        <v>-2.0000000000000031</v>
      </c>
      <c r="G44" s="1">
        <v>2.1666666666666652</v>
      </c>
      <c r="H44" s="1">
        <v>3.9999999999999969</v>
      </c>
      <c r="I44" s="1">
        <v>-0.83333333333332993</v>
      </c>
      <c r="J44" s="1">
        <v>-0.16666666666666591</v>
      </c>
      <c r="K44" s="1">
        <v>0.83333333333332904</v>
      </c>
      <c r="L44" s="1">
        <v>0.98882113821138218</v>
      </c>
    </row>
    <row r="45" spans="1:13" s="4" customFormat="1" x14ac:dyDescent="0.35">
      <c r="A45" s="3" t="s">
        <v>13</v>
      </c>
      <c r="B45" s="5">
        <f>AVERAGE(B2:B44)</f>
        <v>4.3410852713178301</v>
      </c>
      <c r="C45" s="5">
        <f>AVERAGE(C2:C44)</f>
        <v>0.47286821705426402</v>
      </c>
      <c r="D45" s="5">
        <f>AVERAGE(D2:D44)</f>
        <v>0.13565891472868227</v>
      </c>
      <c r="E45" s="5">
        <f>AVERAGE(E2:E44)</f>
        <v>-0.20155038759689961</v>
      </c>
      <c r="F45" s="5">
        <f>AVERAGE(F2:F44)</f>
        <v>-0.26744186046511625</v>
      </c>
      <c r="G45" s="5">
        <f>AVERAGE(G2:G44)</f>
        <v>0.25193798449612376</v>
      </c>
      <c r="H45" s="5">
        <f>AVERAGE(H2:H44)</f>
        <v>3.4883720930232537E-2</v>
      </c>
      <c r="I45" s="5">
        <f>AVERAGE(I2:I44)</f>
        <v>0.22868217054263612</v>
      </c>
      <c r="J45" s="5">
        <f>AVERAGE(J2:J44)</f>
        <v>0.44573643410852726</v>
      </c>
      <c r="K45" s="5">
        <f>AVERAGE(K2:K44)</f>
        <v>-0.17054263565891487</v>
      </c>
      <c r="L45" s="5">
        <f>AVERAGE(L2:L44)</f>
        <v>0.95589133656327607</v>
      </c>
      <c r="M45" s="5"/>
    </row>
    <row r="47" spans="1:13" ht="15" thickBot="1" x14ac:dyDescent="0.4"/>
    <row r="48" spans="1:13" ht="30.5" customHeight="1" thickBot="1" x14ac:dyDescent="0.4">
      <c r="B48" s="102" t="s">
        <v>14</v>
      </c>
      <c r="C48" s="101" t="s">
        <v>15</v>
      </c>
      <c r="D48" s="12" t="s">
        <v>16</v>
      </c>
    </row>
    <row r="49" spans="2:6" ht="30.5" customHeight="1" thickBot="1" x14ac:dyDescent="0.4">
      <c r="B49" s="98" t="s">
        <v>17</v>
      </c>
      <c r="C49" s="97" t="s">
        <v>18</v>
      </c>
      <c r="D49" s="99">
        <f>C45</f>
        <v>0.47286821705426402</v>
      </c>
      <c r="F49" s="6" t="s">
        <v>19</v>
      </c>
    </row>
    <row r="50" spans="2:6" ht="30.5" customHeight="1" thickBot="1" x14ac:dyDescent="0.4">
      <c r="B50" s="98" t="s">
        <v>17</v>
      </c>
      <c r="C50" s="97" t="s">
        <v>20</v>
      </c>
      <c r="D50" s="99">
        <f>D45</f>
        <v>0.13565891472868227</v>
      </c>
      <c r="F50" s="7">
        <f>L45</f>
        <v>0.95589133656327607</v>
      </c>
    </row>
    <row r="51" spans="2:6" ht="30.5" customHeight="1" thickBot="1" x14ac:dyDescent="0.4">
      <c r="B51" s="98" t="s">
        <v>21</v>
      </c>
      <c r="C51" s="97" t="s">
        <v>22</v>
      </c>
      <c r="D51" s="96">
        <f>E45</f>
        <v>-0.20155038759689961</v>
      </c>
    </row>
    <row r="52" spans="2:6" ht="30.5" customHeight="1" thickBot="1" x14ac:dyDescent="0.4">
      <c r="B52" s="98" t="s">
        <v>21</v>
      </c>
      <c r="C52" s="97" t="s">
        <v>23</v>
      </c>
      <c r="D52" s="96">
        <f>F45</f>
        <v>-0.26744186046511625</v>
      </c>
    </row>
    <row r="53" spans="2:6" ht="30.5" customHeight="1" thickBot="1" x14ac:dyDescent="0.4">
      <c r="B53" s="98" t="s">
        <v>24</v>
      </c>
      <c r="C53" s="97" t="s">
        <v>25</v>
      </c>
      <c r="D53" s="99">
        <f>G45</f>
        <v>0.25193798449612376</v>
      </c>
    </row>
    <row r="54" spans="2:6" ht="30.5" customHeight="1" thickBot="1" x14ac:dyDescent="0.4">
      <c r="B54" s="98" t="s">
        <v>24</v>
      </c>
      <c r="C54" s="97" t="s">
        <v>26</v>
      </c>
      <c r="D54" s="100">
        <f>H45</f>
        <v>3.4883720930232537E-2</v>
      </c>
    </row>
    <row r="55" spans="2:6" ht="30.5" customHeight="1" thickBot="1" x14ac:dyDescent="0.4">
      <c r="B55" s="98" t="s">
        <v>27</v>
      </c>
      <c r="C55" s="97" t="s">
        <v>28</v>
      </c>
      <c r="D55" s="99">
        <f>I45</f>
        <v>0.22868217054263612</v>
      </c>
    </row>
    <row r="56" spans="2:6" ht="30.5" customHeight="1" thickBot="1" x14ac:dyDescent="0.4">
      <c r="B56" s="98" t="s">
        <v>27</v>
      </c>
      <c r="C56" s="97" t="s">
        <v>29</v>
      </c>
      <c r="D56" s="99">
        <f>J45</f>
        <v>0.44573643410852726</v>
      </c>
    </row>
    <row r="57" spans="2:6" ht="30.5" customHeight="1" thickBot="1" x14ac:dyDescent="0.4">
      <c r="B57" s="98" t="s">
        <v>30</v>
      </c>
      <c r="C57" s="97" t="s">
        <v>31</v>
      </c>
      <c r="D57" s="96">
        <f>K45</f>
        <v>-0.17054263565891487</v>
      </c>
    </row>
  </sheetData>
  <autoFilter ref="A1:M45" xr:uid="{00000000-0001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1322-2B73-476E-BCF2-05161242FDCA}">
  <sheetPr>
    <tabColor theme="8" tint="0.79998168889431442"/>
  </sheetPr>
  <dimension ref="A1:M145"/>
  <sheetViews>
    <sheetView topLeftCell="A115" zoomScale="70" zoomScaleNormal="70" workbookViewId="0">
      <selection activeCell="C138" sqref="C138"/>
    </sheetView>
  </sheetViews>
  <sheetFormatPr defaultColWidth="8.81640625" defaultRowHeight="14.5" x14ac:dyDescent="0.35"/>
  <cols>
    <col min="1" max="1" width="17.6328125" style="2" bestFit="1" customWidth="1"/>
    <col min="2" max="2" width="14.81640625" style="1" customWidth="1"/>
    <col min="3" max="4" width="13.6328125" style="1" bestFit="1" customWidth="1"/>
    <col min="5" max="5" width="29.54296875" style="1" bestFit="1" customWidth="1"/>
    <col min="6" max="6" width="26.6328125" style="1" bestFit="1" customWidth="1"/>
    <col min="7" max="7" width="37.08984375" style="1" bestFit="1" customWidth="1"/>
    <col min="8" max="8" width="51.6328125" style="1" bestFit="1" customWidth="1"/>
    <col min="9" max="9" width="46.36328125" style="1" bestFit="1" customWidth="1"/>
    <col min="10" max="10" width="43.54296875" style="1" bestFit="1" customWidth="1"/>
    <col min="11" max="11" width="36.1796875" style="1" bestFit="1" customWidth="1"/>
    <col min="12" max="12" width="41.1796875" style="1" bestFit="1" customWidth="1"/>
    <col min="13" max="13" width="16.1796875" style="1" customWidth="1"/>
    <col min="14" max="16384" width="8.81640625" style="1"/>
  </cols>
  <sheetData>
    <row r="1" spans="1:13" x14ac:dyDescent="0.35">
      <c r="A1" s="67" t="s">
        <v>0</v>
      </c>
      <c r="B1" s="68" t="s">
        <v>1</v>
      </c>
      <c r="C1" s="68">
        <v>450</v>
      </c>
      <c r="D1" s="68">
        <v>550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10</v>
      </c>
      <c r="L1" s="68" t="s">
        <v>12</v>
      </c>
      <c r="M1" s="68"/>
    </row>
    <row r="2" spans="1:13" x14ac:dyDescent="0.35">
      <c r="A2" s="67">
        <v>1</v>
      </c>
      <c r="B2" s="1">
        <v>7.1666670000000003</v>
      </c>
      <c r="C2" s="1">
        <v>2.3333330000000001</v>
      </c>
      <c r="D2" s="1">
        <v>0.33333299999999999</v>
      </c>
      <c r="E2" s="1">
        <v>-0.16667000000000001</v>
      </c>
      <c r="F2" s="1">
        <v>-1</v>
      </c>
      <c r="G2" s="1">
        <v>-0.66666999999999998</v>
      </c>
      <c r="H2" s="1">
        <v>-9.6999999999999998E-16</v>
      </c>
      <c r="I2" s="1">
        <v>-1.1666700000000001</v>
      </c>
      <c r="J2" s="1">
        <v>-1.3333299999999999</v>
      </c>
      <c r="K2" s="1">
        <v>-1.3333299999999999</v>
      </c>
      <c r="L2" s="1">
        <v>0.97587699999999999</v>
      </c>
    </row>
    <row r="3" spans="1:13" x14ac:dyDescent="0.35">
      <c r="A3" s="67">
        <v>2</v>
      </c>
      <c r="B3" s="1">
        <v>5.6666670000000003</v>
      </c>
      <c r="C3" s="1">
        <v>3.3333330000000001</v>
      </c>
      <c r="D3" s="1">
        <v>2.3333330000000001</v>
      </c>
      <c r="E3" s="1">
        <v>1.3333330000000001</v>
      </c>
      <c r="F3" s="1">
        <v>-1.5</v>
      </c>
      <c r="G3" s="1">
        <v>-2.6666699999999999</v>
      </c>
      <c r="H3" s="1">
        <v>-4.5</v>
      </c>
      <c r="I3" s="1">
        <v>0.83333299999999999</v>
      </c>
      <c r="J3" s="1">
        <v>0.66666700000000001</v>
      </c>
      <c r="K3" s="1">
        <v>-3.8333300000000001</v>
      </c>
      <c r="L3" s="1">
        <v>0.97505699999999995</v>
      </c>
    </row>
    <row r="4" spans="1:13" x14ac:dyDescent="0.35">
      <c r="A4" s="67">
        <v>3</v>
      </c>
      <c r="B4" s="1">
        <v>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</row>
    <row r="5" spans="1:13" x14ac:dyDescent="0.35">
      <c r="A5" s="67">
        <v>5</v>
      </c>
      <c r="B5" s="1">
        <v>5.8333329999999997</v>
      </c>
      <c r="C5" s="1">
        <v>3.6666669999999999</v>
      </c>
      <c r="D5" s="1">
        <v>3.6666669999999999</v>
      </c>
      <c r="E5" s="1">
        <v>1.1666669999999999</v>
      </c>
      <c r="F5" s="1">
        <v>-2.5</v>
      </c>
      <c r="G5" s="1">
        <v>-2.3333300000000001</v>
      </c>
      <c r="H5" s="1">
        <v>-2.5</v>
      </c>
      <c r="I5" s="1">
        <v>-0.33333000000000002</v>
      </c>
      <c r="J5" s="1">
        <v>0.33333299999999999</v>
      </c>
      <c r="K5" s="1">
        <v>-2.1666699999999999</v>
      </c>
      <c r="L5" s="1">
        <v>0.99003600000000003</v>
      </c>
    </row>
    <row r="6" spans="1:13" x14ac:dyDescent="0.35">
      <c r="A6" s="67">
        <v>6</v>
      </c>
      <c r="B6" s="1">
        <v>1.1666669999999999</v>
      </c>
      <c r="C6" s="1">
        <v>-1.6666700000000001</v>
      </c>
      <c r="D6" s="1">
        <v>-0.66666999999999998</v>
      </c>
      <c r="E6" s="1">
        <v>-0.16667000000000001</v>
      </c>
      <c r="F6" s="1">
        <v>1</v>
      </c>
      <c r="G6" s="1">
        <v>2.3333330000000001</v>
      </c>
      <c r="H6" s="1">
        <v>2</v>
      </c>
      <c r="I6" s="1">
        <v>0.83333299999999999</v>
      </c>
      <c r="J6" s="1">
        <v>0.66666700000000001</v>
      </c>
      <c r="K6" s="1">
        <v>0.66666700000000001</v>
      </c>
      <c r="L6" s="1">
        <v>0.74250899999999997</v>
      </c>
    </row>
    <row r="7" spans="1:13" x14ac:dyDescent="0.35">
      <c r="A7" s="67">
        <v>7</v>
      </c>
      <c r="B7" s="1">
        <v>4.1666670000000003</v>
      </c>
      <c r="C7" s="1">
        <v>-0.66666999999999998</v>
      </c>
      <c r="D7" s="1">
        <v>-1.6666700000000001</v>
      </c>
      <c r="E7" s="1">
        <v>0.83333299999999999</v>
      </c>
      <c r="F7" s="1">
        <v>4</v>
      </c>
      <c r="G7" s="1">
        <v>-0.66666999999999998</v>
      </c>
      <c r="H7" s="1">
        <v>1</v>
      </c>
      <c r="I7" s="1">
        <v>-1.1666700000000001</v>
      </c>
      <c r="J7" s="1">
        <v>-0.33333000000000002</v>
      </c>
      <c r="K7" s="1">
        <v>-0.33333000000000002</v>
      </c>
      <c r="L7" s="1">
        <v>0.99625900000000001</v>
      </c>
    </row>
    <row r="8" spans="1:13" x14ac:dyDescent="0.35">
      <c r="A8" s="67">
        <v>8</v>
      </c>
      <c r="B8" s="1">
        <v>5.5</v>
      </c>
      <c r="C8" s="1">
        <v>2</v>
      </c>
      <c r="D8" s="1">
        <v>2</v>
      </c>
      <c r="E8" s="1">
        <v>-0.5</v>
      </c>
      <c r="F8" s="1">
        <v>-2.5</v>
      </c>
      <c r="G8" s="1">
        <v>-1</v>
      </c>
      <c r="H8" s="1">
        <v>-0.5</v>
      </c>
      <c r="I8" s="1">
        <v>2.5300000000000002E-16</v>
      </c>
      <c r="J8" s="1">
        <v>1</v>
      </c>
      <c r="K8" s="1">
        <v>-1.5</v>
      </c>
      <c r="L8" s="1">
        <v>0.85</v>
      </c>
    </row>
    <row r="9" spans="1:13" x14ac:dyDescent="0.35">
      <c r="A9" s="67">
        <v>9</v>
      </c>
      <c r="B9" s="1">
        <v>4.6666670000000003</v>
      </c>
      <c r="C9" s="1">
        <v>0.33333299999999999</v>
      </c>
      <c r="D9" s="1">
        <v>2.3333330000000001</v>
      </c>
      <c r="E9" s="1">
        <v>2.3333330000000001</v>
      </c>
      <c r="F9" s="1">
        <v>1.5</v>
      </c>
      <c r="G9" s="1">
        <v>-0.66666999999999998</v>
      </c>
      <c r="H9" s="1">
        <v>-3.5</v>
      </c>
      <c r="I9" s="1">
        <v>0.83333299999999999</v>
      </c>
      <c r="J9" s="1">
        <v>-0.33333000000000002</v>
      </c>
      <c r="K9" s="1">
        <v>-2.8333300000000001</v>
      </c>
      <c r="L9" s="1">
        <v>0.96474400000000005</v>
      </c>
    </row>
    <row r="10" spans="1:13" x14ac:dyDescent="0.35">
      <c r="A10" s="67">
        <v>10</v>
      </c>
      <c r="B10" s="1">
        <v>2.3333330000000001</v>
      </c>
      <c r="C10" s="1">
        <v>-1.3333299999999999</v>
      </c>
      <c r="D10" s="1">
        <v>1.1666669999999999</v>
      </c>
      <c r="E10" s="1">
        <v>3.6666669999999999</v>
      </c>
      <c r="F10" s="1">
        <v>2</v>
      </c>
      <c r="G10" s="1">
        <v>-2.8333300000000001</v>
      </c>
      <c r="H10" s="1">
        <v>-4</v>
      </c>
      <c r="I10" s="1">
        <v>1.6666669999999999</v>
      </c>
      <c r="J10" s="1">
        <v>2.8333330000000001</v>
      </c>
      <c r="K10" s="1">
        <v>0.83333299999999999</v>
      </c>
      <c r="L10" s="1">
        <v>0.92739300000000002</v>
      </c>
    </row>
    <row r="11" spans="1:13" x14ac:dyDescent="0.35">
      <c r="A11" s="67">
        <v>11</v>
      </c>
      <c r="B11" s="1">
        <v>5.8333329999999997</v>
      </c>
      <c r="C11" s="1">
        <v>-0.33333000000000002</v>
      </c>
      <c r="D11" s="1">
        <v>-0.83333000000000002</v>
      </c>
      <c r="E11" s="1">
        <v>-0.83333000000000002</v>
      </c>
      <c r="F11" s="1">
        <v>0.5</v>
      </c>
      <c r="G11" s="1">
        <v>1.1666669999999999</v>
      </c>
      <c r="H11" s="1">
        <v>1.5</v>
      </c>
      <c r="I11" s="1">
        <v>0.66666700000000001</v>
      </c>
      <c r="J11" s="1">
        <v>-0.16667000000000001</v>
      </c>
      <c r="K11" s="1">
        <v>0.33333299999999999</v>
      </c>
      <c r="L11" s="1">
        <v>0.96014500000000003</v>
      </c>
    </row>
    <row r="12" spans="1:13" x14ac:dyDescent="0.35">
      <c r="A12" s="67">
        <v>13</v>
      </c>
      <c r="B12" s="1">
        <v>1.1666669999999999</v>
      </c>
      <c r="C12" s="1">
        <v>3.3333330000000001</v>
      </c>
      <c r="D12" s="1">
        <v>5.3333329999999997</v>
      </c>
      <c r="E12" s="1">
        <v>4.8333329999999997</v>
      </c>
      <c r="F12" s="1">
        <v>2.5</v>
      </c>
      <c r="G12" s="1">
        <v>-2.6666699999999999</v>
      </c>
      <c r="H12" s="1">
        <v>-4.5</v>
      </c>
      <c r="I12" s="1">
        <v>2.3333330000000001</v>
      </c>
      <c r="J12" s="1">
        <v>0.66666700000000001</v>
      </c>
      <c r="K12" s="1">
        <v>-1.8333299999999999</v>
      </c>
      <c r="L12" s="1">
        <v>0.99444399999999999</v>
      </c>
    </row>
    <row r="13" spans="1:13" x14ac:dyDescent="0.35">
      <c r="A13" s="67">
        <v>14</v>
      </c>
      <c r="B13" s="1">
        <v>6.6666670000000003</v>
      </c>
      <c r="C13" s="1">
        <v>-0.66666999999999998</v>
      </c>
      <c r="D13" s="1">
        <v>-3.1666699999999999</v>
      </c>
      <c r="E13" s="1">
        <v>-1.6666700000000001</v>
      </c>
      <c r="F13" s="1">
        <v>1.5</v>
      </c>
      <c r="G13" s="1">
        <v>-0.16667000000000001</v>
      </c>
      <c r="H13" s="1">
        <v>3.5</v>
      </c>
      <c r="I13" s="1">
        <v>-1.1666700000000001</v>
      </c>
      <c r="J13" s="1">
        <v>-2.8333300000000001</v>
      </c>
      <c r="K13" s="1">
        <v>-1.3333299999999999</v>
      </c>
      <c r="L13" s="1">
        <v>0.98671500000000001</v>
      </c>
    </row>
    <row r="14" spans="1:13" x14ac:dyDescent="0.35">
      <c r="A14" s="67">
        <v>16</v>
      </c>
      <c r="B14" s="1">
        <v>5.3333329999999997</v>
      </c>
      <c r="C14" s="1">
        <v>-0.33333000000000002</v>
      </c>
      <c r="D14" s="1">
        <v>-0.33333000000000002</v>
      </c>
      <c r="E14" s="1">
        <v>-0.33333000000000002</v>
      </c>
      <c r="F14" s="1">
        <v>-3</v>
      </c>
      <c r="G14" s="1">
        <v>-0.33333000000000002</v>
      </c>
      <c r="H14" s="1">
        <v>1.25E-15</v>
      </c>
      <c r="I14" s="1">
        <v>0.66666700000000001</v>
      </c>
      <c r="J14" s="1">
        <v>1.3333330000000001</v>
      </c>
      <c r="K14" s="1">
        <v>0.33333299999999999</v>
      </c>
      <c r="L14" s="1">
        <v>0.94270799999999999</v>
      </c>
    </row>
    <row r="15" spans="1:13" x14ac:dyDescent="0.35">
      <c r="A15" s="67">
        <v>17</v>
      </c>
      <c r="B15" s="1">
        <v>5.3333329999999997</v>
      </c>
      <c r="C15" s="1">
        <v>-2.3333300000000001</v>
      </c>
      <c r="D15" s="1">
        <v>-0.33333000000000002</v>
      </c>
      <c r="E15" s="1">
        <v>-0.33333000000000002</v>
      </c>
      <c r="F15" s="1">
        <v>0.5</v>
      </c>
      <c r="G15" s="1">
        <v>-0.33333000000000002</v>
      </c>
      <c r="H15" s="1">
        <v>0.5</v>
      </c>
      <c r="I15" s="1">
        <v>0.16666700000000001</v>
      </c>
      <c r="J15" s="1">
        <v>0.33333299999999999</v>
      </c>
      <c r="K15" s="1">
        <v>1.8333330000000001</v>
      </c>
      <c r="L15" s="1">
        <v>0.92198599999999997</v>
      </c>
    </row>
    <row r="16" spans="1:13" x14ac:dyDescent="0.35">
      <c r="A16" s="67">
        <v>18</v>
      </c>
      <c r="B16" s="1">
        <v>4.1666670000000003</v>
      </c>
      <c r="C16" s="1">
        <v>-4.6666699999999999</v>
      </c>
      <c r="D16" s="1">
        <v>-4.1666699999999999</v>
      </c>
      <c r="E16" s="1">
        <v>-1.1666700000000001</v>
      </c>
      <c r="F16" s="1">
        <v>2.5</v>
      </c>
      <c r="G16" s="1">
        <v>2.8333330000000001</v>
      </c>
      <c r="H16" s="1">
        <v>2.5</v>
      </c>
      <c r="I16" s="1">
        <v>-1.6666700000000001</v>
      </c>
      <c r="J16" s="1">
        <v>-0.83333000000000002</v>
      </c>
      <c r="K16" s="1">
        <v>3.6666669999999999</v>
      </c>
      <c r="L16" s="1">
        <v>0.98472199999999999</v>
      </c>
    </row>
    <row r="17" spans="1:12" x14ac:dyDescent="0.35">
      <c r="A17" s="67">
        <v>20</v>
      </c>
      <c r="B17" s="1">
        <v>5.3333329999999997</v>
      </c>
      <c r="C17" s="1">
        <v>-0.33333000000000002</v>
      </c>
      <c r="D17" s="1">
        <v>0.16666700000000001</v>
      </c>
      <c r="E17" s="1">
        <v>-0.33333000000000002</v>
      </c>
      <c r="F17" s="1">
        <v>-0.5</v>
      </c>
      <c r="G17" s="1">
        <v>1.1666669999999999</v>
      </c>
      <c r="H17" s="1">
        <v>0.5</v>
      </c>
      <c r="I17" s="1">
        <v>-0.83333000000000002</v>
      </c>
      <c r="J17" s="1">
        <v>-0.16667000000000001</v>
      </c>
      <c r="K17" s="1">
        <v>-0.66666999999999998</v>
      </c>
      <c r="L17" s="1">
        <v>0.75555600000000001</v>
      </c>
    </row>
    <row r="18" spans="1:12" x14ac:dyDescent="0.35">
      <c r="A18" s="67">
        <v>21</v>
      </c>
      <c r="B18" s="1">
        <v>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</row>
    <row r="19" spans="1:12" x14ac:dyDescent="0.35">
      <c r="A19" s="67">
        <v>22</v>
      </c>
      <c r="B19" s="1">
        <v>3.6666669999999999</v>
      </c>
      <c r="C19" s="1">
        <v>2.3333330000000001</v>
      </c>
      <c r="D19" s="1">
        <v>1.8333330000000001</v>
      </c>
      <c r="E19" s="1">
        <v>1.3333330000000001</v>
      </c>
      <c r="F19" s="1">
        <v>-0.5</v>
      </c>
      <c r="G19" s="1">
        <v>-0.16667000000000001</v>
      </c>
      <c r="H19" s="1">
        <v>-1.5</v>
      </c>
      <c r="I19" s="1">
        <v>-0.16667000000000001</v>
      </c>
      <c r="J19" s="1">
        <v>-0.83333000000000002</v>
      </c>
      <c r="K19" s="1">
        <v>-2.3333300000000001</v>
      </c>
      <c r="L19" s="1">
        <v>0.936782</v>
      </c>
    </row>
    <row r="20" spans="1:12" x14ac:dyDescent="0.35">
      <c r="A20" s="67">
        <v>23</v>
      </c>
      <c r="B20" s="1">
        <v>6.1666670000000003</v>
      </c>
      <c r="C20" s="1">
        <v>1.3333330000000001</v>
      </c>
      <c r="D20" s="1">
        <v>-0.16667000000000001</v>
      </c>
      <c r="E20" s="1">
        <v>-1.1666700000000001</v>
      </c>
      <c r="F20" s="1">
        <v>-0.5</v>
      </c>
      <c r="G20" s="1">
        <v>0.83333299999999999</v>
      </c>
      <c r="H20" s="1">
        <v>0.5</v>
      </c>
      <c r="I20" s="1">
        <v>-0.66666999999999998</v>
      </c>
      <c r="J20" s="1">
        <v>-1.8333299999999999</v>
      </c>
      <c r="K20" s="1">
        <v>0.66666700000000001</v>
      </c>
      <c r="L20" s="1">
        <v>0.98446299999999998</v>
      </c>
    </row>
    <row r="21" spans="1:12" x14ac:dyDescent="0.35">
      <c r="A21" s="67">
        <v>24</v>
      </c>
      <c r="B21" s="1">
        <v>2.3333330000000001</v>
      </c>
      <c r="C21" s="1">
        <v>-0.33333000000000002</v>
      </c>
      <c r="D21" s="1">
        <v>-0.83333000000000002</v>
      </c>
      <c r="E21" s="1">
        <v>-1.3333299999999999</v>
      </c>
      <c r="F21" s="1">
        <v>-1.5</v>
      </c>
      <c r="G21" s="1">
        <v>2.1666669999999999</v>
      </c>
      <c r="H21" s="1">
        <v>1.5</v>
      </c>
      <c r="I21" s="1">
        <v>1.1666669999999999</v>
      </c>
      <c r="J21" s="1">
        <v>1.8333330000000001</v>
      </c>
      <c r="K21" s="1">
        <v>3.3333330000000001</v>
      </c>
      <c r="L21" s="1">
        <v>0.98193799999999998</v>
      </c>
    </row>
    <row r="22" spans="1:12" x14ac:dyDescent="0.35">
      <c r="A22" s="67">
        <v>25</v>
      </c>
      <c r="B22" s="1">
        <v>3.3333330000000001</v>
      </c>
      <c r="C22" s="1">
        <v>-0.33333000000000002</v>
      </c>
      <c r="D22" s="1">
        <v>-0.33333000000000002</v>
      </c>
      <c r="E22" s="1">
        <v>-1.3333299999999999</v>
      </c>
      <c r="F22" s="1">
        <v>-1.5</v>
      </c>
      <c r="G22" s="1">
        <v>1.6666669999999999</v>
      </c>
      <c r="H22" s="1">
        <v>1.5</v>
      </c>
      <c r="I22" s="1">
        <v>1.1666669999999999</v>
      </c>
      <c r="J22" s="1">
        <v>1.3333330000000001</v>
      </c>
      <c r="K22" s="1">
        <v>2.8333330000000001</v>
      </c>
      <c r="L22" s="1">
        <v>0.97587699999999999</v>
      </c>
    </row>
    <row r="23" spans="1:12" x14ac:dyDescent="0.35">
      <c r="A23" s="67">
        <v>26</v>
      </c>
      <c r="B23" s="1">
        <v>1.8333330000000001</v>
      </c>
      <c r="C23" s="1">
        <v>2.6666669999999999</v>
      </c>
      <c r="D23" s="1">
        <v>3.6666669999999999</v>
      </c>
      <c r="E23" s="1">
        <v>0.16666700000000001</v>
      </c>
      <c r="F23" s="1">
        <v>-0.5</v>
      </c>
      <c r="G23" s="1">
        <v>-0.33333000000000002</v>
      </c>
      <c r="H23" s="1">
        <v>-1.5</v>
      </c>
      <c r="I23" s="1">
        <v>2.6666669999999999</v>
      </c>
      <c r="J23" s="1">
        <v>3.3333330000000001</v>
      </c>
      <c r="K23" s="1">
        <v>-1.1666700000000001</v>
      </c>
      <c r="L23" s="1">
        <v>0.89241000000000004</v>
      </c>
    </row>
    <row r="24" spans="1:12" x14ac:dyDescent="0.35">
      <c r="A24" s="67">
        <v>27</v>
      </c>
      <c r="B24" s="1">
        <v>2.6666669999999999</v>
      </c>
      <c r="C24" s="1">
        <v>3.3333330000000001</v>
      </c>
      <c r="D24" s="1">
        <v>0.33333299999999999</v>
      </c>
      <c r="E24" s="1">
        <v>0.33333299999999999</v>
      </c>
      <c r="F24" s="1">
        <v>1.66E-15</v>
      </c>
      <c r="G24" s="1">
        <v>0.33333299999999999</v>
      </c>
      <c r="H24" s="1">
        <v>1.7899999999999999E-15</v>
      </c>
      <c r="I24" s="1">
        <v>1.3333330000000001</v>
      </c>
      <c r="J24" s="1">
        <v>1.6666669999999999</v>
      </c>
      <c r="K24" s="1">
        <v>-1.3333299999999999</v>
      </c>
      <c r="L24" s="1">
        <v>0.89294399999999996</v>
      </c>
    </row>
    <row r="25" spans="1:12" x14ac:dyDescent="0.35">
      <c r="A25" s="67">
        <v>28</v>
      </c>
      <c r="B25" s="1">
        <v>3.3333330000000001</v>
      </c>
      <c r="C25" s="1">
        <v>1.6666669999999999</v>
      </c>
      <c r="D25" s="1">
        <v>2.1666669999999999</v>
      </c>
      <c r="E25" s="1">
        <v>0.66666700000000001</v>
      </c>
      <c r="F25" s="1">
        <v>-2</v>
      </c>
      <c r="G25" s="1">
        <v>-1.8333299999999999</v>
      </c>
      <c r="H25" s="1">
        <v>1.03E-16</v>
      </c>
      <c r="I25" s="1">
        <v>1.6666669999999999</v>
      </c>
      <c r="J25" s="1">
        <v>1.8333330000000001</v>
      </c>
      <c r="K25" s="1">
        <v>-1.1666700000000001</v>
      </c>
      <c r="L25" s="1">
        <v>0.78744000000000003</v>
      </c>
    </row>
    <row r="26" spans="1:12" x14ac:dyDescent="0.35">
      <c r="A26" s="67">
        <v>29</v>
      </c>
      <c r="B26" s="1">
        <v>4.1666670000000003</v>
      </c>
      <c r="C26" s="1">
        <v>4.3333329999999997</v>
      </c>
      <c r="D26" s="1">
        <v>-0.16667000000000001</v>
      </c>
      <c r="E26" s="1">
        <v>-1.1666700000000001</v>
      </c>
      <c r="F26" s="1">
        <v>-3</v>
      </c>
      <c r="G26" s="1">
        <v>-0.16667000000000001</v>
      </c>
      <c r="H26" s="1">
        <v>1</v>
      </c>
      <c r="I26" s="1">
        <v>0.83333299999999999</v>
      </c>
      <c r="J26" s="1">
        <v>3.1666669999999999</v>
      </c>
      <c r="K26" s="1">
        <v>-1.8333299999999999</v>
      </c>
      <c r="L26" s="1">
        <v>0.99408600000000003</v>
      </c>
    </row>
    <row r="27" spans="1:12" x14ac:dyDescent="0.35">
      <c r="A27" s="67">
        <v>30</v>
      </c>
      <c r="B27" s="1">
        <v>5</v>
      </c>
      <c r="C27" s="1">
        <v>1</v>
      </c>
      <c r="D27" s="1">
        <v>5.5500000000000005E-16</v>
      </c>
      <c r="E27" s="1">
        <v>2.9599999999999998E-16</v>
      </c>
      <c r="F27" s="1">
        <v>0.5</v>
      </c>
      <c r="G27" s="1">
        <v>-5.6000000000000003E-16</v>
      </c>
      <c r="H27" s="1">
        <v>0.5</v>
      </c>
      <c r="I27" s="1">
        <v>-0.5</v>
      </c>
      <c r="J27" s="1">
        <v>-1</v>
      </c>
      <c r="K27" s="1">
        <v>-0.5</v>
      </c>
      <c r="L27" s="1">
        <v>1</v>
      </c>
    </row>
    <row r="28" spans="1:12" x14ac:dyDescent="0.35">
      <c r="A28" s="67">
        <v>31</v>
      </c>
      <c r="B28" s="1">
        <v>5</v>
      </c>
      <c r="C28" s="1">
        <v>-4</v>
      </c>
      <c r="D28" s="1">
        <v>-5</v>
      </c>
      <c r="E28" s="1">
        <v>-2</v>
      </c>
      <c r="F28" s="1">
        <v>1</v>
      </c>
      <c r="G28" s="1">
        <v>4</v>
      </c>
      <c r="H28" s="1">
        <v>4</v>
      </c>
      <c r="I28" s="1">
        <v>-1</v>
      </c>
      <c r="J28" s="1">
        <v>-2</v>
      </c>
      <c r="K28" s="1">
        <v>5</v>
      </c>
      <c r="L28" s="1">
        <v>1</v>
      </c>
    </row>
    <row r="29" spans="1:12" x14ac:dyDescent="0.35">
      <c r="A29" s="67">
        <v>33</v>
      </c>
      <c r="B29" s="1">
        <v>5.3333329999999997</v>
      </c>
      <c r="C29" s="1">
        <v>1.6666669999999999</v>
      </c>
      <c r="D29" s="1">
        <v>0.66666700000000001</v>
      </c>
      <c r="E29" s="1">
        <v>0.66666700000000001</v>
      </c>
      <c r="F29" s="1">
        <v>-0.5</v>
      </c>
      <c r="G29" s="1">
        <v>-1.3333299999999999</v>
      </c>
      <c r="H29" s="1">
        <v>-0.5</v>
      </c>
      <c r="I29" s="1">
        <v>0.16666700000000001</v>
      </c>
      <c r="J29" s="1">
        <v>0.33333299999999999</v>
      </c>
      <c r="K29" s="1">
        <v>-2.1666699999999999</v>
      </c>
      <c r="L29" s="1">
        <v>0.86419800000000002</v>
      </c>
    </row>
    <row r="30" spans="1:12" x14ac:dyDescent="0.35">
      <c r="A30" s="67">
        <v>34</v>
      </c>
      <c r="B30" s="1">
        <v>7</v>
      </c>
      <c r="C30" s="1">
        <v>1</v>
      </c>
      <c r="D30" s="1">
        <v>0.5</v>
      </c>
      <c r="E30" s="1">
        <v>-1</v>
      </c>
      <c r="F30" s="1">
        <v>-1.5</v>
      </c>
      <c r="G30" s="1">
        <v>-1.5</v>
      </c>
      <c r="H30" s="1">
        <v>0.5</v>
      </c>
      <c r="I30" s="1">
        <v>0.5</v>
      </c>
      <c r="J30" s="1">
        <v>0.5</v>
      </c>
      <c r="K30" s="1">
        <v>-1</v>
      </c>
      <c r="L30" s="1">
        <v>1</v>
      </c>
    </row>
    <row r="31" spans="1:12" x14ac:dyDescent="0.35">
      <c r="A31" s="67">
        <v>35</v>
      </c>
      <c r="B31" s="1">
        <v>5</v>
      </c>
      <c r="C31" s="1">
        <v>2</v>
      </c>
      <c r="D31" s="1">
        <v>2</v>
      </c>
      <c r="E31" s="1">
        <v>2</v>
      </c>
      <c r="F31" s="1">
        <v>-1.5</v>
      </c>
      <c r="G31" s="1">
        <v>-2</v>
      </c>
      <c r="H31" s="1">
        <v>-3.5</v>
      </c>
      <c r="I31" s="1">
        <v>0.5</v>
      </c>
      <c r="J31" s="1">
        <v>-2.5E-15</v>
      </c>
      <c r="K31" s="1">
        <v>-0.5</v>
      </c>
      <c r="L31" s="1">
        <v>1</v>
      </c>
    </row>
    <row r="32" spans="1:12" x14ac:dyDescent="0.35">
      <c r="A32" s="67">
        <v>36</v>
      </c>
      <c r="B32" s="1">
        <v>3</v>
      </c>
      <c r="C32" s="1">
        <v>-1.0999999999999999E-15</v>
      </c>
      <c r="D32" s="1">
        <v>0.5</v>
      </c>
      <c r="E32" s="1">
        <v>1</v>
      </c>
      <c r="F32" s="1">
        <v>1.5</v>
      </c>
      <c r="G32" s="1">
        <v>0.5</v>
      </c>
      <c r="H32" s="1">
        <v>0.5</v>
      </c>
      <c r="I32" s="1">
        <v>-0.5</v>
      </c>
      <c r="J32" s="1">
        <v>0.5</v>
      </c>
      <c r="K32" s="1">
        <v>1.0600000000000001E-15</v>
      </c>
      <c r="L32" s="1">
        <v>1</v>
      </c>
    </row>
    <row r="33" spans="1:12" x14ac:dyDescent="0.35">
      <c r="A33" s="67">
        <v>37</v>
      </c>
      <c r="B33" s="1">
        <v>5.6666670000000003</v>
      </c>
      <c r="C33" s="1">
        <v>-0.66666999999999998</v>
      </c>
      <c r="D33" s="1">
        <v>-0.16667000000000001</v>
      </c>
      <c r="E33" s="1">
        <v>-0.66666999999999998</v>
      </c>
      <c r="F33" s="1">
        <v>-0.5</v>
      </c>
      <c r="G33" s="1">
        <v>0.83333299999999999</v>
      </c>
      <c r="H33" s="1">
        <v>-0.5</v>
      </c>
      <c r="I33" s="1">
        <v>-0.16667000000000001</v>
      </c>
      <c r="J33" s="1">
        <v>-1.8333299999999999</v>
      </c>
      <c r="K33" s="1">
        <v>-1.3333299999999999</v>
      </c>
      <c r="L33" s="1">
        <v>0.96811599999999998</v>
      </c>
    </row>
    <row r="34" spans="1:12" x14ac:dyDescent="0.35">
      <c r="A34" s="67">
        <v>39</v>
      </c>
      <c r="B34" s="1">
        <v>7.5</v>
      </c>
      <c r="C34" s="1">
        <v>-1</v>
      </c>
      <c r="D34" s="1">
        <v>-1</v>
      </c>
      <c r="E34" s="1">
        <v>-1.5</v>
      </c>
      <c r="F34" s="1">
        <v>-1</v>
      </c>
      <c r="G34" s="1">
        <v>-8.5000000000000001E-16</v>
      </c>
      <c r="H34" s="1">
        <v>6.6499999999999996E-17</v>
      </c>
      <c r="I34" s="1">
        <v>-1.5</v>
      </c>
      <c r="J34" s="1">
        <v>-1</v>
      </c>
      <c r="K34" s="1">
        <v>-2</v>
      </c>
      <c r="L34" s="1">
        <v>0.95680600000000005</v>
      </c>
    </row>
    <row r="35" spans="1:12" x14ac:dyDescent="0.35">
      <c r="A35" s="67">
        <v>40</v>
      </c>
      <c r="B35" s="1">
        <v>4</v>
      </c>
      <c r="C35" s="1">
        <v>5</v>
      </c>
      <c r="D35" s="1">
        <v>2.4399999999999998E-15</v>
      </c>
      <c r="E35" s="1">
        <v>-1</v>
      </c>
      <c r="F35" s="1">
        <v>-3</v>
      </c>
      <c r="G35" s="1">
        <v>-2.2999999999999999E-15</v>
      </c>
      <c r="H35" s="1">
        <v>1</v>
      </c>
      <c r="I35" s="1">
        <v>1</v>
      </c>
      <c r="J35" s="1">
        <v>3</v>
      </c>
      <c r="K35" s="1">
        <v>-2</v>
      </c>
      <c r="L35" s="1">
        <v>1</v>
      </c>
    </row>
    <row r="36" spans="1:12" x14ac:dyDescent="0.35">
      <c r="A36" s="67">
        <v>41</v>
      </c>
      <c r="B36" s="1">
        <v>3</v>
      </c>
      <c r="C36" s="1">
        <v>1</v>
      </c>
      <c r="D36" s="1">
        <v>0.5</v>
      </c>
      <c r="E36" s="1">
        <v>-1</v>
      </c>
      <c r="F36" s="1">
        <v>-0.5</v>
      </c>
      <c r="G36" s="1">
        <v>0.5</v>
      </c>
      <c r="H36" s="1">
        <v>-0.5</v>
      </c>
      <c r="I36" s="1">
        <v>1.5</v>
      </c>
      <c r="J36" s="1">
        <v>3.5</v>
      </c>
      <c r="K36" s="1">
        <v>4.2699999999999999E-16</v>
      </c>
      <c r="L36" s="1">
        <v>1</v>
      </c>
    </row>
    <row r="37" spans="1:12" x14ac:dyDescent="0.35">
      <c r="A37" s="67">
        <v>42</v>
      </c>
      <c r="B37" s="1">
        <v>3.1666669999999999</v>
      </c>
      <c r="C37" s="1">
        <v>3.3333330000000001</v>
      </c>
      <c r="D37" s="1">
        <v>-0.16667000000000001</v>
      </c>
      <c r="E37" s="1">
        <v>-2.1666699999999999</v>
      </c>
      <c r="F37" s="1">
        <v>-2</v>
      </c>
      <c r="G37" s="1">
        <v>0.83333299999999999</v>
      </c>
      <c r="H37" s="1">
        <v>2</v>
      </c>
      <c r="I37" s="1">
        <v>0.83333299999999999</v>
      </c>
      <c r="J37" s="1">
        <v>3.1666669999999999</v>
      </c>
      <c r="K37" s="1">
        <v>-0.83333000000000002</v>
      </c>
      <c r="L37" s="1">
        <v>0.99504499999999996</v>
      </c>
    </row>
    <row r="38" spans="1:12" x14ac:dyDescent="0.35">
      <c r="A38" s="67">
        <v>43</v>
      </c>
      <c r="B38" s="1">
        <v>2.3333330000000001</v>
      </c>
      <c r="C38" s="1">
        <v>1.6666669999999999</v>
      </c>
      <c r="D38" s="1">
        <v>-0.83333000000000002</v>
      </c>
      <c r="E38" s="1">
        <v>-0.33333000000000002</v>
      </c>
      <c r="F38" s="1">
        <v>-2</v>
      </c>
      <c r="G38" s="1">
        <v>-0.83333000000000002</v>
      </c>
      <c r="H38" s="1">
        <v>2.5699999999999999E-16</v>
      </c>
      <c r="I38" s="1">
        <v>2.6666669999999999</v>
      </c>
      <c r="J38" s="1">
        <v>4.8333329999999997</v>
      </c>
      <c r="K38" s="1">
        <v>-0.16667000000000001</v>
      </c>
      <c r="L38" s="1">
        <v>0.98355800000000004</v>
      </c>
    </row>
    <row r="39" spans="1:12" x14ac:dyDescent="0.35">
      <c r="A39" s="67">
        <v>44</v>
      </c>
      <c r="B39" s="1">
        <v>4</v>
      </c>
      <c r="C39" s="1">
        <v>3</v>
      </c>
      <c r="D39" s="1">
        <v>1</v>
      </c>
      <c r="E39" s="1">
        <v>-1.0999999999999999E-15</v>
      </c>
      <c r="F39" s="1">
        <v>-3.5</v>
      </c>
      <c r="G39" s="1">
        <v>1</v>
      </c>
      <c r="H39" s="1">
        <v>-0.5</v>
      </c>
      <c r="I39" s="1">
        <v>1.5</v>
      </c>
      <c r="J39" s="1">
        <v>2</v>
      </c>
      <c r="K39" s="1">
        <v>-3.5</v>
      </c>
      <c r="L39" s="1">
        <v>1</v>
      </c>
    </row>
    <row r="40" spans="1:12" x14ac:dyDescent="0.35">
      <c r="A40" s="67">
        <v>45</v>
      </c>
      <c r="B40" s="1">
        <v>4.8333329999999997</v>
      </c>
      <c r="C40" s="1">
        <v>-2.3333300000000001</v>
      </c>
      <c r="D40" s="1">
        <v>-0.83333000000000002</v>
      </c>
      <c r="E40" s="1">
        <v>-3.8333300000000001</v>
      </c>
      <c r="F40" s="1">
        <v>-1</v>
      </c>
      <c r="G40" s="1">
        <v>2.1666669999999999</v>
      </c>
      <c r="H40" s="1">
        <v>2</v>
      </c>
      <c r="I40" s="1">
        <v>0.16666700000000001</v>
      </c>
      <c r="J40" s="1">
        <v>-1.1666700000000001</v>
      </c>
      <c r="K40" s="1">
        <v>2.8333330000000001</v>
      </c>
      <c r="L40" s="1">
        <v>0.99444399999999999</v>
      </c>
    </row>
    <row r="41" spans="1:12" x14ac:dyDescent="0.35">
      <c r="A41" s="67">
        <v>48</v>
      </c>
      <c r="B41" s="1">
        <v>4.3333329999999997</v>
      </c>
      <c r="C41" s="1">
        <v>-5.3333300000000001</v>
      </c>
      <c r="D41" s="1">
        <v>-2.8333300000000001</v>
      </c>
      <c r="E41" s="1">
        <v>-2.3333300000000001</v>
      </c>
      <c r="F41" s="1">
        <v>2</v>
      </c>
      <c r="G41" s="1">
        <v>4.1666670000000003</v>
      </c>
      <c r="H41" s="1">
        <v>1</v>
      </c>
      <c r="I41" s="1">
        <v>-1.3333299999999999</v>
      </c>
      <c r="J41" s="1">
        <v>-2.1666699999999999</v>
      </c>
      <c r="K41" s="1">
        <v>4.8333329999999997</v>
      </c>
      <c r="L41" s="1">
        <v>0.96474400000000005</v>
      </c>
    </row>
    <row r="42" spans="1:12" x14ac:dyDescent="0.35">
      <c r="A42" s="67">
        <v>52</v>
      </c>
      <c r="B42" s="1">
        <v>2.6666669999999999</v>
      </c>
      <c r="C42" s="1">
        <v>-4.6666699999999999</v>
      </c>
      <c r="D42" s="1">
        <v>0.83333299999999999</v>
      </c>
      <c r="E42" s="1">
        <v>2.3333330000000001</v>
      </c>
      <c r="F42" s="1">
        <v>5.5</v>
      </c>
      <c r="G42" s="1">
        <v>1.8333330000000001</v>
      </c>
      <c r="H42" s="1">
        <v>-2.5</v>
      </c>
      <c r="I42" s="1">
        <v>-1.1666700000000001</v>
      </c>
      <c r="J42" s="1">
        <v>-1.8333299999999999</v>
      </c>
      <c r="K42" s="1">
        <v>3.6666669999999999</v>
      </c>
      <c r="L42" s="1">
        <v>0.976939</v>
      </c>
    </row>
    <row r="43" spans="1:12" x14ac:dyDescent="0.35">
      <c r="A43" s="67">
        <v>61</v>
      </c>
      <c r="B43" s="1">
        <v>4.1666670000000003</v>
      </c>
      <c r="C43" s="1">
        <v>1.3333330000000001</v>
      </c>
      <c r="D43" s="1">
        <v>-0.16667000000000001</v>
      </c>
      <c r="E43" s="1">
        <v>-2.1666699999999999</v>
      </c>
      <c r="F43" s="1">
        <v>1.5</v>
      </c>
      <c r="G43" s="1">
        <v>2.8333330000000001</v>
      </c>
      <c r="H43" s="1">
        <v>0.5</v>
      </c>
      <c r="I43" s="1">
        <v>-1.6666700000000001</v>
      </c>
      <c r="J43" s="1">
        <v>0.16666700000000001</v>
      </c>
      <c r="K43" s="1">
        <v>-1.3333299999999999</v>
      </c>
      <c r="L43" s="1">
        <v>0.99656699999999998</v>
      </c>
    </row>
    <row r="44" spans="1:12" x14ac:dyDescent="0.35">
      <c r="A44" s="67">
        <v>67</v>
      </c>
      <c r="B44" s="1">
        <v>4.8333329999999997</v>
      </c>
      <c r="C44" s="1">
        <v>-0.33333000000000002</v>
      </c>
      <c r="D44" s="1">
        <v>-1.8333299999999999</v>
      </c>
      <c r="E44" s="1">
        <v>-2.8333300000000001</v>
      </c>
      <c r="F44" s="1">
        <v>-2</v>
      </c>
      <c r="G44" s="1">
        <v>2.1666669999999999</v>
      </c>
      <c r="H44" s="1">
        <v>4</v>
      </c>
      <c r="I44" s="1">
        <v>-0.83333000000000002</v>
      </c>
      <c r="J44" s="1">
        <v>-0.16667000000000001</v>
      </c>
      <c r="K44" s="1">
        <v>0.83333299999999999</v>
      </c>
      <c r="L44" s="1">
        <v>0.98882099999999995</v>
      </c>
    </row>
    <row r="45" spans="1:12" s="4" customFormat="1" x14ac:dyDescent="0.35">
      <c r="A45" s="3" t="s">
        <v>13</v>
      </c>
      <c r="B45" s="4">
        <f>AVERAGE(B2:B44)</f>
        <v>4.3410852790697669</v>
      </c>
      <c r="C45" s="4">
        <f>AVERAGE(C2:C44)</f>
        <v>0.472868488372093</v>
      </c>
      <c r="D45" s="4">
        <f>AVERAGE(D2:D44)</f>
        <v>0.13565890697674421</v>
      </c>
      <c r="E45" s="4">
        <f>AVERAGE(E2:E44)</f>
        <v>-0.20155032558139538</v>
      </c>
      <c r="F45" s="4">
        <f>AVERAGE(F2:F44)</f>
        <v>-0.26744186046511625</v>
      </c>
      <c r="G45" s="4">
        <f>AVERAGE(G2:G44)</f>
        <v>0.25193797674418594</v>
      </c>
      <c r="H45" s="4">
        <f>AVERAGE(H2:H44)</f>
        <v>3.4883720930232648E-2</v>
      </c>
      <c r="I45" s="4">
        <f>AVERAGE(I2:I44)</f>
        <v>0.22868181395348838</v>
      </c>
      <c r="J45" s="4">
        <f>AVERAGE(J2:J44)</f>
        <v>0.44573672093023253</v>
      </c>
      <c r="K45" s="4">
        <f>AVERAGE(K2:K44)</f>
        <v>-0.17054220930232564</v>
      </c>
      <c r="L45" s="4">
        <f>AVERAGE(L2:L44)</f>
        <v>0.95589137209302333</v>
      </c>
    </row>
    <row r="48" spans="1:12" x14ac:dyDescent="0.35">
      <c r="A48" s="69" t="s">
        <v>0</v>
      </c>
      <c r="B48" s="8" t="s">
        <v>17</v>
      </c>
      <c r="C48" s="8" t="s">
        <v>21</v>
      </c>
      <c r="D48" s="8" t="s">
        <v>24</v>
      </c>
      <c r="E48" s="8" t="s">
        <v>27</v>
      </c>
      <c r="F48" s="8" t="s">
        <v>30</v>
      </c>
    </row>
    <row r="49" spans="1:6" x14ac:dyDescent="0.35">
      <c r="A49" s="67">
        <v>1</v>
      </c>
      <c r="B49" s="1">
        <f>MAX(C2:D2)-MIN(C2:D2)</f>
        <v>2</v>
      </c>
      <c r="C49" s="1">
        <f>MAX(E2:F2)-MIN(E2:F2)</f>
        <v>0.83333000000000002</v>
      </c>
      <c r="D49" s="1">
        <f>MAX(G2:H2)-MIN(G2:H2)</f>
        <v>0.66666999999999899</v>
      </c>
      <c r="E49" s="1">
        <f>MAX(I2:J2)-MIN(I2:J2)</f>
        <v>0.16665999999999981</v>
      </c>
      <c r="F49" s="1">
        <f>ABS(L2)</f>
        <v>0.97587699999999999</v>
      </c>
    </row>
    <row r="50" spans="1:6" x14ac:dyDescent="0.35">
      <c r="A50" s="67">
        <v>2</v>
      </c>
      <c r="B50" s="1">
        <f>MAX(C3:D3)-MIN(C3:D3)</f>
        <v>1</v>
      </c>
      <c r="C50" s="1">
        <f>MAX(E3:F3)-MIN(E3:F3)</f>
        <v>2.8333330000000001</v>
      </c>
      <c r="D50" s="1">
        <f>MAX(G3:H3)-MIN(G3:H3)</f>
        <v>1.8333300000000001</v>
      </c>
      <c r="E50" s="1">
        <f>MAX(I3:J3)-MIN(I3:J3)</f>
        <v>0.16666599999999998</v>
      </c>
      <c r="F50" s="1">
        <f>ABS(L3)</f>
        <v>0.97505699999999995</v>
      </c>
    </row>
    <row r="51" spans="1:6" x14ac:dyDescent="0.35">
      <c r="A51" s="67">
        <v>3</v>
      </c>
      <c r="B51" s="1">
        <f>MAX(C4:D4)-MIN(C4:D4)</f>
        <v>0</v>
      </c>
      <c r="C51" s="1">
        <f>MAX(E4:F4)-MIN(E4:F4)</f>
        <v>0</v>
      </c>
      <c r="D51" s="1">
        <f>MAX(G4:H4)-MIN(G4:H4)</f>
        <v>0</v>
      </c>
      <c r="E51" s="1">
        <f>MAX(I4:J4)-MIN(I4:J4)</f>
        <v>0</v>
      </c>
      <c r="F51" s="1">
        <f>ABS(L4)</f>
        <v>1</v>
      </c>
    </row>
    <row r="52" spans="1:6" x14ac:dyDescent="0.35">
      <c r="A52" s="67">
        <v>5</v>
      </c>
      <c r="B52" s="1">
        <f>MAX(C5:D5)-MIN(C5:D5)</f>
        <v>0</v>
      </c>
      <c r="C52" s="1">
        <f>MAX(E5:F5)-MIN(E5:F5)</f>
        <v>3.6666669999999999</v>
      </c>
      <c r="D52" s="1">
        <f>MAX(G5:H5)-MIN(G5:H5)</f>
        <v>0.16666999999999987</v>
      </c>
      <c r="E52" s="1">
        <f>MAX(I5:J5)-MIN(I5:J5)</f>
        <v>0.66666300000000001</v>
      </c>
      <c r="F52" s="1">
        <f>ABS(L5)</f>
        <v>0.99003600000000003</v>
      </c>
    </row>
    <row r="53" spans="1:6" x14ac:dyDescent="0.35">
      <c r="A53" s="67">
        <v>6</v>
      </c>
      <c r="B53" s="1">
        <f>MAX(C6:D6)-MIN(C6:D6)</f>
        <v>1</v>
      </c>
      <c r="C53" s="1">
        <f>MAX(E6:F6)-MIN(E6:F6)</f>
        <v>1.1666700000000001</v>
      </c>
      <c r="D53" s="1">
        <f>MAX(G6:H6)-MIN(G6:H6)</f>
        <v>0.3333330000000001</v>
      </c>
      <c r="E53" s="1">
        <f>MAX(I6:J6)-MIN(I6:J6)</f>
        <v>0.16666599999999998</v>
      </c>
      <c r="F53" s="1">
        <f>ABS(L6)</f>
        <v>0.74250899999999997</v>
      </c>
    </row>
    <row r="54" spans="1:6" x14ac:dyDescent="0.35">
      <c r="A54" s="67">
        <v>7</v>
      </c>
      <c r="B54" s="1">
        <f>MAX(C7:D7)-MIN(C7:D7)</f>
        <v>1</v>
      </c>
      <c r="C54" s="1">
        <f>MAX(E7:F7)-MIN(E7:F7)</f>
        <v>3.1666669999999999</v>
      </c>
      <c r="D54" s="1">
        <f>MAX(G7:H7)-MIN(G7:H7)</f>
        <v>1.6666699999999999</v>
      </c>
      <c r="E54" s="1">
        <f>MAX(I7:J7)-MIN(I7:J7)</f>
        <v>0.83334000000000008</v>
      </c>
      <c r="F54" s="1">
        <f>ABS(L7)</f>
        <v>0.99625900000000001</v>
      </c>
    </row>
    <row r="55" spans="1:6" x14ac:dyDescent="0.35">
      <c r="A55" s="67">
        <v>8</v>
      </c>
      <c r="B55" s="1">
        <f>MAX(C8:D8)-MIN(C8:D8)</f>
        <v>0</v>
      </c>
      <c r="C55" s="1">
        <f>MAX(E8:F8)-MIN(E8:F8)</f>
        <v>2</v>
      </c>
      <c r="D55" s="1">
        <f>MAX(G8:H8)-MIN(G8:H8)</f>
        <v>0.5</v>
      </c>
      <c r="E55" s="1">
        <f>MAX(I8:J8)-MIN(I8:J8)</f>
        <v>0.99999999999999978</v>
      </c>
      <c r="F55" s="1">
        <f>ABS(L8)</f>
        <v>0.85</v>
      </c>
    </row>
    <row r="56" spans="1:6" x14ac:dyDescent="0.35">
      <c r="A56" s="67">
        <v>9</v>
      </c>
      <c r="B56" s="1">
        <f>MAX(C9:D9)-MIN(C9:D9)</f>
        <v>2</v>
      </c>
      <c r="C56" s="1">
        <f>MAX(E9:F9)-MIN(E9:F9)</f>
        <v>0.8333330000000001</v>
      </c>
      <c r="D56" s="1">
        <f>MAX(G9:H9)-MIN(G9:H9)</f>
        <v>2.8333300000000001</v>
      </c>
      <c r="E56" s="1">
        <f>MAX(I9:J9)-MIN(I9:J9)</f>
        <v>1.166663</v>
      </c>
      <c r="F56" s="1">
        <f>ABS(L9)</f>
        <v>0.96474400000000005</v>
      </c>
    </row>
    <row r="57" spans="1:6" x14ac:dyDescent="0.35">
      <c r="A57" s="67">
        <v>10</v>
      </c>
      <c r="B57" s="1">
        <f>MAX(C10:D10)-MIN(C10:D10)</f>
        <v>2.4999969999999996</v>
      </c>
      <c r="C57" s="1">
        <f>MAX(E10:F10)-MIN(E10:F10)</f>
        <v>1.6666669999999999</v>
      </c>
      <c r="D57" s="1">
        <f>MAX(G10:H10)-MIN(G10:H10)</f>
        <v>1.1666699999999999</v>
      </c>
      <c r="E57" s="1">
        <f>MAX(I10:J10)-MIN(I10:J10)</f>
        <v>1.1666660000000002</v>
      </c>
      <c r="F57" s="1">
        <f>ABS(L10)</f>
        <v>0.92739300000000002</v>
      </c>
    </row>
    <row r="58" spans="1:6" x14ac:dyDescent="0.35">
      <c r="A58" s="67">
        <v>11</v>
      </c>
      <c r="B58" s="1">
        <f>MAX(C11:D11)-MIN(C11:D11)</f>
        <v>0.5</v>
      </c>
      <c r="C58" s="1">
        <f>MAX(E11:F11)-MIN(E11:F11)</f>
        <v>1.3333300000000001</v>
      </c>
      <c r="D58" s="1">
        <f>MAX(G11:H11)-MIN(G11:H11)</f>
        <v>0.3333330000000001</v>
      </c>
      <c r="E58" s="1">
        <f>MAX(I11:J11)-MIN(I11:J11)</f>
        <v>0.83333699999999999</v>
      </c>
      <c r="F58" s="1">
        <f>ABS(L11)</f>
        <v>0.96014500000000003</v>
      </c>
    </row>
    <row r="59" spans="1:6" x14ac:dyDescent="0.35">
      <c r="A59" s="67">
        <v>13</v>
      </c>
      <c r="B59" s="1">
        <f>MAX(C12:D12)-MIN(C12:D12)</f>
        <v>1.9999999999999996</v>
      </c>
      <c r="C59" s="1">
        <f>MAX(E12:F12)-MIN(E12:F12)</f>
        <v>2.3333329999999997</v>
      </c>
      <c r="D59" s="1">
        <f>MAX(G12:H12)-MIN(G12:H12)</f>
        <v>1.8333300000000001</v>
      </c>
      <c r="E59" s="1">
        <f>MAX(I12:J12)-MIN(I12:J12)</f>
        <v>1.6666660000000002</v>
      </c>
      <c r="F59" s="1">
        <f>ABS(L12)</f>
        <v>0.99444399999999999</v>
      </c>
    </row>
    <row r="60" spans="1:6" x14ac:dyDescent="0.35">
      <c r="A60" s="67">
        <v>14</v>
      </c>
      <c r="B60" s="1">
        <f>MAX(C13:D13)-MIN(C13:D13)</f>
        <v>2.5</v>
      </c>
      <c r="C60" s="1">
        <f>MAX(E13:F13)-MIN(E13:F13)</f>
        <v>3.1666699999999999</v>
      </c>
      <c r="D60" s="1">
        <f>MAX(G13:H13)-MIN(G13:H13)</f>
        <v>3.6666699999999999</v>
      </c>
      <c r="E60" s="1">
        <f>MAX(I13:J13)-MIN(I13:J13)</f>
        <v>1.66666</v>
      </c>
      <c r="F60" s="1">
        <f>ABS(L13)</f>
        <v>0.98671500000000001</v>
      </c>
    </row>
    <row r="61" spans="1:6" x14ac:dyDescent="0.35">
      <c r="A61" s="67">
        <v>16</v>
      </c>
      <c r="B61" s="1">
        <f>MAX(C14:D14)-MIN(C14:D14)</f>
        <v>0</v>
      </c>
      <c r="C61" s="1">
        <f>MAX(E14:F14)-MIN(E14:F14)</f>
        <v>2.6666699999999999</v>
      </c>
      <c r="D61" s="1">
        <f>MAX(G14:H14)-MIN(G14:H14)</f>
        <v>0.33333000000000129</v>
      </c>
      <c r="E61" s="1">
        <f>MAX(I14:J14)-MIN(I14:J14)</f>
        <v>0.66666600000000009</v>
      </c>
      <c r="F61" s="1">
        <f>ABS(L14)</f>
        <v>0.94270799999999999</v>
      </c>
    </row>
    <row r="62" spans="1:6" x14ac:dyDescent="0.35">
      <c r="A62" s="67">
        <v>17</v>
      </c>
      <c r="B62" s="1">
        <f>MAX(C15:D15)-MIN(C15:D15)</f>
        <v>2</v>
      </c>
      <c r="C62" s="1">
        <f>MAX(E15:F15)-MIN(E15:F15)</f>
        <v>0.83333000000000002</v>
      </c>
      <c r="D62" s="1">
        <f>MAX(G15:H15)-MIN(G15:H15)</f>
        <v>0.83333000000000002</v>
      </c>
      <c r="E62" s="1">
        <f>MAX(I15:J15)-MIN(I15:J15)</f>
        <v>0.16666599999999998</v>
      </c>
      <c r="F62" s="1">
        <f>ABS(L15)</f>
        <v>0.92198599999999997</v>
      </c>
    </row>
    <row r="63" spans="1:6" x14ac:dyDescent="0.35">
      <c r="A63" s="67">
        <v>18</v>
      </c>
      <c r="B63" s="1">
        <f>MAX(C16:D16)-MIN(C16:D16)</f>
        <v>0.5</v>
      </c>
      <c r="C63" s="1">
        <f>MAX(E16:F16)-MIN(E16:F16)</f>
        <v>3.6666699999999999</v>
      </c>
      <c r="D63" s="1">
        <f>MAX(G16:H16)-MIN(G16:H16)</f>
        <v>0.3333330000000001</v>
      </c>
      <c r="E63" s="1">
        <f>MAX(I16:J16)-MIN(I16:J16)</f>
        <v>0.83334000000000008</v>
      </c>
      <c r="F63" s="1">
        <f>ABS(L16)</f>
        <v>0.98472199999999999</v>
      </c>
    </row>
    <row r="64" spans="1:6" x14ac:dyDescent="0.35">
      <c r="A64" s="67">
        <v>20</v>
      </c>
      <c r="B64" s="1">
        <f>MAX(C17:D17)-MIN(C17:D17)</f>
        <v>0.49999700000000002</v>
      </c>
      <c r="C64" s="1">
        <f>MAX(E17:F17)-MIN(E17:F17)</f>
        <v>0.16666999999999998</v>
      </c>
      <c r="D64" s="1">
        <f>MAX(G17:H17)-MIN(G17:H17)</f>
        <v>0.6666669999999999</v>
      </c>
      <c r="E64" s="1">
        <f>MAX(I17:J17)-MIN(I17:J17)</f>
        <v>0.66666000000000003</v>
      </c>
      <c r="F64" s="1">
        <f>ABS(L17)</f>
        <v>0.75555600000000001</v>
      </c>
    </row>
    <row r="65" spans="1:6" x14ac:dyDescent="0.35">
      <c r="A65" s="67">
        <v>21</v>
      </c>
      <c r="B65" s="1">
        <f>MAX(C18:D18)-MIN(C18:D18)</f>
        <v>0</v>
      </c>
      <c r="C65" s="1">
        <f>MAX(E18:F18)-MIN(E18:F18)</f>
        <v>0</v>
      </c>
      <c r="D65" s="1">
        <f>MAX(G18:H18)-MIN(G18:H18)</f>
        <v>0</v>
      </c>
      <c r="E65" s="1">
        <f>MAX(I18:J18)-MIN(I18:J18)</f>
        <v>0</v>
      </c>
      <c r="F65" s="1">
        <f>ABS(L18)</f>
        <v>1</v>
      </c>
    </row>
    <row r="66" spans="1:6" x14ac:dyDescent="0.35">
      <c r="A66" s="67">
        <v>22</v>
      </c>
      <c r="B66" s="1">
        <f>MAX(C19:D19)-MIN(C19:D19)</f>
        <v>0.5</v>
      </c>
      <c r="C66" s="1">
        <f>MAX(E19:F19)-MIN(E19:F19)</f>
        <v>1.8333330000000001</v>
      </c>
      <c r="D66" s="1">
        <f>MAX(G19:H19)-MIN(G19:H19)</f>
        <v>1.3333299999999999</v>
      </c>
      <c r="E66" s="1">
        <f>MAX(I19:J19)-MIN(I19:J19)</f>
        <v>0.66666000000000003</v>
      </c>
      <c r="F66" s="1">
        <f>ABS(L19)</f>
        <v>0.936782</v>
      </c>
    </row>
    <row r="67" spans="1:6" x14ac:dyDescent="0.35">
      <c r="A67" s="67">
        <v>23</v>
      </c>
      <c r="B67" s="1">
        <f>MAX(C20:D20)-MIN(C20:D20)</f>
        <v>1.5000030000000002</v>
      </c>
      <c r="C67" s="1">
        <f>MAX(E20:F20)-MIN(E20:F20)</f>
        <v>0.6666700000000001</v>
      </c>
      <c r="D67" s="1">
        <f>MAX(G20:H20)-MIN(G20:H20)</f>
        <v>0.33333299999999999</v>
      </c>
      <c r="E67" s="1">
        <f>MAX(I20:J20)-MIN(I20:J20)</f>
        <v>1.1666599999999998</v>
      </c>
      <c r="F67" s="1">
        <f>ABS(L20)</f>
        <v>0.98446299999999998</v>
      </c>
    </row>
    <row r="68" spans="1:6" x14ac:dyDescent="0.35">
      <c r="A68" s="67">
        <v>24</v>
      </c>
      <c r="B68" s="1">
        <f>MAX(C21:D21)-MIN(C21:D21)</f>
        <v>0.5</v>
      </c>
      <c r="C68" s="1">
        <f>MAX(E21:F21)-MIN(E21:F21)</f>
        <v>0.1666700000000001</v>
      </c>
      <c r="D68" s="1">
        <f>MAX(G21:H21)-MIN(G21:H21)</f>
        <v>0.6666669999999999</v>
      </c>
      <c r="E68" s="1">
        <f>MAX(I21:J21)-MIN(I21:J21)</f>
        <v>0.6666660000000002</v>
      </c>
      <c r="F68" s="1">
        <f>ABS(L21)</f>
        <v>0.98193799999999998</v>
      </c>
    </row>
    <row r="69" spans="1:6" x14ac:dyDescent="0.35">
      <c r="A69" s="67">
        <v>25</v>
      </c>
      <c r="B69" s="1">
        <f>MAX(C22:D22)-MIN(C22:D22)</f>
        <v>0</v>
      </c>
      <c r="C69" s="1">
        <f>MAX(E22:F22)-MIN(E22:F22)</f>
        <v>0.1666700000000001</v>
      </c>
      <c r="D69" s="1">
        <f>MAX(G22:H22)-MIN(G22:H22)</f>
        <v>0.1666669999999999</v>
      </c>
      <c r="E69" s="1">
        <f>MAX(I22:J22)-MIN(I22:J22)</f>
        <v>0.1666660000000002</v>
      </c>
      <c r="F69" s="1">
        <f>ABS(L22)</f>
        <v>0.97587699999999999</v>
      </c>
    </row>
    <row r="70" spans="1:6" x14ac:dyDescent="0.35">
      <c r="A70" s="67">
        <v>26</v>
      </c>
      <c r="B70" s="1">
        <f>MAX(C23:D23)-MIN(C23:D23)</f>
        <v>1</v>
      </c>
      <c r="C70" s="1">
        <f>MAX(E23:F23)-MIN(E23:F23)</f>
        <v>0.66666700000000001</v>
      </c>
      <c r="D70" s="1">
        <f>MAX(G23:H23)-MIN(G23:H23)</f>
        <v>1.1666699999999999</v>
      </c>
      <c r="E70" s="1">
        <f>MAX(I23:J23)-MIN(I23:J23)</f>
        <v>0.6666660000000002</v>
      </c>
      <c r="F70" s="1">
        <f>ABS(L23)</f>
        <v>0.89241000000000004</v>
      </c>
    </row>
    <row r="71" spans="1:6" x14ac:dyDescent="0.35">
      <c r="A71" s="67">
        <v>27</v>
      </c>
      <c r="B71" s="1">
        <f>MAX(C24:D24)-MIN(C24:D24)</f>
        <v>3</v>
      </c>
      <c r="C71" s="1">
        <f>MAX(E24:F24)-MIN(E24:F24)</f>
        <v>0.33333299999999833</v>
      </c>
      <c r="D71" s="1">
        <f>MAX(G24:H24)-MIN(G24:H24)</f>
        <v>0.33333299999999821</v>
      </c>
      <c r="E71" s="1">
        <f>MAX(I24:J24)-MIN(I24:J24)</f>
        <v>0.3333339999999998</v>
      </c>
      <c r="F71" s="1">
        <f>ABS(L24)</f>
        <v>0.89294399999999996</v>
      </c>
    </row>
    <row r="72" spans="1:6" x14ac:dyDescent="0.35">
      <c r="A72" s="67">
        <v>28</v>
      </c>
      <c r="B72" s="1">
        <f>MAX(C25:D25)-MIN(C25:D25)</f>
        <v>0.5</v>
      </c>
      <c r="C72" s="1">
        <f>MAX(E25:F25)-MIN(E25:F25)</f>
        <v>2.6666669999999999</v>
      </c>
      <c r="D72" s="1">
        <f>MAX(G25:H25)-MIN(G25:H25)</f>
        <v>1.8333299999999999</v>
      </c>
      <c r="E72" s="1">
        <f>MAX(I25:J25)-MIN(I25:J25)</f>
        <v>0.1666660000000002</v>
      </c>
      <c r="F72" s="1">
        <f>ABS(L25)</f>
        <v>0.78744000000000003</v>
      </c>
    </row>
    <row r="73" spans="1:6" x14ac:dyDescent="0.35">
      <c r="A73" s="67">
        <v>29</v>
      </c>
      <c r="B73" s="1">
        <f>MAX(C26:D26)-MIN(C26:D26)</f>
        <v>4.5000029999999995</v>
      </c>
      <c r="C73" s="1">
        <f>MAX(E26:F26)-MIN(E26:F26)</f>
        <v>1.8333299999999999</v>
      </c>
      <c r="D73" s="1">
        <f>MAX(G26:H26)-MIN(G26:H26)</f>
        <v>1.1666700000000001</v>
      </c>
      <c r="E73" s="1">
        <f>MAX(I26:J26)-MIN(I26:J26)</f>
        <v>2.3333339999999998</v>
      </c>
      <c r="F73" s="1">
        <f>ABS(L26)</f>
        <v>0.99408600000000003</v>
      </c>
    </row>
    <row r="74" spans="1:6" x14ac:dyDescent="0.35">
      <c r="A74" s="67">
        <v>30</v>
      </c>
      <c r="B74" s="1">
        <f>MAX(C27:D27)-MIN(C27:D27)</f>
        <v>0.99999999999999944</v>
      </c>
      <c r="C74" s="1">
        <f>MAX(E27:F27)-MIN(E27:F27)</f>
        <v>0.49999999999999972</v>
      </c>
      <c r="D74" s="1">
        <f>MAX(G27:H27)-MIN(G27:H27)</f>
        <v>0.50000000000000056</v>
      </c>
      <c r="E74" s="1">
        <f>MAX(I27:J27)-MIN(I27:J27)</f>
        <v>0.5</v>
      </c>
      <c r="F74" s="1">
        <f>ABS(L27)</f>
        <v>1</v>
      </c>
    </row>
    <row r="75" spans="1:6" x14ac:dyDescent="0.35">
      <c r="A75" s="67">
        <v>31</v>
      </c>
      <c r="B75" s="1">
        <f>MAX(C28:D28)-MIN(C28:D28)</f>
        <v>1</v>
      </c>
      <c r="C75" s="1">
        <f>MAX(E28:F28)-MIN(E28:F28)</f>
        <v>3</v>
      </c>
      <c r="D75" s="1">
        <f>MAX(G28:H28)-MIN(G28:H28)</f>
        <v>0</v>
      </c>
      <c r="E75" s="1">
        <f>MAX(I28:J28)-MIN(I28:J28)</f>
        <v>1</v>
      </c>
      <c r="F75" s="1">
        <f>ABS(L28)</f>
        <v>1</v>
      </c>
    </row>
    <row r="76" spans="1:6" x14ac:dyDescent="0.35">
      <c r="A76" s="67">
        <v>33</v>
      </c>
      <c r="B76" s="1">
        <f>MAX(C29:D29)-MIN(C29:D29)</f>
        <v>0.99999999999999989</v>
      </c>
      <c r="C76" s="1">
        <f>MAX(E29:F29)-MIN(E29:F29)</f>
        <v>1.1666669999999999</v>
      </c>
      <c r="D76" s="1">
        <f>MAX(G29:H29)-MIN(G29:H29)</f>
        <v>0.8333299999999999</v>
      </c>
      <c r="E76" s="1">
        <f>MAX(I29:J29)-MIN(I29:J29)</f>
        <v>0.16666599999999998</v>
      </c>
      <c r="F76" s="1">
        <f>ABS(L29)</f>
        <v>0.86419800000000002</v>
      </c>
    </row>
    <row r="77" spans="1:6" x14ac:dyDescent="0.35">
      <c r="A77" s="67">
        <v>34</v>
      </c>
      <c r="B77" s="1">
        <f>MAX(C30:D30)-MIN(C30:D30)</f>
        <v>0.5</v>
      </c>
      <c r="C77" s="1">
        <f>MAX(E30:F30)-MIN(E30:F30)</f>
        <v>0.5</v>
      </c>
      <c r="D77" s="1">
        <f>MAX(G30:H30)-MIN(G30:H30)</f>
        <v>2</v>
      </c>
      <c r="E77" s="1">
        <f>MAX(I30:J30)-MIN(I30:J30)</f>
        <v>0</v>
      </c>
      <c r="F77" s="1">
        <f>ABS(L30)</f>
        <v>1</v>
      </c>
    </row>
    <row r="78" spans="1:6" x14ac:dyDescent="0.35">
      <c r="A78" s="67">
        <v>35</v>
      </c>
      <c r="B78" s="1">
        <f>MAX(C31:D31)-MIN(C31:D31)</f>
        <v>0</v>
      </c>
      <c r="C78" s="1">
        <f>MAX(E31:F31)-MIN(E31:F31)</f>
        <v>3.5</v>
      </c>
      <c r="D78" s="1">
        <f>MAX(G31:H31)-MIN(G31:H31)</f>
        <v>1.5</v>
      </c>
      <c r="E78" s="1">
        <f>MAX(I31:J31)-MIN(I31:J31)</f>
        <v>0.50000000000000255</v>
      </c>
      <c r="F78" s="1">
        <f>ABS(L31)</f>
        <v>1</v>
      </c>
    </row>
    <row r="79" spans="1:6" x14ac:dyDescent="0.35">
      <c r="A79" s="67">
        <v>36</v>
      </c>
      <c r="B79" s="1">
        <f>MAX(C32:D32)-MIN(C32:D32)</f>
        <v>0.50000000000000111</v>
      </c>
      <c r="C79" s="1">
        <f>MAX(E32:F32)-MIN(E32:F32)</f>
        <v>0.5</v>
      </c>
      <c r="D79" s="1">
        <f>MAX(G32:H32)-MIN(G32:H32)</f>
        <v>0</v>
      </c>
      <c r="E79" s="1">
        <f>MAX(I32:J32)-MIN(I32:J32)</f>
        <v>1</v>
      </c>
      <c r="F79" s="1">
        <f>ABS(L32)</f>
        <v>1</v>
      </c>
    </row>
    <row r="80" spans="1:6" x14ac:dyDescent="0.35">
      <c r="A80" s="67">
        <v>37</v>
      </c>
      <c r="B80" s="1">
        <f>MAX(C33:D33)-MIN(C33:D33)</f>
        <v>0.5</v>
      </c>
      <c r="C80" s="1">
        <f>MAX(E33:F33)-MIN(E33:F33)</f>
        <v>0.16666999999999998</v>
      </c>
      <c r="D80" s="1">
        <f>MAX(G33:H33)-MIN(G33:H33)</f>
        <v>1.3333330000000001</v>
      </c>
      <c r="E80" s="1">
        <f>MAX(I33:J33)-MIN(I33:J33)</f>
        <v>1.6666599999999998</v>
      </c>
      <c r="F80" s="1">
        <f>ABS(L33)</f>
        <v>0.96811599999999998</v>
      </c>
    </row>
    <row r="81" spans="1:6" x14ac:dyDescent="0.35">
      <c r="A81" s="67">
        <v>39</v>
      </c>
      <c r="B81" s="1">
        <f>MAX(C34:D34)-MIN(C34:D34)</f>
        <v>0</v>
      </c>
      <c r="C81" s="1">
        <f>MAX(E34:F34)-MIN(E34:F34)</f>
        <v>0.5</v>
      </c>
      <c r="D81" s="1">
        <f>MAX(G34:H34)-MIN(G34:H34)</f>
        <v>9.165E-16</v>
      </c>
      <c r="E81" s="1">
        <f>MAX(I34:J34)-MIN(I34:J34)</f>
        <v>0.5</v>
      </c>
      <c r="F81" s="1">
        <f>ABS(L34)</f>
        <v>0.95680600000000005</v>
      </c>
    </row>
    <row r="82" spans="1:6" x14ac:dyDescent="0.35">
      <c r="A82" s="67">
        <v>40</v>
      </c>
      <c r="B82" s="1">
        <f>MAX(C35:D35)-MIN(C35:D35)</f>
        <v>4.9999999999999973</v>
      </c>
      <c r="C82" s="1">
        <f>MAX(E35:F35)-MIN(E35:F35)</f>
        <v>2</v>
      </c>
      <c r="D82" s="1">
        <f>MAX(G35:H35)-MIN(G35:H35)</f>
        <v>1.0000000000000022</v>
      </c>
      <c r="E82" s="1">
        <f>MAX(I35:J35)-MIN(I35:J35)</f>
        <v>2</v>
      </c>
      <c r="F82" s="1">
        <f>ABS(L35)</f>
        <v>1</v>
      </c>
    </row>
    <row r="83" spans="1:6" x14ac:dyDescent="0.35">
      <c r="A83" s="67">
        <v>41</v>
      </c>
      <c r="B83" s="1">
        <f>MAX(C36:D36)-MIN(C36:D36)</f>
        <v>0.5</v>
      </c>
      <c r="C83" s="1">
        <f>MAX(E36:F36)-MIN(E36:F36)</f>
        <v>0.5</v>
      </c>
      <c r="D83" s="1">
        <f>MAX(G36:H36)-MIN(G36:H36)</f>
        <v>1</v>
      </c>
      <c r="E83" s="1">
        <f>MAX(I36:J36)-MIN(I36:J36)</f>
        <v>2</v>
      </c>
      <c r="F83" s="1">
        <f>ABS(L36)</f>
        <v>1</v>
      </c>
    </row>
    <row r="84" spans="1:6" x14ac:dyDescent="0.35">
      <c r="A84" s="67">
        <v>42</v>
      </c>
      <c r="B84" s="1">
        <f>MAX(C37:D37)-MIN(C37:D37)</f>
        <v>3.500003</v>
      </c>
      <c r="C84" s="1">
        <f>MAX(E37:F37)-MIN(E37:F37)</f>
        <v>0.16666999999999987</v>
      </c>
      <c r="D84" s="1">
        <f>MAX(G37:H37)-MIN(G37:H37)</f>
        <v>1.1666669999999999</v>
      </c>
      <c r="E84" s="1">
        <f>MAX(I37:J37)-MIN(I37:J37)</f>
        <v>2.3333339999999998</v>
      </c>
      <c r="F84" s="1">
        <f>ABS(L37)</f>
        <v>0.99504499999999996</v>
      </c>
    </row>
    <row r="85" spans="1:6" x14ac:dyDescent="0.35">
      <c r="A85" s="67">
        <v>43</v>
      </c>
      <c r="B85" s="1">
        <f>MAX(C38:D38)-MIN(C38:D38)</f>
        <v>2.499997</v>
      </c>
      <c r="C85" s="1">
        <f>MAX(E38:F38)-MIN(E38:F38)</f>
        <v>1.6666699999999999</v>
      </c>
      <c r="D85" s="1">
        <f>MAX(G38:H38)-MIN(G38:H38)</f>
        <v>0.83333000000000024</v>
      </c>
      <c r="E85" s="1">
        <f>MAX(I38:J38)-MIN(I38:J38)</f>
        <v>2.1666659999999998</v>
      </c>
      <c r="F85" s="1">
        <f>ABS(L38)</f>
        <v>0.98355800000000004</v>
      </c>
    </row>
    <row r="86" spans="1:6" x14ac:dyDescent="0.35">
      <c r="A86" s="67">
        <v>44</v>
      </c>
      <c r="B86" s="1">
        <f>MAX(C39:D39)-MIN(C39:D39)</f>
        <v>2</v>
      </c>
      <c r="C86" s="1">
        <f>MAX(E39:F39)-MIN(E39:F39)</f>
        <v>3.4999999999999991</v>
      </c>
      <c r="D86" s="1">
        <f>MAX(G39:H39)-MIN(G39:H39)</f>
        <v>1.5</v>
      </c>
      <c r="E86" s="1">
        <f>MAX(I39:J39)-MIN(I39:J39)</f>
        <v>0.5</v>
      </c>
      <c r="F86" s="1">
        <f>ABS(L39)</f>
        <v>1</v>
      </c>
    </row>
    <row r="87" spans="1:6" x14ac:dyDescent="0.35">
      <c r="A87" s="67">
        <v>45</v>
      </c>
      <c r="B87" s="1">
        <f>MAX(C40:D40)-MIN(C40:D40)</f>
        <v>1.5</v>
      </c>
      <c r="C87" s="1">
        <f>MAX(E40:F40)-MIN(E40:F40)</f>
        <v>2.8333300000000001</v>
      </c>
      <c r="D87" s="1">
        <f>MAX(G40:H40)-MIN(G40:H40)</f>
        <v>0.1666669999999999</v>
      </c>
      <c r="E87" s="1">
        <f>MAX(I40:J40)-MIN(I40:J40)</f>
        <v>1.3333370000000002</v>
      </c>
      <c r="F87" s="1">
        <f>ABS(L40)</f>
        <v>0.99444399999999999</v>
      </c>
    </row>
    <row r="88" spans="1:6" x14ac:dyDescent="0.35">
      <c r="A88" s="67">
        <v>48</v>
      </c>
      <c r="B88" s="1">
        <f>MAX(C41:D41)-MIN(C41:D41)</f>
        <v>2.5</v>
      </c>
      <c r="C88" s="1">
        <f>MAX(E41:F41)-MIN(E41:F41)</f>
        <v>4.3333300000000001</v>
      </c>
      <c r="D88" s="1">
        <f>MAX(G41:H41)-MIN(G41:H41)</f>
        <v>3.1666670000000003</v>
      </c>
      <c r="E88" s="1">
        <f>MAX(I41:J41)-MIN(I41:J41)</f>
        <v>0.83333999999999997</v>
      </c>
      <c r="F88" s="1">
        <f>ABS(L41)</f>
        <v>0.96474400000000005</v>
      </c>
    </row>
    <row r="89" spans="1:6" x14ac:dyDescent="0.35">
      <c r="A89" s="67">
        <v>52</v>
      </c>
      <c r="B89" s="1">
        <f>MAX(C42:D42)-MIN(C42:D42)</f>
        <v>5.5000029999999995</v>
      </c>
      <c r="C89" s="1">
        <f>MAX(E42:F42)-MIN(E42:F42)</f>
        <v>3.1666669999999999</v>
      </c>
      <c r="D89" s="1">
        <f>MAX(G42:H42)-MIN(G42:H42)</f>
        <v>4.3333329999999997</v>
      </c>
      <c r="E89" s="1">
        <f>MAX(I42:J42)-MIN(I42:J42)</f>
        <v>0.66665999999999981</v>
      </c>
      <c r="F89" s="1">
        <f>ABS(L42)</f>
        <v>0.976939</v>
      </c>
    </row>
    <row r="90" spans="1:6" x14ac:dyDescent="0.35">
      <c r="A90" s="67">
        <v>61</v>
      </c>
      <c r="B90" s="1">
        <f>MAX(C43:D43)-MIN(C43:D43)</f>
        <v>1.5000030000000002</v>
      </c>
      <c r="C90" s="1">
        <f>MAX(E43:F43)-MIN(E43:F43)</f>
        <v>3.6666699999999999</v>
      </c>
      <c r="D90" s="1">
        <f>MAX(G43:H43)-MIN(G43:H43)</f>
        <v>2.3333330000000001</v>
      </c>
      <c r="E90" s="1">
        <f>MAX(I43:J43)-MIN(I43:J43)</f>
        <v>1.8333370000000002</v>
      </c>
      <c r="F90" s="1">
        <f>ABS(L43)</f>
        <v>0.99656699999999998</v>
      </c>
    </row>
    <row r="91" spans="1:6" x14ac:dyDescent="0.35">
      <c r="A91" s="67">
        <v>67</v>
      </c>
      <c r="B91" s="1">
        <f>MAX(C44:D44)-MIN(C44:D44)</f>
        <v>1.5</v>
      </c>
      <c r="C91" s="1">
        <f>MAX(E44:F44)-MIN(E44:F44)</f>
        <v>0.83333000000000013</v>
      </c>
      <c r="D91" s="1">
        <f>MAX(G44:H44)-MIN(G44:H44)</f>
        <v>1.8333330000000001</v>
      </c>
      <c r="E91" s="1">
        <f>MAX(I44:J44)-MIN(I44:J44)</f>
        <v>0.66666000000000003</v>
      </c>
      <c r="F91" s="1">
        <f>ABS(L44)</f>
        <v>0.98882099999999995</v>
      </c>
    </row>
    <row r="93" spans="1:6" x14ac:dyDescent="0.35">
      <c r="A93" s="69" t="s">
        <v>0</v>
      </c>
      <c r="B93" s="8" t="s">
        <v>17</v>
      </c>
      <c r="C93" s="8" t="s">
        <v>21</v>
      </c>
      <c r="D93" s="8" t="s">
        <v>24</v>
      </c>
      <c r="E93" s="8" t="s">
        <v>27</v>
      </c>
      <c r="F93" s="8" t="s">
        <v>30</v>
      </c>
    </row>
    <row r="94" spans="1:6" x14ac:dyDescent="0.35">
      <c r="A94" s="67">
        <v>1</v>
      </c>
      <c r="B94" s="1">
        <f>B49/SUM($B49:$F49)</f>
        <v>0.4307989360127879</v>
      </c>
      <c r="C94" s="1">
        <f>C49/SUM($B49:$F49)</f>
        <v>0.17949883867376829</v>
      </c>
      <c r="D94" s="1">
        <f>D49/SUM($B49:$F49)</f>
        <v>0.14360036333582243</v>
      </c>
      <c r="E94" s="1">
        <f>E49/SUM($B49:$F49)</f>
        <v>3.5898475337945573E-2</v>
      </c>
      <c r="F94" s="1">
        <f>F49/SUM($B49:$F49)</f>
        <v>0.21020338663967572</v>
      </c>
    </row>
    <row r="95" spans="1:6" x14ac:dyDescent="0.35">
      <c r="A95" s="67">
        <v>2</v>
      </c>
      <c r="B95" s="1">
        <f>B50/SUM($B50:$F50)</f>
        <v>0.14687768877969024</v>
      </c>
      <c r="C95" s="1">
        <f>C50/SUM($B50:$F50)</f>
        <v>0.41615340258322608</v>
      </c>
      <c r="D95" s="1">
        <f>D50/SUM($B50:$F50)</f>
        <v>0.26927527317046951</v>
      </c>
      <c r="E95" s="1">
        <f>E50/SUM($B50:$F50)</f>
        <v>2.447951687815585E-2</v>
      </c>
      <c r="F95" s="1">
        <f>F50/SUM($B50:$F50)</f>
        <v>0.14321411858845842</v>
      </c>
    </row>
    <row r="96" spans="1:6" x14ac:dyDescent="0.35">
      <c r="A96" s="67">
        <v>3</v>
      </c>
      <c r="B96" s="1">
        <f>B51/SUM($B51:$F51)</f>
        <v>0</v>
      </c>
      <c r="C96" s="1">
        <f>C51/SUM($B51:$F51)</f>
        <v>0</v>
      </c>
      <c r="D96" s="1">
        <f>D51/SUM($B51:$F51)</f>
        <v>0</v>
      </c>
      <c r="E96" s="1">
        <f>E51/SUM($B51:$F51)</f>
        <v>0</v>
      </c>
      <c r="F96" s="1">
        <f>F51/SUM($B51:$F51)</f>
        <v>1</v>
      </c>
    </row>
    <row r="97" spans="1:6" x14ac:dyDescent="0.35">
      <c r="A97" s="67">
        <v>5</v>
      </c>
      <c r="B97" s="1">
        <f>B52/SUM($B52:$F52)</f>
        <v>0</v>
      </c>
      <c r="C97" s="1">
        <f>C52/SUM($B52:$F52)</f>
        <v>0.66787667694710928</v>
      </c>
      <c r="D97" s="1">
        <f>D52/SUM($B52:$F52)</f>
        <v>3.0358635171062607E-2</v>
      </c>
      <c r="E97" s="1">
        <f>E52/SUM($B52:$F52)</f>
        <v>0.12143144416539345</v>
      </c>
      <c r="F97" s="1">
        <f>F52/SUM($B52:$F52)</f>
        <v>0.18033324371643467</v>
      </c>
    </row>
    <row r="98" spans="1:6" x14ac:dyDescent="0.35">
      <c r="A98" s="67">
        <v>6</v>
      </c>
      <c r="B98" s="1">
        <f>B53/SUM($B53:$F53)</f>
        <v>0.29332583983587834</v>
      </c>
      <c r="C98" s="1">
        <f>C53/SUM($B53:$F53)</f>
        <v>0.34221445756132424</v>
      </c>
      <c r="D98" s="1">
        <f>D53/SUM($B53:$F53)</f>
        <v>9.7775182170012867E-2</v>
      </c>
      <c r="E98" s="1">
        <f>E53/SUM($B53:$F53)</f>
        <v>4.8887444422086493E-2</v>
      </c>
      <c r="F98" s="1">
        <f>F53/SUM($B53:$F53)</f>
        <v>0.21779707601069817</v>
      </c>
    </row>
    <row r="99" spans="1:6" x14ac:dyDescent="0.35">
      <c r="A99" s="67">
        <v>7</v>
      </c>
      <c r="B99" s="1">
        <f>B54/SUM($B54:$F54)</f>
        <v>0.13049828420855922</v>
      </c>
      <c r="C99" s="1">
        <f>C54/SUM($B54:$F54)</f>
        <v>0.41324461015986558</v>
      </c>
      <c r="D99" s="1">
        <f>D54/SUM($B54:$F54)</f>
        <v>0.21749757534187938</v>
      </c>
      <c r="E99" s="1">
        <f>E54/SUM($B54:$F54)</f>
        <v>0.10874944016236075</v>
      </c>
      <c r="F99" s="1">
        <f>F54/SUM($B54:$F54)</f>
        <v>0.130010090127335</v>
      </c>
    </row>
    <row r="100" spans="1:6" x14ac:dyDescent="0.35">
      <c r="A100" s="67">
        <v>8</v>
      </c>
      <c r="B100" s="1">
        <f>B55/SUM($B55:$F55)</f>
        <v>0</v>
      </c>
      <c r="C100" s="1">
        <f>C55/SUM($B55:$F55)</f>
        <v>0.45977011494252878</v>
      </c>
      <c r="D100" s="1">
        <f>D55/SUM($B55:$F55)</f>
        <v>0.1149425287356322</v>
      </c>
      <c r="E100" s="1">
        <f>E55/SUM($B55:$F55)</f>
        <v>0.22988505747126434</v>
      </c>
      <c r="F100" s="1">
        <f>F55/SUM($B55:$F55)</f>
        <v>0.19540229885057472</v>
      </c>
    </row>
    <row r="101" spans="1:6" x14ac:dyDescent="0.35">
      <c r="A101" s="67">
        <v>9</v>
      </c>
      <c r="B101" s="1">
        <f>B56/SUM($B56:$F56)</f>
        <v>0.25647371721464418</v>
      </c>
      <c r="C101" s="1">
        <f>C56/SUM($B56:$F56)</f>
        <v>0.10686400609381555</v>
      </c>
      <c r="D101" s="1">
        <f>D56/SUM($B56:$F56)</f>
        <v>0.36333733859788386</v>
      </c>
      <c r="E101" s="1">
        <f>E56/SUM($B56:$F56)</f>
        <v>0.14960919817339421</v>
      </c>
      <c r="F101" s="1">
        <f>F56/SUM($B56:$F56)</f>
        <v>0.12371573992026234</v>
      </c>
    </row>
    <row r="102" spans="1:6" x14ac:dyDescent="0.35">
      <c r="A102" s="67">
        <v>10</v>
      </c>
      <c r="B102" s="1">
        <f>B57/SUM($B57:$F57)</f>
        <v>0.3365914527479561</v>
      </c>
      <c r="C102" s="1">
        <f>C57/SUM($B57:$F57)</f>
        <v>0.2243946159843703</v>
      </c>
      <c r="D102" s="1">
        <f>D57/SUM($B57:$F57)</f>
        <v>0.15707664856296144</v>
      </c>
      <c r="E102" s="1">
        <f>E57/SUM($B57:$F57)</f>
        <v>0.15707611001599084</v>
      </c>
      <c r="F102" s="1">
        <f>F57/SUM($B57:$F57)</f>
        <v>0.12486117268872135</v>
      </c>
    </row>
    <row r="103" spans="1:6" x14ac:dyDescent="0.35">
      <c r="A103" s="67">
        <v>11</v>
      </c>
      <c r="B103" s="1">
        <f>B58/SUM($B58:$F58)</f>
        <v>0.12625800317917651</v>
      </c>
      <c r="C103" s="1">
        <f>C58/SUM($B58:$F58)</f>
        <v>0.33668716675778293</v>
      </c>
      <c r="D103" s="1">
        <f>D58/SUM($B58:$F58)</f>
        <v>8.4171917947448924E-2</v>
      </c>
      <c r="E103" s="1">
        <f>E58/SUM($B58:$F58)</f>
        <v>0.21043093119065084</v>
      </c>
      <c r="F103" s="1">
        <f>F58/SUM($B58:$F58)</f>
        <v>0.24245198092494089</v>
      </c>
    </row>
    <row r="104" spans="1:6" x14ac:dyDescent="0.35">
      <c r="A104" s="67">
        <v>13</v>
      </c>
      <c r="B104" s="1">
        <f>B59/SUM($B59:$F59)</f>
        <v>0.22655770600354125</v>
      </c>
      <c r="C104" s="1">
        <f>C59/SUM($B59:$F59)</f>
        <v>0.26431728591118048</v>
      </c>
      <c r="D104" s="1">
        <f>D59/SUM($B59:$F59)</f>
        <v>0.2076775195737362</v>
      </c>
      <c r="E104" s="1">
        <f>E59/SUM($B59:$F59)</f>
        <v>0.18879801281704911</v>
      </c>
      <c r="F104" s="1">
        <f>F59/SUM($B59:$F59)</f>
        <v>0.11264947569449282</v>
      </c>
    </row>
    <row r="105" spans="1:6" x14ac:dyDescent="0.35">
      <c r="A105" s="67">
        <v>14</v>
      </c>
      <c r="B105" s="1">
        <f>B60/SUM($B60:$F60)</f>
        <v>0.2085642313177547</v>
      </c>
      <c r="C105" s="1">
        <f>C60/SUM($B60:$F60)</f>
        <v>0.26418163775479769</v>
      </c>
      <c r="D105" s="1">
        <f>D60/SUM($B60:$F60)</f>
        <v>0.30589448401834862</v>
      </c>
      <c r="E105" s="1">
        <f>E60/SUM($B60:$F60)</f>
        <v>0.13904226470721961</v>
      </c>
      <c r="F105" s="1">
        <f>F60/SUM($B60:$F60)</f>
        <v>8.2317382201879327E-2</v>
      </c>
    </row>
    <row r="106" spans="1:6" x14ac:dyDescent="0.35">
      <c r="A106" s="67">
        <v>16</v>
      </c>
      <c r="B106" s="1">
        <f>B61/SUM($B61:$F61)</f>
        <v>0</v>
      </c>
      <c r="C106" s="1">
        <f>C61/SUM($B61:$F61)</f>
        <v>0.57853192212217952</v>
      </c>
      <c r="D106" s="1">
        <f>D61/SUM($B61:$F61)</f>
        <v>7.2315676705774184E-2</v>
      </c>
      <c r="E106" s="1">
        <f>E61/SUM($B61:$F61)</f>
        <v>0.14463265510674547</v>
      </c>
      <c r="F106" s="1">
        <f>F61/SUM($B61:$F61)</f>
        <v>0.20451974606530077</v>
      </c>
    </row>
    <row r="107" spans="1:6" x14ac:dyDescent="0.35">
      <c r="A107" s="67">
        <v>17</v>
      </c>
      <c r="B107" s="1">
        <f>B62/SUM($B62:$F62)</f>
        <v>0.42058228776576595</v>
      </c>
      <c r="C107" s="1">
        <f>C62/SUM($B62:$F62)</f>
        <v>0.17524191893192287</v>
      </c>
      <c r="D107" s="1">
        <f>D62/SUM($B62:$F62)</f>
        <v>0.17524191893192287</v>
      </c>
      <c r="E107" s="1">
        <f>E62/SUM($B62:$F62)</f>
        <v>3.5048383786384571E-2</v>
      </c>
      <c r="F107" s="1">
        <f>F62/SUM($B62:$F62)</f>
        <v>0.19388549058400373</v>
      </c>
    </row>
    <row r="108" spans="1:6" x14ac:dyDescent="0.35">
      <c r="A108" s="67">
        <v>18</v>
      </c>
      <c r="B108" s="1">
        <f>B63/SUM($B63:$F63)</f>
        <v>7.9138153849319381E-2</v>
      </c>
      <c r="C108" s="1">
        <f>C63/SUM($B63:$F63)</f>
        <v>0.58034698914936778</v>
      </c>
      <c r="D108" s="1">
        <f>D63/SUM($B63:$F63)</f>
        <v>5.2758716474110373E-2</v>
      </c>
      <c r="E108" s="1">
        <f>E63/SUM($B63:$F63)</f>
        <v>0.13189797825758365</v>
      </c>
      <c r="F108" s="1">
        <f>F63/SUM($B63:$F63)</f>
        <v>0.15585816226961896</v>
      </c>
    </row>
    <row r="109" spans="1:6" x14ac:dyDescent="0.35">
      <c r="A109" s="67">
        <v>20</v>
      </c>
      <c r="B109" s="1">
        <f>B64/SUM($B64:$F64)</f>
        <v>0.18145089002195569</v>
      </c>
      <c r="C109" s="1">
        <f>C64/SUM($B64:$F64)</f>
        <v>6.0485202591134254E-2</v>
      </c>
      <c r="D109" s="1">
        <f>D64/SUM($B64:$F64)</f>
        <v>0.2419360926130899</v>
      </c>
      <c r="E109" s="1">
        <f>E64/SUM($B64:$F64)</f>
        <v>0.24193355228538768</v>
      </c>
      <c r="F109" s="1">
        <f>F64/SUM($B64:$F64)</f>
        <v>0.27419426248843243</v>
      </c>
    </row>
    <row r="110" spans="1:6" x14ac:dyDescent="0.35">
      <c r="A110" s="67">
        <v>21</v>
      </c>
      <c r="B110" s="1">
        <f>B65/SUM($B65:$F65)</f>
        <v>0</v>
      </c>
      <c r="C110" s="1">
        <f>C65/SUM($B65:$F65)</f>
        <v>0</v>
      </c>
      <c r="D110" s="1">
        <f>D65/SUM($B65:$F65)</f>
        <v>0</v>
      </c>
      <c r="E110" s="1">
        <f>E65/SUM($B65:$F65)</f>
        <v>0</v>
      </c>
      <c r="F110" s="1">
        <f>F65/SUM($B65:$F65)</f>
        <v>1</v>
      </c>
    </row>
    <row r="111" spans="1:6" x14ac:dyDescent="0.35">
      <c r="A111" s="67">
        <v>22</v>
      </c>
      <c r="B111" s="1">
        <f>B66/SUM($B66:$F66)</f>
        <v>9.4874770047276097E-2</v>
      </c>
      <c r="C111" s="1">
        <f>C66/SUM($B66:$F66)</f>
        <v>0.34787409359016569</v>
      </c>
      <c r="D111" s="1">
        <f>D66/SUM($B66:$F66)</f>
        <v>0.25299875429426927</v>
      </c>
      <c r="E111" s="1">
        <f>E66/SUM($B66:$F66)</f>
        <v>0.12649842839943418</v>
      </c>
      <c r="F111" s="1">
        <f>F66/SUM($B66:$F66)</f>
        <v>0.1777539536688548</v>
      </c>
    </row>
    <row r="112" spans="1:6" x14ac:dyDescent="0.35">
      <c r="A112" s="67">
        <v>23</v>
      </c>
      <c r="B112" s="1">
        <f>B67/SUM($B67:$F67)</f>
        <v>0.32250298798420773</v>
      </c>
      <c r="C112" s="1">
        <f>C67/SUM($B67:$F67)</f>
        <v>0.14333509132943853</v>
      </c>
      <c r="D112" s="1">
        <f>D67/SUM($B67:$F67)</f>
        <v>7.1667115661595282E-2</v>
      </c>
      <c r="E112" s="1">
        <f>E67/SUM($B67:$F67)</f>
        <v>0.25083372230699252</v>
      </c>
      <c r="F112" s="1">
        <f>F67/SUM($B67:$F67)</f>
        <v>0.21166108271776593</v>
      </c>
    </row>
    <row r="113" spans="1:6" x14ac:dyDescent="0.35">
      <c r="A113" s="67">
        <v>24</v>
      </c>
      <c r="B113" s="1">
        <f>B68/SUM($B68:$F68)</f>
        <v>0.16767602041757362</v>
      </c>
      <c r="C113" s="1">
        <f>C68/SUM($B68:$F68)</f>
        <v>5.5893124645994025E-2</v>
      </c>
      <c r="D113" s="1">
        <f>D68/SUM($B68:$F68)</f>
        <v>0.2235681390074451</v>
      </c>
      <c r="E113" s="1">
        <f>E68/SUM($B68:$F68)</f>
        <v>0.22356780365540435</v>
      </c>
      <c r="F113" s="1">
        <f>F68/SUM($B68:$F68)</f>
        <v>0.32929491227358282</v>
      </c>
    </row>
    <row r="114" spans="1:6" x14ac:dyDescent="0.35">
      <c r="A114" s="67">
        <v>25</v>
      </c>
      <c r="B114" s="1">
        <f>B69/SUM($B69:$F69)</f>
        <v>0</v>
      </c>
      <c r="C114" s="1">
        <f>C69/SUM($B69:$F69)</f>
        <v>0.11292923543919565</v>
      </c>
      <c r="D114" s="1">
        <f>D69/SUM($B69:$F69)</f>
        <v>0.11292720275361133</v>
      </c>
      <c r="E114" s="1">
        <f>E69/SUM($B69:$F69)</f>
        <v>0.11292652519175014</v>
      </c>
      <c r="F114" s="1">
        <f>F69/SUM($B69:$F69)</f>
        <v>0.66121703661544295</v>
      </c>
    </row>
    <row r="115" spans="1:6" x14ac:dyDescent="0.35">
      <c r="A115" s="67">
        <v>26</v>
      </c>
      <c r="B115" s="1">
        <f>B70/SUM($B70:$F70)</f>
        <v>0.22766529467971247</v>
      </c>
      <c r="C115" s="1">
        <f>C70/SUM($B70:$F70)</f>
        <v>0.15177693900823988</v>
      </c>
      <c r="D115" s="1">
        <f>D70/SUM($B70:$F70)</f>
        <v>0.26561026934398013</v>
      </c>
      <c r="E115" s="1">
        <f>E70/SUM($B70:$F70)</f>
        <v>0.15177671134294524</v>
      </c>
      <c r="F115" s="1">
        <f>F70/SUM($B70:$F70)</f>
        <v>0.20317078562512222</v>
      </c>
    </row>
    <row r="116" spans="1:6" x14ac:dyDescent="0.35">
      <c r="A116" s="67">
        <v>27</v>
      </c>
      <c r="B116" s="1">
        <f>B71/SUM($B71:$F71)</f>
        <v>0.61312780199405559</v>
      </c>
      <c r="C116" s="1">
        <f>C71/SUM($B71:$F71)</f>
        <v>6.8125243207361172E-2</v>
      </c>
      <c r="D116" s="1">
        <f>D71/SUM($B71:$F71)</f>
        <v>6.8125243207361144E-2</v>
      </c>
      <c r="E116" s="1">
        <f>E71/SUM($B71:$F71)</f>
        <v>6.8125447583295459E-2</v>
      </c>
      <c r="F116" s="1">
        <f>F71/SUM($B71:$F71)</f>
        <v>0.18249626400792665</v>
      </c>
    </row>
    <row r="117" spans="1:6" x14ac:dyDescent="0.35">
      <c r="A117" s="67">
        <v>28</v>
      </c>
      <c r="B117" s="1">
        <f>B72/SUM($B72:$F72)</f>
        <v>8.3975705492498193E-2</v>
      </c>
      <c r="C117" s="1">
        <f>C72/SUM($B72:$F72)</f>
        <v>0.44787048527712736</v>
      </c>
      <c r="D117" s="1">
        <f>D72/SUM($B72:$F72)</f>
        <v>0.30791036030112345</v>
      </c>
      <c r="E117" s="1">
        <f>E72/SUM($B72:$F72)</f>
        <v>2.7991789863225446E-2</v>
      </c>
      <c r="F117" s="1">
        <f>F72/SUM($B72:$F72)</f>
        <v>0.13225165906602557</v>
      </c>
    </row>
    <row r="118" spans="1:6" x14ac:dyDescent="0.35">
      <c r="A118" s="67">
        <v>29</v>
      </c>
      <c r="B118" s="1">
        <f>B73/SUM($B73:$F73)</f>
        <v>0.41561163722891398</v>
      </c>
      <c r="C118" s="1">
        <f>C73/SUM($B73:$F73)</f>
        <v>0.16932283886941518</v>
      </c>
      <c r="D118" s="1">
        <f>D73/SUM($B73:$F73)</f>
        <v>0.10775140123370078</v>
      </c>
      <c r="E118" s="1">
        <f>E73/SUM($B73:$F73)</f>
        <v>0.21550224831892131</v>
      </c>
      <c r="F118" s="1">
        <f>F73/SUM($B73:$F73)</f>
        <v>9.1811874349048708E-2</v>
      </c>
    </row>
    <row r="119" spans="1:6" x14ac:dyDescent="0.35">
      <c r="A119" s="67">
        <v>30</v>
      </c>
      <c r="B119" s="1">
        <f>B74/SUM($B74:$F74)</f>
        <v>0.28571428571428559</v>
      </c>
      <c r="C119" s="1">
        <f>C74/SUM($B74:$F74)</f>
        <v>0.14285714285714279</v>
      </c>
      <c r="D119" s="1">
        <f>D74/SUM($B74:$F74)</f>
        <v>0.14285714285714304</v>
      </c>
      <c r="E119" s="1">
        <f>E74/SUM($B74:$F74)</f>
        <v>0.14285714285714288</v>
      </c>
      <c r="F119" s="1">
        <f>F74/SUM($B74:$F74)</f>
        <v>0.28571428571428575</v>
      </c>
    </row>
    <row r="120" spans="1:6" x14ac:dyDescent="0.35">
      <c r="A120" s="67">
        <v>31</v>
      </c>
      <c r="B120" s="1">
        <f>B75/SUM($B75:$F75)</f>
        <v>0.16666666666666666</v>
      </c>
      <c r="C120" s="1">
        <f>C75/SUM($B75:$F75)</f>
        <v>0.5</v>
      </c>
      <c r="D120" s="1">
        <f>D75/SUM($B75:$F75)</f>
        <v>0</v>
      </c>
      <c r="E120" s="1">
        <f>E75/SUM($B75:$F75)</f>
        <v>0.16666666666666666</v>
      </c>
      <c r="F120" s="1">
        <f>F75/SUM($B75:$F75)</f>
        <v>0.16666666666666666</v>
      </c>
    </row>
    <row r="121" spans="1:6" x14ac:dyDescent="0.35">
      <c r="A121" s="67">
        <v>33</v>
      </c>
      <c r="B121" s="1">
        <f>B76/SUM($B76:$F76)</f>
        <v>0.24808595483694426</v>
      </c>
      <c r="C121" s="1">
        <f>C76/SUM($B76:$F76)</f>
        <v>0.28943369667175323</v>
      </c>
      <c r="D121" s="1">
        <f>D76/SUM($B76:$F76)</f>
        <v>0.20673746874427076</v>
      </c>
      <c r="E121" s="1">
        <f>E76/SUM($B76:$F76)</f>
        <v>4.1347493748854151E-2</v>
      </c>
      <c r="F121" s="1">
        <f>F76/SUM($B76:$F76)</f>
        <v>0.21439538599817759</v>
      </c>
    </row>
    <row r="122" spans="1:6" x14ac:dyDescent="0.35">
      <c r="A122" s="67">
        <v>34</v>
      </c>
      <c r="B122" s="1">
        <f>B77/SUM($B77:$F77)</f>
        <v>0.125</v>
      </c>
      <c r="C122" s="1">
        <f>C77/SUM($B77:$F77)</f>
        <v>0.125</v>
      </c>
      <c r="D122" s="1">
        <f>D77/SUM($B77:$F77)</f>
        <v>0.5</v>
      </c>
      <c r="E122" s="1">
        <f>E77/SUM($B77:$F77)</f>
        <v>0</v>
      </c>
      <c r="F122" s="1">
        <f>F77/SUM($B77:$F77)</f>
        <v>0.25</v>
      </c>
    </row>
    <row r="123" spans="1:6" x14ac:dyDescent="0.35">
      <c r="A123" s="67">
        <v>35</v>
      </c>
      <c r="B123" s="1">
        <f>B78/SUM($B78:$F78)</f>
        <v>0</v>
      </c>
      <c r="C123" s="1">
        <f>C78/SUM($B78:$F78)</f>
        <v>0.53846153846153821</v>
      </c>
      <c r="D123" s="1">
        <f>D78/SUM($B78:$F78)</f>
        <v>0.23076923076923067</v>
      </c>
      <c r="E123" s="1">
        <f>E78/SUM($B78:$F78)</f>
        <v>7.6923076923077288E-2</v>
      </c>
      <c r="F123" s="1">
        <f>F78/SUM($B78:$F78)</f>
        <v>0.15384615384615377</v>
      </c>
    </row>
    <row r="124" spans="1:6" x14ac:dyDescent="0.35">
      <c r="A124" s="67">
        <v>36</v>
      </c>
      <c r="B124" s="1">
        <f>B79/SUM($B79:$F79)</f>
        <v>0.16666666666666699</v>
      </c>
      <c r="C124" s="1">
        <f>C79/SUM($B79:$F79)</f>
        <v>0.16666666666666663</v>
      </c>
      <c r="D124" s="1">
        <f>D79/SUM($B79:$F79)</f>
        <v>0</v>
      </c>
      <c r="E124" s="1">
        <f>E79/SUM($B79:$F79)</f>
        <v>0.33333333333333326</v>
      </c>
      <c r="F124" s="1">
        <f>F79/SUM($B79:$F79)</f>
        <v>0.33333333333333326</v>
      </c>
    </row>
    <row r="125" spans="1:6" x14ac:dyDescent="0.35">
      <c r="A125" s="67">
        <v>37</v>
      </c>
      <c r="B125" s="1">
        <f>B80/SUM($B80:$F80)</f>
        <v>0.10788000894972555</v>
      </c>
      <c r="C125" s="1">
        <f>C80/SUM($B80:$F80)</f>
        <v>3.5960722183301506E-2</v>
      </c>
      <c r="D125" s="1">
        <f>D80/SUM($B80:$F80)</f>
        <v>0.28767995194592882</v>
      </c>
      <c r="E125" s="1">
        <f>E80/SUM($B80:$F80)</f>
        <v>0.35959859143229911</v>
      </c>
      <c r="F125" s="1">
        <f>F80/SUM($B80:$F80)</f>
        <v>0.20888072548874498</v>
      </c>
    </row>
    <row r="126" spans="1:6" x14ac:dyDescent="0.35">
      <c r="A126" s="67">
        <v>39</v>
      </c>
      <c r="B126" s="1">
        <f>B81/SUM($B81:$F81)</f>
        <v>0</v>
      </c>
      <c r="C126" s="1">
        <f>C81/SUM($B81:$F81)</f>
        <v>0.25551843156654253</v>
      </c>
      <c r="D126" s="1">
        <f>D81/SUM($B81:$F81)</f>
        <v>4.683652850614724E-16</v>
      </c>
      <c r="E126" s="1">
        <f>E81/SUM($B81:$F81)</f>
        <v>0.25551843156654253</v>
      </c>
      <c r="F126" s="1">
        <f>F81/SUM($B81:$F81)</f>
        <v>0.48896313686691456</v>
      </c>
    </row>
    <row r="127" spans="1:6" x14ac:dyDescent="0.35">
      <c r="A127" s="67">
        <v>40</v>
      </c>
      <c r="B127" s="1">
        <f>B82/SUM($B82:$F82)</f>
        <v>0.45454545454545431</v>
      </c>
      <c r="C127" s="1">
        <f>C82/SUM($B82:$F82)</f>
        <v>0.18181818181818182</v>
      </c>
      <c r="D127" s="1">
        <f>D82/SUM($B82:$F82)</f>
        <v>9.0909090909091106E-2</v>
      </c>
      <c r="E127" s="1">
        <f>E82/SUM($B82:$F82)</f>
        <v>0.18181818181818182</v>
      </c>
      <c r="F127" s="1">
        <f>F82/SUM($B82:$F82)</f>
        <v>9.0909090909090912E-2</v>
      </c>
    </row>
    <row r="128" spans="1:6" x14ac:dyDescent="0.35">
      <c r="A128" s="67">
        <v>41</v>
      </c>
      <c r="B128" s="1">
        <f>B83/SUM($B83:$F83)</f>
        <v>0.1</v>
      </c>
      <c r="C128" s="1">
        <f>C83/SUM($B83:$F83)</f>
        <v>0.1</v>
      </c>
      <c r="D128" s="1">
        <f>D83/SUM($B83:$F83)</f>
        <v>0.2</v>
      </c>
      <c r="E128" s="1">
        <f>E83/SUM($B83:$F83)</f>
        <v>0.4</v>
      </c>
      <c r="F128" s="1">
        <f>F83/SUM($B83:$F83)</f>
        <v>0.2</v>
      </c>
    </row>
    <row r="129" spans="1:6" x14ac:dyDescent="0.35">
      <c r="A129" s="67">
        <v>42</v>
      </c>
      <c r="B129" s="1">
        <f>B84/SUM($B84:$F84)</f>
        <v>0.4288315978533444</v>
      </c>
      <c r="C129" s="1">
        <f>C84/SUM($B84:$F84)</f>
        <v>2.0420943186110655E-2</v>
      </c>
      <c r="D129" s="1">
        <f>D84/SUM($B84:$F84)</f>
        <v>0.14294378426897569</v>
      </c>
      <c r="E129" s="1">
        <f>E84/SUM($B84:$F84)</f>
        <v>0.28588756853795139</v>
      </c>
      <c r="F129" s="1">
        <f>F84/SUM($B84:$F84)</f>
        <v>0.12191610615361788</v>
      </c>
    </row>
    <row r="130" spans="1:6" x14ac:dyDescent="0.35">
      <c r="A130" s="67">
        <v>43</v>
      </c>
      <c r="B130" s="1">
        <f>B85/SUM($B85:$F85)</f>
        <v>0.30673978043049382</v>
      </c>
      <c r="C130" s="1">
        <f>C85/SUM($B85:$F85)</f>
        <v>0.20449384133264606</v>
      </c>
      <c r="D130" s="1">
        <f>D85/SUM($B85:$F85)</f>
        <v>0.10224630718602602</v>
      </c>
      <c r="E130" s="1">
        <f>E85/SUM($B85:$F85)</f>
        <v>0.26584138025214282</v>
      </c>
      <c r="F130" s="1">
        <f>F85/SUM($B85:$F85)</f>
        <v>0.12067869079869123</v>
      </c>
    </row>
    <row r="131" spans="1:6" x14ac:dyDescent="0.35">
      <c r="A131" s="67">
        <v>44</v>
      </c>
      <c r="B131" s="1">
        <f>B86/SUM($B86:$F86)</f>
        <v>0.23529411764705882</v>
      </c>
      <c r="C131" s="1">
        <f>C86/SUM($B86:$F86)</f>
        <v>0.41176470588235281</v>
      </c>
      <c r="D131" s="1">
        <f>D86/SUM($B86:$F86)</f>
        <v>0.17647058823529413</v>
      </c>
      <c r="E131" s="1">
        <f>E86/SUM($B86:$F86)</f>
        <v>5.8823529411764705E-2</v>
      </c>
      <c r="F131" s="1">
        <f>F86/SUM($B86:$F86)</f>
        <v>0.11764705882352941</v>
      </c>
    </row>
    <row r="132" spans="1:6" x14ac:dyDescent="0.35">
      <c r="A132" s="67">
        <v>45</v>
      </c>
      <c r="B132" s="1">
        <f>B87/SUM($B87:$F87)</f>
        <v>0.21969079838272421</v>
      </c>
      <c r="C132" s="1">
        <f>C87/SUM($B87:$F87)</f>
        <v>0.41497101985448265</v>
      </c>
      <c r="D132" s="1">
        <f>D87/SUM($B87:$F87)</f>
        <v>2.4410137529368981E-2</v>
      </c>
      <c r="E132" s="1">
        <f>E87/SUM($B87:$F87)</f>
        <v>0.19528124669548427</v>
      </c>
      <c r="F132" s="1">
        <f>F87/SUM($B87:$F87)</f>
        <v>0.14564679753793985</v>
      </c>
    </row>
    <row r="133" spans="1:6" x14ac:dyDescent="0.35">
      <c r="A133" s="67">
        <v>48</v>
      </c>
      <c r="B133" s="1">
        <f>B88/SUM($B88:$F88)</f>
        <v>0.21189886728189103</v>
      </c>
      <c r="C133" s="1">
        <f>C88/SUM($B88:$F88)</f>
        <v>0.36729108742345473</v>
      </c>
      <c r="D133" s="1">
        <f>D88/SUM($B88:$F88)</f>
        <v>0.26840526014357763</v>
      </c>
      <c r="E133" s="1">
        <f>E88/SUM($B88:$F88)</f>
        <v>7.0633520824276416E-2</v>
      </c>
      <c r="F133" s="1">
        <f>F88/SUM($B88:$F88)</f>
        <v>8.1771264326800264E-2</v>
      </c>
    </row>
    <row r="134" spans="1:6" x14ac:dyDescent="0.35">
      <c r="A134" s="67">
        <v>52</v>
      </c>
      <c r="B134" s="1">
        <f>B89/SUM($B89:$F89)</f>
        <v>0.37559085531005282</v>
      </c>
      <c r="C134" s="1">
        <f>C89/SUM($B89:$F89)</f>
        <v>0.21624918513901156</v>
      </c>
      <c r="D134" s="1">
        <f>D89/SUM($B89:$F89)</f>
        <v>0.29591988364611382</v>
      </c>
      <c r="E134" s="1">
        <f>E89/SUM($B89:$F89)</f>
        <v>4.5525684186172213E-2</v>
      </c>
      <c r="F134" s="1">
        <f>F89/SUM($B89:$F89)</f>
        <v>6.6714391718649554E-2</v>
      </c>
    </row>
    <row r="135" spans="1:6" x14ac:dyDescent="0.35">
      <c r="A135" s="67">
        <v>61</v>
      </c>
      <c r="B135" s="1">
        <f>B90/SUM($B90:$F90)</f>
        <v>0.14520968720927868</v>
      </c>
      <c r="C135" s="1">
        <f>C90/SUM($B90:$F90)</f>
        <v>0.35495662595317862</v>
      </c>
      <c r="D135" s="1">
        <f>D90/SUM($B90:$F90)</f>
        <v>0.22588125162755529</v>
      </c>
      <c r="E135" s="1">
        <f>E90/SUM($B90:$F90)</f>
        <v>0.17747850658911837</v>
      </c>
      <c r="F135" s="1">
        <f>F90/SUM($B90:$F90)</f>
        <v>9.6473928620868898E-2</v>
      </c>
    </row>
    <row r="136" spans="1:6" x14ac:dyDescent="0.35">
      <c r="A136" s="67">
        <v>67</v>
      </c>
      <c r="B136" s="1">
        <f>B91/SUM($B91:$F91)</f>
        <v>0.25763704916951558</v>
      </c>
      <c r="C136" s="1">
        <f>C91/SUM($B91:$F91)</f>
        <v>0.14313112145628828</v>
      </c>
      <c r="D136" s="1">
        <f>D91/SUM($B91:$F91)</f>
        <v>0.3148896695100637</v>
      </c>
      <c r="E136" s="1">
        <f>E91/SUM($B91:$F91)</f>
        <v>0.11450421013289951</v>
      </c>
      <c r="F136" s="1">
        <f>F91/SUM($B91:$F91)</f>
        <v>0.16983794973123303</v>
      </c>
    </row>
    <row r="137" spans="1:6" ht="19" customHeight="1" x14ac:dyDescent="0.35">
      <c r="A137" s="9" t="s">
        <v>13</v>
      </c>
      <c r="B137" s="10">
        <f>AVERAGE(B94:B95,B97:B109,B111:B136)</f>
        <v>0.20970739510842362</v>
      </c>
      <c r="C137" s="10">
        <f>AVERAGE(C94:C95,C97:C109,C111:C136)</f>
        <v>0.2691690440971698</v>
      </c>
      <c r="D137" s="10">
        <f>AVERAGE(D94:D95,D97:D109,D111:D136)</f>
        <v>0.17450092986648491</v>
      </c>
      <c r="E137" s="10">
        <f>AVERAGE(E94:E95,E97:E109,E111:E136)</f>
        <v>0.15407467576623141</v>
      </c>
      <c r="F137" s="10">
        <f>AVERAGE(F94:F95,F97:F109,F111:F136)</f>
        <v>0.19254795516169018</v>
      </c>
    </row>
    <row r="139" spans="1:6" ht="15" thickBot="1" x14ac:dyDescent="0.4"/>
    <row r="140" spans="1:6" ht="20" customHeight="1" thickBot="1" x14ac:dyDescent="0.4">
      <c r="E140" s="11" t="s">
        <v>14</v>
      </c>
      <c r="F140" s="12" t="s">
        <v>32</v>
      </c>
    </row>
    <row r="141" spans="1:6" ht="20" customHeight="1" thickBot="1" x14ac:dyDescent="0.4">
      <c r="E141" s="13" t="s">
        <v>33</v>
      </c>
      <c r="F141" s="14">
        <f>C137</f>
        <v>0.2691690440971698</v>
      </c>
    </row>
    <row r="142" spans="1:6" ht="20" customHeight="1" thickBot="1" x14ac:dyDescent="0.4">
      <c r="E142" s="13" t="s">
        <v>17</v>
      </c>
      <c r="F142" s="14">
        <f>B137</f>
        <v>0.20970739510842362</v>
      </c>
    </row>
    <row r="143" spans="1:6" ht="20" customHeight="1" thickBot="1" x14ac:dyDescent="0.4">
      <c r="E143" s="13" t="s">
        <v>34</v>
      </c>
      <c r="F143" s="14">
        <f>F137</f>
        <v>0.19254795516169018</v>
      </c>
    </row>
    <row r="144" spans="1:6" ht="20" customHeight="1" thickBot="1" x14ac:dyDescent="0.4">
      <c r="E144" s="13" t="s">
        <v>36</v>
      </c>
      <c r="F144" s="14">
        <f>D137</f>
        <v>0.17450092986648491</v>
      </c>
    </row>
    <row r="145" spans="5:6" ht="20" customHeight="1" thickBot="1" x14ac:dyDescent="0.4">
      <c r="E145" s="13" t="s">
        <v>35</v>
      </c>
      <c r="F145" s="14">
        <f>E137</f>
        <v>0.15407467576623141</v>
      </c>
    </row>
  </sheetData>
  <autoFilter ref="A1:M45" xr:uid="{00000000-0001-0000-00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5480C-9C5D-4855-9C48-3D53AC4D6A43}">
  <sheetPr>
    <tabColor theme="8" tint="0.79998168889431442"/>
  </sheetPr>
  <dimension ref="C2:G8"/>
  <sheetViews>
    <sheetView zoomScale="85" zoomScaleNormal="85" workbookViewId="0">
      <selection activeCell="E8" sqref="E8"/>
    </sheetView>
  </sheetViews>
  <sheetFormatPr defaultRowHeight="14.5" x14ac:dyDescent="0.35"/>
  <cols>
    <col min="3" max="3" width="20" customWidth="1"/>
    <col min="4" max="4" width="32.90625" customWidth="1"/>
    <col min="5" max="5" width="24.26953125" customWidth="1"/>
    <col min="6" max="6" width="23.6328125" customWidth="1"/>
    <col min="7" max="7" width="38.7265625" customWidth="1"/>
  </cols>
  <sheetData>
    <row r="2" spans="3:7" ht="15" thickBot="1" x14ac:dyDescent="0.4"/>
    <row r="3" spans="3:7" ht="46" customHeight="1" thickBot="1" x14ac:dyDescent="0.4">
      <c r="C3" s="15" t="s">
        <v>14</v>
      </c>
      <c r="D3" s="15" t="s">
        <v>37</v>
      </c>
      <c r="E3" s="15" t="s">
        <v>32</v>
      </c>
      <c r="F3" s="15" t="s">
        <v>38</v>
      </c>
      <c r="G3" s="15" t="s">
        <v>100</v>
      </c>
    </row>
    <row r="4" spans="3:7" ht="46" customHeight="1" thickBot="1" x14ac:dyDescent="0.4">
      <c r="C4" s="16" t="s">
        <v>17</v>
      </c>
      <c r="D4" s="103" t="s">
        <v>18</v>
      </c>
      <c r="E4" s="18">
        <f>'T2_Relative Importance Anal'!F142</f>
        <v>0.20970739510842362</v>
      </c>
      <c r="F4" s="17">
        <v>0.47</v>
      </c>
      <c r="G4" s="17" t="s">
        <v>99</v>
      </c>
    </row>
    <row r="5" spans="3:7" ht="46" customHeight="1" thickBot="1" x14ac:dyDescent="0.4">
      <c r="C5" s="16" t="s">
        <v>33</v>
      </c>
      <c r="D5" s="17" t="s">
        <v>96</v>
      </c>
      <c r="E5" s="18">
        <f>'T2_Relative Importance Anal'!F141</f>
        <v>0.2691690440971698</v>
      </c>
      <c r="F5" s="17" t="s">
        <v>98</v>
      </c>
      <c r="G5" s="103" t="s">
        <v>97</v>
      </c>
    </row>
    <row r="6" spans="3:7" ht="46" customHeight="1" thickBot="1" x14ac:dyDescent="0.4">
      <c r="C6" s="16" t="s">
        <v>34</v>
      </c>
      <c r="D6" s="17" t="s">
        <v>96</v>
      </c>
      <c r="E6" s="18">
        <f>'T2_Relative Importance Anal'!F143</f>
        <v>0.19254795516169018</v>
      </c>
      <c r="F6" s="17">
        <v>-0.17</v>
      </c>
      <c r="G6" s="103" t="s">
        <v>95</v>
      </c>
    </row>
    <row r="7" spans="3:7" ht="46" customHeight="1" thickBot="1" x14ac:dyDescent="0.4">
      <c r="C7" s="16" t="s">
        <v>36</v>
      </c>
      <c r="D7" s="103" t="s">
        <v>25</v>
      </c>
      <c r="E7" s="18">
        <f>'T2_Relative Importance Anal'!F144</f>
        <v>0.17450092986648491</v>
      </c>
      <c r="F7" s="17">
        <v>0.25</v>
      </c>
      <c r="G7" s="17" t="s">
        <v>94</v>
      </c>
    </row>
    <row r="8" spans="3:7" ht="46" customHeight="1" thickBot="1" x14ac:dyDescent="0.4">
      <c r="C8" s="16" t="s">
        <v>35</v>
      </c>
      <c r="D8" s="103" t="s">
        <v>29</v>
      </c>
      <c r="E8" s="18">
        <f>'T2_Relative Importance Anal'!F145</f>
        <v>0.15407467576623141</v>
      </c>
      <c r="F8" s="17">
        <v>0.45</v>
      </c>
      <c r="G8" s="17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36459-6910-43BB-8FAE-601D805C16CF}">
  <sheetPr>
    <tabColor theme="1"/>
  </sheetPr>
  <dimension ref="A1"/>
  <sheetViews>
    <sheetView view="pageBreakPreview" zoomScale="60" zoomScaleNormal="100" workbookViewId="0">
      <selection activeCell="L34" sqref="L34"/>
    </sheetView>
  </sheetViews>
  <sheetFormatPr defaultRowHeight="14.5" x14ac:dyDescent="0.35"/>
  <sheetData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2BC3-CE63-4EFA-BE50-1DFB2AD600FD}">
  <sheetPr>
    <tabColor theme="9" tint="0.79998168889431442"/>
  </sheetPr>
  <dimension ref="A1:R65"/>
  <sheetViews>
    <sheetView zoomScale="70" zoomScaleNormal="70" workbookViewId="0">
      <selection activeCell="C6" sqref="C6"/>
    </sheetView>
  </sheetViews>
  <sheetFormatPr defaultRowHeight="14.5" x14ac:dyDescent="0.35"/>
  <cols>
    <col min="1" max="1" width="11.1796875" bestFit="1" customWidth="1"/>
    <col min="2" max="2" width="10.54296875" bestFit="1" customWidth="1"/>
    <col min="3" max="9" width="11.1796875" bestFit="1" customWidth="1"/>
    <col min="10" max="10" width="13.81640625" bestFit="1" customWidth="1"/>
    <col min="11" max="11" width="21.26953125" bestFit="1" customWidth="1"/>
    <col min="12" max="12" width="22.453125" bestFit="1" customWidth="1"/>
    <col min="13" max="13" width="23.26953125" bestFit="1" customWidth="1"/>
    <col min="14" max="14" width="13.26953125" customWidth="1"/>
    <col min="15" max="16" width="10.54296875" bestFit="1" customWidth="1"/>
    <col min="17" max="17" width="13.81640625" bestFit="1" customWidth="1"/>
    <col min="18" max="18" width="12.81640625" bestFit="1" customWidth="1"/>
    <col min="19" max="19" width="13.1796875" bestFit="1" customWidth="1"/>
  </cols>
  <sheetData>
    <row r="1" spans="1:18" ht="72.5" x14ac:dyDescent="0.35">
      <c r="A1" s="19" t="s">
        <v>39</v>
      </c>
      <c r="B1" s="70">
        <v>350</v>
      </c>
      <c r="C1" s="70">
        <v>450</v>
      </c>
      <c r="D1" s="70">
        <v>550</v>
      </c>
      <c r="E1" s="71" t="s">
        <v>40</v>
      </c>
      <c r="F1" s="71" t="s">
        <v>4</v>
      </c>
      <c r="G1" s="71" t="s">
        <v>5</v>
      </c>
      <c r="H1" s="72" t="s">
        <v>41</v>
      </c>
      <c r="I1" s="72" t="s">
        <v>6</v>
      </c>
      <c r="J1" s="72" t="s">
        <v>7</v>
      </c>
      <c r="K1" s="73" t="s">
        <v>42</v>
      </c>
      <c r="L1" s="73" t="s">
        <v>8</v>
      </c>
      <c r="M1" s="73" t="s">
        <v>9</v>
      </c>
      <c r="N1" s="74" t="s">
        <v>43</v>
      </c>
      <c r="O1" s="74" t="s">
        <v>10</v>
      </c>
      <c r="P1" s="74" t="s">
        <v>11</v>
      </c>
    </row>
    <row r="2" spans="1:18" x14ac:dyDescent="0.35">
      <c r="A2" t="s">
        <v>44</v>
      </c>
      <c r="B2" s="70">
        <v>1</v>
      </c>
      <c r="C2">
        <v>0</v>
      </c>
      <c r="D2">
        <v>0</v>
      </c>
      <c r="E2" s="75">
        <v>1</v>
      </c>
      <c r="F2" s="76">
        <v>0</v>
      </c>
      <c r="G2" s="76">
        <v>0</v>
      </c>
      <c r="H2" s="77">
        <v>1</v>
      </c>
      <c r="I2" s="76">
        <v>0</v>
      </c>
      <c r="J2" s="76">
        <v>0</v>
      </c>
      <c r="K2" s="78">
        <v>1</v>
      </c>
      <c r="L2" s="76">
        <v>0</v>
      </c>
      <c r="M2" s="76">
        <v>0</v>
      </c>
      <c r="N2" s="79">
        <v>1</v>
      </c>
      <c r="O2" s="76">
        <v>0</v>
      </c>
      <c r="P2" s="76">
        <v>0</v>
      </c>
    </row>
    <row r="3" spans="1:18" x14ac:dyDescent="0.35">
      <c r="A3" t="s">
        <v>45</v>
      </c>
      <c r="C3" s="70">
        <v>1</v>
      </c>
      <c r="D3">
        <v>0</v>
      </c>
      <c r="E3" s="76">
        <v>0</v>
      </c>
      <c r="F3" s="75">
        <v>1</v>
      </c>
      <c r="G3" s="76">
        <v>0</v>
      </c>
      <c r="H3" s="76">
        <v>0</v>
      </c>
      <c r="I3" s="77">
        <v>1</v>
      </c>
      <c r="J3" s="76">
        <v>0</v>
      </c>
      <c r="K3" s="76">
        <v>0</v>
      </c>
      <c r="L3" s="78">
        <v>1</v>
      </c>
      <c r="M3" s="76">
        <v>0</v>
      </c>
      <c r="N3" s="76">
        <v>0</v>
      </c>
      <c r="O3" s="79">
        <v>1</v>
      </c>
      <c r="P3" s="76">
        <v>0</v>
      </c>
    </row>
    <row r="4" spans="1:18" x14ac:dyDescent="0.35">
      <c r="A4" t="s">
        <v>46</v>
      </c>
      <c r="B4">
        <v>0</v>
      </c>
      <c r="C4">
        <v>0</v>
      </c>
      <c r="D4" s="80">
        <v>1</v>
      </c>
      <c r="E4" s="76">
        <v>0</v>
      </c>
      <c r="F4" s="76">
        <v>0</v>
      </c>
      <c r="G4" s="75">
        <v>1</v>
      </c>
      <c r="H4" s="76">
        <v>0</v>
      </c>
      <c r="I4" s="76">
        <v>0</v>
      </c>
      <c r="J4" s="77">
        <v>1</v>
      </c>
      <c r="K4" s="76">
        <v>0</v>
      </c>
      <c r="L4" s="76">
        <v>0</v>
      </c>
      <c r="M4" s="78">
        <v>1</v>
      </c>
      <c r="N4" s="76">
        <v>0</v>
      </c>
      <c r="O4" s="76">
        <v>0</v>
      </c>
      <c r="P4" s="79">
        <v>1</v>
      </c>
    </row>
    <row r="7" spans="1:18" ht="15" thickBot="1" x14ac:dyDescent="0.4">
      <c r="N7" t="s">
        <v>47</v>
      </c>
      <c r="O7">
        <f>COUNTIF(O9:O49,"&lt;&gt;0")</f>
        <v>17</v>
      </c>
      <c r="P7">
        <f>COUNTIF(P9:P49,"&lt;&gt;0")</f>
        <v>20</v>
      </c>
      <c r="Q7">
        <f>COUNTIF(Q9:Q49,"&lt;&gt;0")</f>
        <v>20</v>
      </c>
    </row>
    <row r="8" spans="1:18" ht="15" thickBot="1" x14ac:dyDescent="0.4">
      <c r="A8" s="56" t="s">
        <v>48</v>
      </c>
      <c r="B8" s="57" t="s">
        <v>1</v>
      </c>
      <c r="C8" s="58" t="s">
        <v>2</v>
      </c>
      <c r="D8" s="58" t="s">
        <v>3</v>
      </c>
      <c r="E8" s="58" t="s">
        <v>4</v>
      </c>
      <c r="F8" s="58" t="s">
        <v>5</v>
      </c>
      <c r="G8" s="58" t="s">
        <v>6</v>
      </c>
      <c r="H8" s="58" t="s">
        <v>7</v>
      </c>
      <c r="I8" s="58" t="s">
        <v>8</v>
      </c>
      <c r="J8" s="58" t="s">
        <v>9</v>
      </c>
      <c r="K8" s="58" t="s">
        <v>10</v>
      </c>
      <c r="L8" s="59" t="s">
        <v>44</v>
      </c>
      <c r="M8" s="60" t="s">
        <v>45</v>
      </c>
      <c r="N8" s="61" t="s">
        <v>46</v>
      </c>
      <c r="O8" s="62" t="s">
        <v>49</v>
      </c>
      <c r="P8" s="63" t="s">
        <v>50</v>
      </c>
      <c r="Q8" s="64" t="s">
        <v>51</v>
      </c>
      <c r="R8" s="65" t="s">
        <v>52</v>
      </c>
    </row>
    <row r="9" spans="1:18" x14ac:dyDescent="0.35">
      <c r="A9" s="20">
        <v>1</v>
      </c>
      <c r="B9" s="21">
        <v>7.1666666666666652</v>
      </c>
      <c r="C9" s="21">
        <v>2.3333333333333321</v>
      </c>
      <c r="D9" s="21">
        <v>0.25</v>
      </c>
      <c r="E9" s="21">
        <v>-0.249999999999998</v>
      </c>
      <c r="F9" s="21">
        <v>-1.083333333333331</v>
      </c>
      <c r="G9" s="21">
        <v>-0.66666666666666774</v>
      </c>
      <c r="H9" s="21">
        <v>8.3333333333330956E-2</v>
      </c>
      <c r="I9" s="21">
        <v>-1.166666666666667</v>
      </c>
      <c r="J9" s="21">
        <v>-1.333333333333335</v>
      </c>
      <c r="K9" s="21">
        <v>-1.249999999999998</v>
      </c>
      <c r="L9" s="31">
        <f>B9+($C$2*C9)+(D9*$D$2)+(E9*$F$2)+(F9*$G$2)+(G9*$I$2)+(H9*$J$2)+(I9*$L$2)+(J9*$M$2)+(K9*$O$2)</f>
        <v>7.1666666666666652</v>
      </c>
      <c r="M9" s="21">
        <f>B9+($C$3*C9)+(D9*$D$3)+(E9*$F$3)+(F9*$G$3)+(G9*$I$3)+(H9*$J$3)+(I9*$L$3)+(J9*$M$3)+(K9*$O$3)</f>
        <v>6.1666666666666652</v>
      </c>
      <c r="N9" s="32">
        <f>B9+($C$4*C9)+(D9*$D$4)+(E9*$F$4)+(F9*$G$4)+(G9*$I$4)+(H9*$J$4)+(I9*$L$4)+(J9*$M$4)+(K9*$O$4)</f>
        <v>5.0833333333333304</v>
      </c>
      <c r="O9" s="38">
        <v>1</v>
      </c>
      <c r="P9">
        <v>0</v>
      </c>
      <c r="Q9" s="39">
        <v>0</v>
      </c>
      <c r="R9" s="43" t="s">
        <v>53</v>
      </c>
    </row>
    <row r="10" spans="1:18" x14ac:dyDescent="0.35">
      <c r="A10" s="81">
        <v>2</v>
      </c>
      <c r="B10" s="21">
        <v>5.666666666666667</v>
      </c>
      <c r="C10" s="21">
        <v>3.3333333333333339</v>
      </c>
      <c r="D10" s="21">
        <v>0.58333333333333259</v>
      </c>
      <c r="E10" s="21">
        <v>-0.41666666666666902</v>
      </c>
      <c r="F10" s="21">
        <v>-3.2499999999999969</v>
      </c>
      <c r="G10" s="21">
        <v>-2.6666666666666652</v>
      </c>
      <c r="H10" s="21">
        <v>-2.7500000000000031</v>
      </c>
      <c r="I10" s="21">
        <v>0.83333333333333592</v>
      </c>
      <c r="J10" s="21">
        <v>0.6666666666666643</v>
      </c>
      <c r="K10" s="21">
        <v>-2.0833333333333361</v>
      </c>
      <c r="L10" s="31">
        <f t="shared" ref="L10:L49" si="0">B10+($C$2*C10)+(D10*$D$2)+(E10*$F$2)+(F10*$G$2)+(G10*$I$2)+(H10*$J$2)+(I10*$L$2)+(J10*$M$2)+(K10*$O$2)</f>
        <v>5.666666666666667</v>
      </c>
      <c r="M10" s="21">
        <f t="shared" ref="M10:M49" si="1">B10+($C$3*C10)+(D10*$D$3)+(E10*$F$3)+(F10*$G$3)+(G10*$I$3)+(H10*$J$3)+(I10*$L$3)+(J10*$M$3)+(K10*$O$3)</f>
        <v>4.6666666666666643</v>
      </c>
      <c r="N10" s="32">
        <f t="shared" ref="N10:N49" si="2">B10+($C$4*C10)+(D10*$D$4)+(E10*$F$4)+(F10*$G$4)+(G10*$I$4)+(H10*$J$4)+(I10*$L$4)+(J10*$M$4)+(K10*$O$4)</f>
        <v>0.9166666666666643</v>
      </c>
      <c r="O10" s="38">
        <v>1</v>
      </c>
      <c r="P10">
        <v>0</v>
      </c>
      <c r="Q10" s="39">
        <v>0</v>
      </c>
      <c r="R10" s="43" t="s">
        <v>54</v>
      </c>
    </row>
    <row r="11" spans="1:18" x14ac:dyDescent="0.35">
      <c r="A11" s="20">
        <v>3</v>
      </c>
      <c r="B11" s="21">
        <v>5.8333333333333321</v>
      </c>
      <c r="C11" s="21">
        <v>3.6666666666666679</v>
      </c>
      <c r="D11" s="21">
        <v>2.5000000000000022</v>
      </c>
      <c r="E11" s="21">
        <v>8.4525467426780842E-16</v>
      </c>
      <c r="F11" s="21">
        <v>-3.666666666666667</v>
      </c>
      <c r="G11" s="21">
        <v>-2.3333333333333321</v>
      </c>
      <c r="H11" s="21">
        <v>-1.3333333333333339</v>
      </c>
      <c r="I11" s="21">
        <v>-0.33333333333333248</v>
      </c>
      <c r="J11" s="21">
        <v>0.33333333333333431</v>
      </c>
      <c r="K11" s="21">
        <v>-1.0000000000000011</v>
      </c>
      <c r="L11" s="31">
        <f t="shared" si="0"/>
        <v>5.8333333333333321</v>
      </c>
      <c r="M11" s="33">
        <f t="shared" si="1"/>
        <v>5.8333333333333348</v>
      </c>
      <c r="N11" s="32">
        <f t="shared" si="2"/>
        <v>3.6666666666666674</v>
      </c>
      <c r="O11" s="38">
        <v>0.5</v>
      </c>
      <c r="P11">
        <v>0.5</v>
      </c>
      <c r="Q11" s="39">
        <v>0</v>
      </c>
      <c r="R11" s="43" t="s">
        <v>54</v>
      </c>
    </row>
    <row r="12" spans="1:18" x14ac:dyDescent="0.35">
      <c r="A12" s="81">
        <v>4</v>
      </c>
      <c r="B12" s="21">
        <v>1.166666666666667</v>
      </c>
      <c r="C12" s="21">
        <v>-1.6666666666666661</v>
      </c>
      <c r="D12" s="21">
        <v>-0.24999999999999981</v>
      </c>
      <c r="E12" s="21">
        <v>0.25000000000000028</v>
      </c>
      <c r="F12" s="21">
        <v>1.416666666666665</v>
      </c>
      <c r="G12" s="21">
        <v>2.3333333333333321</v>
      </c>
      <c r="H12" s="21">
        <v>1.5833333333333339</v>
      </c>
      <c r="I12" s="21">
        <v>0.83333333333333215</v>
      </c>
      <c r="J12" s="21">
        <v>0.66666666666666829</v>
      </c>
      <c r="K12" s="21">
        <v>0.25000000000000061</v>
      </c>
      <c r="L12" s="34">
        <f t="shared" si="0"/>
        <v>1.166666666666667</v>
      </c>
      <c r="M12" s="21">
        <f t="shared" si="1"/>
        <v>3.1666666666666661</v>
      </c>
      <c r="N12" s="35">
        <f t="shared" si="2"/>
        <v>4.5833333333333339</v>
      </c>
      <c r="O12" s="38">
        <v>0</v>
      </c>
      <c r="P12">
        <v>0</v>
      </c>
      <c r="Q12" s="39">
        <v>1</v>
      </c>
      <c r="R12" s="43" t="s">
        <v>53</v>
      </c>
    </row>
    <row r="13" spans="1:18" x14ac:dyDescent="0.35">
      <c r="A13" s="20">
        <v>5</v>
      </c>
      <c r="B13" s="21">
        <v>4.1666666666666652</v>
      </c>
      <c r="C13" s="21">
        <v>-0.66666666666666563</v>
      </c>
      <c r="D13" s="21">
        <v>-2.0833333333333339</v>
      </c>
      <c r="E13" s="21">
        <v>0.4166666666666673</v>
      </c>
      <c r="F13" s="21">
        <v>3.5833333333333339</v>
      </c>
      <c r="G13" s="21">
        <v>-0.66666666666667074</v>
      </c>
      <c r="H13" s="21">
        <v>1.416666666666665</v>
      </c>
      <c r="I13" s="21">
        <v>-1.166666666666667</v>
      </c>
      <c r="J13" s="21">
        <v>-0.33333333333333209</v>
      </c>
      <c r="K13" s="21">
        <v>8.3333333333335355E-2</v>
      </c>
      <c r="L13" s="34">
        <f t="shared" si="0"/>
        <v>4.1666666666666652</v>
      </c>
      <c r="M13" s="21">
        <f t="shared" si="1"/>
        <v>2.1666666666666647</v>
      </c>
      <c r="N13" s="35">
        <f t="shared" si="2"/>
        <v>6.7499999999999982</v>
      </c>
      <c r="O13" s="38">
        <v>0</v>
      </c>
      <c r="P13">
        <v>0</v>
      </c>
      <c r="Q13" s="39">
        <v>1</v>
      </c>
      <c r="R13" s="43" t="s">
        <v>53</v>
      </c>
    </row>
    <row r="14" spans="1:18" x14ac:dyDescent="0.35">
      <c r="A14" s="81">
        <v>6</v>
      </c>
      <c r="B14" s="21">
        <v>5.4999999999999991</v>
      </c>
      <c r="C14" s="21">
        <v>2.0000000000000009</v>
      </c>
      <c r="D14" s="21">
        <v>1.833333333333335</v>
      </c>
      <c r="E14" s="21">
        <v>-0.66666666666666563</v>
      </c>
      <c r="F14" s="21">
        <v>-2.666666666666667</v>
      </c>
      <c r="G14" s="21">
        <v>-0.999999999999999</v>
      </c>
      <c r="H14" s="21">
        <v>-0.33333333333333331</v>
      </c>
      <c r="I14" s="21">
        <v>6.5794839473472596E-16</v>
      </c>
      <c r="J14" s="21">
        <v>1</v>
      </c>
      <c r="K14" s="21">
        <v>-1.333333333333335</v>
      </c>
      <c r="L14" s="31">
        <f t="shared" si="0"/>
        <v>5.4999999999999991</v>
      </c>
      <c r="M14" s="21">
        <f t="shared" si="1"/>
        <v>4.5000000000000009</v>
      </c>
      <c r="N14" s="35">
        <f t="shared" si="2"/>
        <v>5.3333333333333339</v>
      </c>
      <c r="O14" s="38">
        <v>0.5</v>
      </c>
      <c r="P14">
        <v>0</v>
      </c>
      <c r="Q14" s="39">
        <v>0.5</v>
      </c>
      <c r="R14" s="43" t="s">
        <v>54</v>
      </c>
    </row>
    <row r="15" spans="1:18" x14ac:dyDescent="0.35">
      <c r="A15" s="20">
        <v>7</v>
      </c>
      <c r="B15" s="21">
        <v>4.666666666666667</v>
      </c>
      <c r="C15" s="21">
        <v>0.33333333333333581</v>
      </c>
      <c r="D15" s="21">
        <v>0.25000000000000039</v>
      </c>
      <c r="E15" s="21">
        <v>0.249999999999999</v>
      </c>
      <c r="F15" s="21">
        <v>-0.5833333333333337</v>
      </c>
      <c r="G15" s="21">
        <v>-0.66666666666666796</v>
      </c>
      <c r="H15" s="21">
        <v>-1.416666666666667</v>
      </c>
      <c r="I15" s="21">
        <v>0.83333333333333537</v>
      </c>
      <c r="J15" s="21">
        <v>-0.33333333333333459</v>
      </c>
      <c r="K15" s="21">
        <v>-0.75000000000000222</v>
      </c>
      <c r="L15" s="31">
        <f t="shared" si="0"/>
        <v>4.666666666666667</v>
      </c>
      <c r="M15" s="33">
        <f t="shared" si="1"/>
        <v>4.6666666666666679</v>
      </c>
      <c r="N15" s="35">
        <f t="shared" si="2"/>
        <v>2.5833333333333313</v>
      </c>
      <c r="O15" s="38">
        <v>0.33</v>
      </c>
      <c r="P15">
        <v>0.33</v>
      </c>
      <c r="Q15" s="39">
        <v>0.33</v>
      </c>
      <c r="R15" s="43" t="s">
        <v>54</v>
      </c>
    </row>
    <row r="16" spans="1:18" x14ac:dyDescent="0.35">
      <c r="A16" s="81">
        <v>8</v>
      </c>
      <c r="B16" s="21">
        <v>2.3333333333333361</v>
      </c>
      <c r="C16" s="21">
        <v>-1.333333333333329</v>
      </c>
      <c r="D16" s="21">
        <v>-0.49999999999999961</v>
      </c>
      <c r="E16" s="21">
        <v>1.999999999999996</v>
      </c>
      <c r="F16" s="21">
        <v>0.33333333333333171</v>
      </c>
      <c r="G16" s="21">
        <v>-2.8333333333333282</v>
      </c>
      <c r="H16" s="21">
        <v>-2.333333333333329</v>
      </c>
      <c r="I16" s="21">
        <v>1.666666666666667</v>
      </c>
      <c r="J16" s="21">
        <v>2.8333333333333321</v>
      </c>
      <c r="K16" s="21">
        <v>2.4999999999999951</v>
      </c>
      <c r="L16" s="34">
        <f t="shared" si="0"/>
        <v>2.3333333333333361</v>
      </c>
      <c r="M16" s="33">
        <f t="shared" si="1"/>
        <v>4.3333333333333375</v>
      </c>
      <c r="N16" s="35">
        <f t="shared" si="2"/>
        <v>2.6666666666666714</v>
      </c>
      <c r="O16" s="38">
        <v>0</v>
      </c>
      <c r="P16">
        <v>0.5</v>
      </c>
      <c r="Q16" s="39">
        <v>0.5</v>
      </c>
      <c r="R16" s="43" t="s">
        <v>54</v>
      </c>
    </row>
    <row r="17" spans="1:18" x14ac:dyDescent="0.35">
      <c r="A17" s="20">
        <v>9</v>
      </c>
      <c r="B17" s="21">
        <v>5.833333333333333</v>
      </c>
      <c r="C17" s="21">
        <v>-0.33333333333333431</v>
      </c>
      <c r="D17" s="21">
        <v>-0.3333333333333337</v>
      </c>
      <c r="E17" s="21">
        <v>-0.3333333333333327</v>
      </c>
      <c r="F17" s="21">
        <v>0.99999999999999978</v>
      </c>
      <c r="G17" s="21">
        <v>1.166666666666665</v>
      </c>
      <c r="H17" s="21">
        <v>0.99999999999999978</v>
      </c>
      <c r="I17" s="21">
        <v>0.66666666666666652</v>
      </c>
      <c r="J17" s="21">
        <v>-0.16666666666666621</v>
      </c>
      <c r="K17" s="21">
        <v>-0.1666666666666658</v>
      </c>
      <c r="L17" s="34">
        <f t="shared" si="0"/>
        <v>5.833333333333333</v>
      </c>
      <c r="M17" s="33">
        <f t="shared" si="1"/>
        <v>6.8333333333333321</v>
      </c>
      <c r="N17" s="35">
        <f t="shared" si="2"/>
        <v>7.333333333333333</v>
      </c>
      <c r="O17" s="38">
        <v>0</v>
      </c>
      <c r="P17">
        <v>0.5</v>
      </c>
      <c r="Q17" s="39">
        <v>0.5</v>
      </c>
      <c r="R17" s="43" t="s">
        <v>53</v>
      </c>
    </row>
    <row r="18" spans="1:18" x14ac:dyDescent="0.35">
      <c r="A18" s="81">
        <v>10</v>
      </c>
      <c r="B18" s="21">
        <v>1.166666666666667</v>
      </c>
      <c r="C18" s="21">
        <v>3.333333333333337</v>
      </c>
      <c r="D18" s="21">
        <v>2.1666666666666679</v>
      </c>
      <c r="E18" s="21">
        <v>1.6666666666666661</v>
      </c>
      <c r="F18" s="21">
        <v>-0.6666666666666673</v>
      </c>
      <c r="G18" s="21">
        <v>-2.666666666666667</v>
      </c>
      <c r="H18" s="21">
        <v>-1.3333333333333339</v>
      </c>
      <c r="I18" s="21">
        <v>2.3333333333333348</v>
      </c>
      <c r="J18" s="21">
        <v>0.66666666666666696</v>
      </c>
      <c r="K18" s="21">
        <v>1.3333333333333299</v>
      </c>
      <c r="L18" s="34">
        <f t="shared" si="0"/>
        <v>1.166666666666667</v>
      </c>
      <c r="M18" s="33">
        <f t="shared" si="1"/>
        <v>7.1666666666666679</v>
      </c>
      <c r="N18" s="32">
        <f t="shared" si="2"/>
        <v>2.0000000000000004</v>
      </c>
      <c r="O18" s="38">
        <v>0</v>
      </c>
      <c r="P18">
        <v>1</v>
      </c>
      <c r="Q18" s="39">
        <v>0</v>
      </c>
      <c r="R18" s="43" t="s">
        <v>54</v>
      </c>
    </row>
    <row r="19" spans="1:18" x14ac:dyDescent="0.35">
      <c r="A19" s="20">
        <v>11</v>
      </c>
      <c r="B19" s="21">
        <v>6.6666666666666661</v>
      </c>
      <c r="C19" s="21">
        <v>-0.66666666666667107</v>
      </c>
      <c r="D19" s="21">
        <v>-2.2500000000000031</v>
      </c>
      <c r="E19" s="21">
        <v>-0.74999999999999689</v>
      </c>
      <c r="F19" s="21">
        <v>2.4166666666666701</v>
      </c>
      <c r="G19" s="21">
        <v>-0.16666666666666941</v>
      </c>
      <c r="H19" s="21">
        <v>2.5833333333333299</v>
      </c>
      <c r="I19" s="21">
        <v>-1.1666666666666681</v>
      </c>
      <c r="J19" s="21">
        <v>-2.833333333333337</v>
      </c>
      <c r="K19" s="21">
        <v>-2.2499999999999951</v>
      </c>
      <c r="L19" s="31">
        <f t="shared" si="0"/>
        <v>6.6666666666666661</v>
      </c>
      <c r="M19" s="21">
        <f t="shared" si="1"/>
        <v>1.6666666666666656</v>
      </c>
      <c r="N19" s="32">
        <f t="shared" si="2"/>
        <v>6.583333333333325</v>
      </c>
      <c r="O19" s="38">
        <v>1</v>
      </c>
      <c r="P19">
        <v>0</v>
      </c>
      <c r="Q19" s="39">
        <v>0</v>
      </c>
      <c r="R19" s="43" t="s">
        <v>53</v>
      </c>
    </row>
    <row r="20" spans="1:18" x14ac:dyDescent="0.35">
      <c r="A20" s="81">
        <v>12</v>
      </c>
      <c r="B20" s="21">
        <v>5.3333333333333348</v>
      </c>
      <c r="C20" s="21">
        <v>-0.33333333333333082</v>
      </c>
      <c r="D20" s="21">
        <v>0.33333333333333431</v>
      </c>
      <c r="E20" s="21">
        <v>0.3333333333333322</v>
      </c>
      <c r="F20" s="21">
        <v>-2.3333333333333361</v>
      </c>
      <c r="G20" s="21">
        <v>-0.33333333333333171</v>
      </c>
      <c r="H20" s="21">
        <v>-0.66666666666666496</v>
      </c>
      <c r="I20" s="21">
        <v>0.66666666666666652</v>
      </c>
      <c r="J20" s="21">
        <v>1.333333333333333</v>
      </c>
      <c r="K20" s="21">
        <v>-0.33333333333333609</v>
      </c>
      <c r="L20" s="31">
        <f t="shared" si="0"/>
        <v>5.3333333333333348</v>
      </c>
      <c r="M20" s="33">
        <f t="shared" si="1"/>
        <v>5.3333333333333339</v>
      </c>
      <c r="N20" s="32">
        <f t="shared" si="2"/>
        <v>4.0000000000000009</v>
      </c>
      <c r="O20" s="38">
        <v>0.5</v>
      </c>
      <c r="P20">
        <v>0.5</v>
      </c>
      <c r="Q20" s="39">
        <v>0</v>
      </c>
      <c r="R20" s="43" t="s">
        <v>54</v>
      </c>
    </row>
    <row r="21" spans="1:18" x14ac:dyDescent="0.35">
      <c r="A21" s="20">
        <v>13</v>
      </c>
      <c r="B21" s="21">
        <v>5.3333333333333348</v>
      </c>
      <c r="C21" s="21">
        <v>-2.3333333333333321</v>
      </c>
      <c r="D21" s="21">
        <v>8.3333333333332593E-2</v>
      </c>
      <c r="E21" s="21">
        <v>8.3333333333332024E-2</v>
      </c>
      <c r="F21" s="21">
        <v>0.91666666666666496</v>
      </c>
      <c r="G21" s="21">
        <v>-0.33333333333333159</v>
      </c>
      <c r="H21" s="21">
        <v>8.3333333333335494E-2</v>
      </c>
      <c r="I21" s="21">
        <v>0.16666666666666599</v>
      </c>
      <c r="J21" s="21">
        <v>0.33333333333333398</v>
      </c>
      <c r="K21" s="21">
        <v>1.416666666666665</v>
      </c>
      <c r="L21" s="34">
        <f t="shared" si="0"/>
        <v>5.3333333333333348</v>
      </c>
      <c r="M21" s="21">
        <f t="shared" si="1"/>
        <v>4.3333333333333339</v>
      </c>
      <c r="N21" s="35">
        <f t="shared" si="2"/>
        <v>6.7500000000000027</v>
      </c>
      <c r="O21" s="38">
        <v>0</v>
      </c>
      <c r="P21">
        <v>0</v>
      </c>
      <c r="Q21" s="39">
        <v>1</v>
      </c>
      <c r="R21" s="43" t="s">
        <v>53</v>
      </c>
    </row>
    <row r="22" spans="1:18" x14ac:dyDescent="0.35">
      <c r="A22" s="81">
        <v>14</v>
      </c>
      <c r="B22" s="21">
        <v>4.1666666666666679</v>
      </c>
      <c r="C22" s="21">
        <v>-4.6666666666666714</v>
      </c>
      <c r="D22" s="21">
        <v>-2.6666666666666692</v>
      </c>
      <c r="E22" s="21">
        <v>0.33333333333333343</v>
      </c>
      <c r="F22" s="21">
        <v>4.0000000000000009</v>
      </c>
      <c r="G22" s="21">
        <v>2.833333333333333</v>
      </c>
      <c r="H22" s="21">
        <v>1.000000000000002</v>
      </c>
      <c r="I22" s="21">
        <v>-1.666666666666669</v>
      </c>
      <c r="J22" s="21">
        <v>-0.8333333333333337</v>
      </c>
      <c r="K22" s="21">
        <v>2.1666666666666701</v>
      </c>
      <c r="L22" s="31">
        <f t="shared" si="0"/>
        <v>4.1666666666666679</v>
      </c>
      <c r="M22" s="21">
        <f t="shared" si="1"/>
        <v>3.1666666666666643</v>
      </c>
      <c r="N22" s="35">
        <f t="shared" si="2"/>
        <v>5.6666666666666679</v>
      </c>
      <c r="O22" s="38">
        <v>0.5</v>
      </c>
      <c r="P22">
        <v>0</v>
      </c>
      <c r="Q22" s="39">
        <v>0.5</v>
      </c>
      <c r="R22" s="43" t="s">
        <v>55</v>
      </c>
    </row>
    <row r="23" spans="1:18" x14ac:dyDescent="0.35">
      <c r="A23" s="20">
        <v>15</v>
      </c>
      <c r="B23" s="21">
        <v>5.3333333333333321</v>
      </c>
      <c r="C23" s="21">
        <v>-0.33333333333333409</v>
      </c>
      <c r="D23" s="21">
        <v>0.25000000000000011</v>
      </c>
      <c r="E23" s="21">
        <v>-0.24999999999999881</v>
      </c>
      <c r="F23" s="21">
        <v>-0.41666666666666591</v>
      </c>
      <c r="G23" s="21">
        <v>1.1666666666666661</v>
      </c>
      <c r="H23" s="21">
        <v>0.41666666666666702</v>
      </c>
      <c r="I23" s="21">
        <v>-0.83333333333333393</v>
      </c>
      <c r="J23" s="21">
        <v>-0.16666666666666649</v>
      </c>
      <c r="K23" s="21">
        <v>-0.74999999999999933</v>
      </c>
      <c r="L23" s="31">
        <f t="shared" si="0"/>
        <v>5.3333333333333321</v>
      </c>
      <c r="M23" s="21">
        <f t="shared" si="1"/>
        <v>4.3333333333333321</v>
      </c>
      <c r="N23" s="35">
        <f t="shared" si="2"/>
        <v>5.416666666666667</v>
      </c>
      <c r="O23" s="38">
        <v>0.5</v>
      </c>
      <c r="P23">
        <v>0</v>
      </c>
      <c r="Q23" s="39">
        <v>0.5</v>
      </c>
      <c r="R23" s="43" t="s">
        <v>53</v>
      </c>
    </row>
    <row r="24" spans="1:18" x14ac:dyDescent="0.35">
      <c r="A24" s="81">
        <v>16</v>
      </c>
      <c r="B24" s="21">
        <v>3.6666666666666661</v>
      </c>
      <c r="C24" s="21">
        <v>2.3333333333333321</v>
      </c>
      <c r="D24" s="21">
        <v>0.75000000000000089</v>
      </c>
      <c r="E24" s="21">
        <v>0.25000000000000139</v>
      </c>
      <c r="F24" s="21">
        <v>-1.5833333333333319</v>
      </c>
      <c r="G24" s="21">
        <v>-0.16666666666666771</v>
      </c>
      <c r="H24" s="21">
        <v>-0.41666666666666841</v>
      </c>
      <c r="I24" s="21">
        <v>-0.1666666666666661</v>
      </c>
      <c r="J24" s="21">
        <v>-0.83333333333333426</v>
      </c>
      <c r="K24" s="21">
        <v>-1.2499999999999989</v>
      </c>
      <c r="L24" s="34">
        <f t="shared" si="0"/>
        <v>3.6666666666666661</v>
      </c>
      <c r="M24" s="33">
        <f t="shared" si="1"/>
        <v>4.666666666666667</v>
      </c>
      <c r="N24" s="32">
        <f t="shared" si="2"/>
        <v>1.5833333333333321</v>
      </c>
      <c r="O24" s="38">
        <v>0</v>
      </c>
      <c r="P24">
        <v>1</v>
      </c>
      <c r="Q24" s="39">
        <v>0</v>
      </c>
      <c r="R24" s="43" t="s">
        <v>54</v>
      </c>
    </row>
    <row r="25" spans="1:18" x14ac:dyDescent="0.35">
      <c r="A25" s="20">
        <v>17</v>
      </c>
      <c r="B25" s="21">
        <v>6.1666666666666661</v>
      </c>
      <c r="C25" s="21">
        <v>1.3333333333333319</v>
      </c>
      <c r="D25" s="21">
        <v>0.3333333333333327</v>
      </c>
      <c r="E25" s="21">
        <v>-0.66666666666666552</v>
      </c>
      <c r="F25" s="21">
        <v>1.621582107559747E-15</v>
      </c>
      <c r="G25" s="21">
        <v>0.83333333333333182</v>
      </c>
      <c r="H25" s="21">
        <v>-9.8799945300233477E-16</v>
      </c>
      <c r="I25" s="21">
        <v>-0.66666666666666619</v>
      </c>
      <c r="J25" s="21">
        <v>-1.833333333333335</v>
      </c>
      <c r="K25" s="21">
        <v>0.16666666666666849</v>
      </c>
      <c r="L25" s="34">
        <f t="shared" si="0"/>
        <v>6.1666666666666661</v>
      </c>
      <c r="M25" s="33">
        <f t="shared" si="1"/>
        <v>7.1666666666666679</v>
      </c>
      <c r="N25" s="32">
        <f t="shared" si="2"/>
        <v>4.6666666666666652</v>
      </c>
      <c r="O25" s="38">
        <v>0</v>
      </c>
      <c r="P25">
        <v>1</v>
      </c>
      <c r="Q25" s="39">
        <v>0</v>
      </c>
      <c r="R25" s="43" t="s">
        <v>53</v>
      </c>
    </row>
    <row r="26" spans="1:18" x14ac:dyDescent="0.35">
      <c r="A26" s="81">
        <v>18</v>
      </c>
      <c r="B26" s="21">
        <v>2.333333333333333</v>
      </c>
      <c r="C26" s="21">
        <v>-0.33333333333333182</v>
      </c>
      <c r="D26" s="21">
        <v>0.58333333333333437</v>
      </c>
      <c r="E26" s="21">
        <v>8.3333333333332746E-2</v>
      </c>
      <c r="F26" s="21">
        <v>-8.333333333333566E-2</v>
      </c>
      <c r="G26" s="21">
        <v>2.166666666666667</v>
      </c>
      <c r="H26" s="21">
        <v>8.3333333333336521E-2</v>
      </c>
      <c r="I26" s="21">
        <v>1.166666666666665</v>
      </c>
      <c r="J26" s="21">
        <v>1.8333333333333359</v>
      </c>
      <c r="K26" s="21">
        <v>1.916666666666665</v>
      </c>
      <c r="L26" s="34">
        <f t="shared" si="0"/>
        <v>2.333333333333333</v>
      </c>
      <c r="M26" s="33">
        <f t="shared" si="1"/>
        <v>7.3333333333333313</v>
      </c>
      <c r="N26" s="32">
        <f t="shared" si="2"/>
        <v>4.7500000000000044</v>
      </c>
      <c r="O26" s="38">
        <v>0</v>
      </c>
      <c r="P26">
        <v>1</v>
      </c>
      <c r="Q26" s="39">
        <v>0</v>
      </c>
      <c r="R26" s="43" t="s">
        <v>54</v>
      </c>
    </row>
    <row r="27" spans="1:18" x14ac:dyDescent="0.35">
      <c r="A27" s="20">
        <v>19</v>
      </c>
      <c r="B27" s="21">
        <v>3.3333333333333339</v>
      </c>
      <c r="C27" s="21">
        <v>-0.33333333333333143</v>
      </c>
      <c r="D27" s="21">
        <v>0.91666666666666652</v>
      </c>
      <c r="E27" s="21">
        <v>-8.3333333333334023E-2</v>
      </c>
      <c r="F27" s="21">
        <v>-0.25000000000000211</v>
      </c>
      <c r="G27" s="21">
        <v>1.6666666666666661</v>
      </c>
      <c r="H27" s="21">
        <v>0.25000000000000239</v>
      </c>
      <c r="I27" s="21">
        <v>1.1666666666666661</v>
      </c>
      <c r="J27" s="21">
        <v>1.3333333333333359</v>
      </c>
      <c r="K27" s="21">
        <v>1.5833333333333319</v>
      </c>
      <c r="L27" s="34">
        <f t="shared" si="0"/>
        <v>3.3333333333333339</v>
      </c>
      <c r="M27" s="33">
        <f t="shared" si="1"/>
        <v>7.333333333333333</v>
      </c>
      <c r="N27" s="32">
        <f t="shared" si="2"/>
        <v>5.5833333333333357</v>
      </c>
      <c r="O27" s="38">
        <v>0</v>
      </c>
      <c r="P27">
        <v>1</v>
      </c>
      <c r="Q27" s="39">
        <v>0</v>
      </c>
      <c r="R27" s="43" t="s">
        <v>54</v>
      </c>
    </row>
    <row r="28" spans="1:18" x14ac:dyDescent="0.35">
      <c r="A28" s="81">
        <v>20</v>
      </c>
      <c r="B28" s="21">
        <v>1.833333333333333</v>
      </c>
      <c r="C28" s="21">
        <v>2.6666666666666732</v>
      </c>
      <c r="D28" s="21">
        <v>2.6666666666666701</v>
      </c>
      <c r="E28" s="21">
        <v>-0.83333333333333337</v>
      </c>
      <c r="F28" s="21">
        <v>-1.5000000000000031</v>
      </c>
      <c r="G28" s="21">
        <v>-0.33333333333333293</v>
      </c>
      <c r="H28" s="21">
        <v>-0.50000000000000078</v>
      </c>
      <c r="I28" s="21">
        <v>2.6666666666666679</v>
      </c>
      <c r="J28" s="21">
        <v>3.333333333333337</v>
      </c>
      <c r="K28" s="21">
        <v>-0.16666666666667099</v>
      </c>
      <c r="L28" s="34">
        <f t="shared" si="0"/>
        <v>1.833333333333333</v>
      </c>
      <c r="M28" s="21">
        <f t="shared" si="1"/>
        <v>5.8333333333333357</v>
      </c>
      <c r="N28" s="35">
        <f t="shared" si="2"/>
        <v>5.8333333333333366</v>
      </c>
      <c r="O28" s="38">
        <v>0</v>
      </c>
      <c r="P28">
        <v>0</v>
      </c>
      <c r="Q28" s="39">
        <v>1</v>
      </c>
      <c r="R28" s="43" t="s">
        <v>54</v>
      </c>
    </row>
    <row r="29" spans="1:18" x14ac:dyDescent="0.35">
      <c r="A29" s="20">
        <v>21</v>
      </c>
      <c r="B29" s="21">
        <v>2.6666666666666661</v>
      </c>
      <c r="C29" s="21">
        <v>3.3333333333333348</v>
      </c>
      <c r="D29" s="21">
        <v>2.2759572004815709E-15</v>
      </c>
      <c r="E29" s="21">
        <v>9.0331481853120371E-16</v>
      </c>
      <c r="F29" s="21">
        <v>-0.33333333333333348</v>
      </c>
      <c r="G29" s="21">
        <v>0.33333333333333087</v>
      </c>
      <c r="H29" s="21">
        <v>0.33333333333333098</v>
      </c>
      <c r="I29" s="21">
        <v>1.333333333333333</v>
      </c>
      <c r="J29" s="21">
        <v>1.6666666666666681</v>
      </c>
      <c r="K29" s="21">
        <v>-1</v>
      </c>
      <c r="L29" s="34">
        <f t="shared" si="0"/>
        <v>2.6666666666666661</v>
      </c>
      <c r="M29" s="33">
        <f t="shared" si="1"/>
        <v>6.6666666666666661</v>
      </c>
      <c r="N29" s="32">
        <f t="shared" si="2"/>
        <v>4.3333333333333339</v>
      </c>
      <c r="O29" s="38">
        <v>0</v>
      </c>
      <c r="P29">
        <v>1</v>
      </c>
      <c r="Q29" s="39">
        <v>0</v>
      </c>
      <c r="R29" s="43" t="s">
        <v>54</v>
      </c>
    </row>
    <row r="30" spans="1:18" x14ac:dyDescent="0.35">
      <c r="A30" s="81">
        <v>22</v>
      </c>
      <c r="B30" s="21">
        <v>3.3333333333333321</v>
      </c>
      <c r="C30" s="21">
        <v>1.666666666666667</v>
      </c>
      <c r="D30" s="21">
        <v>1.833333333333335</v>
      </c>
      <c r="E30" s="21">
        <v>0.33333333333333359</v>
      </c>
      <c r="F30" s="21">
        <v>-2.3333333333333339</v>
      </c>
      <c r="G30" s="21">
        <v>-1.833333333333331</v>
      </c>
      <c r="H30" s="21">
        <v>0.33333333333333409</v>
      </c>
      <c r="I30" s="21">
        <v>1.666666666666667</v>
      </c>
      <c r="J30" s="21">
        <v>1.833333333333335</v>
      </c>
      <c r="K30" s="21">
        <v>-0.83333333333333492</v>
      </c>
      <c r="L30" s="34">
        <f t="shared" si="0"/>
        <v>3.3333333333333321</v>
      </c>
      <c r="M30" s="21">
        <f t="shared" si="1"/>
        <v>4.3333333333333339</v>
      </c>
      <c r="N30" s="35">
        <f t="shared" si="2"/>
        <v>5.0000000000000018</v>
      </c>
      <c r="O30" s="38">
        <v>0</v>
      </c>
      <c r="P30">
        <v>0</v>
      </c>
      <c r="Q30" s="39">
        <v>1</v>
      </c>
      <c r="R30" s="43" t="s">
        <v>54</v>
      </c>
    </row>
    <row r="31" spans="1:18" x14ac:dyDescent="0.35">
      <c r="A31" s="20">
        <v>23</v>
      </c>
      <c r="B31" s="21">
        <v>4.1666666666666643</v>
      </c>
      <c r="C31" s="21">
        <v>4.333333333333333</v>
      </c>
      <c r="D31" s="21">
        <v>0.41666666666666941</v>
      </c>
      <c r="E31" s="21">
        <v>-0.58333333333333171</v>
      </c>
      <c r="F31" s="21">
        <v>-2.4166666666666652</v>
      </c>
      <c r="G31" s="21">
        <v>-0.16666666666666491</v>
      </c>
      <c r="H31" s="21">
        <v>0.41666666666666591</v>
      </c>
      <c r="I31" s="21">
        <v>0.83333333333333315</v>
      </c>
      <c r="J31" s="21">
        <v>3.1666666666666679</v>
      </c>
      <c r="K31" s="21">
        <v>-2.416666666666667</v>
      </c>
      <c r="L31" s="34">
        <f t="shared" si="0"/>
        <v>4.1666666666666643</v>
      </c>
      <c r="M31" s="33">
        <f t="shared" si="1"/>
        <v>6.1666666666666652</v>
      </c>
      <c r="N31" s="32">
        <f t="shared" si="2"/>
        <v>5.7500000000000027</v>
      </c>
      <c r="O31" s="38">
        <v>0</v>
      </c>
      <c r="P31">
        <v>1</v>
      </c>
      <c r="Q31" s="39">
        <v>0</v>
      </c>
      <c r="R31" s="43" t="s">
        <v>54</v>
      </c>
    </row>
    <row r="32" spans="1:18" x14ac:dyDescent="0.35">
      <c r="A32" s="81">
        <v>24</v>
      </c>
      <c r="B32" s="21">
        <v>4.9999999999999991</v>
      </c>
      <c r="C32" s="21">
        <v>0.99999999999999745</v>
      </c>
      <c r="D32" s="21">
        <v>-8.3333333333333592E-2</v>
      </c>
      <c r="E32" s="21">
        <v>-8.3333333333332135E-2</v>
      </c>
      <c r="F32" s="21">
        <v>0.41666666666666852</v>
      </c>
      <c r="G32" s="21">
        <v>-8.943751724278236E-16</v>
      </c>
      <c r="H32" s="21">
        <v>0.58333333333333182</v>
      </c>
      <c r="I32" s="21">
        <v>-0.5</v>
      </c>
      <c r="J32" s="21">
        <v>-1.0000000000000011</v>
      </c>
      <c r="K32" s="21">
        <v>-0.41666666666666419</v>
      </c>
      <c r="L32" s="31">
        <f t="shared" si="0"/>
        <v>4.9999999999999991</v>
      </c>
      <c r="M32" s="33">
        <f t="shared" si="1"/>
        <v>4.9999999999999991</v>
      </c>
      <c r="N32" s="35">
        <f t="shared" si="2"/>
        <v>4.9166666666666652</v>
      </c>
      <c r="O32" s="38">
        <v>0.33</v>
      </c>
      <c r="P32">
        <v>0.33</v>
      </c>
      <c r="Q32" s="39">
        <v>0.33</v>
      </c>
      <c r="R32" s="43" t="s">
        <v>53</v>
      </c>
    </row>
    <row r="33" spans="1:18" x14ac:dyDescent="0.35">
      <c r="A33" s="20">
        <v>25</v>
      </c>
      <c r="B33" s="21">
        <v>5</v>
      </c>
      <c r="C33" s="21">
        <v>-4.0000000000000027</v>
      </c>
      <c r="D33" s="21">
        <v>-2.5000000000000022</v>
      </c>
      <c r="E33" s="21">
        <v>0.50000000000000078</v>
      </c>
      <c r="F33" s="21">
        <v>3.4999999999999991</v>
      </c>
      <c r="G33" s="21">
        <v>3.9999999999999978</v>
      </c>
      <c r="H33" s="21">
        <v>1.500000000000002</v>
      </c>
      <c r="I33" s="21">
        <v>-1.000000000000002</v>
      </c>
      <c r="J33" s="21">
        <v>-2</v>
      </c>
      <c r="K33" s="21">
        <v>2.5000000000000031</v>
      </c>
      <c r="L33" s="34">
        <f t="shared" si="0"/>
        <v>5</v>
      </c>
      <c r="M33" s="33">
        <f t="shared" si="1"/>
        <v>6.9999999999999982</v>
      </c>
      <c r="N33" s="32">
        <f t="shared" si="2"/>
        <v>5.4999999999999982</v>
      </c>
      <c r="O33" s="38">
        <v>0</v>
      </c>
      <c r="P33">
        <v>1</v>
      </c>
      <c r="Q33" s="39">
        <v>0</v>
      </c>
      <c r="R33" s="43" t="s">
        <v>55</v>
      </c>
    </row>
    <row r="34" spans="1:18" x14ac:dyDescent="0.35">
      <c r="A34" s="81">
        <v>26</v>
      </c>
      <c r="B34" s="21">
        <v>5.333333333333333</v>
      </c>
      <c r="C34" s="21">
        <v>1.666666666666667</v>
      </c>
      <c r="D34" s="21">
        <v>8.3333333333334147E-2</v>
      </c>
      <c r="E34" s="21">
        <v>8.3333333333333731E-2</v>
      </c>
      <c r="F34" s="21">
        <v>-1.083333333333333</v>
      </c>
      <c r="G34" s="21">
        <v>-1.3333333333333339</v>
      </c>
      <c r="H34" s="21">
        <v>8.333333333333158E-2</v>
      </c>
      <c r="I34" s="21">
        <v>0.16666666666666699</v>
      </c>
      <c r="J34" s="21">
        <v>0.33333333333333293</v>
      </c>
      <c r="K34" s="21">
        <v>-1.5833333333333339</v>
      </c>
      <c r="L34" s="31">
        <f t="shared" si="0"/>
        <v>5.333333333333333</v>
      </c>
      <c r="M34" s="21">
        <f t="shared" si="1"/>
        <v>4.333333333333333</v>
      </c>
      <c r="N34" s="35">
        <f t="shared" si="2"/>
        <v>4.7499999999999982</v>
      </c>
      <c r="O34" s="38">
        <v>0.5</v>
      </c>
      <c r="P34">
        <v>0</v>
      </c>
      <c r="Q34" s="39">
        <v>0.5</v>
      </c>
      <c r="R34" s="43" t="s">
        <v>54</v>
      </c>
    </row>
    <row r="35" spans="1:18" x14ac:dyDescent="0.35">
      <c r="A35" s="20">
        <v>27</v>
      </c>
      <c r="B35" s="21">
        <v>6.9999999999999991</v>
      </c>
      <c r="C35" s="21">
        <v>1.0000000000000011</v>
      </c>
      <c r="D35" s="21">
        <v>0.75000000000000111</v>
      </c>
      <c r="E35" s="21">
        <v>-0.74999999999999978</v>
      </c>
      <c r="F35" s="21">
        <v>-1.25</v>
      </c>
      <c r="G35" s="21">
        <v>-1.4999999999999989</v>
      </c>
      <c r="H35" s="21">
        <v>0.24999999999999981</v>
      </c>
      <c r="I35" s="21">
        <v>0.50000000000000044</v>
      </c>
      <c r="J35" s="21">
        <v>0.49999999999999972</v>
      </c>
      <c r="K35" s="21">
        <v>-1.2500000000000011</v>
      </c>
      <c r="L35" s="31">
        <f t="shared" si="0"/>
        <v>6.9999999999999991</v>
      </c>
      <c r="M35" s="21">
        <f t="shared" si="1"/>
        <v>5.0000000000000009</v>
      </c>
      <c r="N35" s="35">
        <f t="shared" si="2"/>
        <v>7.25</v>
      </c>
      <c r="O35" s="38">
        <v>0.5</v>
      </c>
      <c r="P35">
        <v>0</v>
      </c>
      <c r="Q35" s="39">
        <v>0.5</v>
      </c>
      <c r="R35" s="43" t="s">
        <v>54</v>
      </c>
    </row>
    <row r="36" spans="1:18" x14ac:dyDescent="0.35">
      <c r="A36" s="81">
        <v>28</v>
      </c>
      <c r="B36" s="21">
        <v>5</v>
      </c>
      <c r="C36" s="21">
        <v>2.0000000000000031</v>
      </c>
      <c r="D36" s="21">
        <v>0.91666666666666841</v>
      </c>
      <c r="E36" s="21">
        <v>0.9166666666666663</v>
      </c>
      <c r="F36" s="21">
        <v>-2.583333333333333</v>
      </c>
      <c r="G36" s="21">
        <v>-1.999999999999998</v>
      </c>
      <c r="H36" s="21">
        <v>-2.4166666666666661</v>
      </c>
      <c r="I36" s="21">
        <v>0.50000000000000133</v>
      </c>
      <c r="J36" s="21">
        <v>-2.203280159993044E-15</v>
      </c>
      <c r="K36" s="21">
        <v>0.58333333333333026</v>
      </c>
      <c r="L36" s="34">
        <f t="shared" si="0"/>
        <v>5</v>
      </c>
      <c r="M36" s="33">
        <f t="shared" si="1"/>
        <v>7.0000000000000036</v>
      </c>
      <c r="N36" s="32">
        <f t="shared" si="2"/>
        <v>0.91666666666666741</v>
      </c>
      <c r="O36" s="38">
        <v>0</v>
      </c>
      <c r="P36">
        <v>1</v>
      </c>
      <c r="Q36" s="39">
        <v>0</v>
      </c>
      <c r="R36" s="43" t="s">
        <v>54</v>
      </c>
    </row>
    <row r="37" spans="1:18" x14ac:dyDescent="0.35">
      <c r="A37" s="20">
        <v>29</v>
      </c>
      <c r="B37" s="21">
        <v>2.9999999999999991</v>
      </c>
      <c r="C37" s="21">
        <v>4.7751341425985058E-16</v>
      </c>
      <c r="D37" s="21">
        <v>8.3333333333334147E-2</v>
      </c>
      <c r="E37" s="21">
        <v>0.58333333333333415</v>
      </c>
      <c r="F37" s="21">
        <v>1.0833333333333319</v>
      </c>
      <c r="G37" s="21">
        <v>0.49999999999999922</v>
      </c>
      <c r="H37" s="21">
        <v>0.91666666666666696</v>
      </c>
      <c r="I37" s="21">
        <v>-0.50000000000000111</v>
      </c>
      <c r="J37" s="21">
        <v>0.50000000000000144</v>
      </c>
      <c r="K37" s="21">
        <v>0.41666666666666757</v>
      </c>
      <c r="L37" s="34">
        <f t="shared" si="0"/>
        <v>2.9999999999999991</v>
      </c>
      <c r="M37" s="21">
        <f t="shared" si="1"/>
        <v>3.9999999999999996</v>
      </c>
      <c r="N37" s="35">
        <f t="shared" si="2"/>
        <v>5.5833333333333339</v>
      </c>
      <c r="O37" s="38">
        <v>0</v>
      </c>
      <c r="P37">
        <v>0</v>
      </c>
      <c r="Q37" s="39">
        <v>1</v>
      </c>
      <c r="R37" s="43" t="s">
        <v>53</v>
      </c>
    </row>
    <row r="38" spans="1:18" x14ac:dyDescent="0.35">
      <c r="A38" s="81">
        <v>30</v>
      </c>
      <c r="B38" s="21">
        <v>5.666666666666667</v>
      </c>
      <c r="C38" s="21">
        <v>-0.66666666666666929</v>
      </c>
      <c r="D38" s="21">
        <v>-0.25000000000000161</v>
      </c>
      <c r="E38" s="21">
        <v>-0.74999999999999967</v>
      </c>
      <c r="F38" s="21">
        <v>-0.58333333333333182</v>
      </c>
      <c r="G38" s="21">
        <v>0.83333333333333293</v>
      </c>
      <c r="H38" s="21">
        <v>-0.41666666666666802</v>
      </c>
      <c r="I38" s="21">
        <v>-0.16666666666666541</v>
      </c>
      <c r="J38" s="21">
        <v>-1.8333333333333359</v>
      </c>
      <c r="K38" s="21">
        <v>-1.2499999999999989</v>
      </c>
      <c r="L38" s="31">
        <f t="shared" si="0"/>
        <v>5.666666666666667</v>
      </c>
      <c r="M38" s="21">
        <f t="shared" si="1"/>
        <v>3.6666666666666661</v>
      </c>
      <c r="N38" s="32">
        <f t="shared" si="2"/>
        <v>2.5833333333333295</v>
      </c>
      <c r="O38" s="38">
        <v>1</v>
      </c>
      <c r="P38">
        <v>0</v>
      </c>
      <c r="Q38" s="39">
        <v>0</v>
      </c>
      <c r="R38" s="43" t="s">
        <v>53</v>
      </c>
    </row>
    <row r="39" spans="1:18" x14ac:dyDescent="0.35">
      <c r="A39" s="20">
        <v>31</v>
      </c>
      <c r="B39" s="21">
        <v>7.5</v>
      </c>
      <c r="C39" s="21">
        <v>-1</v>
      </c>
      <c r="D39" s="21">
        <v>-0.75000000000000122</v>
      </c>
      <c r="E39" s="21">
        <v>-1.25</v>
      </c>
      <c r="F39" s="21">
        <v>-0.74999999999999867</v>
      </c>
      <c r="G39" s="21">
        <v>-2.3852568680293952E-16</v>
      </c>
      <c r="H39" s="21">
        <v>-0.25000000000000078</v>
      </c>
      <c r="I39" s="21">
        <v>-1.4999999999999989</v>
      </c>
      <c r="J39" s="21">
        <v>-1.000000000000004</v>
      </c>
      <c r="K39" s="21">
        <v>-2.25</v>
      </c>
      <c r="L39" s="31">
        <f t="shared" si="0"/>
        <v>7.5</v>
      </c>
      <c r="M39" s="21">
        <f t="shared" si="1"/>
        <v>1.5000000000000009</v>
      </c>
      <c r="N39" s="32">
        <f t="shared" si="2"/>
        <v>4.7499999999999947</v>
      </c>
      <c r="O39" s="38">
        <v>1</v>
      </c>
      <c r="P39">
        <v>0</v>
      </c>
      <c r="Q39" s="39">
        <v>0</v>
      </c>
      <c r="R39" s="43" t="s">
        <v>53</v>
      </c>
    </row>
    <row r="40" spans="1:18" x14ac:dyDescent="0.35">
      <c r="A40" s="81">
        <v>32</v>
      </c>
      <c r="B40" s="21">
        <v>3.9999999999999991</v>
      </c>
      <c r="C40" s="21">
        <v>4.9999999999999982</v>
      </c>
      <c r="D40" s="21">
        <v>0.50000000000000266</v>
      </c>
      <c r="E40" s="21">
        <v>-0.49999999999999911</v>
      </c>
      <c r="F40" s="21">
        <v>-2.4999999999999978</v>
      </c>
      <c r="G40" s="21">
        <v>-5.5075698169518483E-16</v>
      </c>
      <c r="H40" s="21">
        <v>0.49999999999999689</v>
      </c>
      <c r="I40" s="21">
        <v>0.99999999999999911</v>
      </c>
      <c r="J40" s="21">
        <v>3.0000000000000009</v>
      </c>
      <c r="K40" s="21">
        <v>-2.4999999999999991</v>
      </c>
      <c r="L40" s="34">
        <f t="shared" si="0"/>
        <v>3.9999999999999991</v>
      </c>
      <c r="M40" s="33">
        <f t="shared" si="1"/>
        <v>6.9999999999999973</v>
      </c>
      <c r="N40" s="32">
        <f t="shared" si="2"/>
        <v>5.5000000000000018</v>
      </c>
      <c r="O40" s="38">
        <v>0</v>
      </c>
      <c r="P40">
        <v>1</v>
      </c>
      <c r="Q40" s="39">
        <v>0</v>
      </c>
      <c r="R40" s="43" t="s">
        <v>54</v>
      </c>
    </row>
    <row r="41" spans="1:18" x14ac:dyDescent="0.35">
      <c r="A41" s="20">
        <v>33</v>
      </c>
      <c r="B41" s="21">
        <v>3</v>
      </c>
      <c r="C41" s="21">
        <v>1.000000000000004</v>
      </c>
      <c r="D41" s="21">
        <v>0.58333333333333426</v>
      </c>
      <c r="E41" s="21">
        <v>-0.91666666666666863</v>
      </c>
      <c r="F41" s="21">
        <v>-0.41666666666666657</v>
      </c>
      <c r="G41" s="21">
        <v>0.50000000000000078</v>
      </c>
      <c r="H41" s="21">
        <v>-0.58333333333333226</v>
      </c>
      <c r="I41" s="21">
        <v>1.4999999999999989</v>
      </c>
      <c r="J41" s="21">
        <v>3.500000000000004</v>
      </c>
      <c r="K41" s="21">
        <v>-8.3333333333335494E-2</v>
      </c>
      <c r="L41" s="34">
        <f t="shared" si="0"/>
        <v>3</v>
      </c>
      <c r="M41" s="21">
        <f t="shared" si="1"/>
        <v>4.9999999999999991</v>
      </c>
      <c r="N41" s="35">
        <f t="shared" si="2"/>
        <v>6.0833333333333393</v>
      </c>
      <c r="O41" s="38">
        <v>0</v>
      </c>
      <c r="P41">
        <v>0</v>
      </c>
      <c r="Q41" s="39">
        <v>1</v>
      </c>
      <c r="R41" s="43" t="s">
        <v>54</v>
      </c>
    </row>
    <row r="42" spans="1:18" x14ac:dyDescent="0.35">
      <c r="A42" s="81">
        <v>34</v>
      </c>
      <c r="B42" s="21">
        <v>3.1666666666666639</v>
      </c>
      <c r="C42" s="21">
        <v>3.333333333333337</v>
      </c>
      <c r="D42" s="21">
        <v>0.750000000000002</v>
      </c>
      <c r="E42" s="21">
        <v>-1.2499999999999989</v>
      </c>
      <c r="F42" s="21">
        <v>-1.0833333333333319</v>
      </c>
      <c r="G42" s="21">
        <v>0.83333333333333282</v>
      </c>
      <c r="H42" s="21">
        <v>1.083333333333333</v>
      </c>
      <c r="I42" s="21">
        <v>0.83333333333333182</v>
      </c>
      <c r="J42" s="21">
        <v>3.1666666666666701</v>
      </c>
      <c r="K42" s="21">
        <v>-1.7499999999999989</v>
      </c>
      <c r="L42" s="34">
        <f t="shared" si="0"/>
        <v>3.1666666666666639</v>
      </c>
      <c r="M42" s="21">
        <f t="shared" si="1"/>
        <v>5.1666666666666679</v>
      </c>
      <c r="N42" s="35">
        <f t="shared" si="2"/>
        <v>7.0833333333333375</v>
      </c>
      <c r="O42" s="38">
        <v>0</v>
      </c>
      <c r="P42">
        <v>0</v>
      </c>
      <c r="Q42" s="39">
        <v>1</v>
      </c>
      <c r="R42" s="43" t="s">
        <v>54</v>
      </c>
    </row>
    <row r="43" spans="1:18" x14ac:dyDescent="0.35">
      <c r="A43" s="20">
        <v>35</v>
      </c>
      <c r="B43" s="21">
        <v>2.3333333333333339</v>
      </c>
      <c r="C43" s="21">
        <v>1.666666666666675</v>
      </c>
      <c r="D43" s="21">
        <v>-0.33333333333333059</v>
      </c>
      <c r="E43" s="21">
        <v>0.16666666666666519</v>
      </c>
      <c r="F43" s="21">
        <v>-1.5000000000000031</v>
      </c>
      <c r="G43" s="21">
        <v>-0.83333333333333215</v>
      </c>
      <c r="H43" s="21">
        <v>-0.49999999999999878</v>
      </c>
      <c r="I43" s="21">
        <v>2.666666666666667</v>
      </c>
      <c r="J43" s="21">
        <v>4.8333333333333366</v>
      </c>
      <c r="K43" s="21">
        <v>-0.6666666666666724</v>
      </c>
      <c r="L43" s="34">
        <f t="shared" si="0"/>
        <v>2.3333333333333339</v>
      </c>
      <c r="M43" s="33">
        <f t="shared" si="1"/>
        <v>5.3333333333333366</v>
      </c>
      <c r="N43" s="32">
        <f t="shared" si="2"/>
        <v>4.8333333333333384</v>
      </c>
      <c r="O43" s="38">
        <v>0</v>
      </c>
      <c r="P43">
        <v>1</v>
      </c>
      <c r="Q43" s="39">
        <v>0</v>
      </c>
      <c r="R43" s="43" t="s">
        <v>54</v>
      </c>
    </row>
    <row r="44" spans="1:18" x14ac:dyDescent="0.35">
      <c r="A44" s="81">
        <v>36</v>
      </c>
      <c r="B44" s="21">
        <v>4</v>
      </c>
      <c r="C44" s="21">
        <v>3.0000000000000022</v>
      </c>
      <c r="D44" s="21">
        <v>0.75000000000000266</v>
      </c>
      <c r="E44" s="21">
        <v>-0.2499999999999985</v>
      </c>
      <c r="F44" s="21">
        <v>-3.75</v>
      </c>
      <c r="G44" s="21">
        <v>0.99999999999999689</v>
      </c>
      <c r="H44" s="21">
        <v>-0.25000000000000061</v>
      </c>
      <c r="I44" s="21">
        <v>1.5000000000000011</v>
      </c>
      <c r="J44" s="21">
        <v>1.9999999999999989</v>
      </c>
      <c r="K44" s="21">
        <v>-3.2500000000000031</v>
      </c>
      <c r="L44" s="34">
        <f t="shared" si="0"/>
        <v>4</v>
      </c>
      <c r="M44" s="33">
        <f t="shared" si="1"/>
        <v>5.9999999999999982</v>
      </c>
      <c r="N44" s="32">
        <f t="shared" si="2"/>
        <v>2.7500000000000009</v>
      </c>
      <c r="O44" s="38">
        <v>0</v>
      </c>
      <c r="P44">
        <v>1</v>
      </c>
      <c r="Q44" s="39">
        <v>0</v>
      </c>
      <c r="R44" s="43" t="s">
        <v>54</v>
      </c>
    </row>
    <row r="45" spans="1:18" x14ac:dyDescent="0.35">
      <c r="A45" s="20">
        <v>37</v>
      </c>
      <c r="B45" s="21">
        <v>4.8333333333333348</v>
      </c>
      <c r="C45" s="21">
        <v>-2.3333333333333321</v>
      </c>
      <c r="D45" s="21">
        <v>0.91666666666666541</v>
      </c>
      <c r="E45" s="21">
        <v>-2.0833333333333348</v>
      </c>
      <c r="F45" s="21">
        <v>0.74999999999999878</v>
      </c>
      <c r="G45" s="21">
        <v>2.1666666666666639</v>
      </c>
      <c r="H45" s="21">
        <v>0.25000000000000111</v>
      </c>
      <c r="I45" s="21">
        <v>0.16666666666666691</v>
      </c>
      <c r="J45" s="21">
        <v>-1.166666666666667</v>
      </c>
      <c r="K45" s="21">
        <v>1.083333333333333</v>
      </c>
      <c r="L45" s="31">
        <f t="shared" si="0"/>
        <v>4.8333333333333348</v>
      </c>
      <c r="M45" s="21">
        <f t="shared" si="1"/>
        <v>3.8333333333333317</v>
      </c>
      <c r="N45" s="32">
        <f t="shared" si="2"/>
        <v>5.583333333333333</v>
      </c>
      <c r="O45" s="38">
        <v>1</v>
      </c>
      <c r="P45">
        <v>0</v>
      </c>
      <c r="Q45" s="39">
        <v>0</v>
      </c>
      <c r="R45" s="43" t="s">
        <v>53</v>
      </c>
    </row>
    <row r="46" spans="1:18" x14ac:dyDescent="0.35">
      <c r="A46" s="81">
        <v>38</v>
      </c>
      <c r="B46" s="21">
        <v>4.3333333333333348</v>
      </c>
      <c r="C46" s="21">
        <v>-5.3333333333333366</v>
      </c>
      <c r="D46" s="21">
        <v>-1.3333333333333379</v>
      </c>
      <c r="E46" s="21">
        <v>-0.8333333333333347</v>
      </c>
      <c r="F46" s="21">
        <v>3.5</v>
      </c>
      <c r="G46" s="21">
        <v>4.1666666666666661</v>
      </c>
      <c r="H46" s="21">
        <v>-0.49999999999999689</v>
      </c>
      <c r="I46" s="21">
        <v>-1.333333333333333</v>
      </c>
      <c r="J46" s="21">
        <v>-2.1666666666666679</v>
      </c>
      <c r="K46" s="21">
        <v>3.3333333333333361</v>
      </c>
      <c r="L46" s="31">
        <f t="shared" si="0"/>
        <v>4.3333333333333348</v>
      </c>
      <c r="M46" s="33">
        <f t="shared" si="1"/>
        <v>4.3333333333333321</v>
      </c>
      <c r="N46" s="32">
        <f t="shared" si="2"/>
        <v>3.8333333333333321</v>
      </c>
      <c r="O46" s="38">
        <v>0.5</v>
      </c>
      <c r="P46">
        <v>0.5</v>
      </c>
      <c r="Q46" s="39">
        <v>0</v>
      </c>
      <c r="R46" s="43" t="s">
        <v>55</v>
      </c>
    </row>
    <row r="47" spans="1:18" x14ac:dyDescent="0.35">
      <c r="A47" s="20">
        <v>39</v>
      </c>
      <c r="B47" s="21">
        <v>2.666666666666667</v>
      </c>
      <c r="C47" s="21">
        <v>-4.6666666666666679</v>
      </c>
      <c r="D47" s="21">
        <v>-0.41666666666666791</v>
      </c>
      <c r="E47" s="21">
        <v>1.0833333333333319</v>
      </c>
      <c r="F47" s="21">
        <v>4.25</v>
      </c>
      <c r="G47" s="21">
        <v>1.833333333333333</v>
      </c>
      <c r="H47" s="21">
        <v>-1.249999999999996</v>
      </c>
      <c r="I47" s="21">
        <v>-1.166666666666667</v>
      </c>
      <c r="J47" s="21">
        <v>-1.833333333333333</v>
      </c>
      <c r="K47" s="21">
        <v>4.916666666666667</v>
      </c>
      <c r="L47" s="34">
        <f t="shared" si="0"/>
        <v>2.666666666666667</v>
      </c>
      <c r="M47" s="33">
        <f t="shared" si="1"/>
        <v>4.6666666666666643</v>
      </c>
      <c r="N47" s="35">
        <f t="shared" si="2"/>
        <v>3.4166666666666705</v>
      </c>
      <c r="O47" s="38">
        <v>0</v>
      </c>
      <c r="P47">
        <v>0.5</v>
      </c>
      <c r="Q47" s="39">
        <v>0.5</v>
      </c>
      <c r="R47" s="43" t="s">
        <v>55</v>
      </c>
    </row>
    <row r="48" spans="1:18" x14ac:dyDescent="0.35">
      <c r="A48" s="81">
        <v>40</v>
      </c>
      <c r="B48" s="21">
        <v>4.1666666666666652</v>
      </c>
      <c r="C48" s="21">
        <v>1.333333333333329</v>
      </c>
      <c r="D48" s="21">
        <v>-0.16666666666666791</v>
      </c>
      <c r="E48" s="21">
        <v>-2.1666666666666652</v>
      </c>
      <c r="F48" s="21">
        <v>1.500000000000004</v>
      </c>
      <c r="G48" s="21">
        <v>2.8333333333333308</v>
      </c>
      <c r="H48" s="21">
        <v>0.49999999999999789</v>
      </c>
      <c r="I48" s="21">
        <v>-1.6666666666666681</v>
      </c>
      <c r="J48" s="21">
        <v>0.16666666666666671</v>
      </c>
      <c r="K48" s="21">
        <v>-1.333333333333329</v>
      </c>
      <c r="L48" s="34">
        <f t="shared" si="0"/>
        <v>4.1666666666666652</v>
      </c>
      <c r="M48" s="21">
        <f t="shared" si="1"/>
        <v>3.1666666666666639</v>
      </c>
      <c r="N48" s="35">
        <f t="shared" si="2"/>
        <v>6.166666666666667</v>
      </c>
      <c r="O48" s="38">
        <v>0</v>
      </c>
      <c r="P48">
        <v>0</v>
      </c>
      <c r="Q48" s="39">
        <v>1</v>
      </c>
      <c r="R48" s="43" t="s">
        <v>53</v>
      </c>
    </row>
    <row r="49" spans="1:18" ht="15" thickBot="1" x14ac:dyDescent="0.4">
      <c r="A49" s="20">
        <v>41</v>
      </c>
      <c r="B49" s="22">
        <v>4.8333333333333321</v>
      </c>
      <c r="C49" s="22">
        <v>-0.33333333333333548</v>
      </c>
      <c r="D49" s="22">
        <v>8.3333333333333121E-2</v>
      </c>
      <c r="E49" s="22">
        <v>-0.91666666666666385</v>
      </c>
      <c r="F49" s="22">
        <v>-8.3333333333332926E-2</v>
      </c>
      <c r="G49" s="22">
        <v>2.1666666666666652</v>
      </c>
      <c r="H49" s="22">
        <v>2.083333333333333</v>
      </c>
      <c r="I49" s="22">
        <v>-0.83333333333333437</v>
      </c>
      <c r="J49" s="22">
        <v>-0.16666666666666571</v>
      </c>
      <c r="K49" s="22">
        <v>-1.083333333333331</v>
      </c>
      <c r="L49" s="36">
        <f t="shared" si="0"/>
        <v>4.8333333333333321</v>
      </c>
      <c r="M49" s="23">
        <f t="shared" si="1"/>
        <v>3.833333333333333</v>
      </c>
      <c r="N49" s="37">
        <f t="shared" si="2"/>
        <v>6.7499999999999991</v>
      </c>
      <c r="O49" s="40">
        <v>0.5</v>
      </c>
      <c r="P49" s="41">
        <v>0</v>
      </c>
      <c r="Q49" s="42">
        <v>0.5</v>
      </c>
      <c r="R49" s="44" t="s">
        <v>53</v>
      </c>
    </row>
    <row r="50" spans="1:18" x14ac:dyDescent="0.35">
      <c r="K50" t="s">
        <v>56</v>
      </c>
      <c r="L50" s="21">
        <f>AVERAGE(L9:L49)</f>
        <v>4.3577235772357712</v>
      </c>
      <c r="M50" s="21">
        <f>AVERAGE(M9:M49)</f>
        <v>4.9674796747967473</v>
      </c>
      <c r="N50" s="21">
        <f>AVERAGE(N9:N49)</f>
        <v>4.7581300813008136</v>
      </c>
      <c r="O50">
        <f>SUM(O9:O49)</f>
        <v>11.16</v>
      </c>
      <c r="P50">
        <f>SUM(P9:P49)</f>
        <v>15.66</v>
      </c>
      <c r="Q50">
        <f>SUM(Q9:Q49)</f>
        <v>14.16</v>
      </c>
    </row>
    <row r="51" spans="1:18" x14ac:dyDescent="0.35">
      <c r="K51" t="s">
        <v>57</v>
      </c>
      <c r="L51">
        <v>3</v>
      </c>
      <c r="M51">
        <v>1</v>
      </c>
      <c r="N51">
        <v>2</v>
      </c>
    </row>
    <row r="52" spans="1:18" ht="15" thickBot="1" x14ac:dyDescent="0.4"/>
    <row r="53" spans="1:18" ht="15" thickBot="1" x14ac:dyDescent="0.4">
      <c r="O53" s="90" t="s">
        <v>58</v>
      </c>
      <c r="P53" s="91"/>
      <c r="Q53" s="91"/>
      <c r="R53" s="92"/>
    </row>
    <row r="54" spans="1:18" ht="15" thickBot="1" x14ac:dyDescent="0.4">
      <c r="O54" s="26" t="s">
        <v>59</v>
      </c>
      <c r="P54" s="27" t="s">
        <v>60</v>
      </c>
      <c r="Q54" s="27" t="s">
        <v>61</v>
      </c>
      <c r="R54" s="28" t="s">
        <v>62</v>
      </c>
    </row>
    <row r="55" spans="1:18" x14ac:dyDescent="0.35">
      <c r="O55" s="24" t="s">
        <v>44</v>
      </c>
      <c r="P55" s="24">
        <v>11.16</v>
      </c>
      <c r="Q55" s="25">
        <f>P55/$P$58</f>
        <v>0.27232796486090771</v>
      </c>
      <c r="R55" s="24">
        <v>3</v>
      </c>
    </row>
    <row r="56" spans="1:18" x14ac:dyDescent="0.35">
      <c r="O56" s="76" t="s">
        <v>45</v>
      </c>
      <c r="P56" s="76">
        <v>15.66</v>
      </c>
      <c r="Q56" s="82">
        <f>P56/$P$58</f>
        <v>0.38213762811127377</v>
      </c>
      <c r="R56" s="76">
        <v>1</v>
      </c>
    </row>
    <row r="57" spans="1:18" ht="15" thickBot="1" x14ac:dyDescent="0.4">
      <c r="O57" s="76" t="s">
        <v>46</v>
      </c>
      <c r="P57" s="83">
        <v>14.16</v>
      </c>
      <c r="Q57" s="82">
        <f>P57/$P$58</f>
        <v>0.3455344070278184</v>
      </c>
      <c r="R57" s="76">
        <v>2</v>
      </c>
    </row>
    <row r="58" spans="1:18" x14ac:dyDescent="0.35">
      <c r="O58" s="66" t="s">
        <v>63</v>
      </c>
      <c r="P58">
        <f>SUM(P55:P57)</f>
        <v>40.980000000000004</v>
      </c>
    </row>
    <row r="59" spans="1:18" ht="15" thickBot="1" x14ac:dyDescent="0.4"/>
    <row r="60" spans="1:18" ht="15" thickBot="1" x14ac:dyDescent="0.4">
      <c r="O60" s="93" t="s">
        <v>64</v>
      </c>
      <c r="P60" s="94"/>
      <c r="Q60" s="94"/>
      <c r="R60" s="95"/>
    </row>
    <row r="61" spans="1:18" ht="29" x14ac:dyDescent="0.35">
      <c r="J61" s="29" t="s">
        <v>65</v>
      </c>
      <c r="K61" t="s">
        <v>66</v>
      </c>
      <c r="L61" t="s">
        <v>67</v>
      </c>
      <c r="M61" t="s">
        <v>68</v>
      </c>
      <c r="O61" s="53" t="s">
        <v>65</v>
      </c>
      <c r="P61" s="54" t="s">
        <v>66</v>
      </c>
      <c r="Q61" s="54" t="s">
        <v>67</v>
      </c>
      <c r="R61" s="55" t="s">
        <v>68</v>
      </c>
    </row>
    <row r="62" spans="1:18" x14ac:dyDescent="0.35">
      <c r="J62" s="30" t="s">
        <v>53</v>
      </c>
      <c r="K62" s="45">
        <v>0.42199999999999999</v>
      </c>
      <c r="L62" s="45">
        <v>0.12200000000000001</v>
      </c>
      <c r="M62" s="45">
        <v>0.45533333333333331</v>
      </c>
      <c r="O62" s="84" t="s">
        <v>53</v>
      </c>
      <c r="P62" s="85">
        <v>0.42199999999999999</v>
      </c>
      <c r="Q62" s="85">
        <v>0.12200000000000001</v>
      </c>
      <c r="R62" s="86">
        <v>0.45533333333333331</v>
      </c>
    </row>
    <row r="63" spans="1:18" x14ac:dyDescent="0.35">
      <c r="J63" s="30" t="s">
        <v>54</v>
      </c>
      <c r="K63" s="45">
        <v>0.1740909090909091</v>
      </c>
      <c r="L63" s="45">
        <v>0.53772727272727272</v>
      </c>
      <c r="M63" s="45">
        <v>0.28772727272727272</v>
      </c>
      <c r="O63" s="47" t="s">
        <v>54</v>
      </c>
      <c r="P63" s="45">
        <v>0.1740909090909091</v>
      </c>
      <c r="Q63" s="46">
        <v>0.53772727272727272</v>
      </c>
      <c r="R63" s="48">
        <v>0.28772727272727272</v>
      </c>
    </row>
    <row r="64" spans="1:18" x14ac:dyDescent="0.35">
      <c r="J64" s="30" t="s">
        <v>55</v>
      </c>
      <c r="K64" s="45">
        <v>0.25</v>
      </c>
      <c r="L64" s="45">
        <v>0.5</v>
      </c>
      <c r="M64" s="45">
        <v>0.25</v>
      </c>
      <c r="O64" s="49" t="s">
        <v>55</v>
      </c>
      <c r="P64" s="50">
        <v>0.25</v>
      </c>
      <c r="Q64" s="51">
        <v>0.5</v>
      </c>
      <c r="R64" s="52">
        <v>0.25</v>
      </c>
    </row>
    <row r="65" spans="10:13" x14ac:dyDescent="0.35">
      <c r="J65" s="30" t="s">
        <v>69</v>
      </c>
      <c r="K65">
        <v>0.27219512195121953</v>
      </c>
      <c r="L65">
        <v>0.38195121951219513</v>
      </c>
      <c r="M65">
        <v>0.34536585365853661</v>
      </c>
    </row>
  </sheetData>
  <mergeCells count="2">
    <mergeCell ref="O53:R53"/>
    <mergeCell ref="O60:R6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7E1A-A255-4B8C-B4E5-A00205925040}">
  <sheetPr>
    <tabColor theme="9" tint="0.79998168889431442"/>
  </sheetPr>
  <dimension ref="A1:U42"/>
  <sheetViews>
    <sheetView topLeftCell="A12" zoomScale="70" zoomScaleNormal="70" workbookViewId="0">
      <selection activeCell="E44" sqref="E44"/>
    </sheetView>
  </sheetViews>
  <sheetFormatPr defaultRowHeight="14.5" x14ac:dyDescent="0.35"/>
  <sheetData>
    <row r="1" spans="1:21" x14ac:dyDescent="0.35">
      <c r="A1" s="87" t="s">
        <v>0</v>
      </c>
      <c r="B1" s="87" t="s">
        <v>1</v>
      </c>
      <c r="C1" s="87">
        <v>450</v>
      </c>
      <c r="D1" s="87">
        <v>550</v>
      </c>
      <c r="E1" s="87" t="s">
        <v>4</v>
      </c>
      <c r="F1" s="87" t="s">
        <v>5</v>
      </c>
      <c r="G1" s="87" t="s">
        <v>6</v>
      </c>
      <c r="H1" s="87" t="s">
        <v>7</v>
      </c>
      <c r="I1" s="87" t="s">
        <v>8</v>
      </c>
      <c r="J1" s="87" t="s">
        <v>9</v>
      </c>
      <c r="K1" s="87" t="s">
        <v>10</v>
      </c>
      <c r="L1" s="87" t="s">
        <v>12</v>
      </c>
      <c r="M1" s="87" t="s">
        <v>83</v>
      </c>
      <c r="N1" s="87" t="s">
        <v>52</v>
      </c>
      <c r="O1" s="87" t="s">
        <v>84</v>
      </c>
      <c r="P1" s="87" t="s">
        <v>85</v>
      </c>
      <c r="Q1" s="87" t="s">
        <v>86</v>
      </c>
      <c r="R1" s="87" t="s">
        <v>87</v>
      </c>
      <c r="S1" s="87" t="s">
        <v>88</v>
      </c>
      <c r="T1" s="87" t="s">
        <v>89</v>
      </c>
      <c r="U1" s="87" t="s">
        <v>0</v>
      </c>
    </row>
    <row r="2" spans="1:21" x14ac:dyDescent="0.35">
      <c r="A2" s="87">
        <v>1</v>
      </c>
      <c r="B2">
        <v>7.1666666666666679</v>
      </c>
      <c r="C2">
        <v>2.3333333333333401</v>
      </c>
      <c r="D2">
        <v>0.33333333333333298</v>
      </c>
      <c r="E2">
        <v>-0.16666666666666621</v>
      </c>
      <c r="F2">
        <v>-1.0000000000000011</v>
      </c>
      <c r="G2">
        <v>-0.66666666666666796</v>
      </c>
      <c r="H2">
        <v>-9.7414326862439766E-16</v>
      </c>
      <c r="I2">
        <v>-1.1666666666666681</v>
      </c>
      <c r="J2">
        <v>-1.3333333333333339</v>
      </c>
      <c r="K2">
        <v>-1.3333333333333359</v>
      </c>
      <c r="L2">
        <v>0.97587719298245612</v>
      </c>
      <c r="M2" t="s">
        <v>72</v>
      </c>
      <c r="N2" t="s">
        <v>53</v>
      </c>
      <c r="O2" t="s">
        <v>78</v>
      </c>
      <c r="P2" t="s">
        <v>76</v>
      </c>
      <c r="Q2" t="s">
        <v>82</v>
      </c>
      <c r="R2">
        <v>2009</v>
      </c>
      <c r="S2" t="s">
        <v>90</v>
      </c>
      <c r="T2">
        <v>1000</v>
      </c>
      <c r="U2">
        <v>1</v>
      </c>
    </row>
    <row r="3" spans="1:21" x14ac:dyDescent="0.35">
      <c r="A3" s="87">
        <v>2</v>
      </c>
      <c r="B3">
        <v>5.6666666666666679</v>
      </c>
      <c r="C3">
        <v>3.3333333333333299</v>
      </c>
      <c r="D3">
        <v>2.3333333333333299</v>
      </c>
      <c r="E3">
        <v>1.3333333333333319</v>
      </c>
      <c r="F3">
        <v>-1.4999999999999969</v>
      </c>
      <c r="G3">
        <v>-2.666666666666667</v>
      </c>
      <c r="H3">
        <v>-4.4999999999999973</v>
      </c>
      <c r="I3">
        <v>0.83333333333332915</v>
      </c>
      <c r="J3">
        <v>0.6666666666666653</v>
      </c>
      <c r="K3">
        <v>-3.8333333333333308</v>
      </c>
      <c r="L3">
        <v>0.97505668934240364</v>
      </c>
      <c r="M3" t="s">
        <v>73</v>
      </c>
      <c r="N3" t="s">
        <v>54</v>
      </c>
      <c r="O3" t="s">
        <v>78</v>
      </c>
      <c r="P3" t="s">
        <v>75</v>
      </c>
      <c r="Q3" t="s">
        <v>82</v>
      </c>
      <c r="R3">
        <v>3020</v>
      </c>
      <c r="S3" t="s">
        <v>91</v>
      </c>
      <c r="T3">
        <v>3000</v>
      </c>
      <c r="U3">
        <v>2</v>
      </c>
    </row>
    <row r="4" spans="1:21" x14ac:dyDescent="0.35">
      <c r="A4" s="87">
        <v>3</v>
      </c>
      <c r="B4">
        <v>5.8333333333333357</v>
      </c>
      <c r="C4">
        <v>3.6666666666666701</v>
      </c>
      <c r="D4">
        <v>3.6666666666666701</v>
      </c>
      <c r="E4">
        <v>1.1666666666666661</v>
      </c>
      <c r="F4">
        <v>-2.4999999999999978</v>
      </c>
      <c r="G4">
        <v>-2.3333333333333339</v>
      </c>
      <c r="H4">
        <v>-2.5</v>
      </c>
      <c r="I4">
        <v>-0.33333333333333498</v>
      </c>
      <c r="J4">
        <v>0.33333333333333148</v>
      </c>
      <c r="K4">
        <v>-2.1666666666666652</v>
      </c>
      <c r="L4">
        <v>0.99003623188405798</v>
      </c>
      <c r="M4" t="s">
        <v>73</v>
      </c>
      <c r="N4" t="s">
        <v>54</v>
      </c>
      <c r="O4" t="s">
        <v>79</v>
      </c>
      <c r="P4" t="s">
        <v>75</v>
      </c>
      <c r="Q4" t="s">
        <v>82</v>
      </c>
      <c r="R4">
        <v>2140</v>
      </c>
      <c r="S4" t="s">
        <v>90</v>
      </c>
      <c r="T4">
        <v>1000</v>
      </c>
      <c r="U4">
        <v>5</v>
      </c>
    </row>
    <row r="5" spans="1:21" x14ac:dyDescent="0.35">
      <c r="A5" s="87">
        <v>4</v>
      </c>
      <c r="B5">
        <v>1.166666666666665</v>
      </c>
      <c r="C5">
        <v>-1.6666666666666701</v>
      </c>
      <c r="D5">
        <v>-0.66666666666666397</v>
      </c>
      <c r="E5">
        <v>-0.16666666666666599</v>
      </c>
      <c r="F5">
        <v>0.99999999999999933</v>
      </c>
      <c r="G5">
        <v>2.333333333333333</v>
      </c>
      <c r="H5">
        <v>1.999999999999998</v>
      </c>
      <c r="I5">
        <v>0.83333333333333548</v>
      </c>
      <c r="J5">
        <v>0.66666666666666763</v>
      </c>
      <c r="K5">
        <v>0.6666666666666663</v>
      </c>
      <c r="L5">
        <v>0.74250936329588013</v>
      </c>
      <c r="M5" t="s">
        <v>73</v>
      </c>
      <c r="N5" t="s">
        <v>55</v>
      </c>
      <c r="O5" t="s">
        <v>79</v>
      </c>
      <c r="P5" t="s">
        <v>75</v>
      </c>
      <c r="Q5" t="s">
        <v>81</v>
      </c>
      <c r="R5">
        <v>2140</v>
      </c>
      <c r="S5" t="s">
        <v>90</v>
      </c>
      <c r="T5">
        <v>3000</v>
      </c>
      <c r="U5">
        <v>6</v>
      </c>
    </row>
    <row r="6" spans="1:21" x14ac:dyDescent="0.35">
      <c r="A6" s="87">
        <v>5</v>
      </c>
      <c r="B6">
        <v>4.1666666666666679</v>
      </c>
      <c r="C6">
        <v>-0.66666666666666996</v>
      </c>
      <c r="D6">
        <v>-1.6666666666666701</v>
      </c>
      <c r="E6">
        <v>0.83333333333333071</v>
      </c>
      <c r="F6">
        <v>4.0000000000000009</v>
      </c>
      <c r="G6">
        <v>-0.66666666666666374</v>
      </c>
      <c r="H6">
        <v>1.000000000000002</v>
      </c>
      <c r="I6">
        <v>-1.166666666666669</v>
      </c>
      <c r="J6">
        <v>-0.33333333333333309</v>
      </c>
      <c r="K6">
        <v>-0.33333333333333132</v>
      </c>
      <c r="L6">
        <v>0.99625850340136057</v>
      </c>
      <c r="M6" t="s">
        <v>73</v>
      </c>
      <c r="N6" t="s">
        <v>53</v>
      </c>
      <c r="O6" t="s">
        <v>80</v>
      </c>
      <c r="P6" t="s">
        <v>76</v>
      </c>
      <c r="Q6" t="s">
        <v>81</v>
      </c>
      <c r="R6">
        <v>2140</v>
      </c>
      <c r="S6" t="s">
        <v>90</v>
      </c>
      <c r="T6">
        <v>3000</v>
      </c>
      <c r="U6">
        <v>7</v>
      </c>
    </row>
    <row r="7" spans="1:21" x14ac:dyDescent="0.35">
      <c r="A7" s="87">
        <v>6</v>
      </c>
      <c r="B7">
        <v>5.5</v>
      </c>
      <c r="C7">
        <v>2</v>
      </c>
      <c r="D7">
        <v>2</v>
      </c>
      <c r="E7">
        <v>-0.49999999999999928</v>
      </c>
      <c r="F7">
        <v>-2.5000000000000009</v>
      </c>
      <c r="G7">
        <v>-1.0000000000000031</v>
      </c>
      <c r="H7">
        <v>-0.50000000000000155</v>
      </c>
      <c r="I7">
        <v>2.5330249156352442E-16</v>
      </c>
      <c r="J7">
        <v>1</v>
      </c>
      <c r="K7">
        <v>-1.5000000000000031</v>
      </c>
      <c r="L7">
        <v>0.84999999999999987</v>
      </c>
      <c r="M7" t="s">
        <v>72</v>
      </c>
      <c r="N7" t="s">
        <v>54</v>
      </c>
      <c r="O7" t="s">
        <v>78</v>
      </c>
      <c r="P7" t="s">
        <v>77</v>
      </c>
      <c r="Q7" t="s">
        <v>82</v>
      </c>
      <c r="S7" t="s">
        <v>90</v>
      </c>
      <c r="T7">
        <v>999</v>
      </c>
      <c r="U7">
        <v>8</v>
      </c>
    </row>
    <row r="8" spans="1:21" x14ac:dyDescent="0.35">
      <c r="A8" s="87">
        <v>7</v>
      </c>
      <c r="B8">
        <v>4.6666666666666679</v>
      </c>
      <c r="C8">
        <v>0.33333333333333198</v>
      </c>
      <c r="D8">
        <v>2.3333333333333299</v>
      </c>
      <c r="E8">
        <v>2.3333333333333339</v>
      </c>
      <c r="F8">
        <v>1.5000000000000011</v>
      </c>
      <c r="G8">
        <v>-0.66666666666666796</v>
      </c>
      <c r="H8">
        <v>-3.4999999999999991</v>
      </c>
      <c r="I8">
        <v>0.83333333333333226</v>
      </c>
      <c r="J8">
        <v>-0.33333333333333359</v>
      </c>
      <c r="K8">
        <v>-2.8333333333333321</v>
      </c>
      <c r="L8">
        <v>0.96474358974358976</v>
      </c>
      <c r="M8" t="s">
        <v>73</v>
      </c>
      <c r="N8" t="s">
        <v>54</v>
      </c>
      <c r="O8" t="s">
        <v>79</v>
      </c>
      <c r="P8" t="s">
        <v>76</v>
      </c>
      <c r="Q8" t="s">
        <v>82</v>
      </c>
      <c r="R8">
        <v>2131</v>
      </c>
      <c r="S8" t="s">
        <v>90</v>
      </c>
      <c r="T8">
        <v>1000</v>
      </c>
      <c r="U8">
        <v>9</v>
      </c>
    </row>
    <row r="9" spans="1:21" x14ac:dyDescent="0.35">
      <c r="A9" s="87">
        <v>8</v>
      </c>
      <c r="B9">
        <v>2.3333333333333348</v>
      </c>
      <c r="C9">
        <v>-1.3333333333333399</v>
      </c>
      <c r="D9">
        <v>1.1666666666666601</v>
      </c>
      <c r="E9">
        <v>3.6666666666666652</v>
      </c>
      <c r="F9">
        <v>2.0000000000000062</v>
      </c>
      <c r="G9">
        <v>-2.8333333333333321</v>
      </c>
      <c r="H9">
        <v>-3.9999999999999991</v>
      </c>
      <c r="I9">
        <v>1.6666666666666621</v>
      </c>
      <c r="J9">
        <v>2.8333333333333299</v>
      </c>
      <c r="K9">
        <v>0.83333333333334181</v>
      </c>
      <c r="L9">
        <v>0.9273927392739274</v>
      </c>
      <c r="M9" t="s">
        <v>74</v>
      </c>
      <c r="N9" t="s">
        <v>54</v>
      </c>
      <c r="O9" t="s">
        <v>78</v>
      </c>
      <c r="P9" t="s">
        <v>75</v>
      </c>
      <c r="Q9" t="s">
        <v>82</v>
      </c>
      <c r="R9">
        <v>2010</v>
      </c>
      <c r="S9" t="s">
        <v>90</v>
      </c>
      <c r="T9">
        <v>5001</v>
      </c>
      <c r="U9">
        <v>10</v>
      </c>
    </row>
    <row r="10" spans="1:21" x14ac:dyDescent="0.35">
      <c r="A10" s="87">
        <v>9</v>
      </c>
      <c r="B10">
        <v>5.8333333333333321</v>
      </c>
      <c r="C10">
        <v>-0.33333333333333098</v>
      </c>
      <c r="D10">
        <v>-0.83333333333333104</v>
      </c>
      <c r="E10">
        <v>-0.83333333333333248</v>
      </c>
      <c r="F10">
        <v>0.49999999999999861</v>
      </c>
      <c r="G10">
        <v>1.1666666666666661</v>
      </c>
      <c r="H10">
        <v>1.4999999999999989</v>
      </c>
      <c r="I10">
        <v>0.66666666666666841</v>
      </c>
      <c r="J10">
        <v>-0.16666666666666591</v>
      </c>
      <c r="K10">
        <v>0.33333333333333143</v>
      </c>
      <c r="L10">
        <v>0.96014492753623193</v>
      </c>
      <c r="M10" t="s">
        <v>72</v>
      </c>
      <c r="N10" t="s">
        <v>53</v>
      </c>
      <c r="O10" t="s">
        <v>79</v>
      </c>
      <c r="P10" t="s">
        <v>75</v>
      </c>
      <c r="Q10" t="s">
        <v>82</v>
      </c>
      <c r="R10">
        <v>2017</v>
      </c>
      <c r="S10" t="s">
        <v>90</v>
      </c>
      <c r="T10">
        <v>5001</v>
      </c>
      <c r="U10">
        <v>11</v>
      </c>
    </row>
    <row r="11" spans="1:21" x14ac:dyDescent="0.35">
      <c r="A11" s="87">
        <v>10</v>
      </c>
      <c r="B11">
        <v>1.166666666666667</v>
      </c>
      <c r="C11">
        <v>3.3333333333333299</v>
      </c>
      <c r="D11">
        <v>5.3333333333333304</v>
      </c>
      <c r="E11">
        <v>4.8333333333333286</v>
      </c>
      <c r="F11">
        <v>2.5000000000000062</v>
      </c>
      <c r="G11">
        <v>-2.6666666666666639</v>
      </c>
      <c r="H11">
        <v>-4.4999999999999938</v>
      </c>
      <c r="I11">
        <v>2.3333333333333299</v>
      </c>
      <c r="J11">
        <v>0.66666666666666208</v>
      </c>
      <c r="K11">
        <v>-1.833333333333325</v>
      </c>
      <c r="L11">
        <v>0.99444444444444446</v>
      </c>
      <c r="M11" t="s">
        <v>72</v>
      </c>
      <c r="N11" t="s">
        <v>54</v>
      </c>
      <c r="O11" t="s">
        <v>79</v>
      </c>
      <c r="P11" t="s">
        <v>75</v>
      </c>
      <c r="Q11" t="s">
        <v>82</v>
      </c>
      <c r="R11">
        <v>2077</v>
      </c>
      <c r="S11" t="s">
        <v>90</v>
      </c>
      <c r="T11">
        <v>999</v>
      </c>
      <c r="U11">
        <v>13</v>
      </c>
    </row>
    <row r="12" spans="1:21" x14ac:dyDescent="0.35">
      <c r="A12" s="87">
        <v>11</v>
      </c>
      <c r="B12">
        <v>6.6666666666666679</v>
      </c>
      <c r="C12">
        <v>-0.66666666666665997</v>
      </c>
      <c r="D12">
        <v>-3.1666666666666599</v>
      </c>
      <c r="E12">
        <v>-1.666666666666665</v>
      </c>
      <c r="F12">
        <v>1.499999999999996</v>
      </c>
      <c r="G12">
        <v>-0.1666666666666671</v>
      </c>
      <c r="H12">
        <v>3.4999999999999969</v>
      </c>
      <c r="I12">
        <v>-1.1666666666666681</v>
      </c>
      <c r="J12">
        <v>-2.8333333333333308</v>
      </c>
      <c r="K12">
        <v>-1.3333333333333399</v>
      </c>
      <c r="L12">
        <v>0.98671497584541068</v>
      </c>
      <c r="M12" t="s">
        <v>72</v>
      </c>
      <c r="N12" t="s">
        <v>53</v>
      </c>
      <c r="O12" t="s">
        <v>78</v>
      </c>
      <c r="P12" t="s">
        <v>75</v>
      </c>
      <c r="Q12" t="s">
        <v>82</v>
      </c>
      <c r="R12">
        <v>2179</v>
      </c>
      <c r="S12" t="s">
        <v>90</v>
      </c>
      <c r="T12">
        <v>3000</v>
      </c>
      <c r="U12">
        <v>14</v>
      </c>
    </row>
    <row r="13" spans="1:21" x14ac:dyDescent="0.35">
      <c r="A13" s="87">
        <v>12</v>
      </c>
      <c r="B13">
        <v>5.333333333333333</v>
      </c>
      <c r="C13">
        <v>-0.33333333333333598</v>
      </c>
      <c r="D13">
        <v>-0.33333333333333498</v>
      </c>
      <c r="E13">
        <v>-0.33333333333333443</v>
      </c>
      <c r="F13">
        <v>-2.9999999999999991</v>
      </c>
      <c r="G13">
        <v>-0.33333333333333132</v>
      </c>
      <c r="H13">
        <v>1.2513300761420999E-15</v>
      </c>
      <c r="I13">
        <v>0.6666666666666663</v>
      </c>
      <c r="J13">
        <v>1.333333333333333</v>
      </c>
      <c r="K13">
        <v>0.33333333333333459</v>
      </c>
      <c r="L13">
        <v>0.94270833333333326</v>
      </c>
      <c r="M13" t="s">
        <v>73</v>
      </c>
      <c r="N13" t="s">
        <v>54</v>
      </c>
      <c r="O13" t="s">
        <v>79</v>
      </c>
      <c r="P13" t="s">
        <v>76</v>
      </c>
      <c r="Q13" t="s">
        <v>82</v>
      </c>
      <c r="R13">
        <v>2150</v>
      </c>
      <c r="S13" t="s">
        <v>90</v>
      </c>
      <c r="T13">
        <v>1000</v>
      </c>
      <c r="U13">
        <v>16</v>
      </c>
    </row>
    <row r="14" spans="1:21" x14ac:dyDescent="0.35">
      <c r="A14" s="87">
        <v>13</v>
      </c>
      <c r="B14">
        <v>5.3333333333333321</v>
      </c>
      <c r="C14">
        <v>-2.3333333333333401</v>
      </c>
      <c r="D14">
        <v>-0.33333333333333298</v>
      </c>
      <c r="E14">
        <v>-0.33333333333333331</v>
      </c>
      <c r="F14">
        <v>0.50000000000000033</v>
      </c>
      <c r="G14">
        <v>-0.3333333333333327</v>
      </c>
      <c r="H14">
        <v>0.49999999999999978</v>
      </c>
      <c r="I14">
        <v>0.16666666666666741</v>
      </c>
      <c r="J14">
        <v>0.33333333333333443</v>
      </c>
      <c r="K14">
        <v>1.833333333333335</v>
      </c>
      <c r="L14">
        <v>0.92198581560283688</v>
      </c>
      <c r="M14" t="s">
        <v>73</v>
      </c>
      <c r="N14" t="s">
        <v>53</v>
      </c>
      <c r="O14" t="s">
        <v>78</v>
      </c>
      <c r="P14" t="s">
        <v>75</v>
      </c>
      <c r="Q14" t="s">
        <v>82</v>
      </c>
      <c r="R14">
        <v>2148</v>
      </c>
      <c r="S14" t="s">
        <v>90</v>
      </c>
      <c r="T14">
        <v>1000</v>
      </c>
      <c r="U14">
        <v>17</v>
      </c>
    </row>
    <row r="15" spans="1:21" x14ac:dyDescent="0.35">
      <c r="A15" s="87">
        <v>14</v>
      </c>
      <c r="B15">
        <v>4.1666666666666661</v>
      </c>
      <c r="C15">
        <v>-4.6666666666666696</v>
      </c>
      <c r="D15">
        <v>-4.1666666666666599</v>
      </c>
      <c r="E15">
        <v>-1.166666666666667</v>
      </c>
      <c r="F15">
        <v>2.4999999999999978</v>
      </c>
      <c r="G15">
        <v>2.8333333333333339</v>
      </c>
      <c r="H15">
        <v>2.5</v>
      </c>
      <c r="I15">
        <v>-1.666666666666665</v>
      </c>
      <c r="J15">
        <v>-0.83333333333333171</v>
      </c>
      <c r="K15">
        <v>3.6666666666666661</v>
      </c>
      <c r="L15">
        <v>0.98472222222222228</v>
      </c>
      <c r="M15" t="s">
        <v>73</v>
      </c>
      <c r="N15" t="s">
        <v>55</v>
      </c>
      <c r="O15" t="s">
        <v>79</v>
      </c>
      <c r="P15" t="s">
        <v>75</v>
      </c>
      <c r="Q15" t="s">
        <v>82</v>
      </c>
      <c r="R15">
        <v>2150</v>
      </c>
      <c r="S15" t="s">
        <v>90</v>
      </c>
      <c r="T15">
        <v>999</v>
      </c>
      <c r="U15">
        <v>18</v>
      </c>
    </row>
    <row r="16" spans="1:21" x14ac:dyDescent="0.35">
      <c r="A16" s="87">
        <v>15</v>
      </c>
      <c r="B16">
        <v>5.3333333333333339</v>
      </c>
      <c r="C16">
        <v>-0.33333333333333198</v>
      </c>
      <c r="D16">
        <v>0.16666666666666699</v>
      </c>
      <c r="E16">
        <v>-0.33333333333333259</v>
      </c>
      <c r="F16">
        <v>-0.50000000000000033</v>
      </c>
      <c r="G16">
        <v>1.166666666666665</v>
      </c>
      <c r="H16">
        <v>0.499999999999999</v>
      </c>
      <c r="I16">
        <v>-0.83333333333333326</v>
      </c>
      <c r="J16">
        <v>-0.16666666666666741</v>
      </c>
      <c r="K16">
        <v>-0.66666666666666829</v>
      </c>
      <c r="L16">
        <v>0.75555555555555554</v>
      </c>
      <c r="M16" t="s">
        <v>73</v>
      </c>
      <c r="N16" t="s">
        <v>53</v>
      </c>
      <c r="O16" t="s">
        <v>79</v>
      </c>
      <c r="P16" t="s">
        <v>76</v>
      </c>
      <c r="Q16" t="s">
        <v>82</v>
      </c>
      <c r="R16">
        <v>2150</v>
      </c>
      <c r="S16" t="s">
        <v>90</v>
      </c>
      <c r="T16">
        <v>1000</v>
      </c>
      <c r="U16">
        <v>20</v>
      </c>
    </row>
    <row r="17" spans="1:21" x14ac:dyDescent="0.35">
      <c r="A17" s="87">
        <v>16</v>
      </c>
      <c r="B17">
        <v>3.6666666666666692</v>
      </c>
      <c r="C17">
        <v>2.3333333333333299</v>
      </c>
      <c r="D17">
        <v>1.8333333333333299</v>
      </c>
      <c r="E17">
        <v>1.3333333333333319</v>
      </c>
      <c r="F17">
        <v>-0.49999999999999922</v>
      </c>
      <c r="G17">
        <v>-0.16666666666666771</v>
      </c>
      <c r="H17">
        <v>-1.4999999999999989</v>
      </c>
      <c r="I17">
        <v>-0.16666666666666791</v>
      </c>
      <c r="J17">
        <v>-0.83333333333333515</v>
      </c>
      <c r="K17">
        <v>-2.3333333333333339</v>
      </c>
      <c r="L17">
        <v>0.93678160919540232</v>
      </c>
      <c r="M17" t="s">
        <v>73</v>
      </c>
      <c r="N17" t="s">
        <v>54</v>
      </c>
      <c r="O17" t="s">
        <v>79</v>
      </c>
      <c r="P17" t="s">
        <v>76</v>
      </c>
      <c r="Q17" t="s">
        <v>82</v>
      </c>
      <c r="R17">
        <v>2007</v>
      </c>
      <c r="S17" t="s">
        <v>90</v>
      </c>
      <c r="T17">
        <v>999</v>
      </c>
      <c r="U17">
        <v>22</v>
      </c>
    </row>
    <row r="18" spans="1:21" x14ac:dyDescent="0.35">
      <c r="A18" s="87">
        <v>17</v>
      </c>
      <c r="B18">
        <v>6.1666666666666661</v>
      </c>
      <c r="C18">
        <v>1.3333333333333399</v>
      </c>
      <c r="D18">
        <v>-0.16666666666666399</v>
      </c>
      <c r="E18">
        <v>-1.1666666666666661</v>
      </c>
      <c r="F18">
        <v>-0.50000000000000333</v>
      </c>
      <c r="G18">
        <v>0.83333333333333182</v>
      </c>
      <c r="H18">
        <v>0.49999999999999911</v>
      </c>
      <c r="I18">
        <v>-0.66666666666666474</v>
      </c>
      <c r="J18">
        <v>-1.833333333333331</v>
      </c>
      <c r="K18">
        <v>0.66666666666666474</v>
      </c>
      <c r="L18">
        <v>0.9844632768361582</v>
      </c>
      <c r="M18" t="s">
        <v>73</v>
      </c>
      <c r="N18" t="s">
        <v>53</v>
      </c>
      <c r="O18" t="s">
        <v>78</v>
      </c>
      <c r="P18" t="s">
        <v>76</v>
      </c>
      <c r="Q18" t="s">
        <v>82</v>
      </c>
      <c r="R18">
        <v>2142</v>
      </c>
      <c r="S18" t="s">
        <v>90</v>
      </c>
      <c r="T18">
        <v>5001</v>
      </c>
      <c r="U18">
        <v>23</v>
      </c>
    </row>
    <row r="19" spans="1:21" x14ac:dyDescent="0.35">
      <c r="A19" s="87">
        <v>18</v>
      </c>
      <c r="B19">
        <v>2.3333333333333308</v>
      </c>
      <c r="C19">
        <v>-0.33333333333333598</v>
      </c>
      <c r="D19">
        <v>-0.83333333333333304</v>
      </c>
      <c r="E19">
        <v>-1.3333333333333339</v>
      </c>
      <c r="F19">
        <v>-1.499999999999998</v>
      </c>
      <c r="G19">
        <v>2.1666666666666692</v>
      </c>
      <c r="H19">
        <v>1.5</v>
      </c>
      <c r="I19">
        <v>1.166666666666671</v>
      </c>
      <c r="J19">
        <v>1.833333333333333</v>
      </c>
      <c r="K19">
        <v>3.3333333333333361</v>
      </c>
      <c r="L19">
        <v>0.98193760262725782</v>
      </c>
      <c r="M19" t="s">
        <v>73</v>
      </c>
      <c r="N19" t="s">
        <v>55</v>
      </c>
      <c r="O19" t="s">
        <v>79</v>
      </c>
      <c r="P19" t="s">
        <v>76</v>
      </c>
      <c r="Q19" t="s">
        <v>82</v>
      </c>
      <c r="R19">
        <v>2016</v>
      </c>
      <c r="S19" t="s">
        <v>90</v>
      </c>
      <c r="T19">
        <v>1000</v>
      </c>
      <c r="U19">
        <v>24</v>
      </c>
    </row>
    <row r="20" spans="1:21" x14ac:dyDescent="0.35">
      <c r="A20" s="87">
        <v>19</v>
      </c>
      <c r="B20">
        <v>3.3333333333333299</v>
      </c>
      <c r="C20">
        <v>-0.33333333333333298</v>
      </c>
      <c r="D20">
        <v>-0.33333333333332898</v>
      </c>
      <c r="E20">
        <v>-1.333333333333333</v>
      </c>
      <c r="F20">
        <v>-1.5</v>
      </c>
      <c r="G20">
        <v>1.666666666666667</v>
      </c>
      <c r="H20">
        <v>1.5</v>
      </c>
      <c r="I20">
        <v>1.1666666666666701</v>
      </c>
      <c r="J20">
        <v>1.3333333333333339</v>
      </c>
      <c r="K20">
        <v>2.8333333333333339</v>
      </c>
      <c r="L20">
        <v>0.97587719298245612</v>
      </c>
      <c r="M20" t="s">
        <v>73</v>
      </c>
      <c r="N20" t="s">
        <v>55</v>
      </c>
      <c r="O20" t="s">
        <v>79</v>
      </c>
      <c r="P20" t="s">
        <v>75</v>
      </c>
      <c r="Q20" t="s">
        <v>82</v>
      </c>
      <c r="R20">
        <v>2037</v>
      </c>
      <c r="S20" t="s">
        <v>90</v>
      </c>
      <c r="T20">
        <v>1000</v>
      </c>
      <c r="U20">
        <v>25</v>
      </c>
    </row>
    <row r="21" spans="1:21" x14ac:dyDescent="0.35">
      <c r="A21" s="87">
        <v>20</v>
      </c>
      <c r="B21">
        <v>1.8333333333333319</v>
      </c>
      <c r="C21">
        <v>2.6666666666666701</v>
      </c>
      <c r="D21">
        <v>3.6666666666666701</v>
      </c>
      <c r="E21">
        <v>0.1666666666666658</v>
      </c>
      <c r="F21">
        <v>-0.499999999999998</v>
      </c>
      <c r="G21">
        <v>-0.33333333333333592</v>
      </c>
      <c r="H21">
        <v>-1.499999999999998</v>
      </c>
      <c r="I21">
        <v>2.6666666666666692</v>
      </c>
      <c r="J21">
        <v>3.3333333333333348</v>
      </c>
      <c r="K21">
        <v>-1.1666666666666681</v>
      </c>
      <c r="L21">
        <v>0.89241001564945233</v>
      </c>
      <c r="M21" t="s">
        <v>73</v>
      </c>
      <c r="N21" t="s">
        <v>54</v>
      </c>
      <c r="O21" t="s">
        <v>79</v>
      </c>
      <c r="P21" t="s">
        <v>76</v>
      </c>
      <c r="Q21" t="s">
        <v>81</v>
      </c>
      <c r="R21">
        <v>2000</v>
      </c>
      <c r="S21" t="s">
        <v>90</v>
      </c>
      <c r="T21">
        <v>3000</v>
      </c>
      <c r="U21">
        <v>26</v>
      </c>
    </row>
    <row r="22" spans="1:21" x14ac:dyDescent="0.35">
      <c r="A22" s="87">
        <v>21</v>
      </c>
      <c r="B22">
        <v>2.666666666666667</v>
      </c>
      <c r="C22">
        <v>3.3333333333333299</v>
      </c>
      <c r="D22">
        <v>0.33333333333333098</v>
      </c>
      <c r="E22">
        <v>0.33333333333333098</v>
      </c>
      <c r="F22">
        <v>1.6593288232317709E-15</v>
      </c>
      <c r="G22">
        <v>0.33333333333333459</v>
      </c>
      <c r="H22">
        <v>1.7916925624477692E-15</v>
      </c>
      <c r="I22">
        <v>1.3333333333333339</v>
      </c>
      <c r="J22">
        <v>1.666666666666667</v>
      </c>
      <c r="K22">
        <v>-1.333333333333333</v>
      </c>
      <c r="L22">
        <v>0.89294403892944041</v>
      </c>
      <c r="M22" t="s">
        <v>73</v>
      </c>
      <c r="N22" t="s">
        <v>54</v>
      </c>
      <c r="O22" t="s">
        <v>79</v>
      </c>
      <c r="P22" t="s">
        <v>76</v>
      </c>
      <c r="Q22" t="s">
        <v>82</v>
      </c>
      <c r="R22">
        <v>2041</v>
      </c>
      <c r="S22" t="s">
        <v>90</v>
      </c>
      <c r="T22">
        <v>3000</v>
      </c>
      <c r="U22">
        <v>27</v>
      </c>
    </row>
    <row r="23" spans="1:21" x14ac:dyDescent="0.35">
      <c r="A23" s="87">
        <v>22</v>
      </c>
      <c r="B23">
        <v>3.3333333333333339</v>
      </c>
      <c r="C23">
        <v>1.6666666666666601</v>
      </c>
      <c r="D23">
        <v>2.1666666666666701</v>
      </c>
      <c r="E23">
        <v>0.66666666666666563</v>
      </c>
      <c r="F23">
        <v>-1.999999999999996</v>
      </c>
      <c r="G23">
        <v>-1.8333333333333339</v>
      </c>
      <c r="H23">
        <v>1.0252062925827529E-16</v>
      </c>
      <c r="I23">
        <v>1.666666666666665</v>
      </c>
      <c r="J23">
        <v>1.8333333333333319</v>
      </c>
      <c r="K23">
        <v>-1.166666666666665</v>
      </c>
      <c r="L23">
        <v>0.7874396135265701</v>
      </c>
      <c r="M23" t="s">
        <v>73</v>
      </c>
      <c r="N23" t="s">
        <v>54</v>
      </c>
      <c r="O23" t="s">
        <v>78</v>
      </c>
      <c r="P23" t="s">
        <v>75</v>
      </c>
      <c r="Q23" t="s">
        <v>82</v>
      </c>
      <c r="R23">
        <v>2204</v>
      </c>
      <c r="S23" t="s">
        <v>90</v>
      </c>
      <c r="T23">
        <v>3000</v>
      </c>
      <c r="U23">
        <v>28</v>
      </c>
    </row>
    <row r="24" spans="1:21" x14ac:dyDescent="0.35">
      <c r="A24" s="87">
        <v>23</v>
      </c>
      <c r="B24">
        <v>4.166666666666667</v>
      </c>
      <c r="C24">
        <v>4.3333333333333401</v>
      </c>
      <c r="D24">
        <v>-0.16666666666666699</v>
      </c>
      <c r="E24">
        <v>-1.1666666666666681</v>
      </c>
      <c r="F24">
        <v>-2.9999999999999991</v>
      </c>
      <c r="G24">
        <v>-0.16666666666666671</v>
      </c>
      <c r="H24">
        <v>0.99999999999999978</v>
      </c>
      <c r="I24">
        <v>0.83333333333333515</v>
      </c>
      <c r="J24">
        <v>3.1666666666666661</v>
      </c>
      <c r="K24">
        <v>-1.833333333333337</v>
      </c>
      <c r="L24">
        <v>0.99408602150537628</v>
      </c>
      <c r="M24" t="s">
        <v>72</v>
      </c>
      <c r="N24" t="s">
        <v>54</v>
      </c>
      <c r="O24" t="s">
        <v>79</v>
      </c>
      <c r="P24" t="s">
        <v>76</v>
      </c>
      <c r="Q24" t="s">
        <v>82</v>
      </c>
      <c r="R24">
        <v>2000</v>
      </c>
      <c r="S24" t="s">
        <v>90</v>
      </c>
      <c r="T24">
        <v>3000</v>
      </c>
      <c r="U24">
        <v>29</v>
      </c>
    </row>
    <row r="25" spans="1:21" x14ac:dyDescent="0.35">
      <c r="A25" s="87">
        <v>24</v>
      </c>
      <c r="B25">
        <v>5</v>
      </c>
      <c r="C25">
        <v>1</v>
      </c>
      <c r="D25" s="104">
        <v>5.5511151231257797E-16</v>
      </c>
      <c r="E25">
        <v>2.9564872923028831E-16</v>
      </c>
      <c r="F25">
        <v>0.49999999999999911</v>
      </c>
      <c r="G25">
        <v>-5.6494957642341777E-16</v>
      </c>
      <c r="H25">
        <v>0.5</v>
      </c>
      <c r="I25">
        <v>-0.50000000000000011</v>
      </c>
      <c r="J25">
        <v>-0.99999999999999956</v>
      </c>
      <c r="K25">
        <v>-0.50000000000000155</v>
      </c>
      <c r="L25">
        <v>1</v>
      </c>
      <c r="M25" t="s">
        <v>73</v>
      </c>
      <c r="N25" t="s">
        <v>53</v>
      </c>
      <c r="O25" t="s">
        <v>79</v>
      </c>
      <c r="P25" t="s">
        <v>75</v>
      </c>
      <c r="Q25" t="s">
        <v>82</v>
      </c>
      <c r="R25">
        <v>2150</v>
      </c>
      <c r="S25" t="s">
        <v>90</v>
      </c>
      <c r="T25">
        <v>1000</v>
      </c>
      <c r="U25">
        <v>30</v>
      </c>
    </row>
    <row r="26" spans="1:21" x14ac:dyDescent="0.35">
      <c r="A26" s="87">
        <v>25</v>
      </c>
      <c r="B26">
        <v>4.9999999999999991</v>
      </c>
      <c r="C26">
        <v>-4</v>
      </c>
      <c r="D26">
        <v>-5</v>
      </c>
      <c r="E26">
        <v>-1.999999999999998</v>
      </c>
      <c r="F26">
        <v>0.99999999999999645</v>
      </c>
      <c r="G26">
        <v>4.0000000000000018</v>
      </c>
      <c r="H26">
        <v>3.9999999999999969</v>
      </c>
      <c r="I26">
        <v>-0.99999999999999645</v>
      </c>
      <c r="J26">
        <v>-1.9999999999999989</v>
      </c>
      <c r="K26">
        <v>4.9999999999999982</v>
      </c>
      <c r="L26">
        <v>1</v>
      </c>
      <c r="M26" t="s">
        <v>72</v>
      </c>
      <c r="N26" t="s">
        <v>55</v>
      </c>
      <c r="O26" t="s">
        <v>78</v>
      </c>
      <c r="P26" t="s">
        <v>76</v>
      </c>
      <c r="Q26" t="s">
        <v>81</v>
      </c>
      <c r="R26">
        <v>2044</v>
      </c>
      <c r="S26" t="s">
        <v>90</v>
      </c>
      <c r="T26">
        <v>1000</v>
      </c>
      <c r="U26">
        <v>31</v>
      </c>
    </row>
    <row r="27" spans="1:21" x14ac:dyDescent="0.35">
      <c r="A27" s="87">
        <v>26</v>
      </c>
      <c r="B27">
        <v>5.3333333333333339</v>
      </c>
      <c r="C27">
        <v>1.6666666666666701</v>
      </c>
      <c r="D27">
        <v>0.66666666666666596</v>
      </c>
      <c r="E27">
        <v>0.66666666666666652</v>
      </c>
      <c r="F27">
        <v>-0.49999999999999972</v>
      </c>
      <c r="G27">
        <v>-1.333333333333333</v>
      </c>
      <c r="H27">
        <v>-0.49999999999999928</v>
      </c>
      <c r="I27">
        <v>0.16666666666666541</v>
      </c>
      <c r="J27">
        <v>0.33333333333333259</v>
      </c>
      <c r="K27">
        <v>-2.166666666666667</v>
      </c>
      <c r="L27">
        <v>0.86419753086419737</v>
      </c>
      <c r="M27" t="s">
        <v>73</v>
      </c>
      <c r="N27" t="s">
        <v>54</v>
      </c>
      <c r="O27" t="s">
        <v>78</v>
      </c>
      <c r="P27" t="s">
        <v>75</v>
      </c>
      <c r="Q27" t="s">
        <v>82</v>
      </c>
      <c r="R27">
        <v>2113</v>
      </c>
      <c r="S27" t="s">
        <v>90</v>
      </c>
      <c r="T27">
        <v>1000</v>
      </c>
      <c r="U27">
        <v>33</v>
      </c>
    </row>
    <row r="28" spans="1:21" x14ac:dyDescent="0.35">
      <c r="A28" s="87">
        <v>27</v>
      </c>
      <c r="B28">
        <v>7</v>
      </c>
      <c r="C28">
        <v>1</v>
      </c>
      <c r="D28">
        <v>0.500000000000002</v>
      </c>
      <c r="E28">
        <v>-0.99999999999999967</v>
      </c>
      <c r="F28">
        <v>-1.5000000000000011</v>
      </c>
      <c r="G28">
        <v>-1.5000000000000011</v>
      </c>
      <c r="H28">
        <v>0.49999999999999928</v>
      </c>
      <c r="I28">
        <v>0.50000000000000022</v>
      </c>
      <c r="J28">
        <v>0.50000000000000033</v>
      </c>
      <c r="K28">
        <v>-1.000000000000002</v>
      </c>
      <c r="L28">
        <v>1</v>
      </c>
      <c r="M28" t="s">
        <v>72</v>
      </c>
      <c r="N28" t="s">
        <v>54</v>
      </c>
      <c r="O28" t="s">
        <v>78</v>
      </c>
      <c r="P28" t="s">
        <v>75</v>
      </c>
      <c r="Q28" t="s">
        <v>82</v>
      </c>
      <c r="R28">
        <v>2150</v>
      </c>
      <c r="S28" t="s">
        <v>90</v>
      </c>
      <c r="T28">
        <v>999</v>
      </c>
      <c r="U28">
        <v>34</v>
      </c>
    </row>
    <row r="29" spans="1:21" x14ac:dyDescent="0.35">
      <c r="A29" s="87">
        <v>28</v>
      </c>
      <c r="B29">
        <v>5.0000000000000018</v>
      </c>
      <c r="C29">
        <v>2</v>
      </c>
      <c r="D29">
        <v>2</v>
      </c>
      <c r="E29">
        <v>2</v>
      </c>
      <c r="F29">
        <v>-1.4999999999999989</v>
      </c>
      <c r="G29">
        <v>-2.0000000000000009</v>
      </c>
      <c r="H29">
        <v>-3.5</v>
      </c>
      <c r="I29">
        <v>0.49999999999999728</v>
      </c>
      <c r="J29">
        <v>-2.4752492813097362E-15</v>
      </c>
      <c r="K29">
        <v>-0.49999999999999628</v>
      </c>
      <c r="L29">
        <v>1</v>
      </c>
      <c r="M29" t="s">
        <v>73</v>
      </c>
      <c r="N29" t="s">
        <v>54</v>
      </c>
      <c r="O29" t="s">
        <v>78</v>
      </c>
      <c r="P29" t="s">
        <v>76</v>
      </c>
      <c r="Q29" t="s">
        <v>82</v>
      </c>
      <c r="R29">
        <v>2016</v>
      </c>
      <c r="S29" t="s">
        <v>90</v>
      </c>
      <c r="T29">
        <v>3000</v>
      </c>
      <c r="U29">
        <v>35</v>
      </c>
    </row>
    <row r="30" spans="1:21" x14ac:dyDescent="0.35">
      <c r="A30" s="87">
        <v>29</v>
      </c>
      <c r="B30">
        <v>2.9999999999999991</v>
      </c>
      <c r="C30" s="104">
        <v>-1.0819871937078799E-15</v>
      </c>
      <c r="D30">
        <v>0.499999999999999</v>
      </c>
      <c r="E30">
        <v>0.99999999999999933</v>
      </c>
      <c r="F30">
        <v>1.500000000000002</v>
      </c>
      <c r="G30">
        <v>0.5</v>
      </c>
      <c r="H30">
        <v>0.50000000000000067</v>
      </c>
      <c r="I30">
        <v>-0.50000000000000011</v>
      </c>
      <c r="J30">
        <v>0.50000000000000011</v>
      </c>
      <c r="K30">
        <v>1.055046113354799E-15</v>
      </c>
      <c r="L30">
        <v>1</v>
      </c>
      <c r="M30" t="s">
        <v>72</v>
      </c>
      <c r="N30" t="s">
        <v>53</v>
      </c>
      <c r="O30" t="s">
        <v>78</v>
      </c>
      <c r="P30" t="s">
        <v>75</v>
      </c>
      <c r="Q30" t="s">
        <v>82</v>
      </c>
      <c r="S30" t="s">
        <v>90</v>
      </c>
      <c r="T30">
        <v>999</v>
      </c>
      <c r="U30">
        <v>36</v>
      </c>
    </row>
    <row r="31" spans="1:21" x14ac:dyDescent="0.35">
      <c r="A31" s="87">
        <v>30</v>
      </c>
      <c r="B31">
        <v>5.666666666666667</v>
      </c>
      <c r="C31">
        <v>-0.66666666666666397</v>
      </c>
      <c r="D31">
        <v>-0.16666666666666499</v>
      </c>
      <c r="E31">
        <v>-0.66666666666666519</v>
      </c>
      <c r="F31">
        <v>-0.50000000000000233</v>
      </c>
      <c r="G31">
        <v>0.83333333333333159</v>
      </c>
      <c r="H31">
        <v>-0.50000000000000089</v>
      </c>
      <c r="I31">
        <v>-0.1666666666666663</v>
      </c>
      <c r="J31">
        <v>-1.833333333333333</v>
      </c>
      <c r="K31">
        <v>-1.3333333333333359</v>
      </c>
      <c r="L31">
        <v>0.96811594202898554</v>
      </c>
      <c r="M31" t="s">
        <v>73</v>
      </c>
      <c r="N31" t="s">
        <v>53</v>
      </c>
      <c r="O31" t="s">
        <v>79</v>
      </c>
      <c r="P31" t="s">
        <v>75</v>
      </c>
      <c r="Q31" t="s">
        <v>82</v>
      </c>
      <c r="R31">
        <v>2031</v>
      </c>
      <c r="S31" t="s">
        <v>90</v>
      </c>
      <c r="T31">
        <v>1000</v>
      </c>
      <c r="U31">
        <v>37</v>
      </c>
    </row>
    <row r="32" spans="1:21" x14ac:dyDescent="0.35">
      <c r="A32" s="87">
        <v>31</v>
      </c>
      <c r="B32">
        <v>7.5</v>
      </c>
      <c r="C32">
        <v>-0.999999999999997</v>
      </c>
      <c r="D32">
        <v>-0.999999999999999</v>
      </c>
      <c r="E32">
        <v>-1.4999999999999989</v>
      </c>
      <c r="F32">
        <v>-1.0000000000000031</v>
      </c>
      <c r="G32">
        <v>-8.4929794575108866E-16</v>
      </c>
      <c r="H32">
        <v>6.6460410832833515E-17</v>
      </c>
      <c r="I32">
        <v>-1.5</v>
      </c>
      <c r="J32">
        <v>-0.99999999999999978</v>
      </c>
      <c r="K32">
        <v>-2.000000000000004</v>
      </c>
      <c r="L32">
        <v>0.95680628272251311</v>
      </c>
      <c r="M32" t="s">
        <v>72</v>
      </c>
      <c r="N32" t="s">
        <v>53</v>
      </c>
      <c r="O32" t="s">
        <v>79</v>
      </c>
      <c r="P32" t="s">
        <v>75</v>
      </c>
      <c r="Q32" t="s">
        <v>82</v>
      </c>
      <c r="R32">
        <v>2154</v>
      </c>
      <c r="S32" t="s">
        <v>92</v>
      </c>
      <c r="T32">
        <v>999</v>
      </c>
      <c r="U32">
        <v>39</v>
      </c>
    </row>
    <row r="33" spans="1:21" x14ac:dyDescent="0.35">
      <c r="A33" s="87">
        <v>32</v>
      </c>
      <c r="B33">
        <v>4.0000000000000009</v>
      </c>
      <c r="C33">
        <v>5.0000000000000098</v>
      </c>
      <c r="D33" s="104">
        <v>2.4424906541753401E-15</v>
      </c>
      <c r="E33">
        <v>-1.0000000000000011</v>
      </c>
      <c r="F33">
        <v>-3</v>
      </c>
      <c r="G33">
        <v>-2.298959682911805E-15</v>
      </c>
      <c r="H33">
        <v>0.99999999999999767</v>
      </c>
      <c r="I33">
        <v>1</v>
      </c>
      <c r="J33">
        <v>2.9999999999999991</v>
      </c>
      <c r="K33">
        <v>-2.000000000000004</v>
      </c>
      <c r="L33">
        <v>1</v>
      </c>
      <c r="M33" t="s">
        <v>73</v>
      </c>
      <c r="N33" t="s">
        <v>54</v>
      </c>
      <c r="O33" t="s">
        <v>79</v>
      </c>
      <c r="P33" t="s">
        <v>76</v>
      </c>
      <c r="Q33" t="s">
        <v>82</v>
      </c>
      <c r="R33">
        <v>2000</v>
      </c>
      <c r="S33" t="s">
        <v>90</v>
      </c>
      <c r="T33">
        <v>3000</v>
      </c>
      <c r="U33">
        <v>40</v>
      </c>
    </row>
    <row r="34" spans="1:21" x14ac:dyDescent="0.35">
      <c r="A34" s="87">
        <v>33</v>
      </c>
      <c r="B34">
        <v>2.9999999999999991</v>
      </c>
      <c r="C34">
        <v>1</v>
      </c>
      <c r="D34">
        <v>0.500000000000001</v>
      </c>
      <c r="E34">
        <v>-1.0000000000000031</v>
      </c>
      <c r="F34">
        <v>-0.49999999999999939</v>
      </c>
      <c r="G34">
        <v>0.50000000000000022</v>
      </c>
      <c r="H34">
        <v>-0.49999999999999972</v>
      </c>
      <c r="I34">
        <v>1.5000000000000031</v>
      </c>
      <c r="J34">
        <v>3.5000000000000009</v>
      </c>
      <c r="K34">
        <v>4.2723130981501429E-16</v>
      </c>
      <c r="L34">
        <v>1</v>
      </c>
      <c r="M34" t="s">
        <v>72</v>
      </c>
      <c r="N34" t="s">
        <v>54</v>
      </c>
      <c r="O34" t="s">
        <v>79</v>
      </c>
      <c r="P34" t="s">
        <v>75</v>
      </c>
      <c r="Q34" t="s">
        <v>82</v>
      </c>
      <c r="R34">
        <v>2000</v>
      </c>
      <c r="S34" t="s">
        <v>90</v>
      </c>
      <c r="T34">
        <v>3000</v>
      </c>
      <c r="U34">
        <v>41</v>
      </c>
    </row>
    <row r="35" spans="1:21" x14ac:dyDescent="0.35">
      <c r="A35" s="87">
        <v>34</v>
      </c>
      <c r="B35">
        <v>3.1666666666666661</v>
      </c>
      <c r="C35">
        <v>3.3333333333333401</v>
      </c>
      <c r="D35">
        <v>-0.16666666666666399</v>
      </c>
      <c r="E35">
        <v>-2.1666666666666692</v>
      </c>
      <c r="F35">
        <v>-2</v>
      </c>
      <c r="G35">
        <v>0.83333333333333248</v>
      </c>
      <c r="H35">
        <v>1.999999999999998</v>
      </c>
      <c r="I35">
        <v>0.83333333333333592</v>
      </c>
      <c r="J35">
        <v>3.1666666666666692</v>
      </c>
      <c r="K35">
        <v>-0.83333333333333603</v>
      </c>
      <c r="L35">
        <v>0.9950450450450451</v>
      </c>
      <c r="M35" t="s">
        <v>73</v>
      </c>
      <c r="N35" t="s">
        <v>54</v>
      </c>
      <c r="O35" t="s">
        <v>79</v>
      </c>
      <c r="P35" t="s">
        <v>76</v>
      </c>
      <c r="Q35" t="s">
        <v>82</v>
      </c>
      <c r="R35">
        <v>2010</v>
      </c>
      <c r="S35" t="s">
        <v>90</v>
      </c>
      <c r="T35">
        <v>3000</v>
      </c>
      <c r="U35">
        <v>42</v>
      </c>
    </row>
    <row r="36" spans="1:21" x14ac:dyDescent="0.35">
      <c r="A36" s="87">
        <v>35</v>
      </c>
      <c r="B36">
        <v>2.333333333333333</v>
      </c>
      <c r="C36">
        <v>1.6666666666666601</v>
      </c>
      <c r="D36">
        <v>-0.83333333333333504</v>
      </c>
      <c r="E36">
        <v>-0.33333333333333531</v>
      </c>
      <c r="F36">
        <v>-1.9999999999999969</v>
      </c>
      <c r="G36">
        <v>-0.83333333333333137</v>
      </c>
      <c r="H36">
        <v>2.5730348119179792E-16</v>
      </c>
      <c r="I36">
        <v>2.6666666666666679</v>
      </c>
      <c r="J36">
        <v>4.833333333333333</v>
      </c>
      <c r="K36">
        <v>-0.16666666666666469</v>
      </c>
      <c r="L36">
        <v>0.98355754857997013</v>
      </c>
      <c r="M36" t="s">
        <v>73</v>
      </c>
      <c r="N36" t="s">
        <v>54</v>
      </c>
      <c r="O36" t="s">
        <v>79</v>
      </c>
      <c r="P36" t="s">
        <v>75</v>
      </c>
      <c r="Q36" t="s">
        <v>82</v>
      </c>
      <c r="R36">
        <v>2060</v>
      </c>
      <c r="S36" t="s">
        <v>90</v>
      </c>
      <c r="T36">
        <v>1000</v>
      </c>
      <c r="U36">
        <v>43</v>
      </c>
    </row>
    <row r="37" spans="1:21" x14ac:dyDescent="0.35">
      <c r="A37" s="87">
        <v>36</v>
      </c>
      <c r="B37">
        <v>4.0000000000000027</v>
      </c>
      <c r="C37">
        <v>3</v>
      </c>
      <c r="D37">
        <v>0.999999999999999</v>
      </c>
      <c r="E37">
        <v>-1.130271011935352E-15</v>
      </c>
      <c r="F37">
        <v>-3.5000000000000022</v>
      </c>
      <c r="G37">
        <v>0.99999999999999833</v>
      </c>
      <c r="H37">
        <v>-0.49999999999999911</v>
      </c>
      <c r="I37">
        <v>1.5000000000000011</v>
      </c>
      <c r="J37">
        <v>1.9999999999999989</v>
      </c>
      <c r="K37">
        <v>-3.500000000000004</v>
      </c>
      <c r="L37">
        <v>1</v>
      </c>
      <c r="M37" t="s">
        <v>73</v>
      </c>
      <c r="N37" t="s">
        <v>54</v>
      </c>
      <c r="O37" t="s">
        <v>79</v>
      </c>
      <c r="P37" t="s">
        <v>75</v>
      </c>
      <c r="Q37" t="s">
        <v>82</v>
      </c>
      <c r="R37">
        <v>2057</v>
      </c>
      <c r="S37" t="s">
        <v>90</v>
      </c>
      <c r="T37">
        <v>1000</v>
      </c>
      <c r="U37">
        <v>44</v>
      </c>
    </row>
    <row r="38" spans="1:21" x14ac:dyDescent="0.35">
      <c r="A38" s="87">
        <v>37</v>
      </c>
      <c r="B38">
        <v>4.8333333333333304</v>
      </c>
      <c r="C38">
        <v>-2.3333333333333299</v>
      </c>
      <c r="D38">
        <v>-0.83333333333332704</v>
      </c>
      <c r="E38">
        <v>-3.8333333333333308</v>
      </c>
      <c r="F38">
        <v>-1.000000000000004</v>
      </c>
      <c r="G38">
        <v>2.1666666666666652</v>
      </c>
      <c r="H38">
        <v>1.999999999999998</v>
      </c>
      <c r="I38">
        <v>0.16666666666666999</v>
      </c>
      <c r="J38">
        <v>-1.1666666666666621</v>
      </c>
      <c r="K38">
        <v>2.8333333333333299</v>
      </c>
      <c r="L38">
        <v>0.99444444444444446</v>
      </c>
      <c r="M38" t="s">
        <v>73</v>
      </c>
      <c r="N38" t="s">
        <v>55</v>
      </c>
      <c r="O38" t="s">
        <v>79</v>
      </c>
      <c r="P38" t="s">
        <v>76</v>
      </c>
      <c r="Q38" t="s">
        <v>82</v>
      </c>
      <c r="R38">
        <v>2160</v>
      </c>
      <c r="S38" t="s">
        <v>90</v>
      </c>
      <c r="T38">
        <v>999</v>
      </c>
      <c r="U38">
        <v>45</v>
      </c>
    </row>
    <row r="39" spans="1:21" x14ac:dyDescent="0.35">
      <c r="A39" s="87">
        <v>38</v>
      </c>
      <c r="B39">
        <v>4.3333333333333304</v>
      </c>
      <c r="C39">
        <v>-5.3333333333333304</v>
      </c>
      <c r="D39">
        <v>-2.8333333333333299</v>
      </c>
      <c r="E39">
        <v>-2.3333333333333321</v>
      </c>
      <c r="F39">
        <v>1.9999999999999969</v>
      </c>
      <c r="G39">
        <v>4.166666666666667</v>
      </c>
      <c r="H39">
        <v>0.99999999999999856</v>
      </c>
      <c r="I39">
        <v>-1.333333333333329</v>
      </c>
      <c r="J39">
        <v>-2.166666666666663</v>
      </c>
      <c r="K39">
        <v>4.8333333333333348</v>
      </c>
      <c r="L39">
        <v>0.96474358974358976</v>
      </c>
      <c r="M39" t="s">
        <v>72</v>
      </c>
      <c r="N39" t="s">
        <v>55</v>
      </c>
      <c r="O39" t="s">
        <v>79</v>
      </c>
      <c r="P39" t="s">
        <v>76</v>
      </c>
      <c r="Q39" t="s">
        <v>82</v>
      </c>
      <c r="R39">
        <v>2017</v>
      </c>
      <c r="S39" t="s">
        <v>90</v>
      </c>
      <c r="T39">
        <v>999</v>
      </c>
      <c r="U39">
        <v>48</v>
      </c>
    </row>
    <row r="40" spans="1:21" x14ac:dyDescent="0.35">
      <c r="A40" s="87">
        <v>39</v>
      </c>
      <c r="B40">
        <v>2.6666666666666661</v>
      </c>
      <c r="C40">
        <v>-4.6666666666666803</v>
      </c>
      <c r="D40">
        <v>0.83333333333332704</v>
      </c>
      <c r="E40">
        <v>2.3333333333333308</v>
      </c>
      <c r="F40">
        <v>5.5000000000000018</v>
      </c>
      <c r="G40">
        <v>1.833333333333335</v>
      </c>
      <c r="H40">
        <v>-2.499999999999996</v>
      </c>
      <c r="I40">
        <v>-1.1666666666666661</v>
      </c>
      <c r="J40">
        <v>-1.833333333333333</v>
      </c>
      <c r="K40">
        <v>3.6666666666666758</v>
      </c>
      <c r="L40">
        <v>0.97693920335429763</v>
      </c>
      <c r="M40" t="s">
        <v>72</v>
      </c>
      <c r="N40" t="s">
        <v>55</v>
      </c>
      <c r="O40" t="s">
        <v>79</v>
      </c>
      <c r="P40" t="s">
        <v>76</v>
      </c>
      <c r="Q40" t="s">
        <v>82</v>
      </c>
      <c r="R40">
        <v>2017</v>
      </c>
      <c r="S40" t="s">
        <v>90</v>
      </c>
      <c r="T40">
        <v>999</v>
      </c>
      <c r="U40">
        <v>52</v>
      </c>
    </row>
    <row r="41" spans="1:21" x14ac:dyDescent="0.35">
      <c r="A41" s="87">
        <v>40</v>
      </c>
      <c r="B41">
        <v>4.1666666666666661</v>
      </c>
      <c r="C41">
        <v>1.3333333333333399</v>
      </c>
      <c r="D41">
        <v>-0.16666666666666599</v>
      </c>
      <c r="E41">
        <v>-2.1666666666666679</v>
      </c>
      <c r="F41">
        <v>1.4999999999999989</v>
      </c>
      <c r="G41">
        <v>2.8333333333333321</v>
      </c>
      <c r="H41">
        <v>0.50000000000000044</v>
      </c>
      <c r="I41">
        <v>-1.6666666666666641</v>
      </c>
      <c r="J41">
        <v>0.16666666666666899</v>
      </c>
      <c r="K41">
        <v>-1.333333333333337</v>
      </c>
      <c r="L41">
        <v>0.99656679151061178</v>
      </c>
      <c r="M41" t="s">
        <v>73</v>
      </c>
      <c r="N41" t="s">
        <v>53</v>
      </c>
      <c r="O41" t="s">
        <v>79</v>
      </c>
      <c r="P41" t="s">
        <v>75</v>
      </c>
      <c r="Q41" t="s">
        <v>82</v>
      </c>
      <c r="R41">
        <v>2057</v>
      </c>
      <c r="S41" t="s">
        <v>90</v>
      </c>
      <c r="T41">
        <v>1000</v>
      </c>
      <c r="U41">
        <v>61</v>
      </c>
    </row>
    <row r="42" spans="1:21" x14ac:dyDescent="0.35">
      <c r="A42" s="87">
        <v>41</v>
      </c>
      <c r="B42">
        <v>4.833333333333333</v>
      </c>
      <c r="C42">
        <v>-0.33333333333332799</v>
      </c>
      <c r="D42">
        <v>-1.8333333333333299</v>
      </c>
      <c r="E42">
        <v>-2.8333333333333321</v>
      </c>
      <c r="F42">
        <v>-2.0000000000000031</v>
      </c>
      <c r="G42">
        <v>2.1666666666666652</v>
      </c>
      <c r="H42">
        <v>3.9999999999999969</v>
      </c>
      <c r="I42">
        <v>-0.83333333333332993</v>
      </c>
      <c r="J42">
        <v>-0.16666666666666591</v>
      </c>
      <c r="K42">
        <v>0.83333333333332904</v>
      </c>
      <c r="L42">
        <v>0.98882113821138218</v>
      </c>
      <c r="M42" t="s">
        <v>73</v>
      </c>
      <c r="N42" t="s">
        <v>53</v>
      </c>
      <c r="O42" t="s">
        <v>79</v>
      </c>
      <c r="P42" t="s">
        <v>75</v>
      </c>
      <c r="Q42" t="s">
        <v>82</v>
      </c>
      <c r="R42">
        <v>2010</v>
      </c>
      <c r="S42" t="s">
        <v>90</v>
      </c>
      <c r="U42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1C6B-D5FD-4E89-8A9D-B70919642EE9}">
  <sheetPr>
    <tabColor theme="9" tint="0.79998168889431442"/>
  </sheetPr>
  <dimension ref="B1:C13"/>
  <sheetViews>
    <sheetView showGridLines="0" zoomScale="85" workbookViewId="0">
      <selection activeCell="F23" sqref="F23"/>
    </sheetView>
  </sheetViews>
  <sheetFormatPr defaultRowHeight="14.5" x14ac:dyDescent="0.35"/>
  <cols>
    <col min="1" max="1" width="6.26953125" customWidth="1"/>
    <col min="2" max="2" width="64.7265625" customWidth="1"/>
  </cols>
  <sheetData>
    <row r="1" spans="2:3" x14ac:dyDescent="0.35">
      <c r="B1" s="89" t="s">
        <v>70</v>
      </c>
      <c r="C1" s="89"/>
    </row>
    <row r="13" spans="2:3" x14ac:dyDescent="0.35">
      <c r="B13" s="88" t="s">
        <v>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Output_pathworths &amp; R2</vt:lpstr>
      <vt:lpstr>Report Part1 &gt;&gt;</vt:lpstr>
      <vt:lpstr>T1_Avg. Part-Worth</vt:lpstr>
      <vt:lpstr>T2_Relative Importance Anal</vt:lpstr>
      <vt:lpstr>T3_Summary Insight</vt:lpstr>
      <vt:lpstr>Report Part2 &gt;&gt;</vt:lpstr>
      <vt:lpstr>T4_Cluster Analysis</vt:lpstr>
      <vt:lpstr>T4.2_Summary Cluster</vt:lpstr>
      <vt:lpstr>T4.3_Cluster Demographic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Nichakamon Ek-Aksorn</cp:lastModifiedBy>
  <cp:revision/>
  <dcterms:created xsi:type="dcterms:W3CDTF">2025-04-20T23:56:26Z</dcterms:created>
  <dcterms:modified xsi:type="dcterms:W3CDTF">2025-04-24T14:03:26Z</dcterms:modified>
  <cp:category/>
  <cp:contentStatus/>
</cp:coreProperties>
</file>