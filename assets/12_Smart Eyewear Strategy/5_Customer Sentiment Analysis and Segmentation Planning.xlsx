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a\OneDrive\Desktop\Narm UTS\Semester2\Customer Analytics\Asgn2 to submit\"/>
    </mc:Choice>
  </mc:AlternateContent>
  <xr:revisionPtr revIDLastSave="0" documentId="13_ncr:1_{C376CE78-1F99-4CD7-AAAA-F15387784199}" xr6:coauthVersionLast="47" xr6:coauthVersionMax="47" xr10:uidLastSave="{00000000-0000-0000-0000-000000000000}"/>
  <bookViews>
    <workbookView xWindow="-110" yWindow="-110" windowWidth="19420" windowHeight="11500" tabRatio="763" firstSheet="1" activeTab="2" xr2:uid="{C86BE7A0-DB2F-45B9-AC61-D4A7AE498BA8}"/>
  </bookViews>
  <sheets>
    <sheet name="Product Profile" sheetId="2" r:id="rId1"/>
    <sheet name="Conjoint Dummy" sheetId="1" r:id="rId2"/>
    <sheet name="1. Raw Data_Rating" sheetId="4" r:id="rId3"/>
    <sheet name="2. Respondent 1_Metrix &amp; Regres" sheetId="5" r:id="rId4"/>
    <sheet name="3. All Pathworth Matrix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J13" i="5" l="1"/>
  <c r="I13" i="5"/>
  <c r="H13" i="5"/>
  <c r="G13" i="5"/>
  <c r="F13" i="5"/>
  <c r="E13" i="5"/>
  <c r="D13" i="5"/>
  <c r="C13" i="5"/>
  <c r="B13" i="5"/>
  <c r="J12" i="5"/>
  <c r="I12" i="5"/>
  <c r="H12" i="5"/>
  <c r="G12" i="5"/>
  <c r="F12" i="5"/>
  <c r="E12" i="5"/>
  <c r="D12" i="5"/>
  <c r="C12" i="5"/>
  <c r="B12" i="5"/>
  <c r="J11" i="5"/>
  <c r="I11" i="5"/>
  <c r="H11" i="5"/>
  <c r="G11" i="5"/>
  <c r="F11" i="5"/>
  <c r="E11" i="5"/>
  <c r="D11" i="5"/>
  <c r="C11" i="5"/>
  <c r="B11" i="5"/>
  <c r="J10" i="5"/>
  <c r="I10" i="5"/>
  <c r="H10" i="5"/>
  <c r="G10" i="5"/>
  <c r="F10" i="5"/>
  <c r="E10" i="5"/>
  <c r="D10" i="5"/>
  <c r="C10" i="5"/>
  <c r="B10" i="5"/>
  <c r="J9" i="5"/>
  <c r="I9" i="5"/>
  <c r="H9" i="5"/>
  <c r="G9" i="5"/>
  <c r="F9" i="5"/>
  <c r="E9" i="5"/>
  <c r="D9" i="5"/>
  <c r="C9" i="5"/>
  <c r="B9" i="5"/>
  <c r="J8" i="5"/>
  <c r="I8" i="5"/>
  <c r="H8" i="5"/>
  <c r="G8" i="5"/>
  <c r="F8" i="5"/>
  <c r="E8" i="5"/>
  <c r="D8" i="5"/>
  <c r="C8" i="5"/>
  <c r="B8" i="5"/>
  <c r="J7" i="5"/>
  <c r="I7" i="5"/>
  <c r="H7" i="5"/>
  <c r="G7" i="5"/>
  <c r="F7" i="5"/>
  <c r="E7" i="5"/>
  <c r="D7" i="5"/>
  <c r="C7" i="5"/>
  <c r="B7" i="5"/>
  <c r="J6" i="5"/>
  <c r="I6" i="5"/>
  <c r="H6" i="5"/>
  <c r="G6" i="5"/>
  <c r="F6" i="5"/>
  <c r="E6" i="5"/>
  <c r="D6" i="5"/>
  <c r="C6" i="5"/>
  <c r="B6" i="5"/>
  <c r="J5" i="5"/>
  <c r="I5" i="5"/>
  <c r="H5" i="5"/>
  <c r="G5" i="5"/>
  <c r="F5" i="5"/>
  <c r="E5" i="5"/>
  <c r="D5" i="5"/>
  <c r="C5" i="5"/>
  <c r="B5" i="5"/>
  <c r="J4" i="5"/>
  <c r="I4" i="5"/>
  <c r="H4" i="5"/>
  <c r="G4" i="5"/>
  <c r="F4" i="5"/>
  <c r="E4" i="5"/>
  <c r="D4" i="5"/>
  <c r="C4" i="5"/>
  <c r="B4" i="5"/>
  <c r="J3" i="5"/>
  <c r="I3" i="5"/>
  <c r="H3" i="5"/>
  <c r="G3" i="5"/>
  <c r="F3" i="5"/>
  <c r="E3" i="5"/>
  <c r="D3" i="5"/>
  <c r="C3" i="5"/>
  <c r="B3" i="5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K10" i="1"/>
  <c r="J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Q10" i="1"/>
  <c r="P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O10" i="1"/>
  <c r="N10" i="1"/>
  <c r="M11" i="1"/>
  <c r="M12" i="1"/>
  <c r="M13" i="1"/>
  <c r="M14" i="1"/>
  <c r="M15" i="1"/>
  <c r="M16" i="1"/>
  <c r="M17" i="1"/>
  <c r="M18" i="1"/>
  <c r="M19" i="1"/>
  <c r="M20" i="1"/>
  <c r="M10" i="1"/>
  <c r="L11" i="1"/>
  <c r="L12" i="1"/>
  <c r="L13" i="1"/>
  <c r="L14" i="1"/>
  <c r="L15" i="1"/>
  <c r="L16" i="1"/>
  <c r="L17" i="1"/>
  <c r="L18" i="1"/>
  <c r="L19" i="1"/>
  <c r="L20" i="1"/>
  <c r="L10" i="1"/>
  <c r="I11" i="1"/>
  <c r="I12" i="1"/>
  <c r="I13" i="1"/>
  <c r="I14" i="1"/>
  <c r="I15" i="1"/>
  <c r="I16" i="1"/>
  <c r="I17" i="1"/>
  <c r="I18" i="1"/>
  <c r="I19" i="1"/>
  <c r="I20" i="1"/>
  <c r="I10" i="1"/>
  <c r="H11" i="1"/>
  <c r="H12" i="1"/>
  <c r="H13" i="1"/>
  <c r="H14" i="1"/>
  <c r="H15" i="1"/>
  <c r="H16" i="1"/>
  <c r="H17" i="1"/>
  <c r="H18" i="1"/>
  <c r="H19" i="1"/>
  <c r="H20" i="1"/>
  <c r="H10" i="1"/>
  <c r="L3" i="2"/>
  <c r="L4" i="2"/>
  <c r="L5" i="2"/>
  <c r="L6" i="2"/>
  <c r="L7" i="2"/>
  <c r="L8" i="2"/>
  <c r="L9" i="2"/>
  <c r="L10" i="2"/>
  <c r="L11" i="2"/>
  <c r="L12" i="2"/>
  <c r="L2" i="2"/>
  <c r="K3" i="2"/>
  <c r="K4" i="2"/>
  <c r="K5" i="2"/>
  <c r="K6" i="2"/>
  <c r="K7" i="2"/>
  <c r="K8" i="2"/>
  <c r="K9" i="2"/>
  <c r="K10" i="2"/>
  <c r="K11" i="2"/>
  <c r="K12" i="2"/>
  <c r="K2" i="2"/>
  <c r="J3" i="2"/>
  <c r="J4" i="2"/>
  <c r="J5" i="2"/>
  <c r="J6" i="2"/>
  <c r="J7" i="2"/>
  <c r="J8" i="2"/>
  <c r="J9" i="2"/>
  <c r="J10" i="2"/>
  <c r="J11" i="2"/>
  <c r="J12" i="2"/>
  <c r="J2" i="2"/>
  <c r="I3" i="2"/>
  <c r="I4" i="2"/>
  <c r="I5" i="2"/>
  <c r="I6" i="2"/>
  <c r="I7" i="2"/>
  <c r="I8" i="2"/>
  <c r="I9" i="2"/>
  <c r="I10" i="2"/>
  <c r="I11" i="2"/>
  <c r="I12" i="2"/>
  <c r="I2" i="2"/>
  <c r="H3" i="2"/>
  <c r="H4" i="2"/>
  <c r="H5" i="2"/>
  <c r="H6" i="2"/>
  <c r="H7" i="2"/>
  <c r="H8" i="2"/>
  <c r="H9" i="2"/>
  <c r="H10" i="2"/>
  <c r="H11" i="2"/>
  <c r="H12" i="2"/>
  <c r="H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nicha</author>
  </authors>
  <commentList>
    <comment ref="F3" authorId="0" shapeId="0" xr:uid="{1B55F52C-5526-40E8-A611-C5DEE3BCE113}">
      <text>
        <r>
          <rPr>
            <b/>
            <sz val="9"/>
            <color indexed="81"/>
            <rFont val="Tahoma"/>
            <family val="2"/>
          </rPr>
          <t>nicha:</t>
        </r>
        <r>
          <rPr>
            <sz val="9"/>
            <color indexed="81"/>
            <rFont val="Tahoma"/>
            <family val="2"/>
          </rPr>
          <t xml:space="preserve">
edited to match profile2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nicha</author>
  </authors>
  <commentList>
    <comment ref="K2" authorId="0" shapeId="0" xr:uid="{5804C5D8-9FEA-4AD1-A4CB-796C6B9536E9}">
      <text>
        <r>
          <rPr>
            <b/>
            <sz val="9"/>
            <color indexed="81"/>
            <rFont val="Tahoma"/>
            <family val="2"/>
          </rPr>
          <t>nicha:</t>
        </r>
        <r>
          <rPr>
            <sz val="9"/>
            <color indexed="81"/>
            <rFont val="Tahoma"/>
            <family val="2"/>
          </rPr>
          <t xml:space="preserve">
Highest Correlation 0.69
We removed from the regression model.</t>
        </r>
      </text>
    </comment>
  </commentList>
</comments>
</file>

<file path=xl/sharedStrings.xml><?xml version="1.0" encoding="utf-8"?>
<sst xmlns="http://schemas.openxmlformats.org/spreadsheetml/2006/main" count="151" uniqueCount="83">
  <si>
    <t>Dummy_Format</t>
  </si>
  <si>
    <t>Attribute/
Levels</t>
  </si>
  <si>
    <t>4. FFD Orthogonal Design used in the example by Kamakura</t>
  </si>
  <si>
    <t>Conjoint_to run regression</t>
  </si>
  <si>
    <t>Product ID</t>
  </si>
  <si>
    <t>1. Attribute and Levels for Ray-Ban Meta</t>
  </si>
  <si>
    <t>Indoor Use</t>
  </si>
  <si>
    <t>Professional Settings</t>
  </si>
  <si>
    <t>Outdoor Adventure</t>
  </si>
  <si>
    <t>Price</t>
  </si>
  <si>
    <t xml:space="preserve">Auto-Brightness Adjustment </t>
  </si>
  <si>
    <t>Smart Adaptive Display</t>
  </si>
  <si>
    <t>AI-Optimized Vision</t>
  </si>
  <si>
    <t>Basic GPS &amp; Weather Updates</t>
  </si>
  <si>
    <t>Advanced GPS &amp; Live Mapping</t>
  </si>
  <si>
    <t>AR Navigation &amp; Real-Time Environmental Data</t>
  </si>
  <si>
    <t xml:space="preserve">Distraction-Free Alerts </t>
  </si>
  <si>
    <t xml:space="preserve">Smart Voice Commands &amp; Reminders </t>
  </si>
  <si>
    <t>AI Assistant &amp; Hands-Free Control</t>
  </si>
  <si>
    <t>Step &amp; Calorie Tracking</t>
  </si>
  <si>
    <t>Heart Rate &amp; Workout Insights</t>
  </si>
  <si>
    <t>Full Biometric Analysis &amp; AI Coaching</t>
  </si>
  <si>
    <t>Profile</t>
  </si>
  <si>
    <t>Indoor1_Auto-Brightness Adjustment</t>
  </si>
  <si>
    <t>Indoor2_Smart Adaptive Display</t>
  </si>
  <si>
    <t>Indoor3_AI-Optimized Vision</t>
  </si>
  <si>
    <t>Outdoor1_Basic GPS &amp; Weather Updates</t>
  </si>
  <si>
    <t>Outdoor2_Advanced GPS &amp; Live Mapping</t>
  </si>
  <si>
    <t>Outdoor3_AR Navigation &amp; Real-Time Environmental Data</t>
  </si>
  <si>
    <t>Professional1_Distraction-Free Alerts</t>
  </si>
  <si>
    <t>Professional2_Smart Voice Commands &amp; Reminders</t>
  </si>
  <si>
    <t>Professional3_AI Assistant &amp; Hands-Free Control</t>
  </si>
  <si>
    <t>Fitness1_Step &amp; Calorie Tracking</t>
  </si>
  <si>
    <t>Health &amp; Fitness</t>
  </si>
  <si>
    <t>Fitness2_Heart Rate &amp; Workout Insights</t>
  </si>
  <si>
    <t>Fitness3_Full Biometric Analysis &amp; AI Coaching</t>
  </si>
  <si>
    <t>Respondent</t>
  </si>
  <si>
    <t>Option 1</t>
  </si>
  <si>
    <t>Option 2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</si>
  <si>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</si>
  <si>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</si>
  <si>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</si>
  <si>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</si>
  <si>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</si>
  <si>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</si>
  <si>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</si>
  <si>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</si>
  <si>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Option 11</t>
  </si>
  <si>
    <t>OPTION</t>
  </si>
  <si>
    <t>X VARIABLES DATA MATRIX (YOUR CONJOINT DESIGN FOR EACH OPTION)</t>
  </si>
  <si>
    <t>Y VARIABLES</t>
  </si>
  <si>
    <t>There are 43 remaining valid respondents selected via a screening question on AR Interest.</t>
  </si>
  <si>
    <t>Respondent 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</si>
  <si>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</si>
  <si>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</si>
  <si>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</si>
  <si>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</si>
  <si>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</si>
  <si>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</si>
  <si>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</si>
  <si>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</si>
  <si>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</si>
  <si>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</si>
  <si>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</si>
  <si>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</si>
  <si>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</si>
  <si>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</si>
  <si>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</si>
  <si>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</si>
  <si>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</si>
  <si>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</si>
  <si>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</si>
  <si>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</si>
  <si>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</si>
  <si>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</si>
  <si>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</si>
  <si>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</si>
  <si>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REGRESSION RESULT</t>
  </si>
  <si>
    <t>450</t>
  </si>
  <si>
    <t>550</t>
  </si>
  <si>
    <t>R_squared</t>
  </si>
  <si>
    <r>
      <t>&gt;&gt; How 11 profiles look like in Dummy code, Drop</t>
    </r>
    <r>
      <rPr>
        <b/>
        <sz val="11"/>
        <color rgb="FFFF0000"/>
        <rFont val="Aptos Narrow"/>
        <family val="2"/>
        <scheme val="minor"/>
      </rPr>
      <t xml:space="preserve"> ALL Level1</t>
    </r>
    <r>
      <rPr>
        <b/>
        <sz val="11"/>
        <color theme="1"/>
        <rFont val="Aptos Narrow"/>
        <family val="2"/>
        <scheme val="minor"/>
      </rPr>
      <t xml:space="preserve"> as baseline</t>
    </r>
  </si>
  <si>
    <t>After identifying the optimal model, we use Python to process the remaining respondents.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</si>
</sst>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3" formatCode="_-* #,##0.00_-;\-* #,##0.00_-;_-* &quot;-&quot;??_-;_-@_-"/>
    <numFmt numFmtId="164" formatCode="\(0\)"/>
  </numFmts>
  <fonts count="2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70C0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2"/>
      <color indexed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43" fontId="10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wrapText="1"/>
    </xf>
    <xf numFmtId="0" fontId="0" fillId="5" borderId="1" xfId="0" applyFill="1" applyBorder="1"/>
    <xf numFmtId="0" fontId="0" fillId="6" borderId="1" xfId="0" applyFill="1" applyBorder="1"/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4" fillId="8" borderId="0" xfId="0" applyFont="1" applyFill="1" applyAlignment="1" applyProtection="1">
      <alignment horizontal="center" vertical="center"/>
      <protection locked="0"/>
    </xf>
    <xf numFmtId="164" fontId="1" fillId="9" borderId="2" xfId="0" applyNumberFormat="1" applyFont="1" applyFill="1" applyBorder="1" applyAlignment="1" applyProtection="1">
      <alignment horizontal="center" vertical="center"/>
      <protection locked="0"/>
    </xf>
    <xf numFmtId="0" fontId="2" fillId="10" borderId="0" xfId="0" applyFont="1" applyFill="1" applyAlignment="1" applyProtection="1">
      <alignment horizontal="center" vertical="center"/>
      <protection locked="0"/>
    </xf>
    <xf numFmtId="0" fontId="2" fillId="10" borderId="4" xfId="0" applyFont="1" applyFill="1" applyBorder="1" applyAlignment="1" applyProtection="1">
      <alignment horizontal="center" vertical="center"/>
      <protection locked="0"/>
    </xf>
    <xf numFmtId="0" fontId="1" fillId="11" borderId="0" xfId="0" applyFont="1" applyFill="1" applyAlignment="1" applyProtection="1">
      <alignment horizontal="center" vertical="center"/>
      <protection locked="0"/>
    </xf>
    <xf numFmtId="0" fontId="2" fillId="11" borderId="3" xfId="0" applyFont="1" applyFill="1" applyBorder="1" applyAlignment="1" applyProtection="1">
      <alignment horizontal="center" vertical="center"/>
      <protection locked="0"/>
    </xf>
    <xf numFmtId="0" fontId="2" fillId="11" borderId="5" xfId="0" applyFont="1" applyFill="1" applyBorder="1" applyAlignment="1" applyProtection="1">
      <alignment horizontal="center" vertical="center"/>
      <protection locked="0"/>
    </xf>
    <xf numFmtId="0" fontId="0" fillId="11" borderId="0" xfId="0" applyFill="1"/>
    <xf numFmtId="0" fontId="2" fillId="12" borderId="0" xfId="0" applyFont="1" applyFill="1" applyAlignment="1" applyProtection="1">
      <alignment horizontal="center" vertical="center"/>
      <protection locked="0"/>
    </xf>
    <xf numFmtId="0" fontId="0" fillId="12" borderId="0" xfId="0" applyFill="1"/>
    <xf numFmtId="0" fontId="0" fillId="10" borderId="0" xfId="0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12" borderId="1" xfId="0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0" xfId="0" applyFont="1" applyFill="1"/>
    <xf numFmtId="0" fontId="8" fillId="2" borderId="0" xfId="0" applyFont="1" applyFill="1" applyAlignment="1">
      <alignment horizontal="left"/>
    </xf>
    <xf numFmtId="0" fontId="13" fillId="6" borderId="0" xfId="0" applyFont="1" applyFill="1"/>
    <xf numFmtId="0" fontId="13" fillId="0" borderId="0" xfId="0" applyFont="1"/>
    <xf numFmtId="0" fontId="13" fillId="11" borderId="0" xfId="0" applyFont="1" applyFill="1"/>
    <xf numFmtId="0" fontId="12" fillId="13" borderId="0" xfId="0" applyFont="1" applyFill="1" applyAlignment="1">
      <alignment horizontal="center" wrapText="1"/>
    </xf>
    <xf numFmtId="0" fontId="12" fillId="13" borderId="0" xfId="0" applyFont="1" applyFill="1" applyAlignment="1">
      <alignment wrapText="1"/>
    </xf>
    <xf numFmtId="0" fontId="16" fillId="0" borderId="0" xfId="1" applyFont="1"/>
    <xf numFmtId="0" fontId="12" fillId="14" borderId="0" xfId="0" applyFont="1" applyFill="1" applyAlignment="1">
      <alignment horizontal="left" vertical="center"/>
    </xf>
    <xf numFmtId="0" fontId="13" fillId="14" borderId="0" xfId="0" applyFont="1" applyFill="1"/>
    <xf numFmtId="0" fontId="0" fillId="0" borderId="1" xfId="0" applyBorder="1" applyAlignment="1">
      <alignment horizontal="center"/>
    </xf>
    <xf numFmtId="0" fontId="9" fillId="0" borderId="1" xfId="1" applyBorder="1"/>
    <xf numFmtId="0" fontId="7" fillId="14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0" borderId="6" xfId="0" applyBorder="1"/>
    <xf numFmtId="0" fontId="17" fillId="0" borderId="7" xfId="0" applyFont="1" applyBorder="1" applyAlignment="1">
      <alignment horizontal="center"/>
    </xf>
    <xf numFmtId="0" fontId="17" fillId="0" borderId="7" xfId="0" applyFont="1" applyBorder="1" applyAlignment="1">
      <alignment horizontal="centerContinuous"/>
    </xf>
    <xf numFmtId="43" fontId="0" fillId="0" borderId="0" xfId="2" applyFont="1" applyFill="1" applyBorder="1" applyAlignment="1"/>
    <xf numFmtId="43" fontId="0" fillId="0" borderId="6" xfId="2" applyFont="1" applyFill="1" applyBorder="1" applyAlignment="1"/>
    <xf numFmtId="0" fontId="15" fillId="6" borderId="0" xfId="0" applyFont="1" applyFill="1"/>
    <xf numFmtId="0" fontId="12" fillId="6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4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43" fontId="0" fillId="0" borderId="0" xfId="2" applyFont="1"/>
    <xf numFmtId="0" fontId="0" fillId="0" borderId="0" xfId="2" applyNumberFormat="1" applyFont="1"/>
    <xf numFmtId="0" fontId="18" fillId="6" borderId="1" xfId="2" applyNumberFormat="1" applyFont="1" applyFill="1" applyBorder="1" applyAlignment="1">
      <alignment horizontal="center" vertical="top"/>
    </xf>
    <xf numFmtId="0" fontId="19" fillId="6" borderId="1" xfId="2" applyNumberFormat="1" applyFont="1" applyFill="1" applyBorder="1" applyAlignment="1">
      <alignment horizontal="left" vertical="top"/>
    </xf>
    <xf numFmtId="43" fontId="19" fillId="6" borderId="1" xfId="2" applyFont="1" applyFill="1" applyBorder="1" applyAlignment="1">
      <alignment horizontal="left" vertical="top"/>
    </xf>
    <xf numFmtId="43" fontId="0" fillId="0" borderId="0" xfId="2" applyFont="1" applyAlignment="1">
      <alignment horizontal="left" vertical="top"/>
    </xf>
    <xf numFmtId="0" fontId="0" fillId="0" borderId="0" xfId="0" applyAlignment="1">
      <alignment horizontal="left" vertical="top"/>
    </xf>
    <xf numFmtId="43" fontId="17" fillId="0" borderId="7" xfId="2" applyFont="1" applyFill="1" applyBorder="1" applyAlignment="1">
      <alignment horizontal="center"/>
    </xf>
    <xf numFmtId="43" fontId="0" fillId="15" borderId="6" xfId="2" applyFont="1" applyFill="1" applyBorder="1" applyAlignment="1"/>
    <xf numFmtId="43" fontId="19" fillId="3" borderId="1" xfId="2" applyFont="1" applyFill="1" applyBorder="1" applyAlignment="1">
      <alignment horizontal="left" vertical="top"/>
    </xf>
  </cellXfs>
  <cellStyles count="3">
    <cellStyle name="Comma" xfId="2" builtinId="3"/>
    <cellStyle name="Normal" xfId="0" builtinId="0"/>
    <cellStyle name="Normal 2" xfId="1" xr:uid="{EE4D9FF4-F38A-4200-8D19-9B61171EFF3B}"/>
  </cellStyles>
  <dxfs count="0"/>
  <tableStyles count="0" defaultTableStyle="TableStyleMedium2" defaultPivotStyle="PivotStyleLight16"/>
  <colors>
    <mruColors>
      <color rgb="FFFFFFCC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77EB-DB1F-4901-AFDF-0F7FC9B5E75C}">
  <sheetPr>
    <tabColor theme="0" tint="-0.499984740745262"/>
  </sheetPr>
  <dimension ref="A1:L19"/>
  <sheetViews>
    <sheetView zoomScale="70" zoomScaleNormal="70" workbookViewId="0">
      <pane xSplit="1" ySplit="1" topLeftCell="B2" activePane="bottomRight" state="frozen"/>
      <selection activeCell="I49" sqref="I49"/>
      <selection pane="topRight" activeCell="I49" sqref="I49"/>
      <selection pane="bottomLeft" activeCell="I49" sqref="I49"/>
      <selection pane="bottomRight" activeCell="I20" sqref="I20"/>
    </sheetView>
  </sheetViews>
  <sheetFormatPr defaultRowHeight="14.5" x14ac:dyDescent="0.35"/>
  <cols>
    <col min="2" max="2" width="9.54296875" bestFit="1" customWidth="1"/>
    <col min="3" max="3" width="9.81640625" bestFit="1" customWidth="1"/>
    <col min="4" max="4" width="16.54296875" bestFit="1" customWidth="1"/>
    <col min="5" max="6" width="18.54296875" bestFit="1" customWidth="1"/>
    <col min="7" max="7" width="1.6328125" style="29" customWidth="1"/>
    <col min="8" max="8" width="20.453125" customWidth="1"/>
    <col min="9" max="9" width="24.54296875" customWidth="1"/>
    <col min="10" max="10" width="39.81640625" bestFit="1" customWidth="1"/>
    <col min="11" max="11" width="32.453125" bestFit="1" customWidth="1"/>
    <col min="12" max="12" width="27.1796875" customWidth="1"/>
  </cols>
  <sheetData>
    <row r="1" spans="1:12" x14ac:dyDescent="0.35">
      <c r="A1" s="22" t="s">
        <v>22</v>
      </c>
      <c r="B1" s="19" t="s">
        <v>9</v>
      </c>
      <c r="C1" s="10" t="s">
        <v>6</v>
      </c>
      <c r="D1" s="12" t="s">
        <v>8</v>
      </c>
      <c r="E1" s="14" t="s">
        <v>7</v>
      </c>
      <c r="F1" s="15" t="s">
        <v>33</v>
      </c>
      <c r="G1" s="26"/>
      <c r="H1" s="19" t="s">
        <v>9</v>
      </c>
      <c r="I1" s="10" t="s">
        <v>6</v>
      </c>
      <c r="J1" s="12" t="s">
        <v>8</v>
      </c>
      <c r="K1" s="14" t="s">
        <v>7</v>
      </c>
      <c r="L1" s="15" t="s">
        <v>33</v>
      </c>
    </row>
    <row r="2" spans="1:12" x14ac:dyDescent="0.35">
      <c r="A2" s="23">
        <v>1</v>
      </c>
      <c r="B2" s="24">
        <v>2</v>
      </c>
      <c r="C2" s="24">
        <v>2</v>
      </c>
      <c r="D2" s="24">
        <v>2</v>
      </c>
      <c r="E2" s="24">
        <v>2</v>
      </c>
      <c r="F2" s="24">
        <v>2</v>
      </c>
      <c r="G2" s="26"/>
      <c r="H2" s="32">
        <f>INDEX('Conjoint Dummy'!$F$3:$F$5,MATCH('Product Profile'!B2,'Conjoint Dummy'!$A$3:$A$5,0))</f>
        <v>450</v>
      </c>
      <c r="I2" s="32" t="str">
        <f>INDEX('Conjoint Dummy'!$B$3:$B$5,MATCH('Product Profile'!C2,'Conjoint Dummy'!$A$3:$A$5,0))</f>
        <v>Smart Adaptive Display</v>
      </c>
      <c r="J2" s="32" t="str">
        <f>INDEX('Conjoint Dummy'!$C$3:$C$5,MATCH('Product Profile'!D2,'Conjoint Dummy'!$A$3:$A$5,0))</f>
        <v>Advanced GPS &amp; Live Mapping</v>
      </c>
      <c r="K2" s="32" t="str">
        <f>INDEX('Conjoint Dummy'!$D$3:$D$5,MATCH('Product Profile'!E2,'Conjoint Dummy'!$A$3:$A$5,0))</f>
        <v xml:space="preserve">Smart Voice Commands &amp; Reminders </v>
      </c>
      <c r="L2" s="32" t="str">
        <f>INDEX('Conjoint Dummy'!$E$3:$E$5,MATCH('Product Profile'!F2,'Conjoint Dummy'!$A$3:$A$5,0))</f>
        <v>Heart Rate &amp; Workout Insights</v>
      </c>
    </row>
    <row r="3" spans="1:12" x14ac:dyDescent="0.35">
      <c r="A3" s="23">
        <v>2</v>
      </c>
      <c r="B3" s="30">
        <v>2</v>
      </c>
      <c r="C3" s="30">
        <v>1</v>
      </c>
      <c r="D3" s="30">
        <v>1</v>
      </c>
      <c r="E3" s="30">
        <v>3</v>
      </c>
      <c r="F3" s="30">
        <v>1</v>
      </c>
      <c r="G3" s="26"/>
      <c r="H3" s="31">
        <f>INDEX('Conjoint Dummy'!$F$3:$F$5,MATCH('Product Profile'!B3,'Conjoint Dummy'!$A$3:$A$5,0))</f>
        <v>450</v>
      </c>
      <c r="I3" s="31" t="str">
        <f>INDEX('Conjoint Dummy'!$B$3:$B$5,MATCH('Product Profile'!C3,'Conjoint Dummy'!$A$3:$A$5,0))</f>
        <v xml:space="preserve">Auto-Brightness Adjustment </v>
      </c>
      <c r="J3" s="31" t="str">
        <f>INDEX('Conjoint Dummy'!$C$3:$C$5,MATCH('Product Profile'!D3,'Conjoint Dummy'!$A$3:$A$5,0))</f>
        <v>Basic GPS &amp; Weather Updates</v>
      </c>
      <c r="K3" s="31" t="str">
        <f>INDEX('Conjoint Dummy'!$D$3:$D$5,MATCH('Product Profile'!E3,'Conjoint Dummy'!$A$3:$A$5,0))</f>
        <v>AI Assistant &amp; Hands-Free Control</v>
      </c>
      <c r="L3" s="31" t="str">
        <f>INDEX('Conjoint Dummy'!$E$3:$E$5,MATCH('Product Profile'!F3,'Conjoint Dummy'!$A$3:$A$5,0))</f>
        <v>Step &amp; Calorie Tracking</v>
      </c>
    </row>
    <row r="4" spans="1:12" x14ac:dyDescent="0.35">
      <c r="A4" s="23">
        <v>3</v>
      </c>
      <c r="B4" s="24">
        <v>1</v>
      </c>
      <c r="C4" s="24">
        <v>1</v>
      </c>
      <c r="D4" s="24">
        <v>2</v>
      </c>
      <c r="E4" s="24">
        <v>2</v>
      </c>
      <c r="F4" s="24">
        <v>3</v>
      </c>
      <c r="G4" s="26"/>
      <c r="H4">
        <f>INDEX('Conjoint Dummy'!$F$3:$F$5,MATCH('Product Profile'!B4,'Conjoint Dummy'!$A$3:$A$5,0))</f>
        <v>350</v>
      </c>
      <c r="I4" t="str">
        <f>INDEX('Conjoint Dummy'!$B$3:$B$5,MATCH('Product Profile'!C4,'Conjoint Dummy'!$A$3:$A$5,0))</f>
        <v xml:space="preserve">Auto-Brightness Adjustment </v>
      </c>
      <c r="J4" t="str">
        <f>INDEX('Conjoint Dummy'!$C$3:$C$5,MATCH('Product Profile'!D4,'Conjoint Dummy'!$A$3:$A$5,0))</f>
        <v>Advanced GPS &amp; Live Mapping</v>
      </c>
      <c r="K4" t="str">
        <f>INDEX('Conjoint Dummy'!$D$3:$D$5,MATCH('Product Profile'!E4,'Conjoint Dummy'!$A$3:$A$5,0))</f>
        <v xml:space="preserve">Smart Voice Commands &amp; Reminders </v>
      </c>
      <c r="L4" t="str">
        <f>INDEX('Conjoint Dummy'!$E$3:$E$5,MATCH('Product Profile'!F4,'Conjoint Dummy'!$A$3:$A$5,0))</f>
        <v>Full Biometric Analysis &amp; AI Coaching</v>
      </c>
    </row>
    <row r="5" spans="1:12" x14ac:dyDescent="0.35">
      <c r="A5" s="23">
        <v>4</v>
      </c>
      <c r="B5" s="30">
        <v>3</v>
      </c>
      <c r="C5" s="30">
        <v>1</v>
      </c>
      <c r="D5" s="30">
        <v>2</v>
      </c>
      <c r="E5" s="30">
        <v>3</v>
      </c>
      <c r="F5" s="30">
        <v>1</v>
      </c>
      <c r="G5" s="26"/>
      <c r="H5" s="31">
        <f>INDEX('Conjoint Dummy'!$F$3:$F$5,MATCH('Product Profile'!B5,'Conjoint Dummy'!$A$3:$A$5,0))</f>
        <v>550</v>
      </c>
      <c r="I5" s="31" t="str">
        <f>INDEX('Conjoint Dummy'!$B$3:$B$5,MATCH('Product Profile'!C5,'Conjoint Dummy'!$A$3:$A$5,0))</f>
        <v xml:space="preserve">Auto-Brightness Adjustment </v>
      </c>
      <c r="J5" s="31" t="str">
        <f>INDEX('Conjoint Dummy'!$C$3:$C$5,MATCH('Product Profile'!D5,'Conjoint Dummy'!$A$3:$A$5,0))</f>
        <v>Advanced GPS &amp; Live Mapping</v>
      </c>
      <c r="K5" s="31" t="str">
        <f>INDEX('Conjoint Dummy'!$D$3:$D$5,MATCH('Product Profile'!E5,'Conjoint Dummy'!$A$3:$A$5,0))</f>
        <v>AI Assistant &amp; Hands-Free Control</v>
      </c>
      <c r="L5" s="31" t="str">
        <f>INDEX('Conjoint Dummy'!$E$3:$E$5,MATCH('Product Profile'!F5,'Conjoint Dummy'!$A$3:$A$5,0))</f>
        <v>Step &amp; Calorie Tracking</v>
      </c>
    </row>
    <row r="6" spans="1:12" x14ac:dyDescent="0.35">
      <c r="A6" s="23">
        <v>5</v>
      </c>
      <c r="B6" s="24">
        <v>3</v>
      </c>
      <c r="C6" s="24">
        <v>1</v>
      </c>
      <c r="D6" s="24">
        <v>3</v>
      </c>
      <c r="E6" s="24">
        <v>2</v>
      </c>
      <c r="F6" s="24">
        <v>2</v>
      </c>
      <c r="G6" s="26"/>
      <c r="H6">
        <f>INDEX('Conjoint Dummy'!$F$3:$F$5,MATCH('Product Profile'!B6,'Conjoint Dummy'!$A$3:$A$5,0))</f>
        <v>550</v>
      </c>
      <c r="I6" t="str">
        <f>INDEX('Conjoint Dummy'!$B$3:$B$5,MATCH('Product Profile'!C6,'Conjoint Dummy'!$A$3:$A$5,0))</f>
        <v xml:space="preserve">Auto-Brightness Adjustment </v>
      </c>
      <c r="J6" t="str">
        <f>INDEX('Conjoint Dummy'!$C$3:$C$5,MATCH('Product Profile'!D6,'Conjoint Dummy'!$A$3:$A$5,0))</f>
        <v>AR Navigation &amp; Real-Time Environmental Data</v>
      </c>
      <c r="K6" t="str">
        <f>INDEX('Conjoint Dummy'!$D$3:$D$5,MATCH('Product Profile'!E6,'Conjoint Dummy'!$A$3:$A$5,0))</f>
        <v xml:space="preserve">Smart Voice Commands &amp; Reminders </v>
      </c>
      <c r="L6" t="str">
        <f>INDEX('Conjoint Dummy'!$E$3:$E$5,MATCH('Product Profile'!F6,'Conjoint Dummy'!$A$3:$A$5,0))</f>
        <v>Heart Rate &amp; Workout Insights</v>
      </c>
    </row>
    <row r="7" spans="1:12" x14ac:dyDescent="0.35">
      <c r="A7" s="23">
        <v>6</v>
      </c>
      <c r="B7" s="30">
        <v>2</v>
      </c>
      <c r="C7" s="30">
        <v>2</v>
      </c>
      <c r="D7" s="30">
        <v>3</v>
      </c>
      <c r="E7" s="30">
        <v>3</v>
      </c>
      <c r="F7" s="30">
        <v>1</v>
      </c>
      <c r="G7" s="26"/>
      <c r="H7" s="31">
        <f>INDEX('Conjoint Dummy'!$F$3:$F$5,MATCH('Product Profile'!B7,'Conjoint Dummy'!$A$3:$A$5,0))</f>
        <v>450</v>
      </c>
      <c r="I7" s="31" t="str">
        <f>INDEX('Conjoint Dummy'!$B$3:$B$5,MATCH('Product Profile'!C7,'Conjoint Dummy'!$A$3:$A$5,0))</f>
        <v>Smart Adaptive Display</v>
      </c>
      <c r="J7" s="31" t="str">
        <f>INDEX('Conjoint Dummy'!$C$3:$C$5,MATCH('Product Profile'!D7,'Conjoint Dummy'!$A$3:$A$5,0))</f>
        <v>AR Navigation &amp; Real-Time Environmental Data</v>
      </c>
      <c r="K7" s="31" t="str">
        <f>INDEX('Conjoint Dummy'!$D$3:$D$5,MATCH('Product Profile'!E7,'Conjoint Dummy'!$A$3:$A$5,0))</f>
        <v>AI Assistant &amp; Hands-Free Control</v>
      </c>
      <c r="L7" s="31" t="str">
        <f>INDEX('Conjoint Dummy'!$E$3:$E$5,MATCH('Product Profile'!F7,'Conjoint Dummy'!$A$3:$A$5,0))</f>
        <v>Step &amp; Calorie Tracking</v>
      </c>
    </row>
    <row r="8" spans="1:12" x14ac:dyDescent="0.35">
      <c r="A8" s="23">
        <v>7</v>
      </c>
      <c r="B8" s="24">
        <v>1</v>
      </c>
      <c r="C8" s="24">
        <v>2</v>
      </c>
      <c r="D8" s="24">
        <v>1</v>
      </c>
      <c r="E8" s="24">
        <v>3</v>
      </c>
      <c r="F8" s="24">
        <v>3</v>
      </c>
      <c r="G8" s="26"/>
      <c r="H8">
        <f>INDEX('Conjoint Dummy'!$F$3:$F$5,MATCH('Product Profile'!B8,'Conjoint Dummy'!$A$3:$A$5,0))</f>
        <v>350</v>
      </c>
      <c r="I8" t="str">
        <f>INDEX('Conjoint Dummy'!$B$3:$B$5,MATCH('Product Profile'!C8,'Conjoint Dummy'!$A$3:$A$5,0))</f>
        <v>Smart Adaptive Display</v>
      </c>
      <c r="J8" t="str">
        <f>INDEX('Conjoint Dummy'!$C$3:$C$5,MATCH('Product Profile'!D8,'Conjoint Dummy'!$A$3:$A$5,0))</f>
        <v>Basic GPS &amp; Weather Updates</v>
      </c>
      <c r="K8" t="str">
        <f>INDEX('Conjoint Dummy'!$D$3:$D$5,MATCH('Product Profile'!E8,'Conjoint Dummy'!$A$3:$A$5,0))</f>
        <v>AI Assistant &amp; Hands-Free Control</v>
      </c>
      <c r="L8" t="str">
        <f>INDEX('Conjoint Dummy'!$E$3:$E$5,MATCH('Product Profile'!F8,'Conjoint Dummy'!$A$3:$A$5,0))</f>
        <v>Full Biometric Analysis &amp; AI Coaching</v>
      </c>
    </row>
    <row r="9" spans="1:12" x14ac:dyDescent="0.35">
      <c r="A9" s="23">
        <v>8</v>
      </c>
      <c r="B9" s="30">
        <v>3</v>
      </c>
      <c r="C9" s="30">
        <v>3</v>
      </c>
      <c r="D9" s="30">
        <v>3</v>
      </c>
      <c r="E9" s="30">
        <v>3</v>
      </c>
      <c r="F9" s="30">
        <v>3</v>
      </c>
      <c r="G9" s="26"/>
      <c r="H9" s="31">
        <f>INDEX('Conjoint Dummy'!$F$3:$F$5,MATCH('Product Profile'!B9,'Conjoint Dummy'!$A$3:$A$5,0))</f>
        <v>550</v>
      </c>
      <c r="I9" s="31" t="str">
        <f>INDEX('Conjoint Dummy'!$B$3:$B$5,MATCH('Product Profile'!C9,'Conjoint Dummy'!$A$3:$A$5,0))</f>
        <v>AI-Optimized Vision</v>
      </c>
      <c r="J9" s="31" t="str">
        <f>INDEX('Conjoint Dummy'!$C$3:$C$5,MATCH('Product Profile'!D9,'Conjoint Dummy'!$A$3:$A$5,0))</f>
        <v>AR Navigation &amp; Real-Time Environmental Data</v>
      </c>
      <c r="K9" s="31" t="str">
        <f>INDEX('Conjoint Dummy'!$D$3:$D$5,MATCH('Product Profile'!E9,'Conjoint Dummy'!$A$3:$A$5,0))</f>
        <v>AI Assistant &amp; Hands-Free Control</v>
      </c>
      <c r="L9" s="31" t="str">
        <f>INDEX('Conjoint Dummy'!$E$3:$E$5,MATCH('Product Profile'!F9,'Conjoint Dummy'!$A$3:$A$5,0))</f>
        <v>Full Biometric Analysis &amp; AI Coaching</v>
      </c>
    </row>
    <row r="10" spans="1:12" x14ac:dyDescent="0.35">
      <c r="A10" s="23">
        <v>9</v>
      </c>
      <c r="B10" s="24">
        <v>1</v>
      </c>
      <c r="C10" s="24">
        <v>1</v>
      </c>
      <c r="D10" s="24">
        <v>1</v>
      </c>
      <c r="E10" s="24">
        <v>1</v>
      </c>
      <c r="F10" s="24">
        <v>1</v>
      </c>
      <c r="G10" s="26"/>
      <c r="H10">
        <f>INDEX('Conjoint Dummy'!$F$3:$F$5,MATCH('Product Profile'!B10,'Conjoint Dummy'!$A$3:$A$5,0))</f>
        <v>350</v>
      </c>
      <c r="I10" t="str">
        <f>INDEX('Conjoint Dummy'!$B$3:$B$5,MATCH('Product Profile'!C10,'Conjoint Dummy'!$A$3:$A$5,0))</f>
        <v xml:space="preserve">Auto-Brightness Adjustment </v>
      </c>
      <c r="J10" t="str">
        <f>INDEX('Conjoint Dummy'!$C$3:$C$5,MATCH('Product Profile'!D10,'Conjoint Dummy'!$A$3:$A$5,0))</f>
        <v>Basic GPS &amp; Weather Updates</v>
      </c>
      <c r="K10" t="str">
        <f>INDEX('Conjoint Dummy'!$D$3:$D$5,MATCH('Product Profile'!E10,'Conjoint Dummy'!$A$3:$A$5,0))</f>
        <v xml:space="preserve">Distraction-Free Alerts </v>
      </c>
      <c r="L10" t="str">
        <f>INDEX('Conjoint Dummy'!$E$3:$E$5,MATCH('Product Profile'!F10,'Conjoint Dummy'!$A$3:$A$5,0))</f>
        <v>Step &amp; Calorie Tracking</v>
      </c>
    </row>
    <row r="11" spans="1:12" x14ac:dyDescent="0.35">
      <c r="A11" s="23">
        <v>10</v>
      </c>
      <c r="B11" s="30">
        <v>2</v>
      </c>
      <c r="C11" s="30">
        <v>3</v>
      </c>
      <c r="D11" s="30">
        <v>2</v>
      </c>
      <c r="E11" s="30">
        <v>1</v>
      </c>
      <c r="F11" s="30">
        <v>1</v>
      </c>
      <c r="G11" s="26"/>
      <c r="H11" s="31">
        <f>INDEX('Conjoint Dummy'!$F$3:$F$5,MATCH('Product Profile'!B11,'Conjoint Dummy'!$A$3:$A$5,0))</f>
        <v>450</v>
      </c>
      <c r="I11" s="31" t="str">
        <f>INDEX('Conjoint Dummy'!$B$3:$B$5,MATCH('Product Profile'!C11,'Conjoint Dummy'!$A$3:$A$5,0))</f>
        <v>AI-Optimized Vision</v>
      </c>
      <c r="J11" s="31" t="str">
        <f>INDEX('Conjoint Dummy'!$C$3:$C$5,MATCH('Product Profile'!D11,'Conjoint Dummy'!$A$3:$A$5,0))</f>
        <v>Advanced GPS &amp; Live Mapping</v>
      </c>
      <c r="K11" s="31" t="str">
        <f>INDEX('Conjoint Dummy'!$D$3:$D$5,MATCH('Product Profile'!E11,'Conjoint Dummy'!$A$3:$A$5,0))</f>
        <v xml:space="preserve">Distraction-Free Alerts </v>
      </c>
      <c r="L11" s="31" t="str">
        <f>INDEX('Conjoint Dummy'!$E$3:$E$5,MATCH('Product Profile'!F11,'Conjoint Dummy'!$A$3:$A$5,0))</f>
        <v>Step &amp; Calorie Tracking</v>
      </c>
    </row>
    <row r="12" spans="1:12" x14ac:dyDescent="0.35">
      <c r="A12" s="23">
        <v>11</v>
      </c>
      <c r="B12" s="24">
        <v>2</v>
      </c>
      <c r="C12" s="24">
        <v>3</v>
      </c>
      <c r="D12" s="24">
        <v>1</v>
      </c>
      <c r="E12" s="24">
        <v>2</v>
      </c>
      <c r="F12" s="24">
        <v>3</v>
      </c>
      <c r="G12" s="26"/>
      <c r="H12">
        <f>INDEX('Conjoint Dummy'!$F$3:$F$5,MATCH('Product Profile'!B12,'Conjoint Dummy'!$A$3:$A$5,0))</f>
        <v>450</v>
      </c>
      <c r="I12" t="str">
        <f>INDEX('Conjoint Dummy'!$B$3:$B$5,MATCH('Product Profile'!C12,'Conjoint Dummy'!$A$3:$A$5,0))</f>
        <v>AI-Optimized Vision</v>
      </c>
      <c r="J12" t="str">
        <f>INDEX('Conjoint Dummy'!$C$3:$C$5,MATCH('Product Profile'!D12,'Conjoint Dummy'!$A$3:$A$5,0))</f>
        <v>Basic GPS &amp; Weather Updates</v>
      </c>
      <c r="K12" t="str">
        <f>INDEX('Conjoint Dummy'!$D$3:$D$5,MATCH('Product Profile'!E12,'Conjoint Dummy'!$A$3:$A$5,0))</f>
        <v xml:space="preserve">Smart Voice Commands &amp; Reminders </v>
      </c>
      <c r="L12" t="str">
        <f>INDEX('Conjoint Dummy'!$E$3:$E$5,MATCH('Product Profile'!F12,'Conjoint Dummy'!$A$3:$A$5,0))</f>
        <v>Full Biometric Analysis &amp; AI Coaching</v>
      </c>
    </row>
    <row r="13" spans="1:12" x14ac:dyDescent="0.35">
      <c r="A13" s="23"/>
      <c r="B13" s="24"/>
      <c r="C13" s="24"/>
      <c r="D13" s="24"/>
      <c r="E13" s="24"/>
      <c r="F13" s="24"/>
      <c r="G13" s="26"/>
    </row>
    <row r="14" spans="1:12" x14ac:dyDescent="0.35">
      <c r="A14" s="23"/>
      <c r="B14" s="24"/>
      <c r="C14" s="24"/>
      <c r="D14" s="24"/>
      <c r="E14" s="24"/>
      <c r="F14" s="24"/>
      <c r="G14" s="26"/>
    </row>
    <row r="15" spans="1:12" x14ac:dyDescent="0.35">
      <c r="A15" s="23"/>
      <c r="B15" s="24"/>
      <c r="C15" s="24"/>
      <c r="D15" s="24"/>
      <c r="E15" s="24"/>
      <c r="F15" s="24"/>
      <c r="G15" s="27"/>
    </row>
    <row r="16" spans="1:12" x14ac:dyDescent="0.35">
      <c r="A16" s="23"/>
      <c r="B16" s="24"/>
      <c r="C16" s="24"/>
      <c r="D16" s="24"/>
      <c r="E16" s="24"/>
      <c r="F16" s="24"/>
      <c r="G16" s="27"/>
    </row>
    <row r="17" spans="1:7" x14ac:dyDescent="0.35">
      <c r="A17" s="23"/>
      <c r="B17" s="24"/>
      <c r="C17" s="24"/>
      <c r="D17" s="24"/>
      <c r="E17" s="24"/>
      <c r="F17" s="24"/>
      <c r="G17" s="27"/>
    </row>
    <row r="18" spans="1:7" x14ac:dyDescent="0.35">
      <c r="A18" s="23"/>
      <c r="B18" s="24"/>
      <c r="C18" s="24"/>
      <c r="D18" s="24"/>
      <c r="E18" s="24"/>
      <c r="F18" s="24"/>
      <c r="G18" s="27"/>
    </row>
    <row r="19" spans="1:7" x14ac:dyDescent="0.35">
      <c r="A19" s="23"/>
      <c r="B19" s="25"/>
      <c r="C19" s="25"/>
      <c r="D19" s="25"/>
      <c r="E19" s="25"/>
      <c r="F19" s="25"/>
      <c r="G19" s="2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8880-3331-4CF7-8CD2-11029CDE3EDB}">
  <sheetPr>
    <tabColor theme="0" tint="-0.499984740745262"/>
  </sheetPr>
  <dimension ref="A1:T20"/>
  <sheetViews>
    <sheetView topLeftCell="C2" zoomScale="70" zoomScaleNormal="70" workbookViewId="0">
      <selection activeCell="E13" sqref="E13"/>
    </sheetView>
  </sheetViews>
  <sheetFormatPr defaultRowHeight="14.5" x14ac:dyDescent="0.35"/>
  <cols>
    <col min="1" max="1" width="10.81640625" customWidth="1"/>
    <col min="2" max="2" width="24" bestFit="1" customWidth="1"/>
    <col min="3" max="3" width="38.81640625" bestFit="1" customWidth="1"/>
    <col min="4" max="4" width="31.54296875" bestFit="1" customWidth="1"/>
    <col min="5" max="5" width="30.81640625" bestFit="1" customWidth="1"/>
    <col min="6" max="6" width="18.54296875" customWidth="1"/>
    <col min="7" max="7" width="13.54296875" customWidth="1"/>
    <col min="8" max="8" width="8.81640625" customWidth="1"/>
    <col min="9" max="9" width="14.6328125" customWidth="1"/>
  </cols>
  <sheetData>
    <row r="1" spans="1:20" x14ac:dyDescent="0.35">
      <c r="A1" s="35" t="s">
        <v>5</v>
      </c>
      <c r="B1" s="36"/>
      <c r="C1" s="1"/>
      <c r="D1" s="1"/>
      <c r="H1" s="34" t="s">
        <v>0</v>
      </c>
      <c r="I1" s="33"/>
    </row>
    <row r="2" spans="1:20" ht="116" x14ac:dyDescent="0.35">
      <c r="A2" s="39" t="s">
        <v>1</v>
      </c>
      <c r="B2" s="10" t="s">
        <v>6</v>
      </c>
      <c r="C2" s="12" t="s">
        <v>8</v>
      </c>
      <c r="D2" s="14" t="s">
        <v>7</v>
      </c>
      <c r="E2" s="15" t="s">
        <v>33</v>
      </c>
      <c r="F2" s="19" t="s">
        <v>9</v>
      </c>
      <c r="H2" s="20" t="s">
        <v>9</v>
      </c>
      <c r="I2" s="8" t="s">
        <v>23</v>
      </c>
      <c r="J2" s="8" t="s">
        <v>24</v>
      </c>
      <c r="K2" s="8" t="s">
        <v>25</v>
      </c>
      <c r="L2" s="11" t="s">
        <v>26</v>
      </c>
      <c r="M2" s="11" t="s">
        <v>27</v>
      </c>
      <c r="N2" s="11" t="s">
        <v>28</v>
      </c>
      <c r="O2" s="13" t="s">
        <v>29</v>
      </c>
      <c r="P2" s="13" t="s">
        <v>30</v>
      </c>
      <c r="Q2" s="13" t="s">
        <v>31</v>
      </c>
      <c r="R2" s="16" t="s">
        <v>32</v>
      </c>
      <c r="S2" s="16" t="s">
        <v>34</v>
      </c>
      <c r="T2" s="16" t="s">
        <v>35</v>
      </c>
    </row>
    <row r="3" spans="1:20" x14ac:dyDescent="0.35">
      <c r="A3" s="2">
        <v>1</v>
      </c>
      <c r="B3" s="3" t="s">
        <v>10</v>
      </c>
      <c r="C3" s="4" t="s">
        <v>13</v>
      </c>
      <c r="D3" s="5" t="s">
        <v>16</v>
      </c>
      <c r="E3" s="5" t="s">
        <v>19</v>
      </c>
      <c r="F3" s="5">
        <v>350</v>
      </c>
      <c r="H3" s="21">
        <v>350</v>
      </c>
      <c r="I3" s="9">
        <v>1</v>
      </c>
      <c r="J3" s="6">
        <v>0</v>
      </c>
      <c r="K3" s="6">
        <v>0</v>
      </c>
      <c r="L3" s="7">
        <v>1</v>
      </c>
      <c r="M3" s="6">
        <v>0</v>
      </c>
      <c r="N3" s="6">
        <v>0</v>
      </c>
      <c r="O3" s="17">
        <v>1</v>
      </c>
      <c r="P3" s="6">
        <v>0</v>
      </c>
      <c r="Q3" s="6">
        <v>0</v>
      </c>
      <c r="R3" s="18">
        <v>1</v>
      </c>
      <c r="S3" s="6">
        <v>0</v>
      </c>
      <c r="T3" s="6">
        <v>0</v>
      </c>
    </row>
    <row r="4" spans="1:20" x14ac:dyDescent="0.35">
      <c r="A4" s="2">
        <v>2</v>
      </c>
      <c r="B4" s="3" t="s">
        <v>11</v>
      </c>
      <c r="C4" s="4" t="s">
        <v>14</v>
      </c>
      <c r="D4" s="5" t="s">
        <v>17</v>
      </c>
      <c r="E4" s="5" t="s">
        <v>20</v>
      </c>
      <c r="F4" s="5">
        <v>450</v>
      </c>
      <c r="H4" s="21">
        <v>450</v>
      </c>
      <c r="I4" s="6">
        <v>0</v>
      </c>
      <c r="J4" s="9">
        <v>1</v>
      </c>
      <c r="K4" s="6">
        <v>0</v>
      </c>
      <c r="L4" s="6">
        <v>0</v>
      </c>
      <c r="M4" s="7">
        <v>1</v>
      </c>
      <c r="N4" s="6">
        <v>0</v>
      </c>
      <c r="O4" s="6">
        <v>0</v>
      </c>
      <c r="P4" s="17">
        <v>1</v>
      </c>
      <c r="Q4" s="6">
        <v>0</v>
      </c>
      <c r="R4" s="6">
        <v>0</v>
      </c>
      <c r="S4" s="18">
        <v>1</v>
      </c>
      <c r="T4" s="6">
        <v>0</v>
      </c>
    </row>
    <row r="5" spans="1:20" x14ac:dyDescent="0.35">
      <c r="A5" s="2">
        <v>3</v>
      </c>
      <c r="B5" s="3" t="s">
        <v>12</v>
      </c>
      <c r="C5" s="4" t="s">
        <v>15</v>
      </c>
      <c r="D5" s="5" t="s">
        <v>18</v>
      </c>
      <c r="E5" s="5" t="s">
        <v>21</v>
      </c>
      <c r="F5" s="5">
        <v>550</v>
      </c>
      <c r="H5" s="21">
        <v>550</v>
      </c>
      <c r="I5" s="6">
        <v>0</v>
      </c>
      <c r="J5" s="6">
        <v>0</v>
      </c>
      <c r="K5" s="9">
        <v>1</v>
      </c>
      <c r="L5" s="6">
        <v>0</v>
      </c>
      <c r="M5" s="6">
        <v>0</v>
      </c>
      <c r="N5" s="7">
        <v>1</v>
      </c>
      <c r="O5" s="6">
        <v>0</v>
      </c>
      <c r="P5" s="6">
        <v>0</v>
      </c>
      <c r="Q5" s="17">
        <v>1</v>
      </c>
      <c r="R5" s="6">
        <v>0</v>
      </c>
      <c r="S5" s="6">
        <v>0</v>
      </c>
      <c r="T5" s="18">
        <v>1</v>
      </c>
    </row>
    <row r="7" spans="1:20" x14ac:dyDescent="0.35">
      <c r="A7" t="s">
        <v>2</v>
      </c>
      <c r="H7" s="34" t="s">
        <v>3</v>
      </c>
      <c r="I7" s="34"/>
      <c r="J7" s="34"/>
      <c r="K7" s="34" t="s">
        <v>81</v>
      </c>
      <c r="L7" s="34"/>
      <c r="M7" s="34"/>
      <c r="N7" s="34"/>
      <c r="O7" s="34"/>
      <c r="P7" s="34"/>
      <c r="Q7" s="34"/>
    </row>
    <row r="9" spans="1:20" ht="116" x14ac:dyDescent="0.35">
      <c r="A9" s="38" t="s">
        <v>4</v>
      </c>
      <c r="B9" s="10" t="s">
        <v>6</v>
      </c>
      <c r="C9" s="12" t="s">
        <v>8</v>
      </c>
      <c r="D9" s="14" t="s">
        <v>7</v>
      </c>
      <c r="E9" s="15" t="s">
        <v>33</v>
      </c>
      <c r="F9" s="19" t="s">
        <v>9</v>
      </c>
      <c r="H9" s="21">
        <v>450</v>
      </c>
      <c r="I9" s="21">
        <v>550</v>
      </c>
      <c r="J9" s="8" t="s">
        <v>24</v>
      </c>
      <c r="K9" s="8" t="s">
        <v>25</v>
      </c>
      <c r="L9" s="11" t="s">
        <v>27</v>
      </c>
      <c r="M9" s="11" t="s">
        <v>28</v>
      </c>
      <c r="N9" s="13" t="s">
        <v>30</v>
      </c>
      <c r="O9" s="13" t="s">
        <v>31</v>
      </c>
      <c r="P9" s="16" t="s">
        <v>34</v>
      </c>
      <c r="Q9" s="16" t="s">
        <v>35</v>
      </c>
    </row>
    <row r="10" spans="1:20" x14ac:dyDescent="0.35">
      <c r="A10" s="37">
        <v>1</v>
      </c>
      <c r="B10" s="6">
        <v>2</v>
      </c>
      <c r="C10" s="6">
        <v>2</v>
      </c>
      <c r="D10" s="6">
        <v>2</v>
      </c>
      <c r="E10" s="6">
        <v>2</v>
      </c>
      <c r="F10" s="6">
        <v>2</v>
      </c>
      <c r="H10" s="6">
        <f>IF(VLOOKUP($F10,$A$2:$T$5,8,FALSE) = $H$9,1,0)</f>
        <v>1</v>
      </c>
      <c r="I10" s="6">
        <f>IF(VLOOKUP($F10,$A$2:$T$5,8,FALSE) = $I$9,1,0)</f>
        <v>0</v>
      </c>
      <c r="J10" s="6">
        <f>VLOOKUP($B10,$A$2:$T$5,10,FALSE)</f>
        <v>1</v>
      </c>
      <c r="K10" s="6">
        <f>VLOOKUP($B10,$A$2:$T$5,11,FALSE)</f>
        <v>0</v>
      </c>
      <c r="L10" s="6">
        <f>VLOOKUP($C10,$A$2:$T$5,13,FALSE)</f>
        <v>1</v>
      </c>
      <c r="M10" s="6">
        <f>VLOOKUP($C10,$A$2:$P$5,14,FALSE)</f>
        <v>0</v>
      </c>
      <c r="N10" s="6">
        <f>VLOOKUP($D10,$A$2:$T$5,16,FALSE)</f>
        <v>1</v>
      </c>
      <c r="O10" s="6">
        <f>VLOOKUP($D10,$A$2:$T$5,17,FALSE)</f>
        <v>0</v>
      </c>
      <c r="P10" s="6">
        <f>VLOOKUP($E10,$A$2:$T$5,19,FALSE)</f>
        <v>1</v>
      </c>
      <c r="Q10" s="6">
        <f>VLOOKUP($E10,$A$2:$T$5,20,FALSE)</f>
        <v>0</v>
      </c>
    </row>
    <row r="11" spans="1:20" x14ac:dyDescent="0.35">
      <c r="A11" s="37">
        <v>2</v>
      </c>
      <c r="B11" s="6">
        <v>2</v>
      </c>
      <c r="C11" s="6">
        <v>1</v>
      </c>
      <c r="D11" s="6">
        <v>1</v>
      </c>
      <c r="E11" s="6">
        <v>3</v>
      </c>
      <c r="F11" s="6">
        <v>1</v>
      </c>
      <c r="H11" s="6">
        <f t="shared" ref="H11:H20" si="0">IF(VLOOKUP($F11,$A$2:$T$5,8,FALSE) = $H$9,1,0)</f>
        <v>0</v>
      </c>
      <c r="I11" s="6">
        <f t="shared" ref="I11:I20" si="1">IF(VLOOKUP($F11,$A$2:$T$5,8,FALSE) = $I$9,1,0)</f>
        <v>0</v>
      </c>
      <c r="J11" s="6">
        <f t="shared" ref="J11:J20" si="2">VLOOKUP($B11,$A$2:$T$5,10,FALSE)</f>
        <v>1</v>
      </c>
      <c r="K11" s="6">
        <f t="shared" ref="K11:K20" si="3">VLOOKUP($B11,$A$2:$T$5,11,FALSE)</f>
        <v>0</v>
      </c>
      <c r="L11" s="6">
        <f t="shared" ref="L11:L20" si="4">VLOOKUP($C11,$A$2:$T$5,13,FALSE)</f>
        <v>0</v>
      </c>
      <c r="M11" s="6">
        <f t="shared" ref="M11:M20" si="5">VLOOKUP($C11,$A$2:$P$5,14,FALSE)</f>
        <v>0</v>
      </c>
      <c r="N11" s="6">
        <f t="shared" ref="N11:N20" si="6">VLOOKUP($D11,$A$2:$T$5,16,FALSE)</f>
        <v>0</v>
      </c>
      <c r="O11" s="6">
        <f t="shared" ref="O11:O20" si="7">VLOOKUP($D11,$A$2:$T$5,17,FALSE)</f>
        <v>0</v>
      </c>
      <c r="P11" s="6">
        <f t="shared" ref="P11:P20" si="8">VLOOKUP($E11,$A$2:$T$5,19,FALSE)</f>
        <v>0</v>
      </c>
      <c r="Q11" s="6">
        <f t="shared" ref="Q11:Q20" si="9">VLOOKUP($E11,$A$2:$T$5,20,FALSE)</f>
        <v>1</v>
      </c>
    </row>
    <row r="12" spans="1:20" x14ac:dyDescent="0.35">
      <c r="A12" s="37">
        <v>3</v>
      </c>
      <c r="B12" s="6">
        <v>1</v>
      </c>
      <c r="C12" s="6">
        <v>1</v>
      </c>
      <c r="D12" s="6">
        <v>2</v>
      </c>
      <c r="E12" s="6">
        <v>2</v>
      </c>
      <c r="F12" s="6">
        <v>3</v>
      </c>
      <c r="H12" s="6">
        <f t="shared" si="0"/>
        <v>0</v>
      </c>
      <c r="I12" s="6">
        <f t="shared" si="1"/>
        <v>1</v>
      </c>
      <c r="J12" s="6">
        <f t="shared" si="2"/>
        <v>0</v>
      </c>
      <c r="K12" s="6">
        <f t="shared" si="3"/>
        <v>0</v>
      </c>
      <c r="L12" s="6">
        <f t="shared" si="4"/>
        <v>0</v>
      </c>
      <c r="M12" s="6">
        <f t="shared" si="5"/>
        <v>0</v>
      </c>
      <c r="N12" s="6">
        <f t="shared" si="6"/>
        <v>1</v>
      </c>
      <c r="O12" s="6">
        <f t="shared" si="7"/>
        <v>0</v>
      </c>
      <c r="P12" s="6">
        <f t="shared" si="8"/>
        <v>1</v>
      </c>
      <c r="Q12" s="6">
        <f t="shared" si="9"/>
        <v>0</v>
      </c>
    </row>
    <row r="13" spans="1:20" x14ac:dyDescent="0.35">
      <c r="A13" s="37">
        <v>4</v>
      </c>
      <c r="B13" s="6">
        <v>3</v>
      </c>
      <c r="C13" s="6">
        <v>1</v>
      </c>
      <c r="D13" s="6">
        <v>2</v>
      </c>
      <c r="E13" s="6">
        <v>3</v>
      </c>
      <c r="F13" s="6">
        <v>1</v>
      </c>
      <c r="H13" s="6">
        <f t="shared" si="0"/>
        <v>0</v>
      </c>
      <c r="I13" s="6">
        <f t="shared" si="1"/>
        <v>0</v>
      </c>
      <c r="J13" s="6">
        <f t="shared" si="2"/>
        <v>0</v>
      </c>
      <c r="K13" s="6">
        <f t="shared" si="3"/>
        <v>1</v>
      </c>
      <c r="L13" s="6">
        <f t="shared" si="4"/>
        <v>0</v>
      </c>
      <c r="M13" s="6">
        <f t="shared" si="5"/>
        <v>0</v>
      </c>
      <c r="N13" s="6">
        <f t="shared" si="6"/>
        <v>1</v>
      </c>
      <c r="O13" s="6">
        <f t="shared" si="7"/>
        <v>0</v>
      </c>
      <c r="P13" s="6">
        <f t="shared" si="8"/>
        <v>0</v>
      </c>
      <c r="Q13" s="6">
        <f t="shared" si="9"/>
        <v>1</v>
      </c>
    </row>
    <row r="14" spans="1:20" x14ac:dyDescent="0.35">
      <c r="A14" s="37">
        <v>5</v>
      </c>
      <c r="B14" s="6">
        <v>3</v>
      </c>
      <c r="C14" s="6">
        <v>1</v>
      </c>
      <c r="D14" s="6">
        <v>3</v>
      </c>
      <c r="E14" s="6">
        <v>2</v>
      </c>
      <c r="F14" s="6">
        <v>2</v>
      </c>
      <c r="H14" s="6">
        <f t="shared" si="0"/>
        <v>1</v>
      </c>
      <c r="I14" s="6">
        <f t="shared" si="1"/>
        <v>0</v>
      </c>
      <c r="J14" s="6">
        <f t="shared" si="2"/>
        <v>0</v>
      </c>
      <c r="K14" s="6">
        <f t="shared" si="3"/>
        <v>1</v>
      </c>
      <c r="L14" s="6">
        <f t="shared" si="4"/>
        <v>0</v>
      </c>
      <c r="M14" s="6">
        <f t="shared" si="5"/>
        <v>0</v>
      </c>
      <c r="N14" s="6">
        <f t="shared" si="6"/>
        <v>0</v>
      </c>
      <c r="O14" s="6">
        <f t="shared" si="7"/>
        <v>1</v>
      </c>
      <c r="P14" s="6">
        <f t="shared" si="8"/>
        <v>1</v>
      </c>
      <c r="Q14" s="6">
        <f t="shared" si="9"/>
        <v>0</v>
      </c>
    </row>
    <row r="15" spans="1:20" x14ac:dyDescent="0.35">
      <c r="A15" s="37">
        <v>6</v>
      </c>
      <c r="B15" s="6">
        <v>2</v>
      </c>
      <c r="C15" s="6">
        <v>2</v>
      </c>
      <c r="D15" s="6">
        <v>3</v>
      </c>
      <c r="E15" s="6">
        <v>3</v>
      </c>
      <c r="F15" s="6">
        <v>1</v>
      </c>
      <c r="H15" s="6">
        <f t="shared" si="0"/>
        <v>0</v>
      </c>
      <c r="I15" s="6">
        <f t="shared" si="1"/>
        <v>0</v>
      </c>
      <c r="J15" s="6">
        <f t="shared" si="2"/>
        <v>1</v>
      </c>
      <c r="K15" s="6">
        <f t="shared" si="3"/>
        <v>0</v>
      </c>
      <c r="L15" s="6">
        <f t="shared" si="4"/>
        <v>1</v>
      </c>
      <c r="M15" s="6">
        <f t="shared" si="5"/>
        <v>0</v>
      </c>
      <c r="N15" s="6">
        <f t="shared" si="6"/>
        <v>0</v>
      </c>
      <c r="O15" s="6">
        <f t="shared" si="7"/>
        <v>1</v>
      </c>
      <c r="P15" s="6">
        <f t="shared" si="8"/>
        <v>0</v>
      </c>
      <c r="Q15" s="6">
        <f t="shared" si="9"/>
        <v>1</v>
      </c>
    </row>
    <row r="16" spans="1:20" x14ac:dyDescent="0.35">
      <c r="A16" s="37">
        <v>7</v>
      </c>
      <c r="B16" s="6">
        <v>1</v>
      </c>
      <c r="C16" s="6">
        <v>2</v>
      </c>
      <c r="D16" s="6">
        <v>1</v>
      </c>
      <c r="E16" s="6">
        <v>3</v>
      </c>
      <c r="F16" s="6">
        <v>3</v>
      </c>
      <c r="H16" s="6">
        <f t="shared" si="0"/>
        <v>0</v>
      </c>
      <c r="I16" s="6">
        <f t="shared" si="1"/>
        <v>1</v>
      </c>
      <c r="J16" s="6">
        <f t="shared" si="2"/>
        <v>0</v>
      </c>
      <c r="K16" s="6">
        <f t="shared" si="3"/>
        <v>0</v>
      </c>
      <c r="L16" s="6">
        <f t="shared" si="4"/>
        <v>1</v>
      </c>
      <c r="M16" s="6">
        <f t="shared" si="5"/>
        <v>0</v>
      </c>
      <c r="N16" s="6">
        <f t="shared" si="6"/>
        <v>0</v>
      </c>
      <c r="O16" s="6">
        <f t="shared" si="7"/>
        <v>0</v>
      </c>
      <c r="P16" s="6">
        <f t="shared" si="8"/>
        <v>0</v>
      </c>
      <c r="Q16" s="6">
        <f t="shared" si="9"/>
        <v>1</v>
      </c>
    </row>
    <row r="17" spans="1:17" x14ac:dyDescent="0.35">
      <c r="A17" s="37">
        <v>8</v>
      </c>
      <c r="B17" s="6">
        <v>3</v>
      </c>
      <c r="C17" s="6">
        <v>3</v>
      </c>
      <c r="D17" s="6">
        <v>3</v>
      </c>
      <c r="E17" s="6">
        <v>3</v>
      </c>
      <c r="F17" s="6">
        <v>3</v>
      </c>
      <c r="H17" s="6">
        <f t="shared" si="0"/>
        <v>0</v>
      </c>
      <c r="I17" s="6">
        <f t="shared" si="1"/>
        <v>1</v>
      </c>
      <c r="J17" s="6">
        <f t="shared" si="2"/>
        <v>0</v>
      </c>
      <c r="K17" s="6">
        <f t="shared" si="3"/>
        <v>1</v>
      </c>
      <c r="L17" s="6">
        <f t="shared" si="4"/>
        <v>0</v>
      </c>
      <c r="M17" s="6">
        <f t="shared" si="5"/>
        <v>1</v>
      </c>
      <c r="N17" s="6">
        <f t="shared" si="6"/>
        <v>0</v>
      </c>
      <c r="O17" s="6">
        <f t="shared" si="7"/>
        <v>1</v>
      </c>
      <c r="P17" s="6">
        <f t="shared" si="8"/>
        <v>0</v>
      </c>
      <c r="Q17" s="6">
        <f t="shared" si="9"/>
        <v>1</v>
      </c>
    </row>
    <row r="18" spans="1:17" x14ac:dyDescent="0.35">
      <c r="A18" s="37">
        <v>9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H18" s="6">
        <f t="shared" si="0"/>
        <v>0</v>
      </c>
      <c r="I18" s="6">
        <f t="shared" si="1"/>
        <v>0</v>
      </c>
      <c r="J18" s="6">
        <f t="shared" si="2"/>
        <v>0</v>
      </c>
      <c r="K18" s="6">
        <f t="shared" si="3"/>
        <v>0</v>
      </c>
      <c r="L18" s="6">
        <f t="shared" si="4"/>
        <v>0</v>
      </c>
      <c r="M18" s="6">
        <f t="shared" si="5"/>
        <v>0</v>
      </c>
      <c r="N18" s="6">
        <f t="shared" si="6"/>
        <v>0</v>
      </c>
      <c r="O18" s="6">
        <f t="shared" si="7"/>
        <v>0</v>
      </c>
      <c r="P18" s="6">
        <f t="shared" si="8"/>
        <v>0</v>
      </c>
      <c r="Q18" s="6">
        <f t="shared" si="9"/>
        <v>0</v>
      </c>
    </row>
    <row r="19" spans="1:17" x14ac:dyDescent="0.35">
      <c r="A19" s="37">
        <v>10</v>
      </c>
      <c r="B19" s="6">
        <v>2</v>
      </c>
      <c r="C19" s="6">
        <v>3</v>
      </c>
      <c r="D19" s="6">
        <v>2</v>
      </c>
      <c r="E19" s="6">
        <v>1</v>
      </c>
      <c r="F19" s="6">
        <v>1</v>
      </c>
      <c r="H19" s="6">
        <f t="shared" si="0"/>
        <v>0</v>
      </c>
      <c r="I19" s="6">
        <f t="shared" si="1"/>
        <v>0</v>
      </c>
      <c r="J19" s="6">
        <f t="shared" si="2"/>
        <v>1</v>
      </c>
      <c r="K19" s="6">
        <f t="shared" si="3"/>
        <v>0</v>
      </c>
      <c r="L19" s="6">
        <f t="shared" si="4"/>
        <v>0</v>
      </c>
      <c r="M19" s="6">
        <f t="shared" si="5"/>
        <v>1</v>
      </c>
      <c r="N19" s="6">
        <f t="shared" si="6"/>
        <v>1</v>
      </c>
      <c r="O19" s="6">
        <f t="shared" si="7"/>
        <v>0</v>
      </c>
      <c r="P19" s="6">
        <f t="shared" si="8"/>
        <v>0</v>
      </c>
      <c r="Q19" s="6">
        <f t="shared" si="9"/>
        <v>0</v>
      </c>
    </row>
    <row r="20" spans="1:17" x14ac:dyDescent="0.35">
      <c r="A20" s="37">
        <v>11</v>
      </c>
      <c r="B20" s="6">
        <v>2</v>
      </c>
      <c r="C20" s="6">
        <v>3</v>
      </c>
      <c r="D20" s="6">
        <v>1</v>
      </c>
      <c r="E20" s="6">
        <v>2</v>
      </c>
      <c r="F20" s="6">
        <v>3</v>
      </c>
      <c r="H20" s="6">
        <f t="shared" si="0"/>
        <v>0</v>
      </c>
      <c r="I20" s="6">
        <f t="shared" si="1"/>
        <v>1</v>
      </c>
      <c r="J20" s="6">
        <f t="shared" si="2"/>
        <v>1</v>
      </c>
      <c r="K20" s="6">
        <f t="shared" si="3"/>
        <v>0</v>
      </c>
      <c r="L20" s="6">
        <f t="shared" si="4"/>
        <v>0</v>
      </c>
      <c r="M20" s="6">
        <f t="shared" si="5"/>
        <v>1</v>
      </c>
      <c r="N20" s="6">
        <f t="shared" si="6"/>
        <v>0</v>
      </c>
      <c r="O20" s="6">
        <f t="shared" si="7"/>
        <v>0</v>
      </c>
      <c r="P20" s="6">
        <f t="shared" si="8"/>
        <v>1</v>
      </c>
      <c r="Q20" s="6">
        <f t="shared" si="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E7BF-4ACD-454E-8156-959C4406B673}">
  <sheetPr>
    <tabColor theme="3" tint="0.249977111117893"/>
  </sheetPr>
  <dimension ref="B1:BH45"/>
  <sheetViews>
    <sheetView tabSelected="1" zoomScale="55" zoomScaleNormal="55" workbookViewId="0">
      <selection activeCell="A8" sqref="A8"/>
    </sheetView>
  </sheetViews>
  <sheetFormatPr defaultRowHeight="16" outlineLevelCol="1" x14ac:dyDescent="0.4"/>
  <cols>
    <col min="1" max="1" width="8.7265625" style="43"/>
    <col min="2" max="2" width="13" style="43" customWidth="1" outlineLevel="1"/>
    <col min="3" max="13" width="12.6328125" style="43" customWidth="1" outlineLevel="1"/>
    <col min="14" max="14" width="8.7265625" style="43"/>
    <col min="15" max="15" width="2.81640625" style="44" customWidth="1"/>
    <col min="16" max="16" width="8.7265625" style="43"/>
    <col min="17" max="17" width="20.1796875" style="43" customWidth="1"/>
    <col min="18" max="27" width="8.81640625" style="43" customWidth="1" outlineLevel="1"/>
    <col min="28" max="28" width="8.81640625" style="43" customWidth="1" outlineLevel="1" collapsed="1"/>
    <col min="29" max="44" width="8.81640625" style="43" customWidth="1" outlineLevel="1"/>
    <col min="45" max="45" width="8.7265625" style="43"/>
    <col min="46" max="60" width="8.81640625" style="43" customWidth="1" outlineLevel="1"/>
    <col min="61" max="16384" width="8.7265625" style="43"/>
  </cols>
  <sheetData>
    <row r="1" spans="2:60" ht="36.5" customHeight="1" x14ac:dyDescent="0.4">
      <c r="B1" s="48" t="s">
        <v>51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Q1" s="64" t="s">
        <v>50</v>
      </c>
      <c r="R1" s="60" t="s">
        <v>36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</row>
    <row r="2" spans="2:60" x14ac:dyDescent="0.4">
      <c r="B2" s="45" t="s">
        <v>36</v>
      </c>
      <c r="C2" s="46" t="s">
        <v>37</v>
      </c>
      <c r="D2" s="46" t="s">
        <v>38</v>
      </c>
      <c r="E2" s="46" t="s">
        <v>39</v>
      </c>
      <c r="F2" s="46" t="s">
        <v>40</v>
      </c>
      <c r="G2" s="46" t="s">
        <v>41</v>
      </c>
      <c r="H2" s="46" t="s">
        <v>42</v>
      </c>
      <c r="I2" s="46" t="s">
        <v>43</v>
      </c>
      <c r="J2" s="46" t="s">
        <v>44</v>
      </c>
      <c r="K2" s="46" t="s">
        <v>45</v>
      </c>
      <c r="L2" s="46" t="s">
        <v>46</v>
      </c>
      <c r="M2" s="46" t="s">
        <v>47</v>
      </c>
      <c r="Q2" s="60" t="s">
        <v>48</v>
      </c>
      <c r="R2" s="63">
        <v>1</v>
      </c>
      <c r="S2" s="63">
        <v>2</v>
      </c>
      <c r="T2" s="63">
        <v>3</v>
      </c>
      <c r="U2" s="63">
        <v>4</v>
      </c>
      <c r="V2" s="63">
        <v>5</v>
      </c>
      <c r="W2" s="63">
        <v>6</v>
      </c>
      <c r="X2" s="63">
        <v>7</v>
      </c>
      <c r="Y2" s="63">
        <v>8</v>
      </c>
      <c r="Z2" s="63">
        <v>9</v>
      </c>
      <c r="AA2" s="63">
        <v>10</v>
      </c>
      <c r="AB2" s="63">
        <v>11</v>
      </c>
      <c r="AC2" s="63">
        <v>12</v>
      </c>
      <c r="AD2" s="63">
        <v>13</v>
      </c>
      <c r="AE2" s="63">
        <v>14</v>
      </c>
      <c r="AF2" s="63">
        <v>15</v>
      </c>
      <c r="AG2" s="63">
        <v>16</v>
      </c>
      <c r="AH2" s="63">
        <v>17</v>
      </c>
      <c r="AI2" s="63">
        <v>18</v>
      </c>
      <c r="AJ2" s="63">
        <v>19</v>
      </c>
      <c r="AK2" s="63">
        <v>20</v>
      </c>
      <c r="AL2" s="63">
        <v>21</v>
      </c>
      <c r="AM2" s="63">
        <v>22</v>
      </c>
      <c r="AN2" s="63">
        <v>23</v>
      </c>
      <c r="AO2" s="63">
        <v>24</v>
      </c>
      <c r="AP2" s="63">
        <v>25</v>
      </c>
      <c r="AQ2" s="63">
        <v>26</v>
      </c>
      <c r="AR2" s="63">
        <v>27</v>
      </c>
      <c r="AS2" s="63">
        <v>28</v>
      </c>
      <c r="AT2" s="63">
        <v>29</v>
      </c>
      <c r="AU2" s="63">
        <v>30</v>
      </c>
      <c r="AV2" s="63">
        <v>31</v>
      </c>
      <c r="AW2" s="63">
        <v>32</v>
      </c>
      <c r="AX2" s="63">
        <v>33</v>
      </c>
      <c r="AY2" s="63">
        <v>34</v>
      </c>
      <c r="AZ2" s="63">
        <v>35</v>
      </c>
      <c r="BA2" s="63">
        <v>36</v>
      </c>
      <c r="BB2" s="63">
        <v>37</v>
      </c>
      <c r="BC2" s="63">
        <v>38</v>
      </c>
      <c r="BD2" s="63">
        <v>39</v>
      </c>
      <c r="BE2" s="63">
        <v>40</v>
      </c>
      <c r="BF2" s="63">
        <v>41</v>
      </c>
      <c r="BG2" s="63">
        <v>42</v>
      </c>
      <c r="BH2" s="63">
        <v>43</v>
      </c>
    </row>
    <row r="3" spans="2:60" x14ac:dyDescent="0.4">
      <c r="B3" s="62">
        <v>1</v>
      </c>
      <c r="C3" s="47">
        <v>6</v>
      </c>
      <c r="D3" s="47">
        <v>7</v>
      </c>
      <c r="E3" s="47">
        <v>5</v>
      </c>
      <c r="F3" s="47">
        <v>5</v>
      </c>
      <c r="G3" s="47">
        <v>6</v>
      </c>
      <c r="H3" s="47">
        <v>5</v>
      </c>
      <c r="I3" s="47">
        <v>7</v>
      </c>
      <c r="J3" s="47">
        <v>5</v>
      </c>
      <c r="K3" s="47">
        <v>7</v>
      </c>
      <c r="L3" s="47">
        <v>6</v>
      </c>
      <c r="M3" s="47">
        <v>6</v>
      </c>
      <c r="Q3" s="42">
        <v>1</v>
      </c>
      <c r="R3" s="47">
        <v>6</v>
      </c>
      <c r="S3" s="47">
        <v>5</v>
      </c>
      <c r="T3" s="47">
        <v>5</v>
      </c>
      <c r="U3" s="47">
        <v>6</v>
      </c>
      <c r="V3" s="47">
        <v>4</v>
      </c>
      <c r="W3" s="47">
        <v>2</v>
      </c>
      <c r="X3" s="47">
        <v>5</v>
      </c>
      <c r="Y3" s="47">
        <v>5</v>
      </c>
      <c r="Z3" s="47">
        <v>5</v>
      </c>
      <c r="AA3" s="47">
        <v>7</v>
      </c>
      <c r="AB3" s="47">
        <v>7</v>
      </c>
      <c r="AC3" s="47">
        <v>2</v>
      </c>
      <c r="AD3" s="47">
        <v>5</v>
      </c>
      <c r="AE3" s="47">
        <v>4</v>
      </c>
      <c r="AF3" s="47">
        <v>3</v>
      </c>
      <c r="AG3" s="47">
        <v>5</v>
      </c>
      <c r="AH3" s="47">
        <v>3</v>
      </c>
      <c r="AI3" s="47">
        <v>5</v>
      </c>
      <c r="AJ3" s="47">
        <v>7</v>
      </c>
      <c r="AK3" s="47">
        <v>7</v>
      </c>
      <c r="AL3" s="47">
        <v>7</v>
      </c>
      <c r="AM3" s="47">
        <v>5</v>
      </c>
      <c r="AN3" s="47">
        <v>6</v>
      </c>
      <c r="AO3" s="47">
        <v>5</v>
      </c>
      <c r="AP3" s="47">
        <v>6</v>
      </c>
      <c r="AQ3" s="47">
        <v>5</v>
      </c>
      <c r="AR3" s="47">
        <v>7</v>
      </c>
      <c r="AS3" s="47">
        <v>4</v>
      </c>
      <c r="AT3" s="47">
        <v>5</v>
      </c>
      <c r="AU3" s="47">
        <v>7</v>
      </c>
      <c r="AV3" s="47">
        <v>4</v>
      </c>
      <c r="AW3" s="47">
        <v>4</v>
      </c>
      <c r="AX3" s="47">
        <v>1</v>
      </c>
      <c r="AY3" s="47">
        <v>7</v>
      </c>
      <c r="AZ3" s="47">
        <v>5</v>
      </c>
      <c r="BA3" s="47">
        <v>5</v>
      </c>
      <c r="BB3" s="47">
        <v>5</v>
      </c>
      <c r="BC3" s="47">
        <v>6</v>
      </c>
      <c r="BD3" s="43">
        <v>4</v>
      </c>
      <c r="BE3" s="43">
        <v>4</v>
      </c>
      <c r="BF3" s="43">
        <v>5</v>
      </c>
      <c r="BG3" s="43">
        <v>3</v>
      </c>
      <c r="BH3" s="43">
        <v>4</v>
      </c>
    </row>
    <row r="4" spans="2:60" x14ac:dyDescent="0.4">
      <c r="B4" s="62">
        <v>2</v>
      </c>
      <c r="C4" s="47">
        <v>5</v>
      </c>
      <c r="D4" s="47">
        <v>7</v>
      </c>
      <c r="E4" s="47">
        <v>5</v>
      </c>
      <c r="F4" s="47">
        <v>5</v>
      </c>
      <c r="G4" s="47">
        <v>4</v>
      </c>
      <c r="H4" s="47">
        <v>5</v>
      </c>
      <c r="I4" s="47">
        <v>5</v>
      </c>
      <c r="J4" s="47">
        <v>3</v>
      </c>
      <c r="K4" s="47">
        <v>6</v>
      </c>
      <c r="L4" s="47">
        <v>3</v>
      </c>
      <c r="M4" s="47">
        <v>1</v>
      </c>
      <c r="Q4" s="42">
        <v>2</v>
      </c>
      <c r="R4" s="47">
        <v>7</v>
      </c>
      <c r="S4" s="47">
        <v>7</v>
      </c>
      <c r="T4" s="47">
        <v>5</v>
      </c>
      <c r="U4" s="47">
        <v>7</v>
      </c>
      <c r="V4" s="47">
        <v>1</v>
      </c>
      <c r="W4" s="47">
        <v>5</v>
      </c>
      <c r="X4" s="47">
        <v>5</v>
      </c>
      <c r="Y4" s="47">
        <v>7</v>
      </c>
      <c r="Z4" s="47">
        <v>6</v>
      </c>
      <c r="AA4" s="47">
        <v>5</v>
      </c>
      <c r="AB4" s="47">
        <v>6</v>
      </c>
      <c r="AC4" s="47">
        <v>5</v>
      </c>
      <c r="AD4" s="47">
        <v>5</v>
      </c>
      <c r="AE4" s="47">
        <v>5</v>
      </c>
      <c r="AF4" s="47">
        <v>3</v>
      </c>
      <c r="AG4" s="47">
        <v>5</v>
      </c>
      <c r="AH4" s="47">
        <v>3</v>
      </c>
      <c r="AI4" s="47">
        <v>5</v>
      </c>
      <c r="AJ4" s="47">
        <v>5</v>
      </c>
      <c r="AK4" s="47">
        <v>1</v>
      </c>
      <c r="AL4" s="47">
        <v>2</v>
      </c>
      <c r="AM4" s="47">
        <v>2</v>
      </c>
      <c r="AN4" s="47">
        <v>3</v>
      </c>
      <c r="AO4" s="47">
        <v>4</v>
      </c>
      <c r="AP4" s="47">
        <v>3</v>
      </c>
      <c r="AQ4" s="47">
        <v>5</v>
      </c>
      <c r="AR4" s="47">
        <v>3</v>
      </c>
      <c r="AS4" s="47">
        <v>6</v>
      </c>
      <c r="AT4" s="47">
        <v>6</v>
      </c>
      <c r="AU4" s="47">
        <v>7</v>
      </c>
      <c r="AV4" s="47">
        <v>4</v>
      </c>
      <c r="AW4" s="47">
        <v>5</v>
      </c>
      <c r="AX4" s="47">
        <v>6</v>
      </c>
      <c r="AY4" s="47">
        <v>3</v>
      </c>
      <c r="AZ4" s="47">
        <v>2</v>
      </c>
      <c r="BA4" s="47">
        <v>1</v>
      </c>
      <c r="BB4" s="47">
        <v>2</v>
      </c>
      <c r="BC4" s="47">
        <v>4</v>
      </c>
      <c r="BD4" s="43">
        <v>1</v>
      </c>
      <c r="BE4" s="43">
        <v>2</v>
      </c>
      <c r="BF4" s="43">
        <v>5</v>
      </c>
      <c r="BG4" s="43">
        <v>2</v>
      </c>
      <c r="BH4" s="43">
        <v>2</v>
      </c>
    </row>
    <row r="5" spans="2:60" x14ac:dyDescent="0.4">
      <c r="B5" s="62">
        <v>3</v>
      </c>
      <c r="C5" s="47">
        <v>5</v>
      </c>
      <c r="D5" s="47">
        <v>5</v>
      </c>
      <c r="E5" s="47">
        <v>5</v>
      </c>
      <c r="F5" s="47">
        <v>5</v>
      </c>
      <c r="G5" s="47">
        <v>5</v>
      </c>
      <c r="H5" s="47">
        <v>5</v>
      </c>
      <c r="I5" s="47">
        <v>5</v>
      </c>
      <c r="J5" s="47">
        <v>5</v>
      </c>
      <c r="K5" s="47">
        <v>5</v>
      </c>
      <c r="L5" s="47">
        <v>5</v>
      </c>
      <c r="M5" s="47">
        <v>5</v>
      </c>
      <c r="Q5" s="42">
        <v>3</v>
      </c>
      <c r="R5" s="47">
        <v>5</v>
      </c>
      <c r="S5" s="47">
        <v>5</v>
      </c>
      <c r="T5" s="47">
        <v>5</v>
      </c>
      <c r="U5" s="47">
        <v>7</v>
      </c>
      <c r="V5" s="47">
        <v>2</v>
      </c>
      <c r="W5" s="47">
        <v>1</v>
      </c>
      <c r="X5" s="47">
        <v>6</v>
      </c>
      <c r="Y5" s="47">
        <v>5</v>
      </c>
      <c r="Z5" s="47">
        <v>6</v>
      </c>
      <c r="AA5" s="47">
        <v>6</v>
      </c>
      <c r="AB5" s="47">
        <v>7</v>
      </c>
      <c r="AC5" s="47">
        <v>1</v>
      </c>
      <c r="AD5" s="47">
        <v>6</v>
      </c>
      <c r="AE5" s="47">
        <v>7</v>
      </c>
      <c r="AF5" s="47">
        <v>2</v>
      </c>
      <c r="AG5" s="47">
        <v>4</v>
      </c>
      <c r="AH5" s="47">
        <v>3</v>
      </c>
      <c r="AI5" s="47">
        <v>3</v>
      </c>
      <c r="AJ5" s="47">
        <v>6</v>
      </c>
      <c r="AK5" s="47">
        <v>6</v>
      </c>
      <c r="AL5" s="47">
        <v>7</v>
      </c>
      <c r="AM5" s="47">
        <v>7</v>
      </c>
      <c r="AN5" s="47">
        <v>3</v>
      </c>
      <c r="AO5" s="47">
        <v>6</v>
      </c>
      <c r="AP5" s="47">
        <v>3</v>
      </c>
      <c r="AQ5" s="47">
        <v>4</v>
      </c>
      <c r="AR5" s="47">
        <v>4</v>
      </c>
      <c r="AS5" s="47">
        <v>4</v>
      </c>
      <c r="AT5" s="47">
        <v>7</v>
      </c>
      <c r="AU5" s="47">
        <v>7</v>
      </c>
      <c r="AV5" s="47">
        <v>3</v>
      </c>
      <c r="AW5" s="47">
        <v>4</v>
      </c>
      <c r="AX5" s="47">
        <v>3</v>
      </c>
      <c r="AY5" s="47">
        <v>3</v>
      </c>
      <c r="AZ5" s="47">
        <v>5</v>
      </c>
      <c r="BA5" s="47">
        <v>3</v>
      </c>
      <c r="BB5" s="47">
        <v>4</v>
      </c>
      <c r="BC5" s="47">
        <v>3</v>
      </c>
      <c r="BD5" s="43">
        <v>7</v>
      </c>
      <c r="BE5" s="43">
        <v>5</v>
      </c>
      <c r="BF5" s="43">
        <v>6</v>
      </c>
      <c r="BG5" s="43">
        <v>1</v>
      </c>
      <c r="BH5" s="43">
        <v>3</v>
      </c>
    </row>
    <row r="6" spans="2:60" x14ac:dyDescent="0.4">
      <c r="B6" s="62">
        <v>4</v>
      </c>
      <c r="C6" s="47">
        <v>6</v>
      </c>
      <c r="D6" s="47">
        <v>7</v>
      </c>
      <c r="E6" s="47">
        <v>7</v>
      </c>
      <c r="F6" s="47">
        <v>3</v>
      </c>
      <c r="G6" s="47">
        <v>5</v>
      </c>
      <c r="H6" s="47">
        <v>5</v>
      </c>
      <c r="I6" s="47">
        <v>7</v>
      </c>
      <c r="J6" s="47">
        <v>5</v>
      </c>
      <c r="K6" s="47">
        <v>6</v>
      </c>
      <c r="L6" s="47">
        <v>4</v>
      </c>
      <c r="M6" s="47">
        <v>6</v>
      </c>
      <c r="Q6" s="42">
        <v>4</v>
      </c>
      <c r="R6" s="47">
        <v>5</v>
      </c>
      <c r="S6" s="47">
        <v>5</v>
      </c>
      <c r="T6" s="47">
        <v>5</v>
      </c>
      <c r="U6" s="47">
        <v>3</v>
      </c>
      <c r="V6" s="47">
        <v>3</v>
      </c>
      <c r="W6" s="47">
        <v>7</v>
      </c>
      <c r="X6" s="47">
        <v>3</v>
      </c>
      <c r="Y6" s="47">
        <v>7</v>
      </c>
      <c r="Z6" s="47">
        <v>6</v>
      </c>
      <c r="AA6" s="47">
        <v>7</v>
      </c>
      <c r="AB6" s="47">
        <v>6</v>
      </c>
      <c r="AC6" s="47">
        <v>7</v>
      </c>
      <c r="AD6" s="47">
        <v>3</v>
      </c>
      <c r="AE6" s="47">
        <v>6</v>
      </c>
      <c r="AF6" s="47">
        <v>5</v>
      </c>
      <c r="AG6" s="47">
        <v>4</v>
      </c>
      <c r="AH6" s="47">
        <v>3</v>
      </c>
      <c r="AI6" s="47">
        <v>3</v>
      </c>
      <c r="AJ6" s="47">
        <v>5</v>
      </c>
      <c r="AK6" s="47">
        <v>2</v>
      </c>
      <c r="AL6" s="47">
        <v>3</v>
      </c>
      <c r="AM6" s="47">
        <v>4</v>
      </c>
      <c r="AN6" s="47">
        <v>4</v>
      </c>
      <c r="AO6" s="47">
        <v>3</v>
      </c>
      <c r="AP6" s="47">
        <v>2</v>
      </c>
      <c r="AQ6" s="47">
        <v>5</v>
      </c>
      <c r="AR6" s="47">
        <v>5</v>
      </c>
      <c r="AS6" s="47">
        <v>5</v>
      </c>
      <c r="AT6" s="47">
        <v>6</v>
      </c>
      <c r="AU6" s="47">
        <v>4</v>
      </c>
      <c r="AV6" s="47">
        <v>4</v>
      </c>
      <c r="AW6" s="47">
        <v>5</v>
      </c>
      <c r="AX6" s="47">
        <v>5</v>
      </c>
      <c r="AY6" s="47">
        <v>2</v>
      </c>
      <c r="AZ6" s="47">
        <v>4</v>
      </c>
      <c r="BA6" s="47">
        <v>2</v>
      </c>
      <c r="BB6" s="47">
        <v>3</v>
      </c>
      <c r="BC6" s="47">
        <v>2</v>
      </c>
      <c r="BD6" s="43">
        <v>4</v>
      </c>
      <c r="BE6" s="43">
        <v>5</v>
      </c>
      <c r="BF6" s="43">
        <v>7</v>
      </c>
      <c r="BG6" s="43">
        <v>4</v>
      </c>
      <c r="BH6" s="43">
        <v>2</v>
      </c>
    </row>
    <row r="7" spans="2:60" x14ac:dyDescent="0.4">
      <c r="B7" s="62">
        <v>5</v>
      </c>
      <c r="C7" s="47">
        <v>4</v>
      </c>
      <c r="D7" s="47">
        <v>1</v>
      </c>
      <c r="E7" s="47">
        <v>2</v>
      </c>
      <c r="F7" s="47">
        <v>3</v>
      </c>
      <c r="G7" s="47">
        <v>1</v>
      </c>
      <c r="H7" s="47">
        <v>4</v>
      </c>
      <c r="I7" s="47">
        <v>2</v>
      </c>
      <c r="J7" s="47">
        <v>5</v>
      </c>
      <c r="K7" s="47">
        <v>2</v>
      </c>
      <c r="L7" s="47">
        <v>3</v>
      </c>
      <c r="M7" s="47">
        <v>3</v>
      </c>
      <c r="Q7" s="42">
        <v>5</v>
      </c>
      <c r="R7" s="47">
        <v>6</v>
      </c>
      <c r="S7" s="47">
        <v>4</v>
      </c>
      <c r="T7" s="47">
        <v>5</v>
      </c>
      <c r="U7" s="47">
        <v>5</v>
      </c>
      <c r="V7" s="47">
        <v>1</v>
      </c>
      <c r="W7" s="47">
        <v>7</v>
      </c>
      <c r="X7" s="47">
        <v>4</v>
      </c>
      <c r="Y7" s="47">
        <v>3</v>
      </c>
      <c r="Z7" s="47">
        <v>6</v>
      </c>
      <c r="AA7" s="47">
        <v>6</v>
      </c>
      <c r="AB7" s="47">
        <v>6</v>
      </c>
      <c r="AC7" s="47">
        <v>3</v>
      </c>
      <c r="AD7" s="47">
        <v>4</v>
      </c>
      <c r="AE7" s="47">
        <v>6</v>
      </c>
      <c r="AF7" s="47">
        <v>5</v>
      </c>
      <c r="AG7" s="47">
        <v>3</v>
      </c>
      <c r="AH7" s="47">
        <v>3</v>
      </c>
      <c r="AI7" s="47">
        <v>2</v>
      </c>
      <c r="AJ7" s="47">
        <v>6</v>
      </c>
      <c r="AK7" s="47">
        <v>6</v>
      </c>
      <c r="AL7" s="47">
        <v>6</v>
      </c>
      <c r="AM7" s="47">
        <v>7</v>
      </c>
      <c r="AN7" s="47">
        <v>7</v>
      </c>
      <c r="AO7" s="47">
        <v>3</v>
      </c>
      <c r="AP7" s="47">
        <v>7</v>
      </c>
      <c r="AQ7" s="47">
        <v>5</v>
      </c>
      <c r="AR7" s="47">
        <v>5</v>
      </c>
      <c r="AS7" s="47">
        <v>5</v>
      </c>
      <c r="AT7" s="47">
        <v>6</v>
      </c>
      <c r="AU7" s="47">
        <v>5</v>
      </c>
      <c r="AV7" s="47">
        <v>5</v>
      </c>
      <c r="AW7" s="47">
        <v>1</v>
      </c>
      <c r="AX7" s="47">
        <v>3</v>
      </c>
      <c r="AY7" s="47">
        <v>7</v>
      </c>
      <c r="AZ7" s="47">
        <v>7</v>
      </c>
      <c r="BA7" s="47">
        <v>7</v>
      </c>
      <c r="BB7" s="47">
        <v>7</v>
      </c>
      <c r="BC7" s="47">
        <v>2</v>
      </c>
      <c r="BD7" s="43">
        <v>3</v>
      </c>
      <c r="BE7" s="43">
        <v>4</v>
      </c>
      <c r="BF7" s="43">
        <v>5</v>
      </c>
      <c r="BG7" s="43">
        <v>6</v>
      </c>
      <c r="BH7" s="43">
        <v>3</v>
      </c>
    </row>
    <row r="8" spans="2:60" x14ac:dyDescent="0.4">
      <c r="B8" s="62">
        <v>6</v>
      </c>
      <c r="C8" s="47">
        <v>2</v>
      </c>
      <c r="D8" s="47">
        <v>5</v>
      </c>
      <c r="E8" s="47">
        <v>1</v>
      </c>
      <c r="F8" s="47">
        <v>7</v>
      </c>
      <c r="G8" s="47">
        <v>7</v>
      </c>
      <c r="H8" s="47">
        <v>4</v>
      </c>
      <c r="I8" s="47">
        <v>2</v>
      </c>
      <c r="J8" s="47">
        <v>7</v>
      </c>
      <c r="K8" s="47">
        <v>4</v>
      </c>
      <c r="L8" s="47">
        <v>5</v>
      </c>
      <c r="M8" s="47">
        <v>4</v>
      </c>
      <c r="Q8" s="42">
        <v>6</v>
      </c>
      <c r="R8" s="47">
        <v>5</v>
      </c>
      <c r="S8" s="47">
        <v>5</v>
      </c>
      <c r="T8" s="47">
        <v>5</v>
      </c>
      <c r="U8" s="47">
        <v>5</v>
      </c>
      <c r="V8" s="47">
        <v>4</v>
      </c>
      <c r="W8" s="47">
        <v>4</v>
      </c>
      <c r="X8" s="47">
        <v>5</v>
      </c>
      <c r="Y8" s="47">
        <v>6</v>
      </c>
      <c r="Z8" s="47">
        <v>6</v>
      </c>
      <c r="AA8" s="47">
        <v>6</v>
      </c>
      <c r="AB8" s="47">
        <v>4</v>
      </c>
      <c r="AC8" s="47">
        <v>2</v>
      </c>
      <c r="AD8" s="47">
        <v>6</v>
      </c>
      <c r="AE8" s="47">
        <v>5</v>
      </c>
      <c r="AF8" s="47">
        <v>5</v>
      </c>
      <c r="AG8" s="47">
        <v>6</v>
      </c>
      <c r="AH8" s="47">
        <v>3</v>
      </c>
      <c r="AI8" s="47">
        <v>4</v>
      </c>
      <c r="AJ8" s="47">
        <v>4</v>
      </c>
      <c r="AK8" s="47">
        <v>5</v>
      </c>
      <c r="AL8" s="47">
        <v>5</v>
      </c>
      <c r="AM8" s="47">
        <v>5</v>
      </c>
      <c r="AN8" s="47">
        <v>5</v>
      </c>
      <c r="AO8" s="47">
        <v>4</v>
      </c>
      <c r="AP8" s="47">
        <v>6</v>
      </c>
      <c r="AQ8" s="47">
        <v>4</v>
      </c>
      <c r="AR8" s="47">
        <v>5</v>
      </c>
      <c r="AS8" s="47">
        <v>5</v>
      </c>
      <c r="AT8" s="47">
        <v>5</v>
      </c>
      <c r="AU8" s="47">
        <v>5</v>
      </c>
      <c r="AV8" s="47">
        <v>5</v>
      </c>
      <c r="AW8" s="47">
        <v>4</v>
      </c>
      <c r="AX8" s="47">
        <v>5</v>
      </c>
      <c r="AY8" s="47">
        <v>6</v>
      </c>
      <c r="AZ8" s="47">
        <v>6</v>
      </c>
      <c r="BA8" s="47">
        <v>5</v>
      </c>
      <c r="BB8" s="47">
        <v>6</v>
      </c>
      <c r="BC8" s="47">
        <v>7</v>
      </c>
      <c r="BD8" s="43">
        <v>2</v>
      </c>
      <c r="BE8" s="43">
        <v>4</v>
      </c>
      <c r="BF8" s="43">
        <v>5</v>
      </c>
      <c r="BG8" s="43">
        <v>5</v>
      </c>
      <c r="BH8" s="43">
        <v>4</v>
      </c>
    </row>
    <row r="9" spans="2:60" x14ac:dyDescent="0.4">
      <c r="B9" s="62">
        <v>7</v>
      </c>
      <c r="C9" s="47">
        <v>5</v>
      </c>
      <c r="D9" s="47">
        <v>5</v>
      </c>
      <c r="E9" s="47">
        <v>6</v>
      </c>
      <c r="F9" s="47">
        <v>3</v>
      </c>
      <c r="G9" s="47">
        <v>4</v>
      </c>
      <c r="H9" s="47">
        <v>5</v>
      </c>
      <c r="I9" s="47">
        <v>6</v>
      </c>
      <c r="J9" s="47">
        <v>6</v>
      </c>
      <c r="K9" s="47">
        <v>6</v>
      </c>
      <c r="L9" s="47">
        <v>4</v>
      </c>
      <c r="M9" s="47">
        <v>5</v>
      </c>
      <c r="Q9" s="42">
        <v>7</v>
      </c>
      <c r="R9" s="47">
        <v>7</v>
      </c>
      <c r="S9" s="47">
        <v>5</v>
      </c>
      <c r="T9" s="47">
        <v>5</v>
      </c>
      <c r="U9" s="47">
        <v>7</v>
      </c>
      <c r="V9" s="47">
        <v>2</v>
      </c>
      <c r="W9" s="47">
        <v>2</v>
      </c>
      <c r="X9" s="47">
        <v>6</v>
      </c>
      <c r="Y9" s="47">
        <v>6</v>
      </c>
      <c r="Z9" s="47"/>
      <c r="AA9" s="47">
        <v>6</v>
      </c>
      <c r="AB9" s="47">
        <v>4</v>
      </c>
      <c r="AC9" s="47">
        <v>3</v>
      </c>
      <c r="AD9" s="47">
        <v>5</v>
      </c>
      <c r="AE9" s="47">
        <v>5</v>
      </c>
      <c r="AF9" s="47">
        <v>3</v>
      </c>
      <c r="AG9" s="47">
        <v>6</v>
      </c>
      <c r="AH9" s="47">
        <v>3</v>
      </c>
      <c r="AI9" s="47">
        <v>5</v>
      </c>
      <c r="AJ9" s="47">
        <v>7</v>
      </c>
      <c r="AK9" s="47">
        <v>4</v>
      </c>
      <c r="AL9" s="47">
        <v>5</v>
      </c>
      <c r="AM9" s="47">
        <v>6</v>
      </c>
      <c r="AN9" s="47">
        <v>4</v>
      </c>
      <c r="AO9" s="47">
        <v>3</v>
      </c>
      <c r="AP9" s="47">
        <v>4</v>
      </c>
      <c r="AQ9" s="47">
        <v>5</v>
      </c>
      <c r="AR9" s="47">
        <v>4</v>
      </c>
      <c r="AS9" s="47">
        <v>5</v>
      </c>
      <c r="AT9" s="47">
        <v>6</v>
      </c>
      <c r="AU9" s="47">
        <v>5</v>
      </c>
      <c r="AV9" s="47">
        <v>4</v>
      </c>
      <c r="AW9" s="47">
        <v>6</v>
      </c>
      <c r="AX9" s="47">
        <v>7</v>
      </c>
      <c r="AY9" s="47">
        <v>4</v>
      </c>
      <c r="AZ9" s="47">
        <v>4</v>
      </c>
      <c r="BA9" s="47">
        <v>4</v>
      </c>
      <c r="BB9" s="47">
        <v>1</v>
      </c>
      <c r="BC9" s="47">
        <v>6</v>
      </c>
      <c r="BD9" s="43">
        <v>6</v>
      </c>
      <c r="BE9" s="43">
        <v>6</v>
      </c>
      <c r="BF9" s="43">
        <v>5</v>
      </c>
      <c r="BG9" s="43">
        <v>7</v>
      </c>
      <c r="BH9" s="43">
        <v>5</v>
      </c>
    </row>
    <row r="10" spans="2:60" x14ac:dyDescent="0.4">
      <c r="B10" s="62">
        <v>8</v>
      </c>
      <c r="C10" s="47">
        <v>5</v>
      </c>
      <c r="D10" s="47">
        <v>7</v>
      </c>
      <c r="E10" s="47">
        <v>5</v>
      </c>
      <c r="F10" s="47">
        <v>7</v>
      </c>
      <c r="G10" s="47">
        <v>3</v>
      </c>
      <c r="H10" s="47">
        <v>6</v>
      </c>
      <c r="I10" s="47">
        <v>6</v>
      </c>
      <c r="J10" s="47">
        <v>5</v>
      </c>
      <c r="K10" s="47">
        <v>5</v>
      </c>
      <c r="L10" s="47">
        <v>4</v>
      </c>
      <c r="M10" s="47">
        <v>3</v>
      </c>
      <c r="Q10" s="42">
        <v>8</v>
      </c>
      <c r="R10" s="47">
        <v>5</v>
      </c>
      <c r="S10" s="47">
        <v>3</v>
      </c>
      <c r="T10" s="47">
        <v>5</v>
      </c>
      <c r="U10" s="47">
        <v>5</v>
      </c>
      <c r="V10" s="47">
        <v>5</v>
      </c>
      <c r="W10" s="47">
        <v>7</v>
      </c>
      <c r="X10" s="47">
        <v>6</v>
      </c>
      <c r="Y10" s="47">
        <v>5</v>
      </c>
      <c r="Z10" s="47">
        <v>5</v>
      </c>
      <c r="AA10" s="47">
        <v>7</v>
      </c>
      <c r="AB10" s="47">
        <v>5</v>
      </c>
      <c r="AC10" s="47">
        <v>6</v>
      </c>
      <c r="AD10" s="47">
        <v>3</v>
      </c>
      <c r="AE10" s="47">
        <v>6</v>
      </c>
      <c r="AF10" s="47">
        <v>4</v>
      </c>
      <c r="AG10" s="47">
        <v>6</v>
      </c>
      <c r="AH10" s="47">
        <v>3</v>
      </c>
      <c r="AI10" s="47">
        <v>3</v>
      </c>
      <c r="AJ10" s="47">
        <v>4</v>
      </c>
      <c r="AK10" s="47">
        <v>3</v>
      </c>
      <c r="AL10" s="47">
        <v>4</v>
      </c>
      <c r="AM10" s="47">
        <v>6</v>
      </c>
      <c r="AN10" s="47">
        <v>4</v>
      </c>
      <c r="AO10" s="47">
        <v>6</v>
      </c>
      <c r="AP10" s="47">
        <v>5</v>
      </c>
      <c r="AQ10" s="47">
        <v>5</v>
      </c>
      <c r="AR10" s="47">
        <v>3</v>
      </c>
      <c r="AS10" s="47">
        <v>5</v>
      </c>
      <c r="AT10" s="47">
        <v>7</v>
      </c>
      <c r="AU10" s="47">
        <v>2</v>
      </c>
      <c r="AV10" s="47">
        <v>6</v>
      </c>
      <c r="AW10" s="47">
        <v>3</v>
      </c>
      <c r="AX10" s="47">
        <v>4</v>
      </c>
      <c r="AY10" s="47">
        <v>5</v>
      </c>
      <c r="AZ10" s="47">
        <v>6</v>
      </c>
      <c r="BA10" s="47">
        <v>6</v>
      </c>
      <c r="BB10" s="47">
        <v>4</v>
      </c>
      <c r="BC10" s="47">
        <v>3</v>
      </c>
      <c r="BD10" s="43">
        <v>4</v>
      </c>
      <c r="BE10" s="43">
        <v>2</v>
      </c>
      <c r="BF10" s="43">
        <v>5</v>
      </c>
      <c r="BG10" s="43">
        <v>6</v>
      </c>
      <c r="BH10" s="43">
        <v>5</v>
      </c>
    </row>
    <row r="11" spans="2:60" x14ac:dyDescent="0.4">
      <c r="B11" s="62">
        <v>9</v>
      </c>
      <c r="C11" s="47">
        <v>5</v>
      </c>
      <c r="D11" s="47">
        <v>6</v>
      </c>
      <c r="E11" s="47">
        <v>6</v>
      </c>
      <c r="F11" s="47">
        <v>6</v>
      </c>
      <c r="G11" s="47">
        <v>6</v>
      </c>
      <c r="H11" s="47">
        <v>6</v>
      </c>
      <c r="I11" s="47"/>
      <c r="J11" s="47">
        <v>5</v>
      </c>
      <c r="K11" s="47">
        <v>3</v>
      </c>
      <c r="L11" s="47">
        <v>3</v>
      </c>
      <c r="M11" s="47">
        <v>4</v>
      </c>
      <c r="Q11" s="42">
        <v>9</v>
      </c>
      <c r="R11" s="47">
        <v>7</v>
      </c>
      <c r="S11" s="47">
        <v>6</v>
      </c>
      <c r="T11" s="47">
        <v>5</v>
      </c>
      <c r="U11" s="47">
        <v>6</v>
      </c>
      <c r="V11" s="47">
        <v>2</v>
      </c>
      <c r="W11" s="47">
        <v>4</v>
      </c>
      <c r="X11" s="47">
        <v>6</v>
      </c>
      <c r="Y11" s="47">
        <v>5</v>
      </c>
      <c r="Z11" s="47">
        <v>3</v>
      </c>
      <c r="AA11" s="47">
        <v>6</v>
      </c>
      <c r="AB11" s="47">
        <v>1</v>
      </c>
      <c r="AC11" s="47">
        <v>7</v>
      </c>
      <c r="AD11" s="47">
        <v>5</v>
      </c>
      <c r="AE11" s="47">
        <v>5</v>
      </c>
      <c r="AF11" s="47">
        <v>4</v>
      </c>
      <c r="AG11" s="47">
        <v>6</v>
      </c>
      <c r="AH11" s="47">
        <v>3</v>
      </c>
      <c r="AI11" s="47">
        <v>4</v>
      </c>
      <c r="AJ11" s="47">
        <v>6</v>
      </c>
      <c r="AK11" s="47">
        <v>2</v>
      </c>
      <c r="AL11" s="47">
        <v>3</v>
      </c>
      <c r="AM11" s="47">
        <v>1</v>
      </c>
      <c r="AN11" s="47">
        <v>2</v>
      </c>
      <c r="AO11" s="47">
        <v>4</v>
      </c>
      <c r="AP11" s="47">
        <v>4</v>
      </c>
      <c r="AQ11" s="47">
        <v>5</v>
      </c>
      <c r="AR11" s="47">
        <v>5</v>
      </c>
      <c r="AS11" s="47">
        <v>5</v>
      </c>
      <c r="AT11" s="47">
        <v>7</v>
      </c>
      <c r="AU11" s="47">
        <v>5</v>
      </c>
      <c r="AV11" s="47">
        <v>3</v>
      </c>
      <c r="AW11" s="47">
        <v>6</v>
      </c>
      <c r="AX11" s="47">
        <v>7</v>
      </c>
      <c r="AY11" s="47">
        <v>4</v>
      </c>
      <c r="AZ11" s="47">
        <v>3</v>
      </c>
      <c r="BA11" s="47">
        <v>3</v>
      </c>
      <c r="BB11" s="47">
        <v>2</v>
      </c>
      <c r="BC11" s="47">
        <v>4</v>
      </c>
      <c r="BD11" s="43">
        <v>5</v>
      </c>
      <c r="BE11" s="43">
        <v>4</v>
      </c>
      <c r="BF11" s="43">
        <v>3</v>
      </c>
      <c r="BG11" s="43">
        <v>4</v>
      </c>
      <c r="BH11" s="43">
        <v>5</v>
      </c>
    </row>
    <row r="12" spans="2:60" x14ac:dyDescent="0.4">
      <c r="B12" s="62">
        <v>10</v>
      </c>
      <c r="C12" s="47">
        <v>7</v>
      </c>
      <c r="D12" s="47">
        <v>5</v>
      </c>
      <c r="E12" s="47">
        <v>6</v>
      </c>
      <c r="F12" s="47">
        <v>7</v>
      </c>
      <c r="G12" s="47">
        <v>6</v>
      </c>
      <c r="H12" s="47">
        <v>6</v>
      </c>
      <c r="I12" s="47">
        <v>6</v>
      </c>
      <c r="J12" s="47">
        <v>7</v>
      </c>
      <c r="K12" s="47">
        <v>6</v>
      </c>
      <c r="L12" s="47">
        <v>7</v>
      </c>
      <c r="M12" s="47">
        <v>6</v>
      </c>
      <c r="Q12" s="42">
        <v>10</v>
      </c>
      <c r="R12" s="47">
        <v>6</v>
      </c>
      <c r="S12" s="47">
        <v>3</v>
      </c>
      <c r="T12" s="47">
        <v>5</v>
      </c>
      <c r="U12" s="47">
        <v>4</v>
      </c>
      <c r="V12" s="47">
        <v>3</v>
      </c>
      <c r="W12" s="47">
        <v>5</v>
      </c>
      <c r="X12" s="47">
        <v>4</v>
      </c>
      <c r="Y12" s="47">
        <v>4</v>
      </c>
      <c r="Z12" s="47">
        <v>3</v>
      </c>
      <c r="AA12" s="47">
        <v>7</v>
      </c>
      <c r="AB12" s="47">
        <v>4</v>
      </c>
      <c r="AC12" s="47">
        <v>7</v>
      </c>
      <c r="AD12" s="47">
        <v>6</v>
      </c>
      <c r="AE12" s="47">
        <v>6</v>
      </c>
      <c r="AF12" s="47">
        <v>4</v>
      </c>
      <c r="AG12" s="47">
        <v>4</v>
      </c>
      <c r="AH12" s="47">
        <v>3</v>
      </c>
      <c r="AI12" s="47">
        <v>3</v>
      </c>
      <c r="AJ12" s="47">
        <v>5</v>
      </c>
      <c r="AK12" s="47">
        <v>4</v>
      </c>
      <c r="AL12" s="47">
        <v>5</v>
      </c>
      <c r="AM12" s="47">
        <v>4</v>
      </c>
      <c r="AN12" s="47">
        <v>5</v>
      </c>
      <c r="AO12" s="47">
        <v>5</v>
      </c>
      <c r="AP12" s="47">
        <v>5</v>
      </c>
      <c r="AQ12" s="47">
        <v>5</v>
      </c>
      <c r="AR12" s="47">
        <v>6</v>
      </c>
      <c r="AS12" s="47">
        <v>6</v>
      </c>
      <c r="AT12" s="47">
        <v>7</v>
      </c>
      <c r="AU12" s="47">
        <v>4</v>
      </c>
      <c r="AV12" s="47">
        <v>4</v>
      </c>
      <c r="AW12" s="47">
        <v>4</v>
      </c>
      <c r="AX12" s="47">
        <v>5</v>
      </c>
      <c r="AY12" s="47">
        <v>5</v>
      </c>
      <c r="AZ12" s="47">
        <v>3</v>
      </c>
      <c r="BA12" s="47">
        <v>4</v>
      </c>
      <c r="BB12" s="47">
        <v>5</v>
      </c>
      <c r="BC12" s="47">
        <v>5</v>
      </c>
      <c r="BD12" s="43">
        <v>3</v>
      </c>
      <c r="BE12" s="43">
        <v>2</v>
      </c>
      <c r="BF12" s="43">
        <v>1</v>
      </c>
      <c r="BG12" s="43">
        <v>1</v>
      </c>
      <c r="BH12" s="43">
        <v>5</v>
      </c>
    </row>
    <row r="13" spans="2:60" x14ac:dyDescent="0.4">
      <c r="B13" s="62">
        <v>11</v>
      </c>
      <c r="C13" s="47">
        <v>7</v>
      </c>
      <c r="D13" s="47">
        <v>6</v>
      </c>
      <c r="E13" s="47">
        <v>7</v>
      </c>
      <c r="F13" s="47">
        <v>6</v>
      </c>
      <c r="G13" s="47">
        <v>6</v>
      </c>
      <c r="H13" s="47">
        <v>4</v>
      </c>
      <c r="I13" s="47">
        <v>4</v>
      </c>
      <c r="J13" s="47">
        <v>5</v>
      </c>
      <c r="K13" s="47">
        <v>1</v>
      </c>
      <c r="L13" s="47">
        <v>4</v>
      </c>
      <c r="M13" s="47">
        <v>5</v>
      </c>
      <c r="Q13" s="42">
        <v>11</v>
      </c>
      <c r="R13" s="47">
        <v>6</v>
      </c>
      <c r="S13" s="47">
        <v>1</v>
      </c>
      <c r="T13" s="47">
        <v>5</v>
      </c>
      <c r="U13" s="47">
        <v>6</v>
      </c>
      <c r="V13" s="47">
        <v>3</v>
      </c>
      <c r="W13" s="47">
        <v>4</v>
      </c>
      <c r="X13" s="47">
        <v>5</v>
      </c>
      <c r="Y13" s="47">
        <v>3</v>
      </c>
      <c r="Z13" s="47">
        <v>4</v>
      </c>
      <c r="AA13" s="47">
        <v>6</v>
      </c>
      <c r="AB13" s="47">
        <v>5</v>
      </c>
      <c r="AC13" s="47">
        <v>4</v>
      </c>
      <c r="AD13" s="47">
        <v>5</v>
      </c>
      <c r="AE13" s="47">
        <v>7</v>
      </c>
      <c r="AF13" s="47">
        <v>5</v>
      </c>
      <c r="AG13" s="47">
        <v>5</v>
      </c>
      <c r="AH13" s="47">
        <v>3</v>
      </c>
      <c r="AI13" s="47">
        <v>3</v>
      </c>
      <c r="AJ13" s="47">
        <v>6</v>
      </c>
      <c r="AK13" s="47">
        <v>5</v>
      </c>
      <c r="AL13" s="47">
        <v>6</v>
      </c>
      <c r="AM13" s="47">
        <v>3</v>
      </c>
      <c r="AN13" s="47">
        <v>2</v>
      </c>
      <c r="AO13" s="47">
        <v>5</v>
      </c>
      <c r="AP13" s="47">
        <v>2</v>
      </c>
      <c r="AQ13" s="47">
        <v>5</v>
      </c>
      <c r="AR13" s="47">
        <v>7</v>
      </c>
      <c r="AS13" s="47">
        <v>4</v>
      </c>
      <c r="AT13" s="47">
        <v>6</v>
      </c>
      <c r="AU13" s="47">
        <v>5</v>
      </c>
      <c r="AV13" s="47">
        <v>5</v>
      </c>
      <c r="AW13" s="47">
        <v>3</v>
      </c>
      <c r="AX13" s="47">
        <v>3</v>
      </c>
      <c r="AY13" s="47">
        <v>2</v>
      </c>
      <c r="AZ13" s="47">
        <v>2</v>
      </c>
      <c r="BA13" s="47">
        <v>2</v>
      </c>
      <c r="BB13" s="47">
        <v>1</v>
      </c>
      <c r="BC13" s="47">
        <v>1</v>
      </c>
      <c r="BD13" s="43">
        <v>5</v>
      </c>
      <c r="BE13" s="43">
        <v>5</v>
      </c>
      <c r="BF13" s="43">
        <v>7</v>
      </c>
      <c r="BG13" s="43">
        <v>1</v>
      </c>
      <c r="BH13" s="43">
        <v>5</v>
      </c>
    </row>
    <row r="14" spans="2:60" x14ac:dyDescent="0.4">
      <c r="B14" s="62">
        <v>12</v>
      </c>
      <c r="C14" s="47">
        <v>2</v>
      </c>
      <c r="D14" s="47">
        <v>5</v>
      </c>
      <c r="E14" s="47">
        <v>1</v>
      </c>
      <c r="F14" s="47">
        <v>7</v>
      </c>
      <c r="G14" s="47">
        <v>3</v>
      </c>
      <c r="H14" s="47">
        <v>2</v>
      </c>
      <c r="I14" s="47">
        <v>3</v>
      </c>
      <c r="J14" s="47">
        <v>6</v>
      </c>
      <c r="K14" s="47">
        <v>7</v>
      </c>
      <c r="L14" s="47">
        <v>7</v>
      </c>
      <c r="M14" s="47">
        <v>4</v>
      </c>
    </row>
    <row r="15" spans="2:60" x14ac:dyDescent="0.4">
      <c r="B15" s="62">
        <v>13</v>
      </c>
      <c r="C15" s="47">
        <v>5</v>
      </c>
      <c r="D15" s="47">
        <v>5</v>
      </c>
      <c r="E15" s="47">
        <v>6</v>
      </c>
      <c r="F15" s="47">
        <v>3</v>
      </c>
      <c r="G15" s="47">
        <v>4</v>
      </c>
      <c r="H15" s="47">
        <v>6</v>
      </c>
      <c r="I15" s="47">
        <v>5</v>
      </c>
      <c r="J15" s="47">
        <v>3</v>
      </c>
      <c r="K15" s="47">
        <v>5</v>
      </c>
      <c r="L15" s="47">
        <v>6</v>
      </c>
      <c r="M15" s="47">
        <v>5</v>
      </c>
    </row>
    <row r="16" spans="2:60" x14ac:dyDescent="0.4">
      <c r="B16" s="62">
        <v>14</v>
      </c>
      <c r="C16" s="47">
        <v>4</v>
      </c>
      <c r="D16" s="47">
        <v>5</v>
      </c>
      <c r="E16" s="47">
        <v>7</v>
      </c>
      <c r="F16" s="47">
        <v>6</v>
      </c>
      <c r="G16" s="47">
        <v>6</v>
      </c>
      <c r="H16" s="47">
        <v>5</v>
      </c>
      <c r="I16" s="47">
        <v>5</v>
      </c>
      <c r="J16" s="47">
        <v>6</v>
      </c>
      <c r="K16" s="47">
        <v>5</v>
      </c>
      <c r="L16" s="47">
        <v>6</v>
      </c>
      <c r="M16" s="47">
        <v>7</v>
      </c>
    </row>
    <row r="17" spans="2:13" x14ac:dyDescent="0.4">
      <c r="B17" s="62">
        <v>15</v>
      </c>
      <c r="C17" s="47">
        <v>3</v>
      </c>
      <c r="D17" s="47">
        <v>3</v>
      </c>
      <c r="E17" s="47">
        <v>2</v>
      </c>
      <c r="F17" s="47">
        <v>5</v>
      </c>
      <c r="G17" s="47">
        <v>5</v>
      </c>
      <c r="H17" s="47">
        <v>5</v>
      </c>
      <c r="I17" s="47">
        <v>3</v>
      </c>
      <c r="J17" s="47">
        <v>4</v>
      </c>
      <c r="K17" s="47">
        <v>4</v>
      </c>
      <c r="L17" s="47">
        <v>4</v>
      </c>
      <c r="M17" s="47">
        <v>5</v>
      </c>
    </row>
    <row r="18" spans="2:13" x14ac:dyDescent="0.4">
      <c r="B18" s="62">
        <v>16</v>
      </c>
      <c r="C18" s="47">
        <v>5</v>
      </c>
      <c r="D18" s="47">
        <v>5</v>
      </c>
      <c r="E18" s="47">
        <v>4</v>
      </c>
      <c r="F18" s="47">
        <v>4</v>
      </c>
      <c r="G18" s="47">
        <v>3</v>
      </c>
      <c r="H18" s="47">
        <v>6</v>
      </c>
      <c r="I18" s="47">
        <v>6</v>
      </c>
      <c r="J18" s="47">
        <v>6</v>
      </c>
      <c r="K18" s="47">
        <v>6</v>
      </c>
      <c r="L18" s="47">
        <v>4</v>
      </c>
      <c r="M18" s="47">
        <v>5</v>
      </c>
    </row>
    <row r="19" spans="2:13" x14ac:dyDescent="0.4">
      <c r="B19" s="62">
        <v>17</v>
      </c>
      <c r="C19" s="47">
        <v>3</v>
      </c>
      <c r="D19" s="47">
        <v>3</v>
      </c>
      <c r="E19" s="47">
        <v>3</v>
      </c>
      <c r="F19" s="47">
        <v>3</v>
      </c>
      <c r="G19" s="47">
        <v>3</v>
      </c>
      <c r="H19" s="47">
        <v>3</v>
      </c>
      <c r="I19" s="47">
        <v>3</v>
      </c>
      <c r="J19" s="47">
        <v>3</v>
      </c>
      <c r="K19" s="47">
        <v>3</v>
      </c>
      <c r="L19" s="47">
        <v>3</v>
      </c>
      <c r="M19" s="47">
        <v>3</v>
      </c>
    </row>
    <row r="20" spans="2:13" x14ac:dyDescent="0.4">
      <c r="B20" s="62">
        <v>18</v>
      </c>
      <c r="C20" s="47">
        <v>5</v>
      </c>
      <c r="D20" s="47">
        <v>5</v>
      </c>
      <c r="E20" s="47">
        <v>3</v>
      </c>
      <c r="F20" s="47">
        <v>3</v>
      </c>
      <c r="G20" s="47">
        <v>2</v>
      </c>
      <c r="H20" s="47">
        <v>4</v>
      </c>
      <c r="I20" s="47">
        <v>5</v>
      </c>
      <c r="J20" s="47">
        <v>3</v>
      </c>
      <c r="K20" s="47">
        <v>4</v>
      </c>
      <c r="L20" s="47">
        <v>3</v>
      </c>
      <c r="M20" s="47">
        <v>3</v>
      </c>
    </row>
    <row r="21" spans="2:13" x14ac:dyDescent="0.4">
      <c r="B21" s="62">
        <v>19</v>
      </c>
      <c r="C21" s="47">
        <v>7</v>
      </c>
      <c r="D21" s="47">
        <v>5</v>
      </c>
      <c r="E21" s="47">
        <v>6</v>
      </c>
      <c r="F21" s="47">
        <v>5</v>
      </c>
      <c r="G21" s="47">
        <v>6</v>
      </c>
      <c r="H21" s="47">
        <v>4</v>
      </c>
      <c r="I21" s="47">
        <v>7</v>
      </c>
      <c r="J21" s="47">
        <v>4</v>
      </c>
      <c r="K21" s="47">
        <v>6</v>
      </c>
      <c r="L21" s="47">
        <v>5</v>
      </c>
      <c r="M21" s="47">
        <v>6</v>
      </c>
    </row>
    <row r="22" spans="2:13" x14ac:dyDescent="0.4">
      <c r="B22" s="62">
        <v>20</v>
      </c>
      <c r="C22" s="47">
        <v>7</v>
      </c>
      <c r="D22" s="47">
        <v>1</v>
      </c>
      <c r="E22" s="47">
        <v>6</v>
      </c>
      <c r="F22" s="47">
        <v>2</v>
      </c>
      <c r="G22" s="47">
        <v>6</v>
      </c>
      <c r="H22" s="47">
        <v>5</v>
      </c>
      <c r="I22" s="47">
        <v>4</v>
      </c>
      <c r="J22" s="47">
        <v>3</v>
      </c>
      <c r="K22" s="47">
        <v>2</v>
      </c>
      <c r="L22" s="47">
        <v>4</v>
      </c>
      <c r="M22" s="47">
        <v>5</v>
      </c>
    </row>
    <row r="23" spans="2:13" x14ac:dyDescent="0.4">
      <c r="B23" s="62">
        <v>21</v>
      </c>
      <c r="C23" s="47">
        <v>7</v>
      </c>
      <c r="D23" s="47">
        <v>2</v>
      </c>
      <c r="E23" s="47">
        <v>7</v>
      </c>
      <c r="F23" s="47">
        <v>3</v>
      </c>
      <c r="G23" s="47">
        <v>6</v>
      </c>
      <c r="H23" s="47">
        <v>5</v>
      </c>
      <c r="I23" s="47">
        <v>5</v>
      </c>
      <c r="J23" s="47">
        <v>4</v>
      </c>
      <c r="K23" s="47">
        <v>3</v>
      </c>
      <c r="L23" s="47">
        <v>5</v>
      </c>
      <c r="M23" s="47">
        <v>6</v>
      </c>
    </row>
    <row r="24" spans="2:13" x14ac:dyDescent="0.4">
      <c r="B24" s="62">
        <v>22</v>
      </c>
      <c r="C24" s="47">
        <v>5</v>
      </c>
      <c r="D24" s="47">
        <v>2</v>
      </c>
      <c r="E24" s="47">
        <v>7</v>
      </c>
      <c r="F24" s="47">
        <v>4</v>
      </c>
      <c r="G24" s="47">
        <v>7</v>
      </c>
      <c r="H24" s="47">
        <v>5</v>
      </c>
      <c r="I24" s="47">
        <v>6</v>
      </c>
      <c r="J24" s="47">
        <v>6</v>
      </c>
      <c r="K24" s="47">
        <v>1</v>
      </c>
      <c r="L24" s="47">
        <v>4</v>
      </c>
      <c r="M24" s="47">
        <v>3</v>
      </c>
    </row>
    <row r="25" spans="2:13" x14ac:dyDescent="0.4">
      <c r="B25" s="62">
        <v>23</v>
      </c>
      <c r="C25" s="47">
        <v>6</v>
      </c>
      <c r="D25" s="47">
        <v>3</v>
      </c>
      <c r="E25" s="47">
        <v>3</v>
      </c>
      <c r="F25" s="47">
        <v>4</v>
      </c>
      <c r="G25" s="47">
        <v>7</v>
      </c>
      <c r="H25" s="47">
        <v>5</v>
      </c>
      <c r="I25" s="47">
        <v>4</v>
      </c>
      <c r="J25" s="47">
        <v>4</v>
      </c>
      <c r="K25" s="47">
        <v>2</v>
      </c>
      <c r="L25" s="47">
        <v>5</v>
      </c>
      <c r="M25" s="47">
        <v>2</v>
      </c>
    </row>
    <row r="26" spans="2:13" x14ac:dyDescent="0.4">
      <c r="B26" s="62">
        <v>24</v>
      </c>
      <c r="C26" s="47">
        <v>5</v>
      </c>
      <c r="D26" s="47">
        <v>4</v>
      </c>
      <c r="E26" s="47">
        <v>6</v>
      </c>
      <c r="F26" s="47">
        <v>3</v>
      </c>
      <c r="G26" s="47">
        <v>3</v>
      </c>
      <c r="H26" s="47">
        <v>4</v>
      </c>
      <c r="I26" s="47">
        <v>3</v>
      </c>
      <c r="J26" s="47">
        <v>6</v>
      </c>
      <c r="K26" s="47">
        <v>4</v>
      </c>
      <c r="L26" s="47">
        <v>5</v>
      </c>
      <c r="M26" s="47">
        <v>5</v>
      </c>
    </row>
    <row r="27" spans="2:13" x14ac:dyDescent="0.4">
      <c r="B27" s="62">
        <v>25</v>
      </c>
      <c r="C27" s="47">
        <v>6</v>
      </c>
      <c r="D27" s="47">
        <v>3</v>
      </c>
      <c r="E27" s="47">
        <v>3</v>
      </c>
      <c r="F27" s="47">
        <v>2</v>
      </c>
      <c r="G27" s="47">
        <v>7</v>
      </c>
      <c r="H27" s="47">
        <v>6</v>
      </c>
      <c r="I27" s="47">
        <v>4</v>
      </c>
      <c r="J27" s="47">
        <v>5</v>
      </c>
      <c r="K27" s="47">
        <v>4</v>
      </c>
      <c r="L27" s="47">
        <v>5</v>
      </c>
      <c r="M27" s="47">
        <v>2</v>
      </c>
    </row>
    <row r="28" spans="2:13" x14ac:dyDescent="0.4">
      <c r="B28" s="62">
        <v>26</v>
      </c>
      <c r="C28" s="47">
        <v>5</v>
      </c>
      <c r="D28" s="47">
        <v>5</v>
      </c>
      <c r="E28" s="47">
        <v>4</v>
      </c>
      <c r="F28" s="47">
        <v>5</v>
      </c>
      <c r="G28" s="47">
        <v>5</v>
      </c>
      <c r="H28" s="47">
        <v>4</v>
      </c>
      <c r="I28" s="47">
        <v>5</v>
      </c>
      <c r="J28" s="47">
        <v>5</v>
      </c>
      <c r="K28" s="47">
        <v>5</v>
      </c>
      <c r="L28" s="47">
        <v>5</v>
      </c>
      <c r="M28" s="47">
        <v>5</v>
      </c>
    </row>
    <row r="29" spans="2:13" x14ac:dyDescent="0.4">
      <c r="B29" s="62">
        <v>27</v>
      </c>
      <c r="C29" s="47">
        <v>7</v>
      </c>
      <c r="D29" s="47">
        <v>3</v>
      </c>
      <c r="E29" s="47">
        <v>4</v>
      </c>
      <c r="F29" s="47">
        <v>5</v>
      </c>
      <c r="G29" s="47">
        <v>5</v>
      </c>
      <c r="H29" s="47">
        <v>5</v>
      </c>
      <c r="I29" s="47">
        <v>4</v>
      </c>
      <c r="J29" s="47">
        <v>3</v>
      </c>
      <c r="K29" s="47">
        <v>5</v>
      </c>
      <c r="L29" s="47">
        <v>6</v>
      </c>
      <c r="M29" s="47">
        <v>7</v>
      </c>
    </row>
    <row r="30" spans="2:13" x14ac:dyDescent="0.4">
      <c r="B30" s="62">
        <v>28</v>
      </c>
      <c r="C30" s="47">
        <v>4</v>
      </c>
      <c r="D30" s="47">
        <v>6</v>
      </c>
      <c r="E30" s="47">
        <v>4</v>
      </c>
      <c r="F30" s="47">
        <v>5</v>
      </c>
      <c r="G30" s="47">
        <v>5</v>
      </c>
      <c r="H30" s="47">
        <v>5</v>
      </c>
      <c r="I30" s="47">
        <v>5</v>
      </c>
      <c r="J30" s="47">
        <v>5</v>
      </c>
      <c r="K30" s="47">
        <v>5</v>
      </c>
      <c r="L30" s="47">
        <v>6</v>
      </c>
      <c r="M30" s="47">
        <v>4</v>
      </c>
    </row>
    <row r="31" spans="2:13" x14ac:dyDescent="0.4">
      <c r="B31" s="62">
        <v>29</v>
      </c>
      <c r="C31" s="47">
        <v>5</v>
      </c>
      <c r="D31" s="47">
        <v>6</v>
      </c>
      <c r="E31" s="47">
        <v>7</v>
      </c>
      <c r="F31" s="47">
        <v>6</v>
      </c>
      <c r="G31" s="47">
        <v>6</v>
      </c>
      <c r="H31" s="47">
        <v>5</v>
      </c>
      <c r="I31" s="47">
        <v>6</v>
      </c>
      <c r="J31" s="47">
        <v>7</v>
      </c>
      <c r="K31" s="47">
        <v>7</v>
      </c>
      <c r="L31" s="47">
        <v>7</v>
      </c>
      <c r="M31" s="47">
        <v>6</v>
      </c>
    </row>
    <row r="32" spans="2:13" x14ac:dyDescent="0.4">
      <c r="B32" s="62">
        <v>30</v>
      </c>
      <c r="C32" s="47">
        <v>7</v>
      </c>
      <c r="D32" s="47">
        <v>7</v>
      </c>
      <c r="E32" s="47">
        <v>7</v>
      </c>
      <c r="F32" s="47">
        <v>4</v>
      </c>
      <c r="G32" s="47">
        <v>5</v>
      </c>
      <c r="H32" s="47">
        <v>5</v>
      </c>
      <c r="I32" s="47">
        <v>5</v>
      </c>
      <c r="J32" s="47">
        <v>2</v>
      </c>
      <c r="K32" s="47">
        <v>5</v>
      </c>
      <c r="L32" s="47">
        <v>4</v>
      </c>
      <c r="M32" s="47">
        <v>5</v>
      </c>
    </row>
    <row r="33" spans="2:13" x14ac:dyDescent="0.4">
      <c r="B33" s="62">
        <v>31</v>
      </c>
      <c r="C33" s="47">
        <v>4</v>
      </c>
      <c r="D33" s="47">
        <v>4</v>
      </c>
      <c r="E33" s="47">
        <v>3</v>
      </c>
      <c r="F33" s="47">
        <v>4</v>
      </c>
      <c r="G33" s="47">
        <v>5</v>
      </c>
      <c r="H33" s="47">
        <v>5</v>
      </c>
      <c r="I33" s="47">
        <v>4</v>
      </c>
      <c r="J33" s="47">
        <v>6</v>
      </c>
      <c r="K33" s="47">
        <v>3</v>
      </c>
      <c r="L33" s="47">
        <v>4</v>
      </c>
      <c r="M33" s="47">
        <v>5</v>
      </c>
    </row>
    <row r="34" spans="2:13" x14ac:dyDescent="0.4">
      <c r="B34" s="62">
        <v>32</v>
      </c>
      <c r="C34" s="47">
        <v>4</v>
      </c>
      <c r="D34" s="47">
        <v>5</v>
      </c>
      <c r="E34" s="47">
        <v>4</v>
      </c>
      <c r="F34" s="47">
        <v>5</v>
      </c>
      <c r="G34" s="47">
        <v>1</v>
      </c>
      <c r="H34" s="47">
        <v>4</v>
      </c>
      <c r="I34" s="47">
        <v>6</v>
      </c>
      <c r="J34" s="47">
        <v>3</v>
      </c>
      <c r="K34" s="47">
        <v>6</v>
      </c>
      <c r="L34" s="47">
        <v>4</v>
      </c>
      <c r="M34" s="47">
        <v>3</v>
      </c>
    </row>
    <row r="35" spans="2:13" x14ac:dyDescent="0.4">
      <c r="B35" s="62">
        <v>33</v>
      </c>
      <c r="C35" s="47">
        <v>1</v>
      </c>
      <c r="D35" s="47">
        <v>6</v>
      </c>
      <c r="E35" s="47">
        <v>3</v>
      </c>
      <c r="F35" s="47">
        <v>5</v>
      </c>
      <c r="G35" s="47">
        <v>3</v>
      </c>
      <c r="H35" s="47">
        <v>5</v>
      </c>
      <c r="I35" s="47">
        <v>7</v>
      </c>
      <c r="J35" s="47">
        <v>4</v>
      </c>
      <c r="K35" s="47">
        <v>7</v>
      </c>
      <c r="L35" s="47">
        <v>5</v>
      </c>
      <c r="M35" s="47">
        <v>3</v>
      </c>
    </row>
    <row r="36" spans="2:13" x14ac:dyDescent="0.4">
      <c r="B36" s="62">
        <v>34</v>
      </c>
      <c r="C36" s="47">
        <v>7</v>
      </c>
      <c r="D36" s="47">
        <v>3</v>
      </c>
      <c r="E36" s="47">
        <v>3</v>
      </c>
      <c r="F36" s="47">
        <v>2</v>
      </c>
      <c r="G36" s="47">
        <v>7</v>
      </c>
      <c r="H36" s="47">
        <v>6</v>
      </c>
      <c r="I36" s="47">
        <v>4</v>
      </c>
      <c r="J36" s="47">
        <v>5</v>
      </c>
      <c r="K36" s="47">
        <v>4</v>
      </c>
      <c r="L36" s="47">
        <v>5</v>
      </c>
      <c r="M36" s="47">
        <v>2</v>
      </c>
    </row>
    <row r="37" spans="2:13" x14ac:dyDescent="0.4">
      <c r="B37" s="62">
        <v>35</v>
      </c>
      <c r="C37" s="47">
        <v>5</v>
      </c>
      <c r="D37" s="47">
        <v>2</v>
      </c>
      <c r="E37" s="47">
        <v>5</v>
      </c>
      <c r="F37" s="47">
        <v>4</v>
      </c>
      <c r="G37" s="47">
        <v>7</v>
      </c>
      <c r="H37" s="47">
        <v>6</v>
      </c>
      <c r="I37" s="47">
        <v>4</v>
      </c>
      <c r="J37" s="47">
        <v>6</v>
      </c>
      <c r="K37" s="47">
        <v>3</v>
      </c>
      <c r="L37" s="47">
        <v>3</v>
      </c>
      <c r="M37" s="47">
        <v>2</v>
      </c>
    </row>
    <row r="38" spans="2:13" x14ac:dyDescent="0.4">
      <c r="B38" s="62">
        <v>36</v>
      </c>
      <c r="C38" s="47">
        <v>5</v>
      </c>
      <c r="D38" s="47">
        <v>1</v>
      </c>
      <c r="E38" s="47">
        <v>3</v>
      </c>
      <c r="F38" s="47">
        <v>2</v>
      </c>
      <c r="G38" s="47">
        <v>7</v>
      </c>
      <c r="H38" s="47">
        <v>5</v>
      </c>
      <c r="I38" s="47">
        <v>4</v>
      </c>
      <c r="J38" s="47">
        <v>6</v>
      </c>
      <c r="K38" s="47">
        <v>3</v>
      </c>
      <c r="L38" s="47">
        <v>4</v>
      </c>
      <c r="M38" s="47">
        <v>2</v>
      </c>
    </row>
    <row r="39" spans="2:13" x14ac:dyDescent="0.4">
      <c r="B39" s="62">
        <v>37</v>
      </c>
      <c r="C39" s="47">
        <v>5</v>
      </c>
      <c r="D39" s="47">
        <v>2</v>
      </c>
      <c r="E39" s="47">
        <v>4</v>
      </c>
      <c r="F39" s="47">
        <v>3</v>
      </c>
      <c r="G39" s="47">
        <v>7</v>
      </c>
      <c r="H39" s="47">
        <v>6</v>
      </c>
      <c r="I39" s="47">
        <v>1</v>
      </c>
      <c r="J39" s="47">
        <v>4</v>
      </c>
      <c r="K39" s="47">
        <v>2</v>
      </c>
      <c r="L39" s="47">
        <v>5</v>
      </c>
      <c r="M39" s="47">
        <v>1</v>
      </c>
    </row>
    <row r="40" spans="2:13" x14ac:dyDescent="0.4">
      <c r="B40" s="62">
        <v>38</v>
      </c>
      <c r="C40" s="47">
        <v>6</v>
      </c>
      <c r="D40" s="47">
        <v>4</v>
      </c>
      <c r="E40" s="47">
        <v>3</v>
      </c>
      <c r="F40" s="47">
        <v>2</v>
      </c>
      <c r="G40" s="47">
        <v>2</v>
      </c>
      <c r="H40" s="47">
        <v>7</v>
      </c>
      <c r="I40" s="47">
        <v>6</v>
      </c>
      <c r="J40" s="47">
        <v>3</v>
      </c>
      <c r="K40" s="47">
        <v>4</v>
      </c>
      <c r="L40" s="47">
        <v>5</v>
      </c>
      <c r="M40" s="47">
        <v>1</v>
      </c>
    </row>
    <row r="41" spans="2:13" x14ac:dyDescent="0.4">
      <c r="B41" s="62">
        <v>39</v>
      </c>
      <c r="C41" s="43">
        <v>4</v>
      </c>
      <c r="D41" s="43">
        <v>1</v>
      </c>
      <c r="E41" s="43">
        <v>7</v>
      </c>
      <c r="F41" s="43">
        <v>4</v>
      </c>
      <c r="G41" s="43">
        <v>3</v>
      </c>
      <c r="H41" s="43">
        <v>2</v>
      </c>
      <c r="I41" s="43">
        <v>6</v>
      </c>
      <c r="J41" s="43">
        <v>4</v>
      </c>
      <c r="K41" s="43">
        <v>5</v>
      </c>
      <c r="L41" s="43">
        <v>3</v>
      </c>
      <c r="M41" s="43">
        <v>5</v>
      </c>
    </row>
    <row r="42" spans="2:13" x14ac:dyDescent="0.4">
      <c r="B42" s="62">
        <v>40</v>
      </c>
      <c r="C42" s="43">
        <v>4</v>
      </c>
      <c r="D42" s="43">
        <v>2</v>
      </c>
      <c r="E42" s="43">
        <v>5</v>
      </c>
      <c r="F42" s="43">
        <v>5</v>
      </c>
      <c r="G42" s="43">
        <v>4</v>
      </c>
      <c r="H42" s="43">
        <v>4</v>
      </c>
      <c r="I42" s="43">
        <v>6</v>
      </c>
      <c r="J42" s="43">
        <v>2</v>
      </c>
      <c r="K42" s="43">
        <v>4</v>
      </c>
      <c r="L42" s="43">
        <v>2</v>
      </c>
      <c r="M42" s="43">
        <v>5</v>
      </c>
    </row>
    <row r="43" spans="2:13" x14ac:dyDescent="0.4">
      <c r="B43" s="62">
        <v>41</v>
      </c>
      <c r="C43" s="43">
        <v>5</v>
      </c>
      <c r="D43" s="43">
        <v>5</v>
      </c>
      <c r="E43" s="43">
        <v>6</v>
      </c>
      <c r="F43" s="43">
        <v>7</v>
      </c>
      <c r="G43" s="43">
        <v>5</v>
      </c>
      <c r="H43" s="43">
        <v>5</v>
      </c>
      <c r="I43" s="43">
        <v>5</v>
      </c>
      <c r="J43" s="43">
        <v>5</v>
      </c>
      <c r="K43" s="43">
        <v>3</v>
      </c>
      <c r="L43" s="43">
        <v>1</v>
      </c>
      <c r="M43" s="43">
        <v>7</v>
      </c>
    </row>
    <row r="44" spans="2:13" x14ac:dyDescent="0.4">
      <c r="B44" s="62">
        <v>42</v>
      </c>
      <c r="C44" s="43">
        <v>3</v>
      </c>
      <c r="D44" s="43">
        <v>2</v>
      </c>
      <c r="E44" s="43">
        <v>1</v>
      </c>
      <c r="F44" s="43">
        <v>4</v>
      </c>
      <c r="G44" s="43">
        <v>6</v>
      </c>
      <c r="H44" s="43">
        <v>5</v>
      </c>
      <c r="I44" s="43">
        <v>7</v>
      </c>
      <c r="J44" s="43">
        <v>6</v>
      </c>
      <c r="K44" s="43">
        <v>4</v>
      </c>
      <c r="L44" s="43">
        <v>1</v>
      </c>
      <c r="M44" s="43">
        <v>1</v>
      </c>
    </row>
    <row r="45" spans="2:13" x14ac:dyDescent="0.4">
      <c r="B45" s="62">
        <v>43</v>
      </c>
      <c r="C45" s="43">
        <v>4</v>
      </c>
      <c r="D45" s="43">
        <v>2</v>
      </c>
      <c r="E45" s="43">
        <v>3</v>
      </c>
      <c r="F45" s="43">
        <v>2</v>
      </c>
      <c r="G45" s="43">
        <v>3</v>
      </c>
      <c r="H45" s="43">
        <v>4</v>
      </c>
      <c r="I45" s="43">
        <v>5</v>
      </c>
      <c r="J45" s="43">
        <v>5</v>
      </c>
      <c r="K45" s="43">
        <v>5</v>
      </c>
      <c r="L45" s="43">
        <v>5</v>
      </c>
      <c r="M45" s="4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C29D-319F-4E2C-8CE1-F23F77A8D2DB}">
  <sheetPr>
    <tabColor theme="3" tint="0.249977111117893"/>
  </sheetPr>
  <dimension ref="B1:AG43"/>
  <sheetViews>
    <sheetView topLeftCell="A2" zoomScale="55" zoomScaleNormal="55" workbookViewId="0">
      <selection activeCell="E35" sqref="E35"/>
    </sheetView>
  </sheetViews>
  <sheetFormatPr defaultRowHeight="14.5" x14ac:dyDescent="0.35"/>
  <cols>
    <col min="2" max="2" width="35.453125" customWidth="1"/>
    <col min="3" max="3" width="12.453125" bestFit="1" customWidth="1"/>
    <col min="13" max="13" width="2.08984375" style="29" customWidth="1"/>
    <col min="14" max="14" width="13.81640625" customWidth="1"/>
    <col min="15" max="15" width="14.90625" customWidth="1"/>
    <col min="16" max="16" width="15.08984375" customWidth="1"/>
    <col min="18" max="18" width="8.1796875" customWidth="1"/>
    <col min="19" max="19" width="2.08984375" style="29" customWidth="1"/>
    <col min="20" max="20" width="22.453125" customWidth="1"/>
  </cols>
  <sheetData>
    <row r="1" spans="2:33" ht="15" thickBot="1" x14ac:dyDescent="0.4">
      <c r="B1" s="41" t="s">
        <v>49</v>
      </c>
      <c r="C1" s="33"/>
      <c r="D1" s="33"/>
      <c r="E1" s="33"/>
      <c r="F1" s="33"/>
      <c r="G1" s="33"/>
      <c r="H1" s="33"/>
      <c r="I1" s="33"/>
      <c r="J1" s="33"/>
      <c r="K1" s="33"/>
      <c r="O1" s="41" t="s">
        <v>50</v>
      </c>
      <c r="P1" s="40"/>
    </row>
    <row r="2" spans="2:33" ht="116" x14ac:dyDescent="0.35">
      <c r="B2" s="21">
        <v>450</v>
      </c>
      <c r="C2" s="21">
        <v>550</v>
      </c>
      <c r="D2" s="8" t="s">
        <v>24</v>
      </c>
      <c r="E2" s="8" t="s">
        <v>25</v>
      </c>
      <c r="F2" s="11" t="s">
        <v>27</v>
      </c>
      <c r="G2" s="11" t="s">
        <v>28</v>
      </c>
      <c r="H2" s="13" t="s">
        <v>30</v>
      </c>
      <c r="I2" s="13" t="s">
        <v>31</v>
      </c>
      <c r="J2" s="16" t="s">
        <v>34</v>
      </c>
      <c r="K2" s="53" t="s">
        <v>35</v>
      </c>
      <c r="O2" s="52" t="s">
        <v>22</v>
      </c>
      <c r="P2" s="52" t="s">
        <v>52</v>
      </c>
      <c r="U2" s="73"/>
      <c r="V2" s="73">
        <v>450</v>
      </c>
      <c r="W2" s="73">
        <v>550</v>
      </c>
      <c r="X2" s="73" t="s">
        <v>24</v>
      </c>
      <c r="Y2" s="73" t="s">
        <v>25</v>
      </c>
      <c r="Z2" s="73" t="s">
        <v>27</v>
      </c>
      <c r="AA2" s="73" t="s">
        <v>28</v>
      </c>
      <c r="AB2" s="73" t="s">
        <v>30</v>
      </c>
      <c r="AC2" s="73" t="s">
        <v>31</v>
      </c>
      <c r="AD2" s="73" t="s">
        <v>34</v>
      </c>
      <c r="AE2" s="73" t="s">
        <v>35</v>
      </c>
      <c r="AF2" s="66"/>
      <c r="AG2" s="66"/>
    </row>
    <row r="3" spans="2:33" x14ac:dyDescent="0.35">
      <c r="B3" s="6">
        <f>'Conjoint Dummy'!H10</f>
        <v>1</v>
      </c>
      <c r="C3" s="6">
        <f>'Conjoint Dummy'!I10</f>
        <v>0</v>
      </c>
      <c r="D3" s="6">
        <f>'Conjoint Dummy'!J10</f>
        <v>1</v>
      </c>
      <c r="E3" s="6">
        <f>'Conjoint Dummy'!K10</f>
        <v>0</v>
      </c>
      <c r="F3" s="6">
        <f>'Conjoint Dummy'!L10</f>
        <v>1</v>
      </c>
      <c r="G3" s="6">
        <f>'Conjoint Dummy'!M10</f>
        <v>0</v>
      </c>
      <c r="H3" s="6">
        <f>'Conjoint Dummy'!N10</f>
        <v>1</v>
      </c>
      <c r="I3" s="6">
        <f>'Conjoint Dummy'!O10</f>
        <v>0</v>
      </c>
      <c r="J3" s="6">
        <f>'Conjoint Dummy'!P10</f>
        <v>1</v>
      </c>
      <c r="K3" s="54">
        <f>'Conjoint Dummy'!Q10</f>
        <v>0</v>
      </c>
      <c r="O3" s="50">
        <v>1</v>
      </c>
      <c r="P3" s="51">
        <v>6</v>
      </c>
      <c r="U3" s="58">
        <v>450</v>
      </c>
      <c r="V3" s="58">
        <v>1</v>
      </c>
      <c r="W3" s="58"/>
      <c r="X3" s="58"/>
      <c r="Y3" s="58"/>
      <c r="Z3" s="58"/>
      <c r="AA3" s="58"/>
      <c r="AB3" s="58"/>
      <c r="AC3" s="58"/>
      <c r="AD3" s="58"/>
      <c r="AE3" s="58"/>
      <c r="AF3" s="66"/>
      <c r="AG3" s="66"/>
    </row>
    <row r="4" spans="2:33" x14ac:dyDescent="0.35">
      <c r="B4" s="6">
        <f>'Conjoint Dummy'!H11</f>
        <v>0</v>
      </c>
      <c r="C4" s="6">
        <f>'Conjoint Dummy'!I11</f>
        <v>0</v>
      </c>
      <c r="D4" s="6">
        <f>'Conjoint Dummy'!J11</f>
        <v>1</v>
      </c>
      <c r="E4" s="6">
        <f>'Conjoint Dummy'!K11</f>
        <v>0</v>
      </c>
      <c r="F4" s="6">
        <f>'Conjoint Dummy'!L11</f>
        <v>0</v>
      </c>
      <c r="G4" s="6">
        <f>'Conjoint Dummy'!M11</f>
        <v>0</v>
      </c>
      <c r="H4" s="6">
        <f>'Conjoint Dummy'!N11</f>
        <v>0</v>
      </c>
      <c r="I4" s="6">
        <f>'Conjoint Dummy'!O11</f>
        <v>0</v>
      </c>
      <c r="J4" s="6">
        <f>'Conjoint Dummy'!P11</f>
        <v>0</v>
      </c>
      <c r="K4" s="54">
        <f>'Conjoint Dummy'!Q11</f>
        <v>1</v>
      </c>
      <c r="O4" s="50">
        <v>2</v>
      </c>
      <c r="P4" s="51">
        <v>7</v>
      </c>
      <c r="U4" s="58">
        <v>550</v>
      </c>
      <c r="V4" s="58">
        <v>-0.35634832254989934</v>
      </c>
      <c r="W4" s="58">
        <v>1</v>
      </c>
      <c r="X4" s="58"/>
      <c r="Y4" s="58"/>
      <c r="Z4" s="58"/>
      <c r="AA4" s="58"/>
      <c r="AB4" s="58"/>
      <c r="AC4" s="58"/>
      <c r="AD4" s="58"/>
      <c r="AE4" s="58"/>
      <c r="AF4" s="66"/>
      <c r="AG4" s="66"/>
    </row>
    <row r="5" spans="2:33" x14ac:dyDescent="0.35">
      <c r="B5" s="6">
        <f>'Conjoint Dummy'!H12</f>
        <v>0</v>
      </c>
      <c r="C5" s="6">
        <f>'Conjoint Dummy'!I12</f>
        <v>1</v>
      </c>
      <c r="D5" s="6">
        <f>'Conjoint Dummy'!J12</f>
        <v>0</v>
      </c>
      <c r="E5" s="6">
        <f>'Conjoint Dummy'!K12</f>
        <v>0</v>
      </c>
      <c r="F5" s="6">
        <f>'Conjoint Dummy'!L12</f>
        <v>0</v>
      </c>
      <c r="G5" s="6">
        <f>'Conjoint Dummy'!M12</f>
        <v>0</v>
      </c>
      <c r="H5" s="6">
        <f>'Conjoint Dummy'!N12</f>
        <v>1</v>
      </c>
      <c r="I5" s="6">
        <f>'Conjoint Dummy'!O12</f>
        <v>0</v>
      </c>
      <c r="J5" s="6">
        <f>'Conjoint Dummy'!P12</f>
        <v>1</v>
      </c>
      <c r="K5" s="54">
        <f>'Conjoint Dummy'!Q12</f>
        <v>0</v>
      </c>
      <c r="O5" s="50">
        <v>3</v>
      </c>
      <c r="P5" s="51">
        <v>5</v>
      </c>
      <c r="U5" s="58" t="s">
        <v>24</v>
      </c>
      <c r="V5" s="58">
        <v>4.3033148291193528E-2</v>
      </c>
      <c r="W5" s="58">
        <v>-0.31052950170405935</v>
      </c>
      <c r="X5" s="58">
        <v>1</v>
      </c>
      <c r="Y5" s="58"/>
      <c r="Z5" s="58"/>
      <c r="AA5" s="58"/>
      <c r="AB5" s="58"/>
      <c r="AC5" s="58"/>
      <c r="AD5" s="58"/>
      <c r="AE5" s="58"/>
      <c r="AF5" s="66"/>
      <c r="AG5" s="66"/>
    </row>
    <row r="6" spans="2:33" x14ac:dyDescent="0.35">
      <c r="B6" s="6">
        <f>'Conjoint Dummy'!H13</f>
        <v>0</v>
      </c>
      <c r="C6" s="6">
        <f>'Conjoint Dummy'!I13</f>
        <v>0</v>
      </c>
      <c r="D6" s="6">
        <f>'Conjoint Dummy'!J13</f>
        <v>0</v>
      </c>
      <c r="E6" s="6">
        <f>'Conjoint Dummy'!K13</f>
        <v>1</v>
      </c>
      <c r="F6" s="6">
        <f>'Conjoint Dummy'!L13</f>
        <v>0</v>
      </c>
      <c r="G6" s="6">
        <f>'Conjoint Dummy'!M13</f>
        <v>0</v>
      </c>
      <c r="H6" s="6">
        <f>'Conjoint Dummy'!N13</f>
        <v>1</v>
      </c>
      <c r="I6" s="6">
        <f>'Conjoint Dummy'!O13</f>
        <v>0</v>
      </c>
      <c r="J6" s="6">
        <f>'Conjoint Dummy'!P13</f>
        <v>0</v>
      </c>
      <c r="K6" s="54">
        <f>'Conjoint Dummy'!Q13</f>
        <v>1</v>
      </c>
      <c r="O6" s="50">
        <v>4</v>
      </c>
      <c r="P6" s="51">
        <v>5</v>
      </c>
      <c r="U6" s="58" t="s">
        <v>25</v>
      </c>
      <c r="V6" s="58">
        <v>0.24056261216234415</v>
      </c>
      <c r="W6" s="58">
        <v>-3.8575837490522957E-2</v>
      </c>
      <c r="X6" s="58">
        <v>-0.55901699437494745</v>
      </c>
      <c r="Y6" s="58">
        <v>1</v>
      </c>
      <c r="Z6" s="58"/>
      <c r="AA6" s="58"/>
      <c r="AB6" s="58"/>
      <c r="AC6" s="58"/>
      <c r="AD6" s="58"/>
      <c r="AE6" s="58"/>
      <c r="AF6" s="66"/>
      <c r="AG6" s="66"/>
    </row>
    <row r="7" spans="2:33" x14ac:dyDescent="0.35">
      <c r="B7" s="6">
        <f>'Conjoint Dummy'!H14</f>
        <v>1</v>
      </c>
      <c r="C7" s="6">
        <f>'Conjoint Dummy'!I14</f>
        <v>0</v>
      </c>
      <c r="D7" s="6">
        <f>'Conjoint Dummy'!J14</f>
        <v>0</v>
      </c>
      <c r="E7" s="6">
        <f>'Conjoint Dummy'!K14</f>
        <v>1</v>
      </c>
      <c r="F7" s="6">
        <f>'Conjoint Dummy'!L14</f>
        <v>0</v>
      </c>
      <c r="G7" s="6">
        <f>'Conjoint Dummy'!M14</f>
        <v>0</v>
      </c>
      <c r="H7" s="6">
        <f>'Conjoint Dummy'!N14</f>
        <v>0</v>
      </c>
      <c r="I7" s="6">
        <f>'Conjoint Dummy'!O14</f>
        <v>1</v>
      </c>
      <c r="J7" s="6">
        <f>'Conjoint Dummy'!P14</f>
        <v>1</v>
      </c>
      <c r="K7" s="54">
        <f>'Conjoint Dummy'!Q14</f>
        <v>0</v>
      </c>
      <c r="O7" s="50">
        <v>5</v>
      </c>
      <c r="P7" s="51">
        <v>6</v>
      </c>
      <c r="U7" s="58" t="s">
        <v>27</v>
      </c>
      <c r="V7" s="58">
        <v>0.24056261216234401</v>
      </c>
      <c r="W7" s="58">
        <v>-3.8575837490522957E-2</v>
      </c>
      <c r="X7" s="58">
        <v>0.26087459737497554</v>
      </c>
      <c r="Y7" s="58">
        <v>-0.37499999999999994</v>
      </c>
      <c r="Z7" s="58">
        <v>1</v>
      </c>
      <c r="AA7" s="58"/>
      <c r="AB7" s="58"/>
      <c r="AC7" s="58"/>
      <c r="AD7" s="58"/>
      <c r="AE7" s="58"/>
      <c r="AF7" s="66"/>
      <c r="AG7" s="66"/>
    </row>
    <row r="8" spans="2:33" x14ac:dyDescent="0.35">
      <c r="B8" s="6">
        <f>'Conjoint Dummy'!H15</f>
        <v>0</v>
      </c>
      <c r="C8" s="6">
        <f>'Conjoint Dummy'!I15</f>
        <v>0</v>
      </c>
      <c r="D8" s="6">
        <f>'Conjoint Dummy'!J15</f>
        <v>1</v>
      </c>
      <c r="E8" s="6">
        <f>'Conjoint Dummy'!K15</f>
        <v>0</v>
      </c>
      <c r="F8" s="6">
        <f>'Conjoint Dummy'!L15</f>
        <v>1</v>
      </c>
      <c r="G8" s="6">
        <f>'Conjoint Dummy'!M15</f>
        <v>0</v>
      </c>
      <c r="H8" s="6">
        <f>'Conjoint Dummy'!N15</f>
        <v>0</v>
      </c>
      <c r="I8" s="6">
        <f>'Conjoint Dummy'!O15</f>
        <v>1</v>
      </c>
      <c r="J8" s="6">
        <f>'Conjoint Dummy'!P15</f>
        <v>0</v>
      </c>
      <c r="K8" s="54">
        <f>'Conjoint Dummy'!Q15</f>
        <v>1</v>
      </c>
      <c r="O8" s="50">
        <v>6</v>
      </c>
      <c r="P8" s="51">
        <v>5</v>
      </c>
      <c r="U8" s="58" t="s">
        <v>28</v>
      </c>
      <c r="V8" s="58">
        <v>-0.28867513459481292</v>
      </c>
      <c r="W8" s="58">
        <v>0.3857583749052298</v>
      </c>
      <c r="X8" s="58">
        <v>0.26087459737497543</v>
      </c>
      <c r="Y8" s="58">
        <v>8.3333333333333315E-2</v>
      </c>
      <c r="Z8" s="58">
        <v>-0.375</v>
      </c>
      <c r="AA8" s="58">
        <v>1</v>
      </c>
      <c r="AB8" s="58"/>
      <c r="AC8" s="58"/>
      <c r="AD8" s="58"/>
      <c r="AE8" s="58"/>
      <c r="AF8" s="66"/>
      <c r="AG8" s="66"/>
    </row>
    <row r="9" spans="2:33" x14ac:dyDescent="0.35">
      <c r="B9" s="6">
        <f>'Conjoint Dummy'!H16</f>
        <v>0</v>
      </c>
      <c r="C9" s="6">
        <f>'Conjoint Dummy'!I16</f>
        <v>1</v>
      </c>
      <c r="D9" s="6">
        <f>'Conjoint Dummy'!J16</f>
        <v>0</v>
      </c>
      <c r="E9" s="6">
        <f>'Conjoint Dummy'!K16</f>
        <v>0</v>
      </c>
      <c r="F9" s="6">
        <f>'Conjoint Dummy'!L16</f>
        <v>1</v>
      </c>
      <c r="G9" s="6">
        <f>'Conjoint Dummy'!M16</f>
        <v>0</v>
      </c>
      <c r="H9" s="6">
        <f>'Conjoint Dummy'!N16</f>
        <v>0</v>
      </c>
      <c r="I9" s="6">
        <f>'Conjoint Dummy'!O16</f>
        <v>0</v>
      </c>
      <c r="J9" s="6">
        <f>'Conjoint Dummy'!P16</f>
        <v>0</v>
      </c>
      <c r="K9" s="54">
        <f>'Conjoint Dummy'!Q16</f>
        <v>1</v>
      </c>
      <c r="O9" s="50">
        <v>7</v>
      </c>
      <c r="P9" s="51">
        <v>7</v>
      </c>
      <c r="U9" s="58" t="s">
        <v>30</v>
      </c>
      <c r="V9" s="58">
        <v>0.13363062095621217</v>
      </c>
      <c r="W9" s="58">
        <v>-0.1785714285714286</v>
      </c>
      <c r="X9" s="58">
        <v>6.9006555934235422E-2</v>
      </c>
      <c r="Y9" s="58">
        <v>-3.8575837490522971E-2</v>
      </c>
      <c r="Z9" s="58">
        <v>-3.8575837490522964E-2</v>
      </c>
      <c r="AA9" s="58">
        <v>-3.857583749052295E-2</v>
      </c>
      <c r="AB9" s="58">
        <v>1</v>
      </c>
      <c r="AC9" s="58"/>
      <c r="AD9" s="58"/>
      <c r="AE9" s="58"/>
      <c r="AF9" s="66"/>
      <c r="AG9" s="66"/>
    </row>
    <row r="10" spans="2:33" x14ac:dyDescent="0.35">
      <c r="B10" s="6">
        <f>'Conjoint Dummy'!H17</f>
        <v>0</v>
      </c>
      <c r="C10" s="6">
        <f>'Conjoint Dummy'!I17</f>
        <v>1</v>
      </c>
      <c r="D10" s="6">
        <f>'Conjoint Dummy'!J17</f>
        <v>0</v>
      </c>
      <c r="E10" s="6">
        <f>'Conjoint Dummy'!K17</f>
        <v>1</v>
      </c>
      <c r="F10" s="6">
        <f>'Conjoint Dummy'!L17</f>
        <v>0</v>
      </c>
      <c r="G10" s="6">
        <f>'Conjoint Dummy'!M17</f>
        <v>1</v>
      </c>
      <c r="H10" s="6">
        <f>'Conjoint Dummy'!N17</f>
        <v>0</v>
      </c>
      <c r="I10" s="6">
        <f>'Conjoint Dummy'!O17</f>
        <v>1</v>
      </c>
      <c r="J10" s="6">
        <f>'Conjoint Dummy'!P17</f>
        <v>0</v>
      </c>
      <c r="K10" s="54">
        <f>'Conjoint Dummy'!Q17</f>
        <v>1</v>
      </c>
      <c r="O10" s="50">
        <v>8</v>
      </c>
      <c r="P10" s="51">
        <v>5</v>
      </c>
      <c r="U10" s="58" t="s">
        <v>31</v>
      </c>
      <c r="V10" s="58">
        <v>0.24056261216234415</v>
      </c>
      <c r="W10" s="58">
        <v>-3.8575837490523006E-2</v>
      </c>
      <c r="X10" s="58">
        <v>-0.14907119849998599</v>
      </c>
      <c r="Y10" s="58">
        <v>0.54166666666666663</v>
      </c>
      <c r="Z10" s="58">
        <v>8.3333333333333356E-2</v>
      </c>
      <c r="AA10" s="58">
        <v>8.3333333333333315E-2</v>
      </c>
      <c r="AB10" s="58">
        <v>-0.46291004988627582</v>
      </c>
      <c r="AC10" s="58">
        <v>1</v>
      </c>
      <c r="AD10" s="58"/>
      <c r="AE10" s="58"/>
      <c r="AF10" s="66"/>
      <c r="AG10" s="66"/>
    </row>
    <row r="11" spans="2:33" x14ac:dyDescent="0.35">
      <c r="B11" s="6">
        <f>'Conjoint Dummy'!H18</f>
        <v>0</v>
      </c>
      <c r="C11" s="6">
        <f>'Conjoint Dummy'!I18</f>
        <v>0</v>
      </c>
      <c r="D11" s="6">
        <f>'Conjoint Dummy'!J18</f>
        <v>0</v>
      </c>
      <c r="E11" s="6">
        <f>'Conjoint Dummy'!K18</f>
        <v>0</v>
      </c>
      <c r="F11" s="6">
        <f>'Conjoint Dummy'!L18</f>
        <v>0</v>
      </c>
      <c r="G11" s="6">
        <f>'Conjoint Dummy'!M18</f>
        <v>0</v>
      </c>
      <c r="H11" s="6">
        <f>'Conjoint Dummy'!N18</f>
        <v>0</v>
      </c>
      <c r="I11" s="6">
        <f>'Conjoint Dummy'!O18</f>
        <v>0</v>
      </c>
      <c r="J11" s="6">
        <f>'Conjoint Dummy'!P18</f>
        <v>0</v>
      </c>
      <c r="K11" s="54">
        <f>'Conjoint Dummy'!Q18</f>
        <v>0</v>
      </c>
      <c r="O11" s="50">
        <v>9</v>
      </c>
      <c r="P11" s="51">
        <v>7</v>
      </c>
      <c r="U11" s="58" t="s">
        <v>34</v>
      </c>
      <c r="V11" s="58">
        <v>0.62360956446232374</v>
      </c>
      <c r="W11" s="58">
        <v>0.2142857142857143</v>
      </c>
      <c r="X11" s="58">
        <v>6.9006555934235422E-2</v>
      </c>
      <c r="Y11" s="58">
        <v>-3.8575837490522971E-2</v>
      </c>
      <c r="Z11" s="58">
        <v>-3.8575837490522964E-2</v>
      </c>
      <c r="AA11" s="58">
        <v>-3.857583749052295E-2</v>
      </c>
      <c r="AB11" s="58">
        <v>0.21428571428571427</v>
      </c>
      <c r="AC11" s="58">
        <v>-3.8575837490522957E-2</v>
      </c>
      <c r="AD11" s="58">
        <v>1</v>
      </c>
      <c r="AE11" s="58"/>
      <c r="AF11" s="66"/>
      <c r="AG11" s="66"/>
    </row>
    <row r="12" spans="2:33" ht="15" thickBot="1" x14ac:dyDescent="0.4">
      <c r="B12" s="6">
        <f>'Conjoint Dummy'!H19</f>
        <v>0</v>
      </c>
      <c r="C12" s="6">
        <f>'Conjoint Dummy'!I19</f>
        <v>0</v>
      </c>
      <c r="D12" s="6">
        <f>'Conjoint Dummy'!J19</f>
        <v>1</v>
      </c>
      <c r="E12" s="6">
        <f>'Conjoint Dummy'!K19</f>
        <v>0</v>
      </c>
      <c r="F12" s="6">
        <f>'Conjoint Dummy'!L19</f>
        <v>0</v>
      </c>
      <c r="G12" s="6">
        <f>'Conjoint Dummy'!M19</f>
        <v>1</v>
      </c>
      <c r="H12" s="6">
        <f>'Conjoint Dummy'!N19</f>
        <v>1</v>
      </c>
      <c r="I12" s="6">
        <f>'Conjoint Dummy'!O19</f>
        <v>0</v>
      </c>
      <c r="J12" s="6">
        <f>'Conjoint Dummy'!P19</f>
        <v>0</v>
      </c>
      <c r="K12" s="54">
        <f>'Conjoint Dummy'!Q19</f>
        <v>0</v>
      </c>
      <c r="O12" s="50">
        <v>10</v>
      </c>
      <c r="P12" s="51">
        <v>6</v>
      </c>
      <c r="U12" s="74" t="s">
        <v>35</v>
      </c>
      <c r="V12" s="59">
        <v>-0.43033148291193535</v>
      </c>
      <c r="W12" s="59">
        <v>6.9006555934235436E-2</v>
      </c>
      <c r="X12" s="59">
        <v>-0.10000000000000005</v>
      </c>
      <c r="Y12" s="59">
        <v>0.26087459737497548</v>
      </c>
      <c r="Z12" s="59">
        <v>0.26087459737497543</v>
      </c>
      <c r="AA12" s="59">
        <v>-0.14907119849998599</v>
      </c>
      <c r="AB12" s="59">
        <v>-0.31052950170405941</v>
      </c>
      <c r="AC12" s="59">
        <v>0.26087459737497548</v>
      </c>
      <c r="AD12" s="74">
        <v>-0.69006555934235436</v>
      </c>
      <c r="AE12" s="59">
        <v>1</v>
      </c>
      <c r="AF12" s="66"/>
      <c r="AG12" s="66"/>
    </row>
    <row r="13" spans="2:33" x14ac:dyDescent="0.35">
      <c r="B13" s="6">
        <f>'Conjoint Dummy'!H20</f>
        <v>0</v>
      </c>
      <c r="C13" s="6">
        <f>'Conjoint Dummy'!I20</f>
        <v>1</v>
      </c>
      <c r="D13" s="6">
        <f>'Conjoint Dummy'!J20</f>
        <v>1</v>
      </c>
      <c r="E13" s="6">
        <f>'Conjoint Dummy'!K20</f>
        <v>0</v>
      </c>
      <c r="F13" s="6">
        <f>'Conjoint Dummy'!L20</f>
        <v>0</v>
      </c>
      <c r="G13" s="6">
        <f>'Conjoint Dummy'!M20</f>
        <v>1</v>
      </c>
      <c r="H13" s="6">
        <f>'Conjoint Dummy'!N20</f>
        <v>0</v>
      </c>
      <c r="I13" s="6">
        <f>'Conjoint Dummy'!O20</f>
        <v>0</v>
      </c>
      <c r="J13" s="6">
        <f>'Conjoint Dummy'!P20</f>
        <v>1</v>
      </c>
      <c r="K13" s="54">
        <f>'Conjoint Dummy'!Q20</f>
        <v>0</v>
      </c>
      <c r="O13" s="50">
        <v>11</v>
      </c>
      <c r="P13" s="51">
        <v>6</v>
      </c>
    </row>
    <row r="16" spans="2:33" x14ac:dyDescent="0.35">
      <c r="B16" s="41" t="s">
        <v>77</v>
      </c>
    </row>
    <row r="17" spans="2:10" x14ac:dyDescent="0.35">
      <c r="B17" s="65"/>
    </row>
    <row r="18" spans="2:10" x14ac:dyDescent="0.35">
      <c r="B18" t="s">
        <v>53</v>
      </c>
    </row>
    <row r="19" spans="2:10" ht="15" thickBot="1" x14ac:dyDescent="0.4"/>
    <row r="20" spans="2:10" x14ac:dyDescent="0.35">
      <c r="B20" s="57" t="s">
        <v>54</v>
      </c>
      <c r="C20" s="57"/>
    </row>
    <row r="21" spans="2:10" x14ac:dyDescent="0.35">
      <c r="B21" t="s">
        <v>55</v>
      </c>
      <c r="C21" s="58">
        <v>0.98786496697800563</v>
      </c>
      <c r="D21" s="66"/>
      <c r="E21" s="66"/>
      <c r="F21" s="66"/>
      <c r="G21" s="66"/>
      <c r="H21" s="66"/>
      <c r="I21" s="66"/>
      <c r="J21" s="66"/>
    </row>
    <row r="22" spans="2:10" x14ac:dyDescent="0.35">
      <c r="B22" t="s">
        <v>56</v>
      </c>
      <c r="C22" s="58">
        <v>0.97587719298245612</v>
      </c>
      <c r="D22" s="66"/>
      <c r="E22" s="66"/>
      <c r="F22" s="66"/>
      <c r="G22" s="66"/>
      <c r="H22" s="66"/>
      <c r="I22" s="66"/>
      <c r="J22" s="66"/>
    </row>
    <row r="23" spans="2:10" x14ac:dyDescent="0.35">
      <c r="B23" t="s">
        <v>57</v>
      </c>
      <c r="C23" s="58">
        <v>0.75877192982456165</v>
      </c>
      <c r="D23" s="66"/>
      <c r="E23" s="66"/>
      <c r="F23" s="66"/>
      <c r="G23" s="66"/>
      <c r="H23" s="66"/>
      <c r="I23" s="66"/>
      <c r="J23" s="66"/>
    </row>
    <row r="24" spans="2:10" x14ac:dyDescent="0.35">
      <c r="B24" t="s">
        <v>58</v>
      </c>
      <c r="C24" s="58">
        <v>0.40824829046386313</v>
      </c>
      <c r="D24" s="66"/>
      <c r="E24" s="66"/>
      <c r="F24" s="66"/>
      <c r="G24" s="66"/>
      <c r="H24" s="66"/>
      <c r="I24" s="66"/>
      <c r="J24" s="66"/>
    </row>
    <row r="25" spans="2:10" ht="15" thickBot="1" x14ac:dyDescent="0.4">
      <c r="B25" s="55" t="s">
        <v>59</v>
      </c>
      <c r="C25" s="59">
        <v>11</v>
      </c>
      <c r="D25" s="66"/>
      <c r="E25" s="66"/>
      <c r="F25" s="66"/>
      <c r="G25" s="66"/>
      <c r="H25" s="66"/>
      <c r="I25" s="66"/>
      <c r="J25" s="66"/>
    </row>
    <row r="26" spans="2:10" x14ac:dyDescent="0.35">
      <c r="C26" s="66"/>
      <c r="D26" s="66"/>
      <c r="E26" s="66"/>
      <c r="F26" s="66"/>
      <c r="G26" s="66"/>
      <c r="H26" s="66"/>
      <c r="I26" s="66"/>
      <c r="J26" s="66"/>
    </row>
    <row r="27" spans="2:10" ht="15" thickBot="1" x14ac:dyDescent="0.4">
      <c r="B27" t="s">
        <v>60</v>
      </c>
      <c r="C27" s="66"/>
      <c r="D27" s="66"/>
      <c r="E27" s="66"/>
      <c r="F27" s="66"/>
      <c r="G27" s="66"/>
      <c r="H27" s="66"/>
      <c r="I27" s="66"/>
      <c r="J27" s="66"/>
    </row>
    <row r="28" spans="2:10" x14ac:dyDescent="0.35">
      <c r="B28" s="56"/>
      <c r="C28" s="73" t="s">
        <v>65</v>
      </c>
      <c r="D28" s="73" t="s">
        <v>66</v>
      </c>
      <c r="E28" s="73" t="s">
        <v>67</v>
      </c>
      <c r="F28" s="73" t="s">
        <v>68</v>
      </c>
      <c r="G28" s="73" t="s">
        <v>69</v>
      </c>
      <c r="H28" s="66"/>
      <c r="I28" s="66"/>
      <c r="J28" s="66"/>
    </row>
    <row r="29" spans="2:10" x14ac:dyDescent="0.35">
      <c r="B29" t="s">
        <v>61</v>
      </c>
      <c r="C29" s="58">
        <v>9</v>
      </c>
      <c r="D29" s="58">
        <v>6.7424242424242413</v>
      </c>
      <c r="E29" s="58">
        <v>0.74915824915824902</v>
      </c>
      <c r="F29" s="58">
        <v>4.4949494949494913</v>
      </c>
      <c r="G29" s="58">
        <v>0.35161203629146981</v>
      </c>
      <c r="H29" s="66"/>
      <c r="I29" s="66"/>
      <c r="J29" s="66"/>
    </row>
    <row r="30" spans="2:10" x14ac:dyDescent="0.35">
      <c r="B30" t="s">
        <v>62</v>
      </c>
      <c r="C30" s="58">
        <v>1</v>
      </c>
      <c r="D30" s="58">
        <v>0.16666666666666677</v>
      </c>
      <c r="E30" s="58">
        <v>0.16666666666666677</v>
      </c>
      <c r="F30" s="58"/>
      <c r="G30" s="58"/>
      <c r="H30" s="66"/>
      <c r="I30" s="66"/>
      <c r="J30" s="66"/>
    </row>
    <row r="31" spans="2:10" ht="15" thickBot="1" x14ac:dyDescent="0.4">
      <c r="B31" s="55" t="s">
        <v>63</v>
      </c>
      <c r="C31" s="59">
        <v>10</v>
      </c>
      <c r="D31" s="59">
        <v>6.9090909090909083</v>
      </c>
      <c r="E31" s="59"/>
      <c r="F31" s="59"/>
      <c r="G31" s="59"/>
      <c r="H31" s="66"/>
      <c r="I31" s="66"/>
      <c r="J31" s="66"/>
    </row>
    <row r="32" spans="2:10" ht="15" thickBot="1" x14ac:dyDescent="0.4">
      <c r="C32" s="66"/>
      <c r="D32" s="66"/>
      <c r="E32" s="66"/>
      <c r="F32" s="66"/>
      <c r="G32" s="66"/>
      <c r="H32" s="66"/>
      <c r="I32" s="66"/>
      <c r="J32" s="66"/>
    </row>
    <row r="33" spans="2:10" x14ac:dyDescent="0.35">
      <c r="B33" s="56"/>
      <c r="C33" s="73" t="s">
        <v>70</v>
      </c>
      <c r="D33" s="73" t="s">
        <v>58</v>
      </c>
      <c r="E33" s="73" t="s">
        <v>71</v>
      </c>
      <c r="F33" s="73" t="s">
        <v>72</v>
      </c>
      <c r="G33" s="73" t="s">
        <v>73</v>
      </c>
      <c r="H33" s="73" t="s">
        <v>74</v>
      </c>
      <c r="I33" s="73" t="s">
        <v>75</v>
      </c>
      <c r="J33" s="73" t="s">
        <v>76</v>
      </c>
    </row>
    <row r="34" spans="2:10" x14ac:dyDescent="0.35">
      <c r="B34" t="s">
        <v>64</v>
      </c>
      <c r="C34" s="58">
        <v>7.166666666666667</v>
      </c>
      <c r="D34" s="58">
        <v>0.37267799624996489</v>
      </c>
      <c r="E34" s="58">
        <v>19.230184606498195</v>
      </c>
      <c r="F34" s="58">
        <v>3.3075442234915584E-2</v>
      </c>
      <c r="G34" s="58">
        <v>2.4313437456472631</v>
      </c>
      <c r="H34" s="58">
        <v>11.901989587686071</v>
      </c>
      <c r="I34" s="58">
        <v>2.4313437456472631</v>
      </c>
      <c r="J34" s="58">
        <v>11.901989587686071</v>
      </c>
    </row>
    <row r="35" spans="2:10" x14ac:dyDescent="0.35">
      <c r="B35">
        <v>450</v>
      </c>
      <c r="C35" s="58">
        <v>2.3333333333333321</v>
      </c>
      <c r="D35" s="58">
        <v>0.94280904158206391</v>
      </c>
      <c r="E35" s="58">
        <v>2.4748737341529137</v>
      </c>
      <c r="F35" s="58">
        <v>0.24446348527166478</v>
      </c>
      <c r="G35" s="58">
        <v>-9.6461913761250244</v>
      </c>
      <c r="H35" s="58">
        <v>14.312858042791689</v>
      </c>
      <c r="I35" s="58">
        <v>-9.6461913761250244</v>
      </c>
      <c r="J35" s="58">
        <v>14.312858042791689</v>
      </c>
    </row>
    <row r="36" spans="2:10" x14ac:dyDescent="0.35">
      <c r="B36">
        <v>550</v>
      </c>
      <c r="C36" s="58">
        <v>0.33333333333333204</v>
      </c>
      <c r="D36" s="58">
        <v>0.74535599249993023</v>
      </c>
      <c r="E36" s="58">
        <v>0.44721359549995598</v>
      </c>
      <c r="F36" s="58">
        <v>0.73227952719877121</v>
      </c>
      <c r="G36" s="58">
        <v>-9.137312508705481</v>
      </c>
      <c r="H36" s="58">
        <v>9.8039791753721452</v>
      </c>
      <c r="I36" s="58">
        <v>-9.137312508705481</v>
      </c>
      <c r="J36" s="58">
        <v>9.8039791753721452</v>
      </c>
    </row>
    <row r="37" spans="2:10" x14ac:dyDescent="0.35">
      <c r="B37" t="s">
        <v>24</v>
      </c>
      <c r="C37" s="58">
        <v>-0.16666666666666835</v>
      </c>
      <c r="D37" s="58">
        <v>0.55277079839256671</v>
      </c>
      <c r="E37" s="58">
        <v>-0.30151134457776663</v>
      </c>
      <c r="F37" s="58">
        <v>0.81357050132266095</v>
      </c>
      <c r="G37" s="58">
        <v>-7.1902856032213736</v>
      </c>
      <c r="H37" s="58">
        <v>6.8569522698880361</v>
      </c>
      <c r="I37" s="58">
        <v>-7.1902856032213736</v>
      </c>
      <c r="J37" s="58">
        <v>6.8569522698880361</v>
      </c>
    </row>
    <row r="38" spans="2:10" x14ac:dyDescent="0.35">
      <c r="B38" t="s">
        <v>25</v>
      </c>
      <c r="C38" s="58">
        <v>-1.0000000000000002</v>
      </c>
      <c r="D38" s="58">
        <v>0.57735026918962606</v>
      </c>
      <c r="E38" s="58">
        <v>-1.7320508075688767</v>
      </c>
      <c r="F38" s="58">
        <v>0.33333333333333343</v>
      </c>
      <c r="G38" s="58">
        <v>-8.3359307248089696</v>
      </c>
      <c r="H38" s="58">
        <v>6.3359307248089687</v>
      </c>
      <c r="I38" s="58">
        <v>-8.3359307248089696</v>
      </c>
      <c r="J38" s="58">
        <v>6.3359307248089687</v>
      </c>
    </row>
    <row r="39" spans="2:10" x14ac:dyDescent="0.35">
      <c r="B39" t="s">
        <v>27</v>
      </c>
      <c r="C39" s="58">
        <v>-0.66666666666666519</v>
      </c>
      <c r="D39" s="58">
        <v>0.62360956446232374</v>
      </c>
      <c r="E39" s="58">
        <v>-1.0690449676496949</v>
      </c>
      <c r="F39" s="58">
        <v>0.47876359039292116</v>
      </c>
      <c r="G39" s="58">
        <v>-8.5903774681616891</v>
      </c>
      <c r="H39" s="58">
        <v>7.2570441348283588</v>
      </c>
      <c r="I39" s="58">
        <v>-8.5903774681616891</v>
      </c>
      <c r="J39" s="58">
        <v>7.2570441348283588</v>
      </c>
    </row>
    <row r="40" spans="2:10" x14ac:dyDescent="0.35">
      <c r="B40" t="s">
        <v>28</v>
      </c>
      <c r="C40" s="58">
        <v>1.5455328522300084E-15</v>
      </c>
      <c r="D40" s="58">
        <v>0.57735026918962584</v>
      </c>
      <c r="E40" s="58">
        <v>2.6769414248292158E-15</v>
      </c>
      <c r="F40" s="58">
        <v>1</v>
      </c>
      <c r="G40" s="58">
        <v>-7.3359307248089642</v>
      </c>
      <c r="H40" s="58">
        <v>7.3359307248089678</v>
      </c>
      <c r="I40" s="58">
        <v>-7.3359307248089642</v>
      </c>
      <c r="J40" s="58">
        <v>7.3359307248089678</v>
      </c>
    </row>
    <row r="41" spans="2:10" x14ac:dyDescent="0.35">
      <c r="B41" t="s">
        <v>30</v>
      </c>
      <c r="C41" s="58">
        <v>-1.1666666666666679</v>
      </c>
      <c r="D41" s="58">
        <v>0.372677996249965</v>
      </c>
      <c r="E41" s="58">
        <v>-3.1304951684997082</v>
      </c>
      <c r="F41" s="58">
        <v>0.19683858159630979</v>
      </c>
      <c r="G41" s="58">
        <v>-5.9019895876860726</v>
      </c>
      <c r="H41" s="58">
        <v>3.5686562543527369</v>
      </c>
      <c r="I41" s="58">
        <v>-5.9019895876860726</v>
      </c>
      <c r="J41" s="58">
        <v>3.5686562543527369</v>
      </c>
    </row>
    <row r="42" spans="2:10" x14ac:dyDescent="0.35">
      <c r="B42" t="s">
        <v>31</v>
      </c>
      <c r="C42" s="58">
        <v>-1.3333333333333335</v>
      </c>
      <c r="D42" s="58">
        <v>0.47140452079103173</v>
      </c>
      <c r="E42" s="58">
        <v>-2.8284271247461903</v>
      </c>
      <c r="F42" s="58">
        <v>0.21634689593878545</v>
      </c>
      <c r="G42" s="58">
        <v>-7.3230956880625087</v>
      </c>
      <c r="H42" s="58">
        <v>4.6564290213958426</v>
      </c>
      <c r="I42" s="58">
        <v>-7.3230956880625087</v>
      </c>
      <c r="J42" s="58">
        <v>4.6564290213958426</v>
      </c>
    </row>
    <row r="43" spans="2:10" ht="15" thickBot="1" x14ac:dyDescent="0.4">
      <c r="B43" s="55" t="s">
        <v>34</v>
      </c>
      <c r="C43" s="59">
        <v>-1.3333333333333317</v>
      </c>
      <c r="D43" s="59">
        <v>0.74535599249993001</v>
      </c>
      <c r="E43" s="59">
        <v>-1.7888543819998293</v>
      </c>
      <c r="F43" s="59">
        <v>0.32451035830443836</v>
      </c>
      <c r="G43" s="59">
        <v>-10.803979175372142</v>
      </c>
      <c r="H43" s="59">
        <v>8.1373125087054774</v>
      </c>
      <c r="I43" s="59">
        <v>-10.803979175372142</v>
      </c>
      <c r="J43" s="59">
        <v>8.1373125087054774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A575-E3B2-4AFF-B8E5-D61B62AFE4EF}">
  <sheetPr>
    <tabColor theme="3" tint="0.249977111117893"/>
  </sheetPr>
  <dimension ref="A1:M45"/>
  <sheetViews>
    <sheetView zoomScale="70" zoomScaleNormal="70" workbookViewId="0">
      <selection activeCell="Q15" sqref="Q15"/>
    </sheetView>
  </sheetViews>
  <sheetFormatPr defaultRowHeight="14.5" x14ac:dyDescent="0.35"/>
  <cols>
    <col min="1" max="1" width="10.7265625" style="67" customWidth="1"/>
    <col min="2" max="4" width="10.7265625" style="66" customWidth="1"/>
    <col min="5" max="5" width="13.36328125" style="66" customWidth="1"/>
    <col min="6" max="6" width="12.7265625" style="66" customWidth="1"/>
    <col min="7" max="7" width="12.453125" style="66" customWidth="1"/>
    <col min="8" max="10" width="10.7265625" style="66" customWidth="1"/>
    <col min="11" max="11" width="11.6328125" style="66" customWidth="1"/>
    <col min="12" max="12" width="10.7265625" style="66" hidden="1" customWidth="1"/>
    <col min="13" max="13" width="10.7265625" style="66" customWidth="1"/>
  </cols>
  <sheetData>
    <row r="1" spans="1:13" ht="16" x14ac:dyDescent="0.4">
      <c r="A1" s="48" t="s">
        <v>82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3" s="72" customFormat="1" x14ac:dyDescent="0.35">
      <c r="A2" s="69" t="s">
        <v>36</v>
      </c>
      <c r="B2" s="70" t="s">
        <v>64</v>
      </c>
      <c r="C2" s="70" t="s">
        <v>78</v>
      </c>
      <c r="D2" s="70" t="s">
        <v>79</v>
      </c>
      <c r="E2" s="70" t="s">
        <v>24</v>
      </c>
      <c r="F2" s="70" t="s">
        <v>25</v>
      </c>
      <c r="G2" s="70" t="s">
        <v>27</v>
      </c>
      <c r="H2" s="70" t="s">
        <v>28</v>
      </c>
      <c r="I2" s="70" t="s">
        <v>30</v>
      </c>
      <c r="J2" s="70" t="s">
        <v>31</v>
      </c>
      <c r="K2" s="70" t="s">
        <v>34</v>
      </c>
      <c r="L2" s="75" t="s">
        <v>80</v>
      </c>
      <c r="M2" s="71"/>
    </row>
    <row r="3" spans="1:13" x14ac:dyDescent="0.35">
      <c r="A3" s="68">
        <v>1</v>
      </c>
      <c r="B3" s="66">
        <v>7.1666666666666679</v>
      </c>
      <c r="C3" s="66">
        <v>2.333333333333337</v>
      </c>
      <c r="D3" s="66">
        <v>0.33333333333333348</v>
      </c>
      <c r="E3" s="66">
        <v>-0.16666666666666621</v>
      </c>
      <c r="F3" s="66">
        <v>-1.0000000000000011</v>
      </c>
      <c r="G3" s="66">
        <v>-0.66666666666666796</v>
      </c>
      <c r="H3" s="66">
        <v>-9.7414326862439766E-16</v>
      </c>
      <c r="I3" s="66">
        <v>-1.1666666666666681</v>
      </c>
      <c r="J3" s="66">
        <v>-1.3333333333333339</v>
      </c>
      <c r="K3" s="66">
        <v>-1.3333333333333359</v>
      </c>
      <c r="L3" s="66">
        <v>0.97587719298245612</v>
      </c>
    </row>
    <row r="4" spans="1:13" x14ac:dyDescent="0.35">
      <c r="A4" s="68">
        <v>2</v>
      </c>
      <c r="B4" s="66">
        <v>5.6666666666666679</v>
      </c>
      <c r="C4" s="66">
        <v>3.333333333333333</v>
      </c>
      <c r="D4" s="66">
        <v>2.3333333333333299</v>
      </c>
      <c r="E4" s="66">
        <v>1.3333333333333319</v>
      </c>
      <c r="F4" s="66">
        <v>-1.4999999999999969</v>
      </c>
      <c r="G4" s="66">
        <v>-2.666666666666667</v>
      </c>
      <c r="H4" s="66">
        <v>-4.4999999999999973</v>
      </c>
      <c r="I4" s="66">
        <v>0.83333333333332915</v>
      </c>
      <c r="J4" s="66">
        <v>0.6666666666666653</v>
      </c>
      <c r="K4" s="66">
        <v>-3.8333333333333308</v>
      </c>
      <c r="L4" s="66">
        <v>0.97505668934240364</v>
      </c>
    </row>
    <row r="5" spans="1:13" x14ac:dyDescent="0.35">
      <c r="A5" s="68">
        <v>3</v>
      </c>
      <c r="B5" s="66">
        <v>5</v>
      </c>
      <c r="C5" s="66">
        <v>0</v>
      </c>
      <c r="D5" s="66">
        <v>0</v>
      </c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1</v>
      </c>
    </row>
    <row r="6" spans="1:13" x14ac:dyDescent="0.35">
      <c r="A6" s="68">
        <v>4</v>
      </c>
      <c r="B6" s="66">
        <v>5.8333333333333357</v>
      </c>
      <c r="C6" s="66">
        <v>3.6666666666666661</v>
      </c>
      <c r="D6" s="66">
        <v>3.6666666666666652</v>
      </c>
      <c r="E6" s="66">
        <v>1.1666666666666661</v>
      </c>
      <c r="F6" s="66">
        <v>-2.4999999999999978</v>
      </c>
      <c r="G6" s="66">
        <v>-2.3333333333333339</v>
      </c>
      <c r="H6" s="66">
        <v>-2.5</v>
      </c>
      <c r="I6" s="66">
        <v>-0.33333333333333498</v>
      </c>
      <c r="J6" s="66">
        <v>0.33333333333333148</v>
      </c>
      <c r="K6" s="66">
        <v>-2.1666666666666652</v>
      </c>
      <c r="L6" s="66">
        <v>0.99003623188405798</v>
      </c>
    </row>
    <row r="7" spans="1:13" x14ac:dyDescent="0.35">
      <c r="A7" s="68">
        <v>5</v>
      </c>
      <c r="B7" s="66">
        <v>1.166666666666665</v>
      </c>
      <c r="C7" s="66">
        <v>-1.6666666666666661</v>
      </c>
      <c r="D7" s="66">
        <v>-0.66666666666666363</v>
      </c>
      <c r="E7" s="66">
        <v>-0.16666666666666599</v>
      </c>
      <c r="F7" s="66">
        <v>0.99999999999999933</v>
      </c>
      <c r="G7" s="66">
        <v>2.333333333333333</v>
      </c>
      <c r="H7" s="66">
        <v>1.999999999999998</v>
      </c>
      <c r="I7" s="66">
        <v>0.83333333333333548</v>
      </c>
      <c r="J7" s="66">
        <v>0.66666666666666763</v>
      </c>
      <c r="K7" s="66">
        <v>0.6666666666666663</v>
      </c>
      <c r="L7" s="66">
        <v>0.74250936329588013</v>
      </c>
    </row>
    <row r="8" spans="1:13" x14ac:dyDescent="0.35">
      <c r="A8" s="68">
        <v>6</v>
      </c>
      <c r="B8" s="66">
        <v>4.1666666666666679</v>
      </c>
      <c r="C8" s="66">
        <v>-0.66666666666666996</v>
      </c>
      <c r="D8" s="66">
        <v>-1.666666666666669</v>
      </c>
      <c r="E8" s="66">
        <v>0.83333333333333071</v>
      </c>
      <c r="F8" s="66">
        <v>4.0000000000000009</v>
      </c>
      <c r="G8" s="66">
        <v>-0.66666666666666374</v>
      </c>
      <c r="H8" s="66">
        <v>1.000000000000002</v>
      </c>
      <c r="I8" s="66">
        <v>-1.166666666666669</v>
      </c>
      <c r="J8" s="66">
        <v>-0.33333333333333309</v>
      </c>
      <c r="K8" s="66">
        <v>-0.33333333333333132</v>
      </c>
      <c r="L8" s="66">
        <v>0.99625850340136057</v>
      </c>
    </row>
    <row r="9" spans="1:13" x14ac:dyDescent="0.35">
      <c r="A9" s="68">
        <v>7</v>
      </c>
      <c r="B9" s="66">
        <v>5.5</v>
      </c>
      <c r="C9" s="66">
        <v>2.0000000000000031</v>
      </c>
      <c r="D9" s="66">
        <v>2.0000000000000031</v>
      </c>
      <c r="E9" s="66">
        <v>-0.49999999999999928</v>
      </c>
      <c r="F9" s="66">
        <v>-2.5000000000000009</v>
      </c>
      <c r="G9" s="66">
        <v>-1.0000000000000031</v>
      </c>
      <c r="H9" s="66">
        <v>-0.50000000000000155</v>
      </c>
      <c r="I9" s="66">
        <v>2.5330249156352442E-16</v>
      </c>
      <c r="J9" s="66">
        <v>1</v>
      </c>
      <c r="K9" s="66">
        <v>-1.5000000000000031</v>
      </c>
      <c r="L9" s="66">
        <v>0.84999999999999987</v>
      </c>
    </row>
    <row r="10" spans="1:13" x14ac:dyDescent="0.35">
      <c r="A10" s="68">
        <v>8</v>
      </c>
      <c r="B10" s="66">
        <v>4.6666666666666679</v>
      </c>
      <c r="C10" s="66">
        <v>0.33333333333333182</v>
      </c>
      <c r="D10" s="66">
        <v>2.333333333333329</v>
      </c>
      <c r="E10" s="66">
        <v>2.3333333333333339</v>
      </c>
      <c r="F10" s="66">
        <v>1.5000000000000011</v>
      </c>
      <c r="G10" s="66">
        <v>-0.66666666666666796</v>
      </c>
      <c r="H10" s="66">
        <v>-3.4999999999999991</v>
      </c>
      <c r="I10" s="66">
        <v>0.83333333333333226</v>
      </c>
      <c r="J10" s="66">
        <v>-0.33333333333333359</v>
      </c>
      <c r="K10" s="66">
        <v>-2.8333333333333321</v>
      </c>
      <c r="L10" s="66">
        <v>0.96474358974358976</v>
      </c>
    </row>
    <row r="11" spans="1:13" x14ac:dyDescent="0.35">
      <c r="A11" s="68">
        <v>9</v>
      </c>
      <c r="B11" s="66">
        <v>2.3333333333333348</v>
      </c>
      <c r="C11" s="66">
        <v>-1.333333333333343</v>
      </c>
      <c r="D11" s="66">
        <v>1.166666666666661</v>
      </c>
      <c r="E11" s="66">
        <v>3.6666666666666652</v>
      </c>
      <c r="F11" s="66">
        <v>2.0000000000000062</v>
      </c>
      <c r="G11" s="66">
        <v>-2.8333333333333321</v>
      </c>
      <c r="H11" s="66">
        <v>-3.9999999999999991</v>
      </c>
      <c r="I11" s="66">
        <v>1.6666666666666621</v>
      </c>
      <c r="J11" s="66">
        <v>2.8333333333333299</v>
      </c>
      <c r="K11" s="66">
        <v>0.83333333333334181</v>
      </c>
      <c r="L11" s="66">
        <v>0.9273927392739274</v>
      </c>
    </row>
    <row r="12" spans="1:13" x14ac:dyDescent="0.35">
      <c r="A12" s="68">
        <v>10</v>
      </c>
      <c r="B12" s="66">
        <v>5.8333333333333321</v>
      </c>
      <c r="C12" s="66">
        <v>-0.33333333333333071</v>
      </c>
      <c r="D12" s="66">
        <v>-0.83333333333333104</v>
      </c>
      <c r="E12" s="66">
        <v>-0.83333333333333248</v>
      </c>
      <c r="F12" s="66">
        <v>0.49999999999999861</v>
      </c>
      <c r="G12" s="66">
        <v>1.1666666666666661</v>
      </c>
      <c r="H12" s="66">
        <v>1.4999999999999989</v>
      </c>
      <c r="I12" s="66">
        <v>0.66666666666666841</v>
      </c>
      <c r="J12" s="66">
        <v>-0.16666666666666591</v>
      </c>
      <c r="K12" s="66">
        <v>0.33333333333333143</v>
      </c>
      <c r="L12" s="66">
        <v>0.96014492753623193</v>
      </c>
    </row>
    <row r="13" spans="1:13" x14ac:dyDescent="0.35">
      <c r="A13" s="68">
        <v>11</v>
      </c>
      <c r="B13" s="66">
        <v>1.166666666666667</v>
      </c>
      <c r="C13" s="66">
        <v>3.3333333333333282</v>
      </c>
      <c r="D13" s="66">
        <v>5.333333333333325</v>
      </c>
      <c r="E13" s="66">
        <v>4.8333333333333286</v>
      </c>
      <c r="F13" s="66">
        <v>2.5000000000000062</v>
      </c>
      <c r="G13" s="66">
        <v>-2.6666666666666639</v>
      </c>
      <c r="H13" s="66">
        <v>-4.4999999999999938</v>
      </c>
      <c r="I13" s="66">
        <v>2.3333333333333299</v>
      </c>
      <c r="J13" s="66">
        <v>0.66666666666666208</v>
      </c>
      <c r="K13" s="66">
        <v>-1.833333333333325</v>
      </c>
      <c r="L13" s="66">
        <v>0.99444444444444446</v>
      </c>
    </row>
    <row r="14" spans="1:13" x14ac:dyDescent="0.35">
      <c r="A14" s="68">
        <v>12</v>
      </c>
      <c r="B14" s="66">
        <v>6.6666666666666679</v>
      </c>
      <c r="C14" s="66">
        <v>-0.66666666666665975</v>
      </c>
      <c r="D14" s="66">
        <v>-3.1666666666666639</v>
      </c>
      <c r="E14" s="66">
        <v>-1.666666666666665</v>
      </c>
      <c r="F14" s="66">
        <v>1.499999999999996</v>
      </c>
      <c r="G14" s="66">
        <v>-0.1666666666666671</v>
      </c>
      <c r="H14" s="66">
        <v>3.4999999999999969</v>
      </c>
      <c r="I14" s="66">
        <v>-1.1666666666666681</v>
      </c>
      <c r="J14" s="66">
        <v>-2.8333333333333308</v>
      </c>
      <c r="K14" s="66">
        <v>-1.3333333333333399</v>
      </c>
      <c r="L14" s="66">
        <v>0.98671497584541068</v>
      </c>
    </row>
    <row r="15" spans="1:13" x14ac:dyDescent="0.35">
      <c r="A15" s="68">
        <v>13</v>
      </c>
      <c r="B15" s="66">
        <v>5.333333333333333</v>
      </c>
      <c r="C15" s="66">
        <v>-0.33333333333333598</v>
      </c>
      <c r="D15" s="66">
        <v>-0.33333333333333459</v>
      </c>
      <c r="E15" s="66">
        <v>-0.33333333333333443</v>
      </c>
      <c r="F15" s="66">
        <v>-2.9999999999999991</v>
      </c>
      <c r="G15" s="66">
        <v>-0.33333333333333132</v>
      </c>
      <c r="H15" s="66">
        <v>1.2513300761420999E-15</v>
      </c>
      <c r="I15" s="66">
        <v>0.6666666666666663</v>
      </c>
      <c r="J15" s="66">
        <v>1.333333333333333</v>
      </c>
      <c r="K15" s="66">
        <v>0.33333333333333459</v>
      </c>
      <c r="L15" s="66">
        <v>0.94270833333333326</v>
      </c>
    </row>
    <row r="16" spans="1:13" x14ac:dyDescent="0.35">
      <c r="A16" s="68">
        <v>14</v>
      </c>
      <c r="B16" s="66">
        <v>5.3333333333333321</v>
      </c>
      <c r="C16" s="66">
        <v>-2.3333333333333361</v>
      </c>
      <c r="D16" s="66">
        <v>-0.33333333333333282</v>
      </c>
      <c r="E16" s="66">
        <v>-0.33333333333333331</v>
      </c>
      <c r="F16" s="66">
        <v>0.50000000000000033</v>
      </c>
      <c r="G16" s="66">
        <v>-0.3333333333333327</v>
      </c>
      <c r="H16" s="66">
        <v>0.49999999999999978</v>
      </c>
      <c r="I16" s="66">
        <v>0.16666666666666741</v>
      </c>
      <c r="J16" s="66">
        <v>0.33333333333333443</v>
      </c>
      <c r="K16" s="66">
        <v>1.833333333333335</v>
      </c>
      <c r="L16" s="66">
        <v>0.92198581560283688</v>
      </c>
    </row>
    <row r="17" spans="1:12" x14ac:dyDescent="0.35">
      <c r="A17" s="68">
        <v>15</v>
      </c>
      <c r="B17" s="66">
        <v>4.1666666666666661</v>
      </c>
      <c r="C17" s="66">
        <v>-4.666666666666667</v>
      </c>
      <c r="D17" s="66">
        <v>-4.1666666666666643</v>
      </c>
      <c r="E17" s="66">
        <v>-1.166666666666667</v>
      </c>
      <c r="F17" s="66">
        <v>2.4999999999999978</v>
      </c>
      <c r="G17" s="66">
        <v>2.8333333333333339</v>
      </c>
      <c r="H17" s="66">
        <v>2.5</v>
      </c>
      <c r="I17" s="66">
        <v>-1.666666666666665</v>
      </c>
      <c r="J17" s="66">
        <v>-0.83333333333333171</v>
      </c>
      <c r="K17" s="66">
        <v>3.6666666666666661</v>
      </c>
      <c r="L17" s="66">
        <v>0.98472222222222228</v>
      </c>
    </row>
    <row r="18" spans="1:12" x14ac:dyDescent="0.35">
      <c r="A18" s="68">
        <v>16</v>
      </c>
      <c r="B18" s="66">
        <v>5.3333333333333339</v>
      </c>
      <c r="C18" s="66">
        <v>-0.33333333333333193</v>
      </c>
      <c r="D18" s="66">
        <v>0.16666666666666741</v>
      </c>
      <c r="E18" s="66">
        <v>-0.33333333333333259</v>
      </c>
      <c r="F18" s="66">
        <v>-0.50000000000000033</v>
      </c>
      <c r="G18" s="66">
        <v>1.166666666666665</v>
      </c>
      <c r="H18" s="66">
        <v>0.499999999999999</v>
      </c>
      <c r="I18" s="66">
        <v>-0.83333333333333326</v>
      </c>
      <c r="J18" s="66">
        <v>-0.16666666666666741</v>
      </c>
      <c r="K18" s="66">
        <v>-0.66666666666666829</v>
      </c>
      <c r="L18" s="66">
        <v>0.75555555555555554</v>
      </c>
    </row>
    <row r="19" spans="1:12" x14ac:dyDescent="0.35">
      <c r="A19" s="68">
        <v>17</v>
      </c>
      <c r="B19" s="66">
        <v>3</v>
      </c>
      <c r="C19" s="66">
        <v>0</v>
      </c>
      <c r="D19" s="66">
        <v>0</v>
      </c>
      <c r="E19" s="66">
        <v>0</v>
      </c>
      <c r="F19" s="66">
        <v>0</v>
      </c>
      <c r="G19" s="66">
        <v>0</v>
      </c>
      <c r="H19" s="66">
        <v>0</v>
      </c>
      <c r="I19" s="66">
        <v>0</v>
      </c>
      <c r="J19" s="66">
        <v>0</v>
      </c>
      <c r="K19" s="66">
        <v>0</v>
      </c>
      <c r="L19" s="66">
        <v>1</v>
      </c>
    </row>
    <row r="20" spans="1:12" x14ac:dyDescent="0.35">
      <c r="A20" s="68">
        <v>18</v>
      </c>
      <c r="B20" s="66">
        <v>3.6666666666666692</v>
      </c>
      <c r="C20" s="66">
        <v>2.3333333333333348</v>
      </c>
      <c r="D20" s="66">
        <v>1.833333333333331</v>
      </c>
      <c r="E20" s="66">
        <v>1.3333333333333319</v>
      </c>
      <c r="F20" s="66">
        <v>-0.49999999999999922</v>
      </c>
      <c r="G20" s="66">
        <v>-0.16666666666666771</v>
      </c>
      <c r="H20" s="66">
        <v>-1.4999999999999989</v>
      </c>
      <c r="I20" s="66">
        <v>-0.16666666666666791</v>
      </c>
      <c r="J20" s="66">
        <v>-0.83333333333333515</v>
      </c>
      <c r="K20" s="66">
        <v>-2.3333333333333339</v>
      </c>
      <c r="L20" s="66">
        <v>0.93678160919540232</v>
      </c>
    </row>
    <row r="21" spans="1:12" x14ac:dyDescent="0.35">
      <c r="A21" s="68">
        <v>19</v>
      </c>
      <c r="B21" s="66">
        <v>6.1666666666666661</v>
      </c>
      <c r="C21" s="66">
        <v>1.333333333333337</v>
      </c>
      <c r="D21" s="66">
        <v>-0.16666666666666441</v>
      </c>
      <c r="E21" s="66">
        <v>-1.1666666666666661</v>
      </c>
      <c r="F21" s="66">
        <v>-0.50000000000000333</v>
      </c>
      <c r="G21" s="66">
        <v>0.83333333333333182</v>
      </c>
      <c r="H21" s="66">
        <v>0.49999999999999911</v>
      </c>
      <c r="I21" s="66">
        <v>-0.66666666666666474</v>
      </c>
      <c r="J21" s="66">
        <v>-1.833333333333331</v>
      </c>
      <c r="K21" s="66">
        <v>0.66666666666666474</v>
      </c>
      <c r="L21" s="66">
        <v>0.9844632768361582</v>
      </c>
    </row>
    <row r="22" spans="1:12" x14ac:dyDescent="0.35">
      <c r="A22" s="68">
        <v>20</v>
      </c>
      <c r="B22" s="66">
        <v>2.3333333333333308</v>
      </c>
      <c r="C22" s="66">
        <v>-0.33333333333333642</v>
      </c>
      <c r="D22" s="66">
        <v>-0.83333333333333304</v>
      </c>
      <c r="E22" s="66">
        <v>-1.3333333333333339</v>
      </c>
      <c r="F22" s="66">
        <v>-1.499999999999998</v>
      </c>
      <c r="G22" s="66">
        <v>2.1666666666666692</v>
      </c>
      <c r="H22" s="66">
        <v>1.5</v>
      </c>
      <c r="I22" s="66">
        <v>1.166666666666671</v>
      </c>
      <c r="J22" s="66">
        <v>1.833333333333333</v>
      </c>
      <c r="K22" s="66">
        <v>3.3333333333333361</v>
      </c>
      <c r="L22" s="66">
        <v>0.98193760262725782</v>
      </c>
    </row>
    <row r="23" spans="1:12" x14ac:dyDescent="0.35">
      <c r="A23" s="68">
        <v>21</v>
      </c>
      <c r="B23" s="66">
        <v>3.3333333333333299</v>
      </c>
      <c r="C23" s="66">
        <v>-0.33333333333333298</v>
      </c>
      <c r="D23" s="66">
        <v>-0.33333333333332948</v>
      </c>
      <c r="E23" s="66">
        <v>-1.333333333333333</v>
      </c>
      <c r="F23" s="66">
        <v>-1.5</v>
      </c>
      <c r="G23" s="66">
        <v>1.666666666666667</v>
      </c>
      <c r="H23" s="66">
        <v>1.5</v>
      </c>
      <c r="I23" s="66">
        <v>1.1666666666666701</v>
      </c>
      <c r="J23" s="66">
        <v>1.3333333333333339</v>
      </c>
      <c r="K23" s="66">
        <v>2.8333333333333339</v>
      </c>
      <c r="L23" s="66">
        <v>0.97587719298245612</v>
      </c>
    </row>
    <row r="24" spans="1:12" x14ac:dyDescent="0.35">
      <c r="A24" s="68">
        <v>22</v>
      </c>
      <c r="B24" s="66">
        <v>1.8333333333333319</v>
      </c>
      <c r="C24" s="66">
        <v>2.6666666666666679</v>
      </c>
      <c r="D24" s="66">
        <v>3.6666666666666679</v>
      </c>
      <c r="E24" s="66">
        <v>0.1666666666666658</v>
      </c>
      <c r="F24" s="66">
        <v>-0.499999999999998</v>
      </c>
      <c r="G24" s="66">
        <v>-0.33333333333333592</v>
      </c>
      <c r="H24" s="66">
        <v>-1.499999999999998</v>
      </c>
      <c r="I24" s="66">
        <v>2.6666666666666692</v>
      </c>
      <c r="J24" s="66">
        <v>3.3333333333333348</v>
      </c>
      <c r="K24" s="66">
        <v>-1.1666666666666681</v>
      </c>
      <c r="L24" s="66">
        <v>0.89241001564945233</v>
      </c>
    </row>
    <row r="25" spans="1:12" x14ac:dyDescent="0.35">
      <c r="A25" s="68">
        <v>23</v>
      </c>
      <c r="B25" s="66">
        <v>2.666666666666667</v>
      </c>
      <c r="C25" s="66">
        <v>3.333333333333333</v>
      </c>
      <c r="D25" s="66">
        <v>0.33333333333333132</v>
      </c>
      <c r="E25" s="66">
        <v>0.33333333333333098</v>
      </c>
      <c r="F25" s="66">
        <v>1.6593288232317709E-15</v>
      </c>
      <c r="G25" s="66">
        <v>0.33333333333333459</v>
      </c>
      <c r="H25" s="66">
        <v>1.7916925624477692E-15</v>
      </c>
      <c r="I25" s="66">
        <v>1.3333333333333339</v>
      </c>
      <c r="J25" s="66">
        <v>1.666666666666667</v>
      </c>
      <c r="K25" s="66">
        <v>-1.333333333333333</v>
      </c>
      <c r="L25" s="66">
        <v>0.89294403892944041</v>
      </c>
    </row>
    <row r="26" spans="1:12" x14ac:dyDescent="0.35">
      <c r="A26" s="68">
        <v>24</v>
      </c>
      <c r="B26" s="66">
        <v>3.3333333333333339</v>
      </c>
      <c r="C26" s="66">
        <v>1.666666666666665</v>
      </c>
      <c r="D26" s="66">
        <v>2.1666666666666652</v>
      </c>
      <c r="E26" s="66">
        <v>0.66666666666666563</v>
      </c>
      <c r="F26" s="66">
        <v>-1.999999999999996</v>
      </c>
      <c r="G26" s="66">
        <v>-1.8333333333333339</v>
      </c>
      <c r="H26" s="66">
        <v>1.0252062925827529E-16</v>
      </c>
      <c r="I26" s="66">
        <v>1.666666666666665</v>
      </c>
      <c r="J26" s="66">
        <v>1.8333333333333319</v>
      </c>
      <c r="K26" s="66">
        <v>-1.166666666666665</v>
      </c>
      <c r="L26" s="66">
        <v>0.7874396135265701</v>
      </c>
    </row>
    <row r="27" spans="1:12" x14ac:dyDescent="0.35">
      <c r="A27" s="68">
        <v>25</v>
      </c>
      <c r="B27" s="66">
        <v>4.166666666666667</v>
      </c>
      <c r="C27" s="66">
        <v>4.3333333333333357</v>
      </c>
      <c r="D27" s="66">
        <v>-0.16666666666666671</v>
      </c>
      <c r="E27" s="66">
        <v>-1.1666666666666681</v>
      </c>
      <c r="F27" s="66">
        <v>-2.9999999999999991</v>
      </c>
      <c r="G27" s="66">
        <v>-0.16666666666666671</v>
      </c>
      <c r="H27" s="66">
        <v>0.99999999999999978</v>
      </c>
      <c r="I27" s="66">
        <v>0.83333333333333515</v>
      </c>
      <c r="J27" s="66">
        <v>3.1666666666666661</v>
      </c>
      <c r="K27" s="66">
        <v>-1.833333333333337</v>
      </c>
      <c r="L27" s="66">
        <v>0.99408602150537628</v>
      </c>
    </row>
    <row r="28" spans="1:12" x14ac:dyDescent="0.35">
      <c r="A28" s="68">
        <v>26</v>
      </c>
      <c r="B28" s="66">
        <v>5</v>
      </c>
      <c r="C28" s="66">
        <v>1.000000000000002</v>
      </c>
      <c r="D28" s="66">
        <v>5.5511151231257827E-16</v>
      </c>
      <c r="E28" s="66">
        <v>2.9564872923028831E-16</v>
      </c>
      <c r="F28" s="66">
        <v>0.49999999999999911</v>
      </c>
      <c r="G28" s="66">
        <v>-5.6494957642341777E-16</v>
      </c>
      <c r="H28" s="66">
        <v>0.5</v>
      </c>
      <c r="I28" s="66">
        <v>-0.50000000000000011</v>
      </c>
      <c r="J28" s="66">
        <v>-0.99999999999999956</v>
      </c>
      <c r="K28" s="66">
        <v>-0.50000000000000155</v>
      </c>
      <c r="L28" s="66">
        <v>1</v>
      </c>
    </row>
    <row r="29" spans="1:12" x14ac:dyDescent="0.35">
      <c r="A29" s="68">
        <v>27</v>
      </c>
      <c r="B29" s="66">
        <v>4.9999999999999991</v>
      </c>
      <c r="C29" s="66">
        <v>-4</v>
      </c>
      <c r="D29" s="66">
        <v>-4.9999999999999973</v>
      </c>
      <c r="E29" s="66">
        <v>-1.999999999999998</v>
      </c>
      <c r="F29" s="66">
        <v>0.99999999999999645</v>
      </c>
      <c r="G29" s="66">
        <v>4.0000000000000018</v>
      </c>
      <c r="H29" s="66">
        <v>3.9999999999999969</v>
      </c>
      <c r="I29" s="66">
        <v>-0.99999999999999645</v>
      </c>
      <c r="J29" s="66">
        <v>-1.9999999999999989</v>
      </c>
      <c r="K29" s="66">
        <v>4.9999999999999982</v>
      </c>
      <c r="L29" s="66">
        <v>1</v>
      </c>
    </row>
    <row r="30" spans="1:12" x14ac:dyDescent="0.35">
      <c r="A30" s="68">
        <v>28</v>
      </c>
      <c r="B30" s="66">
        <v>5.3333333333333339</v>
      </c>
      <c r="C30" s="66">
        <v>1.6666666666666681</v>
      </c>
      <c r="D30" s="66">
        <v>0.66666666666666607</v>
      </c>
      <c r="E30" s="66">
        <v>0.66666666666666652</v>
      </c>
      <c r="F30" s="66">
        <v>-0.49999999999999972</v>
      </c>
      <c r="G30" s="66">
        <v>-1.333333333333333</v>
      </c>
      <c r="H30" s="66">
        <v>-0.49999999999999928</v>
      </c>
      <c r="I30" s="66">
        <v>0.16666666666666541</v>
      </c>
      <c r="J30" s="66">
        <v>0.33333333333333259</v>
      </c>
      <c r="K30" s="66">
        <v>-2.166666666666667</v>
      </c>
      <c r="L30" s="66">
        <v>0.86419753086419737</v>
      </c>
    </row>
    <row r="31" spans="1:12" x14ac:dyDescent="0.35">
      <c r="A31" s="68">
        <v>29</v>
      </c>
      <c r="B31" s="66">
        <v>7</v>
      </c>
      <c r="C31" s="66">
        <v>1.000000000000002</v>
      </c>
      <c r="D31" s="66">
        <v>0.50000000000000155</v>
      </c>
      <c r="E31" s="66">
        <v>-0.99999999999999967</v>
      </c>
      <c r="F31" s="66">
        <v>-1.5000000000000011</v>
      </c>
      <c r="G31" s="66">
        <v>-1.5000000000000011</v>
      </c>
      <c r="H31" s="66">
        <v>0.49999999999999928</v>
      </c>
      <c r="I31" s="66">
        <v>0.50000000000000022</v>
      </c>
      <c r="J31" s="66">
        <v>0.50000000000000033</v>
      </c>
      <c r="K31" s="66">
        <v>-1.000000000000002</v>
      </c>
      <c r="L31" s="66">
        <v>1</v>
      </c>
    </row>
    <row r="32" spans="1:12" x14ac:dyDescent="0.35">
      <c r="A32" s="68">
        <v>30</v>
      </c>
      <c r="B32" s="66">
        <v>5.0000000000000018</v>
      </c>
      <c r="C32" s="66">
        <v>1.9999999999999969</v>
      </c>
      <c r="D32" s="66">
        <v>1.9999999999999969</v>
      </c>
      <c r="E32" s="66">
        <v>2</v>
      </c>
      <c r="F32" s="66">
        <v>-1.4999999999999989</v>
      </c>
      <c r="G32" s="66">
        <v>-2.0000000000000009</v>
      </c>
      <c r="H32" s="66">
        <v>-3.5</v>
      </c>
      <c r="I32" s="66">
        <v>0.49999999999999728</v>
      </c>
      <c r="J32" s="66">
        <v>-2.4752492813097362E-15</v>
      </c>
      <c r="K32" s="66">
        <v>-0.49999999999999628</v>
      </c>
      <c r="L32" s="66">
        <v>1</v>
      </c>
    </row>
    <row r="33" spans="1:12" x14ac:dyDescent="0.35">
      <c r="A33" s="68">
        <v>31</v>
      </c>
      <c r="B33" s="66">
        <v>2.9999999999999991</v>
      </c>
      <c r="C33" s="66">
        <v>-1.0819871937078809E-15</v>
      </c>
      <c r="D33" s="66">
        <v>0.49999999999999922</v>
      </c>
      <c r="E33" s="66">
        <v>0.99999999999999933</v>
      </c>
      <c r="F33" s="66">
        <v>1.500000000000002</v>
      </c>
      <c r="G33" s="66">
        <v>0.5</v>
      </c>
      <c r="H33" s="66">
        <v>0.50000000000000067</v>
      </c>
      <c r="I33" s="66">
        <v>-0.50000000000000011</v>
      </c>
      <c r="J33" s="66">
        <v>0.50000000000000011</v>
      </c>
      <c r="K33" s="66">
        <v>1.055046113354799E-15</v>
      </c>
      <c r="L33" s="66">
        <v>1</v>
      </c>
    </row>
    <row r="34" spans="1:12" x14ac:dyDescent="0.35">
      <c r="A34" s="68">
        <v>32</v>
      </c>
      <c r="B34" s="66">
        <v>5.666666666666667</v>
      </c>
      <c r="C34" s="66">
        <v>-0.66666666666666408</v>
      </c>
      <c r="D34" s="66">
        <v>-0.16666666666666499</v>
      </c>
      <c r="E34" s="66">
        <v>-0.66666666666666519</v>
      </c>
      <c r="F34" s="66">
        <v>-0.50000000000000233</v>
      </c>
      <c r="G34" s="66">
        <v>0.83333333333333159</v>
      </c>
      <c r="H34" s="66">
        <v>-0.50000000000000089</v>
      </c>
      <c r="I34" s="66">
        <v>-0.1666666666666663</v>
      </c>
      <c r="J34" s="66">
        <v>-1.833333333333333</v>
      </c>
      <c r="K34" s="66">
        <v>-1.3333333333333359</v>
      </c>
      <c r="L34" s="66">
        <v>0.96811594202898554</v>
      </c>
    </row>
    <row r="35" spans="1:12" x14ac:dyDescent="0.35">
      <c r="A35" s="68">
        <v>33</v>
      </c>
      <c r="B35" s="66">
        <v>7.5</v>
      </c>
      <c r="C35" s="66">
        <v>-0.99999999999999689</v>
      </c>
      <c r="D35" s="66">
        <v>-0.99999999999999867</v>
      </c>
      <c r="E35" s="66">
        <v>-1.4999999999999989</v>
      </c>
      <c r="F35" s="66">
        <v>-1.0000000000000031</v>
      </c>
      <c r="G35" s="66">
        <v>-8.4929794575108866E-16</v>
      </c>
      <c r="H35" s="66">
        <v>6.6460410832833515E-17</v>
      </c>
      <c r="I35" s="66">
        <v>-1.5</v>
      </c>
      <c r="J35" s="66">
        <v>-0.99999999999999978</v>
      </c>
      <c r="K35" s="66">
        <v>-2.000000000000004</v>
      </c>
      <c r="L35" s="66">
        <v>0.95680628272251311</v>
      </c>
    </row>
    <row r="36" spans="1:12" x14ac:dyDescent="0.35">
      <c r="A36" s="68">
        <v>34</v>
      </c>
      <c r="B36" s="66">
        <v>4.0000000000000009</v>
      </c>
      <c r="C36" s="66">
        <v>5.0000000000000053</v>
      </c>
      <c r="D36" s="66">
        <v>2.442490654175344E-15</v>
      </c>
      <c r="E36" s="66">
        <v>-1.0000000000000011</v>
      </c>
      <c r="F36" s="66">
        <v>-3</v>
      </c>
      <c r="G36" s="66">
        <v>-2.298959682911805E-15</v>
      </c>
      <c r="H36" s="66">
        <v>0.99999999999999767</v>
      </c>
      <c r="I36" s="66">
        <v>1</v>
      </c>
      <c r="J36" s="66">
        <v>2.9999999999999991</v>
      </c>
      <c r="K36" s="66">
        <v>-2.000000000000004</v>
      </c>
      <c r="L36" s="66">
        <v>1</v>
      </c>
    </row>
    <row r="37" spans="1:12" x14ac:dyDescent="0.35">
      <c r="A37" s="68">
        <v>35</v>
      </c>
      <c r="B37" s="66">
        <v>2.9999999999999991</v>
      </c>
      <c r="C37" s="66">
        <v>1.0000000000000011</v>
      </c>
      <c r="D37" s="66">
        <v>0.50000000000000067</v>
      </c>
      <c r="E37" s="66">
        <v>-1.0000000000000031</v>
      </c>
      <c r="F37" s="66">
        <v>-0.49999999999999939</v>
      </c>
      <c r="G37" s="66">
        <v>0.50000000000000022</v>
      </c>
      <c r="H37" s="66">
        <v>-0.49999999999999972</v>
      </c>
      <c r="I37" s="66">
        <v>1.5000000000000031</v>
      </c>
      <c r="J37" s="66">
        <v>3.5000000000000009</v>
      </c>
      <c r="K37" s="66">
        <v>4.2723130981501429E-16</v>
      </c>
      <c r="L37" s="66">
        <v>1</v>
      </c>
    </row>
    <row r="38" spans="1:12" x14ac:dyDescent="0.35">
      <c r="A38" s="68">
        <v>36</v>
      </c>
      <c r="B38" s="66">
        <v>3.1666666666666661</v>
      </c>
      <c r="C38" s="66">
        <v>3.3333333333333388</v>
      </c>
      <c r="D38" s="66">
        <v>-0.16666666666666369</v>
      </c>
      <c r="E38" s="66">
        <v>-2.1666666666666692</v>
      </c>
      <c r="F38" s="66">
        <v>-2</v>
      </c>
      <c r="G38" s="66">
        <v>0.83333333333333248</v>
      </c>
      <c r="H38" s="66">
        <v>1.999999999999998</v>
      </c>
      <c r="I38" s="66">
        <v>0.83333333333333592</v>
      </c>
      <c r="J38" s="66">
        <v>3.1666666666666692</v>
      </c>
      <c r="K38" s="66">
        <v>-0.83333333333333603</v>
      </c>
      <c r="L38" s="66">
        <v>0.9950450450450451</v>
      </c>
    </row>
    <row r="39" spans="1:12" x14ac:dyDescent="0.35">
      <c r="A39" s="68">
        <v>37</v>
      </c>
      <c r="B39" s="66">
        <v>2.333333333333333</v>
      </c>
      <c r="C39" s="66">
        <v>1.666666666666665</v>
      </c>
      <c r="D39" s="66">
        <v>-0.83333333333333481</v>
      </c>
      <c r="E39" s="66">
        <v>-0.33333333333333531</v>
      </c>
      <c r="F39" s="66">
        <v>-1.9999999999999969</v>
      </c>
      <c r="G39" s="66">
        <v>-0.83333333333333137</v>
      </c>
      <c r="H39" s="66">
        <v>2.5730348119179792E-16</v>
      </c>
      <c r="I39" s="66">
        <v>2.6666666666666679</v>
      </c>
      <c r="J39" s="66">
        <v>4.833333333333333</v>
      </c>
      <c r="K39" s="66">
        <v>-0.16666666666666469</v>
      </c>
      <c r="L39" s="66">
        <v>0.98355754857997013</v>
      </c>
    </row>
    <row r="40" spans="1:12" x14ac:dyDescent="0.35">
      <c r="A40" s="68">
        <v>38</v>
      </c>
      <c r="B40" s="66">
        <v>4.0000000000000027</v>
      </c>
      <c r="C40" s="66">
        <v>3.0000000000000031</v>
      </c>
      <c r="D40" s="66">
        <v>0.99999999999999867</v>
      </c>
      <c r="E40" s="66">
        <v>-1.130271011935352E-15</v>
      </c>
      <c r="F40" s="66">
        <v>-3.5000000000000022</v>
      </c>
      <c r="G40" s="66">
        <v>0.99999999999999833</v>
      </c>
      <c r="H40" s="66">
        <v>-0.49999999999999911</v>
      </c>
      <c r="I40" s="66">
        <v>1.5000000000000011</v>
      </c>
      <c r="J40" s="66">
        <v>1.9999999999999989</v>
      </c>
      <c r="K40" s="66">
        <v>-3.500000000000004</v>
      </c>
      <c r="L40" s="66">
        <v>1</v>
      </c>
    </row>
    <row r="41" spans="1:12" x14ac:dyDescent="0.35">
      <c r="A41" s="68">
        <v>39</v>
      </c>
      <c r="B41" s="66">
        <v>4.8333333333333304</v>
      </c>
      <c r="C41" s="66">
        <v>-2.333333333333329</v>
      </c>
      <c r="D41" s="66">
        <v>-0.83333333333332726</v>
      </c>
      <c r="E41" s="66">
        <v>-3.8333333333333308</v>
      </c>
      <c r="F41" s="66">
        <v>-1.000000000000004</v>
      </c>
      <c r="G41" s="66">
        <v>2.1666666666666652</v>
      </c>
      <c r="H41" s="66">
        <v>1.999999999999998</v>
      </c>
      <c r="I41" s="66">
        <v>0.16666666666666999</v>
      </c>
      <c r="J41" s="66">
        <v>-1.1666666666666621</v>
      </c>
      <c r="K41" s="66">
        <v>2.8333333333333299</v>
      </c>
      <c r="L41" s="66">
        <v>0.99444444444444446</v>
      </c>
    </row>
    <row r="42" spans="1:12" x14ac:dyDescent="0.35">
      <c r="A42" s="68">
        <v>40</v>
      </c>
      <c r="B42" s="66">
        <v>4.3333333333333304</v>
      </c>
      <c r="C42" s="66">
        <v>-5.3333333333333339</v>
      </c>
      <c r="D42" s="66">
        <v>-2.8333333333333321</v>
      </c>
      <c r="E42" s="66">
        <v>-2.3333333333333321</v>
      </c>
      <c r="F42" s="66">
        <v>1.9999999999999969</v>
      </c>
      <c r="G42" s="66">
        <v>4.166666666666667</v>
      </c>
      <c r="H42" s="66">
        <v>0.99999999999999856</v>
      </c>
      <c r="I42" s="66">
        <v>-1.333333333333329</v>
      </c>
      <c r="J42" s="66">
        <v>-2.166666666666663</v>
      </c>
      <c r="K42" s="66">
        <v>4.8333333333333348</v>
      </c>
      <c r="L42" s="66">
        <v>0.96474358974358976</v>
      </c>
    </row>
    <row r="43" spans="1:12" x14ac:dyDescent="0.35">
      <c r="A43" s="68">
        <v>41</v>
      </c>
      <c r="B43" s="66">
        <v>2.6666666666666661</v>
      </c>
      <c r="C43" s="66">
        <v>-4.6666666666666776</v>
      </c>
      <c r="D43" s="66">
        <v>0.83333333333332726</v>
      </c>
      <c r="E43" s="66">
        <v>2.3333333333333308</v>
      </c>
      <c r="F43" s="66">
        <v>5.5000000000000018</v>
      </c>
      <c r="G43" s="66">
        <v>1.833333333333335</v>
      </c>
      <c r="H43" s="66">
        <v>-2.499999999999996</v>
      </c>
      <c r="I43" s="66">
        <v>-1.1666666666666661</v>
      </c>
      <c r="J43" s="66">
        <v>-1.833333333333333</v>
      </c>
      <c r="K43" s="66">
        <v>3.6666666666666758</v>
      </c>
      <c r="L43" s="66">
        <v>0.97693920335429763</v>
      </c>
    </row>
    <row r="44" spans="1:12" x14ac:dyDescent="0.35">
      <c r="A44" s="68">
        <v>42</v>
      </c>
      <c r="B44" s="66">
        <v>4.1666666666666661</v>
      </c>
      <c r="C44" s="66">
        <v>1.3333333333333379</v>
      </c>
      <c r="D44" s="66">
        <v>-0.16666666666666591</v>
      </c>
      <c r="E44" s="66">
        <v>-2.1666666666666679</v>
      </c>
      <c r="F44" s="66">
        <v>1.4999999999999989</v>
      </c>
      <c r="G44" s="66">
        <v>2.8333333333333321</v>
      </c>
      <c r="H44" s="66">
        <v>0.50000000000000044</v>
      </c>
      <c r="I44" s="66">
        <v>-1.6666666666666641</v>
      </c>
      <c r="J44" s="66">
        <v>0.16666666666666899</v>
      </c>
      <c r="K44" s="66">
        <v>-1.333333333333337</v>
      </c>
      <c r="L44" s="66">
        <v>0.99656679151061178</v>
      </c>
    </row>
    <row r="45" spans="1:12" x14ac:dyDescent="0.35">
      <c r="A45" s="68">
        <v>43</v>
      </c>
      <c r="B45" s="66">
        <v>4.833333333333333</v>
      </c>
      <c r="C45" s="66">
        <v>-0.33333333333332832</v>
      </c>
      <c r="D45" s="66">
        <v>-1.8333333333333299</v>
      </c>
      <c r="E45" s="66">
        <v>-2.8333333333333321</v>
      </c>
      <c r="F45" s="66">
        <v>-2.0000000000000031</v>
      </c>
      <c r="G45" s="66">
        <v>2.1666666666666652</v>
      </c>
      <c r="H45" s="66">
        <v>3.9999999999999969</v>
      </c>
      <c r="I45" s="66">
        <v>-0.83333333333332993</v>
      </c>
      <c r="J45" s="66">
        <v>-0.16666666666666591</v>
      </c>
      <c r="K45" s="66">
        <v>0.83333333333332904</v>
      </c>
      <c r="L45" s="66">
        <v>0.98882113821138218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Profile</vt:lpstr>
      <vt:lpstr>Conjoint Dummy</vt:lpstr>
      <vt:lpstr>1. Raw Data_Rating</vt:lpstr>
      <vt:lpstr>2. Respondent 1_Metrix &amp; Regres</vt:lpstr>
      <vt:lpstr>3. All Pathworth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Nichakamon Ek-Aksorn</dc:creator>
  <cp:lastModifiedBy>Nichakamon Ek-Aksorn</cp:lastModifiedBy>
  <dcterms:created xsi:type="dcterms:W3CDTF">2025-04-13T11:52:02Z</dcterms:created>
  <dcterms:modified xsi:type="dcterms:W3CDTF">2025-04-24T14:13:39Z</dcterms:modified>
</cp:coreProperties>
</file>