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omesh Shanbhag\Downloads\"/>
    </mc:Choice>
  </mc:AlternateContent>
  <xr:revisionPtr revIDLastSave="0" documentId="13_ncr:1_{4E2BDC99-CA66-449F-95B8-86425A73E4C5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Footloose Financial Statements" sheetId="5" r:id="rId1"/>
    <sheet name="Footloose Ratio Analysis" sheetId="6" r:id="rId2"/>
    <sheet name="The O'Riordan Investment" sheetId="4" r:id="rId3"/>
    <sheet name="Historical Data" sheetId="2" r:id="rId4"/>
    <sheet name="Option to Abandon" sheetId="7" r:id="rId5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5" l="1"/>
  <c r="F17" i="7"/>
  <c r="F27" i="7"/>
  <c r="F10" i="7"/>
  <c r="F11" i="7" s="1"/>
  <c r="F13" i="7"/>
  <c r="F20" i="7" s="1"/>
  <c r="E13" i="7"/>
  <c r="C25" i="7"/>
  <c r="E10" i="7"/>
  <c r="E11" i="7" s="1"/>
  <c r="D10" i="7"/>
  <c r="D11" i="7" s="1"/>
  <c r="D7" i="7"/>
  <c r="C7" i="7"/>
  <c r="C23" i="7" s="1"/>
  <c r="E6" i="7"/>
  <c r="E7" i="7" s="1"/>
  <c r="F5" i="7"/>
  <c r="F7" i="7" s="1"/>
  <c r="F27" i="4"/>
  <c r="F15" i="7" l="1"/>
  <c r="F18" i="7" s="1"/>
  <c r="F21" i="7" s="1"/>
  <c r="F23" i="7" s="1"/>
  <c r="F28" i="7"/>
  <c r="F29" i="7" s="1"/>
  <c r="D13" i="7"/>
  <c r="D20" i="7" s="1"/>
  <c r="E20" i="7"/>
  <c r="D15" i="7" l="1"/>
  <c r="D17" i="7" s="1"/>
  <c r="D18" i="7" s="1"/>
  <c r="D21" i="7" s="1"/>
  <c r="D23" i="7" s="1"/>
  <c r="E15" i="7"/>
  <c r="E17" i="7" l="1"/>
  <c r="E18" i="7" s="1"/>
  <c r="E21" i="7" s="1"/>
  <c r="E23" i="7" s="1"/>
  <c r="L7" i="5" l="1"/>
  <c r="L4" i="5"/>
  <c r="J3" i="2"/>
  <c r="V16" i="6" l="1"/>
  <c r="W16" i="6"/>
  <c r="X16" i="6"/>
  <c r="Y16" i="6"/>
  <c r="Z16" i="6"/>
  <c r="AA16" i="6"/>
  <c r="AB16" i="6"/>
  <c r="AC16" i="6"/>
  <c r="AD16" i="6"/>
  <c r="U16" i="6"/>
  <c r="E10" i="4" l="1"/>
  <c r="E11" i="4" s="1"/>
  <c r="F10" i="4"/>
  <c r="D10" i="4"/>
  <c r="D11" i="4" s="1"/>
  <c r="E6" i="4"/>
  <c r="J8" i="2"/>
  <c r="F9" i="4"/>
  <c r="G9" i="4" s="1"/>
  <c r="H9" i="4" s="1"/>
  <c r="I9" i="4" s="1"/>
  <c r="J9" i="4" s="1"/>
  <c r="K9" i="4" s="1"/>
  <c r="L9" i="4" s="1"/>
  <c r="M9" i="4" s="1"/>
  <c r="M10" i="4" s="1"/>
  <c r="L10" i="4" l="1"/>
  <c r="L11" i="4" s="1"/>
  <c r="M11" i="4"/>
  <c r="G11" i="4"/>
  <c r="K10" i="4"/>
  <c r="K11" i="4" s="1"/>
  <c r="H10" i="4"/>
  <c r="H11" i="4" s="1"/>
  <c r="F11" i="4"/>
  <c r="J10" i="4"/>
  <c r="J11" i="4" s="1"/>
  <c r="I10" i="4"/>
  <c r="I11" i="4" s="1"/>
  <c r="G10" i="4"/>
  <c r="L34" i="5"/>
  <c r="O17" i="5" s="1"/>
  <c r="J11" i="2"/>
  <c r="U10" i="5"/>
  <c r="V10" i="5"/>
  <c r="U7" i="5"/>
  <c r="U6" i="5"/>
  <c r="O9" i="5"/>
  <c r="O12" i="5"/>
  <c r="T8" i="5"/>
  <c r="V7" i="5"/>
  <c r="U8" i="5"/>
  <c r="U9" i="5" l="1"/>
  <c r="L31" i="5"/>
  <c r="O16" i="5" s="1"/>
  <c r="J4" i="2" s="1"/>
  <c r="M5" i="2" s="1"/>
  <c r="C29" i="7" l="1"/>
  <c r="C27" i="7"/>
  <c r="C28" i="7" s="1"/>
  <c r="Q16" i="6"/>
  <c r="P16" i="6"/>
  <c r="Q4" i="6"/>
  <c r="P5" i="6"/>
  <c r="P7" i="6"/>
  <c r="P8" i="6"/>
  <c r="P11" i="6"/>
  <c r="P13" i="6"/>
  <c r="P4" i="6"/>
  <c r="Q5" i="6"/>
  <c r="Q7" i="6"/>
  <c r="Q8" i="6"/>
  <c r="Q11" i="6"/>
  <c r="Q13" i="6"/>
  <c r="J12" i="2"/>
  <c r="M4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F5" i="2"/>
  <c r="E5" i="2"/>
  <c r="M13" i="4" l="1"/>
  <c r="M20" i="4" s="1"/>
  <c r="M5" i="4"/>
  <c r="M15" i="4" l="1"/>
  <c r="F28" i="4"/>
  <c r="F29" i="4" s="1"/>
  <c r="L13" i="4"/>
  <c r="L20" i="4" s="1"/>
  <c r="E13" i="4"/>
  <c r="D13" i="4"/>
  <c r="K13" i="4"/>
  <c r="J13" i="4"/>
  <c r="I13" i="4"/>
  <c r="H13" i="4"/>
  <c r="G13" i="4"/>
  <c r="F13" i="4"/>
  <c r="F15" i="4" s="1"/>
  <c r="F18" i="4" s="1"/>
  <c r="M17" i="4" l="1"/>
  <c r="M18" i="4" s="1"/>
  <c r="K15" i="4"/>
  <c r="K18" i="4" s="1"/>
  <c r="K20" i="4"/>
  <c r="I20" i="4"/>
  <c r="I15" i="4"/>
  <c r="I18" i="4" s="1"/>
  <c r="D15" i="4"/>
  <c r="D20" i="4"/>
  <c r="L15" i="4"/>
  <c r="L18" i="4" s="1"/>
  <c r="H20" i="4"/>
  <c r="H15" i="4"/>
  <c r="H18" i="4" s="1"/>
  <c r="J15" i="4"/>
  <c r="J18" i="4" s="1"/>
  <c r="J20" i="4"/>
  <c r="E20" i="4"/>
  <c r="E15" i="4"/>
  <c r="G20" i="4"/>
  <c r="G15" i="4"/>
  <c r="G18" i="4" s="1"/>
  <c r="F20" i="4"/>
  <c r="E17" i="4" l="1"/>
  <c r="E18" i="4" s="1"/>
  <c r="D17" i="4"/>
  <c r="D18" i="4" s="1"/>
  <c r="O8" i="5"/>
  <c r="O6" i="5"/>
  <c r="K36" i="5"/>
  <c r="J36" i="5"/>
  <c r="I36" i="5"/>
  <c r="H36" i="5"/>
  <c r="H37" i="5" s="1"/>
  <c r="G36" i="5"/>
  <c r="F36" i="5"/>
  <c r="F37" i="5" s="1"/>
  <c r="E36" i="5"/>
  <c r="D36" i="5"/>
  <c r="C36" i="5"/>
  <c r="C37" i="5" s="1"/>
  <c r="B36" i="5"/>
  <c r="B37" i="5" s="1"/>
  <c r="K33" i="5"/>
  <c r="J33" i="5"/>
  <c r="I33" i="5"/>
  <c r="H33" i="5"/>
  <c r="G33" i="5"/>
  <c r="F33" i="5"/>
  <c r="E33" i="5"/>
  <c r="D33" i="5"/>
  <c r="C33" i="5"/>
  <c r="B33" i="5"/>
  <c r="K28" i="5"/>
  <c r="J28" i="5"/>
  <c r="I28" i="5"/>
  <c r="H28" i="5"/>
  <c r="G28" i="5"/>
  <c r="F28" i="5"/>
  <c r="E28" i="5"/>
  <c r="D28" i="5"/>
  <c r="C28" i="5"/>
  <c r="B28" i="5"/>
  <c r="K24" i="5"/>
  <c r="J24" i="5"/>
  <c r="I24" i="5"/>
  <c r="I29" i="5" s="1"/>
  <c r="H24" i="5"/>
  <c r="H29" i="5" s="1"/>
  <c r="H38" i="5" s="1"/>
  <c r="G24" i="5"/>
  <c r="F24" i="5"/>
  <c r="E24" i="5"/>
  <c r="D24" i="5"/>
  <c r="C24" i="5"/>
  <c r="B24" i="5"/>
  <c r="B10" i="5"/>
  <c r="B12" i="5" s="1"/>
  <c r="B14" i="5" s="1"/>
  <c r="K9" i="5"/>
  <c r="J9" i="5"/>
  <c r="I9" i="5"/>
  <c r="H9" i="5"/>
  <c r="G9" i="5"/>
  <c r="F9" i="5"/>
  <c r="E9" i="5"/>
  <c r="D9" i="5"/>
  <c r="C9" i="5"/>
  <c r="B9" i="5"/>
  <c r="K6" i="5"/>
  <c r="J6" i="5"/>
  <c r="I6" i="5"/>
  <c r="H6" i="5"/>
  <c r="G6" i="5"/>
  <c r="F6" i="5"/>
  <c r="E6" i="5"/>
  <c r="D6" i="5"/>
  <c r="D10" i="5" s="1"/>
  <c r="D12" i="5" s="1"/>
  <c r="D14" i="5" s="1"/>
  <c r="C6" i="5"/>
  <c r="C10" i="5" s="1"/>
  <c r="C12" i="5" s="1"/>
  <c r="C14" i="5" s="1"/>
  <c r="B6" i="5"/>
  <c r="O5" i="5"/>
  <c r="V5" i="5" s="1"/>
  <c r="L32" i="5" s="1"/>
  <c r="O15" i="5"/>
  <c r="O14" i="5"/>
  <c r="O13" i="5"/>
  <c r="O11" i="5"/>
  <c r="L5" i="6"/>
  <c r="L5" i="5" l="1"/>
  <c r="L6" i="5" s="1"/>
  <c r="L8" i="5"/>
  <c r="L20" i="5"/>
  <c r="L25" i="5"/>
  <c r="L23" i="5"/>
  <c r="L26" i="5"/>
  <c r="L27" i="5"/>
  <c r="L30" i="5"/>
  <c r="L33" i="5" s="1"/>
  <c r="L22" i="5"/>
  <c r="V8" i="5"/>
  <c r="L21" i="5" s="1"/>
  <c r="O7" i="5"/>
  <c r="L16" i="5"/>
  <c r="L35" i="5"/>
  <c r="L36" i="5" s="1"/>
  <c r="K29" i="5"/>
  <c r="J10" i="5"/>
  <c r="J12" i="5" s="1"/>
  <c r="J14" i="5" s="1"/>
  <c r="B29" i="5"/>
  <c r="C29" i="5"/>
  <c r="C38" i="5" s="1"/>
  <c r="I37" i="5"/>
  <c r="I38" i="5"/>
  <c r="G10" i="5"/>
  <c r="G12" i="5" s="1"/>
  <c r="G14" i="5" s="1"/>
  <c r="K37" i="5"/>
  <c r="K38" i="5" s="1"/>
  <c r="F29" i="5"/>
  <c r="F38" i="5" s="1"/>
  <c r="E10" i="5"/>
  <c r="E12" i="5" s="1"/>
  <c r="E14" i="5" s="1"/>
  <c r="G29" i="5"/>
  <c r="J29" i="5"/>
  <c r="J37" i="5"/>
  <c r="F10" i="5"/>
  <c r="F12" i="5" s="1"/>
  <c r="F14" i="5" s="1"/>
  <c r="K10" i="5"/>
  <c r="K12" i="5" s="1"/>
  <c r="K14" i="5" s="1"/>
  <c r="D37" i="5"/>
  <c r="B38" i="5"/>
  <c r="D29" i="5"/>
  <c r="D38" i="5" s="1"/>
  <c r="E29" i="5"/>
  <c r="E37" i="5"/>
  <c r="H10" i="5"/>
  <c r="H12" i="5" s="1"/>
  <c r="H14" i="5" s="1"/>
  <c r="I10" i="5"/>
  <c r="I12" i="5" s="1"/>
  <c r="I14" i="5" s="1"/>
  <c r="G37" i="5"/>
  <c r="G38" i="5" s="1"/>
  <c r="J14" i="2"/>
  <c r="C25" i="4" s="1"/>
  <c r="L24" i="5" l="1"/>
  <c r="V9" i="5"/>
  <c r="L28" i="5"/>
  <c r="J38" i="5"/>
  <c r="E38" i="5"/>
  <c r="L37" i="5"/>
  <c r="O25" i="5" s="1"/>
  <c r="L21" i="6"/>
  <c r="L22" i="6"/>
  <c r="L23" i="6"/>
  <c r="L25" i="6"/>
  <c r="L26" i="6"/>
  <c r="L27" i="6"/>
  <c r="L30" i="6"/>
  <c r="L31" i="6"/>
  <c r="L32" i="6"/>
  <c r="L34" i="6"/>
  <c r="L35" i="6"/>
  <c r="L20" i="6"/>
  <c r="L7" i="6"/>
  <c r="L8" i="6"/>
  <c r="L11" i="6"/>
  <c r="L13" i="6"/>
  <c r="L4" i="6"/>
  <c r="M4" i="6"/>
  <c r="O20" i="6"/>
  <c r="O21" i="6"/>
  <c r="O22" i="6"/>
  <c r="O23" i="6"/>
  <c r="O25" i="6"/>
  <c r="O27" i="6"/>
  <c r="O30" i="6"/>
  <c r="O31" i="6"/>
  <c r="O32" i="6"/>
  <c r="O34" i="6"/>
  <c r="O35" i="6"/>
  <c r="N21" i="6"/>
  <c r="N23" i="6"/>
  <c r="N25" i="6"/>
  <c r="N26" i="6"/>
  <c r="N27" i="6"/>
  <c r="N30" i="6"/>
  <c r="N31" i="6"/>
  <c r="N32" i="6"/>
  <c r="N34" i="6"/>
  <c r="N35" i="6"/>
  <c r="N20" i="6"/>
  <c r="N4" i="6"/>
  <c r="N5" i="6"/>
  <c r="N7" i="6"/>
  <c r="N8" i="6"/>
  <c r="N11" i="6"/>
  <c r="N13" i="6"/>
  <c r="O4" i="6"/>
  <c r="O5" i="6"/>
  <c r="O7" i="6"/>
  <c r="O8" i="6"/>
  <c r="O11" i="6"/>
  <c r="O13" i="6"/>
  <c r="O40" i="6"/>
  <c r="N40" i="6"/>
  <c r="L9" i="5" l="1"/>
  <c r="M31" i="6"/>
  <c r="M30" i="6"/>
  <c r="L29" i="5"/>
  <c r="M26" i="6"/>
  <c r="M21" i="6"/>
  <c r="M35" i="6"/>
  <c r="M34" i="6"/>
  <c r="M23" i="6"/>
  <c r="M20" i="6"/>
  <c r="M16" i="6"/>
  <c r="M7" i="6"/>
  <c r="M27" i="6"/>
  <c r="M32" i="6"/>
  <c r="M25" i="6"/>
  <c r="M8" i="6"/>
  <c r="M22" i="6"/>
  <c r="M5" i="6"/>
  <c r="V9" i="6"/>
  <c r="W9" i="6"/>
  <c r="X9" i="6"/>
  <c r="Y9" i="6"/>
  <c r="Z9" i="6"/>
  <c r="AA9" i="6"/>
  <c r="AB9" i="6"/>
  <c r="AC9" i="6"/>
  <c r="AD9" i="6"/>
  <c r="O21" i="5" l="1"/>
  <c r="L10" i="5"/>
  <c r="M36" i="6"/>
  <c r="K36" i="6"/>
  <c r="J36" i="6"/>
  <c r="I36" i="6"/>
  <c r="H36" i="6"/>
  <c r="G36" i="6"/>
  <c r="F36" i="6"/>
  <c r="E36" i="6"/>
  <c r="D36" i="6"/>
  <c r="C36" i="6"/>
  <c r="B36" i="6"/>
  <c r="M33" i="6"/>
  <c r="K33" i="6"/>
  <c r="J33" i="6"/>
  <c r="I33" i="6"/>
  <c r="H33" i="6"/>
  <c r="G33" i="6"/>
  <c r="F33" i="6"/>
  <c r="E33" i="6"/>
  <c r="D33" i="6"/>
  <c r="C33" i="6"/>
  <c r="B33" i="6"/>
  <c r="M28" i="6"/>
  <c r="K28" i="6"/>
  <c r="J28" i="6"/>
  <c r="I28" i="6"/>
  <c r="H28" i="6"/>
  <c r="G28" i="6"/>
  <c r="F28" i="6"/>
  <c r="E28" i="6"/>
  <c r="D28" i="6"/>
  <c r="C28" i="6"/>
  <c r="B28" i="6"/>
  <c r="M24" i="6"/>
  <c r="K24" i="6"/>
  <c r="J24" i="6"/>
  <c r="I24" i="6"/>
  <c r="H24" i="6"/>
  <c r="G24" i="6"/>
  <c r="F24" i="6"/>
  <c r="E24" i="6"/>
  <c r="D24" i="6"/>
  <c r="C24" i="6"/>
  <c r="B24" i="6"/>
  <c r="M9" i="6"/>
  <c r="K9" i="6"/>
  <c r="J9" i="6"/>
  <c r="P9" i="6" s="1"/>
  <c r="I9" i="6"/>
  <c r="H9" i="6"/>
  <c r="G9" i="6"/>
  <c r="F9" i="6"/>
  <c r="E9" i="6"/>
  <c r="D9" i="6"/>
  <c r="C9" i="6"/>
  <c r="B9" i="6"/>
  <c r="M6" i="6"/>
  <c r="K6" i="6"/>
  <c r="J6" i="6"/>
  <c r="P6" i="6" s="1"/>
  <c r="I6" i="6"/>
  <c r="H6" i="6"/>
  <c r="G6" i="6"/>
  <c r="F6" i="6"/>
  <c r="E6" i="6"/>
  <c r="D6" i="6"/>
  <c r="C6" i="6"/>
  <c r="B6" i="6"/>
  <c r="M7" i="4"/>
  <c r="E21" i="4"/>
  <c r="E7" i="4"/>
  <c r="F7" i="4"/>
  <c r="G7" i="4"/>
  <c r="H7" i="4"/>
  <c r="I7" i="4"/>
  <c r="J7" i="4"/>
  <c r="K7" i="4"/>
  <c r="L7" i="4"/>
  <c r="D7" i="4"/>
  <c r="C7" i="4"/>
  <c r="C23" i="4" s="1"/>
  <c r="E23" i="4" l="1"/>
  <c r="D21" i="4"/>
  <c r="D23" i="4" s="1"/>
  <c r="L24" i="6"/>
  <c r="L36" i="6"/>
  <c r="L33" i="6"/>
  <c r="L6" i="6"/>
  <c r="Q6" i="6"/>
  <c r="L9" i="6"/>
  <c r="Q9" i="6"/>
  <c r="N28" i="6"/>
  <c r="N24" i="6"/>
  <c r="O28" i="6"/>
  <c r="L28" i="6"/>
  <c r="H21" i="4"/>
  <c r="H23" i="4" s="1"/>
  <c r="L21" i="4"/>
  <c r="L23" i="4" s="1"/>
  <c r="F21" i="4"/>
  <c r="F23" i="4" s="1"/>
  <c r="K21" i="4"/>
  <c r="K23" i="4" s="1"/>
  <c r="G21" i="4"/>
  <c r="G23" i="4" s="1"/>
  <c r="M21" i="4"/>
  <c r="M23" i="4" s="1"/>
  <c r="J21" i="4"/>
  <c r="J23" i="4" s="1"/>
  <c r="I21" i="4"/>
  <c r="I23" i="4" s="1"/>
  <c r="N9" i="6"/>
  <c r="O24" i="6"/>
  <c r="N6" i="6"/>
  <c r="O9" i="6"/>
  <c r="O6" i="6"/>
  <c r="N36" i="6"/>
  <c r="N33" i="6"/>
  <c r="O36" i="6"/>
  <c r="O33" i="6"/>
  <c r="AD11" i="6"/>
  <c r="E37" i="6"/>
  <c r="AC11" i="6"/>
  <c r="U11" i="6"/>
  <c r="V11" i="6"/>
  <c r="AA11" i="6"/>
  <c r="AB11" i="6"/>
  <c r="I10" i="6"/>
  <c r="I12" i="6" s="1"/>
  <c r="I14" i="6" s="1"/>
  <c r="E29" i="6"/>
  <c r="X11" i="6"/>
  <c r="D10" i="6"/>
  <c r="D12" i="6" s="1"/>
  <c r="D14" i="6" s="1"/>
  <c r="Y11" i="6"/>
  <c r="Z11" i="6"/>
  <c r="W11" i="6"/>
  <c r="K29" i="6"/>
  <c r="Q24" i="6" s="1"/>
  <c r="B37" i="6"/>
  <c r="D37" i="6"/>
  <c r="I37" i="6"/>
  <c r="M37" i="6"/>
  <c r="C10" i="6"/>
  <c r="C12" i="6" s="1"/>
  <c r="C14" i="6" s="1"/>
  <c r="D29" i="6"/>
  <c r="M29" i="6"/>
  <c r="F10" i="6"/>
  <c r="F12" i="6" s="1"/>
  <c r="F14" i="6" s="1"/>
  <c r="H10" i="6"/>
  <c r="H12" i="6" s="1"/>
  <c r="H14" i="6" s="1"/>
  <c r="I29" i="6"/>
  <c r="K10" i="6"/>
  <c r="Q10" i="6" s="1"/>
  <c r="B29" i="6"/>
  <c r="E10" i="6"/>
  <c r="E12" i="6" s="1"/>
  <c r="E14" i="6" s="1"/>
  <c r="C37" i="6"/>
  <c r="G10" i="6"/>
  <c r="G12" i="6" s="1"/>
  <c r="G14" i="6" s="1"/>
  <c r="H29" i="6"/>
  <c r="J37" i="6"/>
  <c r="P36" i="6" s="1"/>
  <c r="K37" i="6"/>
  <c r="Q36" i="6" s="1"/>
  <c r="J29" i="6"/>
  <c r="H37" i="6"/>
  <c r="C29" i="6"/>
  <c r="J10" i="6"/>
  <c r="F29" i="6"/>
  <c r="G29" i="6"/>
  <c r="M10" i="6"/>
  <c r="M12" i="6" s="1"/>
  <c r="B10" i="6"/>
  <c r="B12" i="6" s="1"/>
  <c r="B14" i="6" s="1"/>
  <c r="U20" i="6" s="1"/>
  <c r="F37" i="6"/>
  <c r="G37" i="6"/>
  <c r="C27" i="4" l="1"/>
  <c r="C28" i="4" s="1"/>
  <c r="C29" i="4"/>
  <c r="Q33" i="6"/>
  <c r="P20" i="6"/>
  <c r="P21" i="6"/>
  <c r="P22" i="6"/>
  <c r="P25" i="6"/>
  <c r="P23" i="6"/>
  <c r="P26" i="6"/>
  <c r="P27" i="6"/>
  <c r="P29" i="6"/>
  <c r="P33" i="6"/>
  <c r="Q31" i="6"/>
  <c r="Q32" i="6"/>
  <c r="Q37" i="6"/>
  <c r="Q34" i="6"/>
  <c r="Q35" i="6"/>
  <c r="Q30" i="6"/>
  <c r="P28" i="6"/>
  <c r="L29" i="6"/>
  <c r="Q29" i="6"/>
  <c r="Q22" i="6"/>
  <c r="Q23" i="6"/>
  <c r="Q20" i="6"/>
  <c r="Q21" i="6"/>
  <c r="Q27" i="6"/>
  <c r="Q25" i="6"/>
  <c r="Q26" i="6"/>
  <c r="Q28" i="6"/>
  <c r="N37" i="6"/>
  <c r="P34" i="6"/>
  <c r="P35" i="6"/>
  <c r="P37" i="6"/>
  <c r="P30" i="6"/>
  <c r="P31" i="6"/>
  <c r="P32" i="6"/>
  <c r="P24" i="6"/>
  <c r="N10" i="6"/>
  <c r="P10" i="6"/>
  <c r="O10" i="6"/>
  <c r="L10" i="6"/>
  <c r="O37" i="6"/>
  <c r="L37" i="6"/>
  <c r="M13" i="6"/>
  <c r="M14" i="6" s="1"/>
  <c r="N29" i="6"/>
  <c r="O29" i="6"/>
  <c r="AD18" i="6"/>
  <c r="K12" i="6"/>
  <c r="J12" i="6"/>
  <c r="AB6" i="6"/>
  <c r="AB20" i="6"/>
  <c r="AC18" i="6"/>
  <c r="AD21" i="6"/>
  <c r="X8" i="6"/>
  <c r="X21" i="6"/>
  <c r="W18" i="6"/>
  <c r="V6" i="6"/>
  <c r="V20" i="6"/>
  <c r="AA20" i="6"/>
  <c r="X6" i="6"/>
  <c r="X20" i="6"/>
  <c r="W5" i="6"/>
  <c r="W21" i="6"/>
  <c r="V18" i="6"/>
  <c r="Y21" i="6"/>
  <c r="X18" i="6"/>
  <c r="Z18" i="6"/>
  <c r="AA21" i="6"/>
  <c r="U18" i="6"/>
  <c r="V21" i="6"/>
  <c r="W6" i="6"/>
  <c r="W20" i="6"/>
  <c r="AA18" i="6"/>
  <c r="AB21" i="6"/>
  <c r="Z21" i="6"/>
  <c r="Y18" i="6"/>
  <c r="Y6" i="6"/>
  <c r="Y20" i="6"/>
  <c r="Z20" i="6"/>
  <c r="AB18" i="6"/>
  <c r="AC21" i="6"/>
  <c r="AD14" i="6"/>
  <c r="AC14" i="6"/>
  <c r="Y14" i="6"/>
  <c r="AB14" i="6"/>
  <c r="Z14" i="6"/>
  <c r="U6" i="6"/>
  <c r="V14" i="6"/>
  <c r="W14" i="6"/>
  <c r="U14" i="6"/>
  <c r="AA14" i="6"/>
  <c r="Y8" i="6"/>
  <c r="X14" i="6"/>
  <c r="B38" i="6"/>
  <c r="U15" i="6" s="1"/>
  <c r="E38" i="6"/>
  <c r="X15" i="6" s="1"/>
  <c r="V5" i="6"/>
  <c r="D38" i="6"/>
  <c r="W15" i="6" s="1"/>
  <c r="AA5" i="6"/>
  <c r="AB5" i="6"/>
  <c r="AB8" i="6"/>
  <c r="I38" i="6"/>
  <c r="AB15" i="6" s="1"/>
  <c r="AC8" i="6"/>
  <c r="Y5" i="6"/>
  <c r="Z8" i="6"/>
  <c r="C38" i="6"/>
  <c r="W8" i="6"/>
  <c r="AA8" i="6"/>
  <c r="K38" i="6"/>
  <c r="AD8" i="6"/>
  <c r="V8" i="6"/>
  <c r="X5" i="6"/>
  <c r="AA6" i="6"/>
  <c r="Z5" i="6"/>
  <c r="Z6" i="6"/>
  <c r="H38" i="6"/>
  <c r="J38" i="6"/>
  <c r="P38" i="6" s="1"/>
  <c r="G38" i="6"/>
  <c r="Z15" i="6" s="1"/>
  <c r="F38" i="6"/>
  <c r="Y13" i="6" s="1"/>
  <c r="L38" i="6" l="1"/>
  <c r="M38" i="6" s="1"/>
  <c r="Q38" i="6"/>
  <c r="N12" i="6"/>
  <c r="P12" i="6"/>
  <c r="L12" i="6"/>
  <c r="Q12" i="6"/>
  <c r="AB22" i="6"/>
  <c r="AB23" i="6" s="1"/>
  <c r="N38" i="6"/>
  <c r="O38" i="6"/>
  <c r="O12" i="6"/>
  <c r="AD15" i="6"/>
  <c r="AC15" i="6"/>
  <c r="W22" i="6"/>
  <c r="W23" i="6" s="1"/>
  <c r="J14" i="6"/>
  <c r="K14" i="6"/>
  <c r="Y22" i="6"/>
  <c r="Y23" i="6" s="1"/>
  <c r="X22" i="6"/>
  <c r="X23" i="6" s="1"/>
  <c r="V22" i="6"/>
  <c r="V23" i="6" s="1"/>
  <c r="AD22" i="6"/>
  <c r="AC22" i="6"/>
  <c r="AA22" i="6"/>
  <c r="AA23" i="6" s="1"/>
  <c r="AA13" i="6"/>
  <c r="Z22" i="6"/>
  <c r="Z23" i="6" s="1"/>
  <c r="X4" i="6"/>
  <c r="Z13" i="6"/>
  <c r="X13" i="6"/>
  <c r="AB13" i="6"/>
  <c r="U13" i="6"/>
  <c r="Y4" i="6"/>
  <c r="Y15" i="6"/>
  <c r="W4" i="6"/>
  <c r="V15" i="6"/>
  <c r="W13" i="6"/>
  <c r="AC13" i="6"/>
  <c r="AB4" i="6"/>
  <c r="AA15" i="6"/>
  <c r="V13" i="6"/>
  <c r="AD13" i="6"/>
  <c r="V4" i="6"/>
  <c r="Z4" i="6"/>
  <c r="AA4" i="6"/>
  <c r="P14" i="6" l="1"/>
  <c r="N14" i="6"/>
  <c r="L14" i="6"/>
  <c r="Q14" i="6"/>
  <c r="O14" i="6"/>
  <c r="AC4" i="6"/>
  <c r="AC20" i="6"/>
  <c r="AC23" i="6" s="1"/>
  <c r="AC6" i="6"/>
  <c r="AC5" i="6"/>
  <c r="AD6" i="6"/>
  <c r="AD5" i="6"/>
  <c r="AD20" i="6"/>
  <c r="AD23" i="6" s="1"/>
  <c r="AD4" i="6"/>
  <c r="L12" i="5" l="1"/>
  <c r="L13" i="5" l="1"/>
  <c r="L14" i="5" s="1"/>
  <c r="O18" i="5" s="1"/>
  <c r="L38" i="5" s="1"/>
  <c r="O2" i="5" s="1"/>
  <c r="O22" i="5" l="1"/>
  <c r="O26" i="5"/>
  <c r="O33" i="5" l="1"/>
  <c r="O30" i="5" s="1"/>
  <c r="O29" i="5"/>
  <c r="O3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Kristoffer Glover</author>
  </authors>
  <commentList>
    <comment ref="K40" authorId="0" shapeId="0" xr:uid="{32AC6510-ED6A-4BC5-A82B-BD029502F48C}">
      <text>
        <r>
          <rPr>
            <sz val="9"/>
            <color indexed="81"/>
            <rFont val="Tahoma"/>
            <family val="2"/>
          </rPr>
          <t>Market Cap to be used for Task 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Kristoffer Glover</author>
  </authors>
  <commentList>
    <comment ref="K40" authorId="0" shapeId="0" xr:uid="{8D514EDB-C8B9-4003-A0F9-68A4235E38A0}">
      <text>
        <r>
          <rPr>
            <sz val="9"/>
            <color indexed="81"/>
            <rFont val="Tahoma"/>
            <family val="2"/>
          </rPr>
          <t>Market Cap to be used for Task 5</t>
        </r>
      </text>
    </comment>
  </commentList>
</comments>
</file>

<file path=xl/sharedStrings.xml><?xml version="1.0" encoding="utf-8"?>
<sst xmlns="http://schemas.openxmlformats.org/spreadsheetml/2006/main" count="320" uniqueCount="184">
  <si>
    <t>All figures are in $thousands</t>
  </si>
  <si>
    <t>2013 Actual</t>
  </si>
  <si>
    <t>2014 Actual</t>
  </si>
  <si>
    <t>2015 Actual</t>
  </si>
  <si>
    <t>2016 Actual</t>
  </si>
  <si>
    <t>2017 Actual</t>
  </si>
  <si>
    <t>2018 Actual</t>
  </si>
  <si>
    <t>2019 Actual</t>
  </si>
  <si>
    <t>2020 Actual</t>
  </si>
  <si>
    <t>EXTERNAL FUNDING REQUIRED</t>
  </si>
  <si>
    <t>PROFIT AND LOSS STATEMENT</t>
  </si>
  <si>
    <t>Operating revenue</t>
  </si>
  <si>
    <t>Other revenue</t>
  </si>
  <si>
    <t>Total revenue</t>
  </si>
  <si>
    <t>Operating expenses</t>
  </si>
  <si>
    <t>Depreciation and amortisation</t>
  </si>
  <si>
    <t>Total expenses</t>
  </si>
  <si>
    <t>Profit before interest and tax (EBIT)</t>
  </si>
  <si>
    <t>Interest expense</t>
  </si>
  <si>
    <t>Profit before tax</t>
  </si>
  <si>
    <t>Tax Expense</t>
  </si>
  <si>
    <t>Net profit (or loss)</t>
  </si>
  <si>
    <t>Dividends paid</t>
  </si>
  <si>
    <t>BALANCE SHEET</t>
  </si>
  <si>
    <t>Cash</t>
  </si>
  <si>
    <t>Accounts receivables</t>
  </si>
  <si>
    <t>Inventories</t>
  </si>
  <si>
    <t>Other current assets</t>
  </si>
  <si>
    <t>Total current assets</t>
  </si>
  <si>
    <t>Fixed assets</t>
  </si>
  <si>
    <t>Goodwill</t>
  </si>
  <si>
    <t>Other non-current assets</t>
  </si>
  <si>
    <t>Total non-current assets</t>
  </si>
  <si>
    <t>Total assets</t>
  </si>
  <si>
    <t>Account payable</t>
  </si>
  <si>
    <t>Short-term debt</t>
  </si>
  <si>
    <t>Other current liabilities</t>
  </si>
  <si>
    <t>Total current liabilities</t>
  </si>
  <si>
    <t>Long-term debt</t>
  </si>
  <si>
    <t>Other non-current liabilities</t>
  </si>
  <si>
    <t>Total non-current liabilities</t>
  </si>
  <si>
    <t>Total liabilities</t>
  </si>
  <si>
    <t>Owners' equity</t>
  </si>
  <si>
    <t>Market capitalisation</t>
  </si>
  <si>
    <t>Date</t>
  </si>
  <si>
    <t>FTL</t>
  </si>
  <si>
    <t>AORD</t>
  </si>
  <si>
    <t>Year</t>
  </si>
  <si>
    <t>Net working capital</t>
  </si>
  <si>
    <t>‘Investment’</t>
  </si>
  <si>
    <t>Operating income</t>
  </si>
  <si>
    <t>Depreciation</t>
  </si>
  <si>
    <t>Tax expense (@30%)</t>
  </si>
  <si>
    <t>Note that the tax expense in the final year should include any extra tax (or tax deduction) from the sale of the fixed assets</t>
  </si>
  <si>
    <t>Net profit after tax</t>
  </si>
  <si>
    <t>Add back depreciation</t>
  </si>
  <si>
    <t>After-tax cash flow</t>
  </si>
  <si>
    <t>Free cash flow</t>
  </si>
  <si>
    <t>Discount rate =</t>
  </si>
  <si>
    <t>NPV =</t>
  </si>
  <si>
    <t>PI =</t>
  </si>
  <si>
    <t>IRR =</t>
  </si>
  <si>
    <t>2021 Actual</t>
  </si>
  <si>
    <t>2022 Actual</t>
  </si>
  <si>
    <t>2023 Forecast</t>
  </si>
  <si>
    <t>Profitability Ratios</t>
  </si>
  <si>
    <t>Formula</t>
  </si>
  <si>
    <t>Return on Equity (ROE)</t>
  </si>
  <si>
    <t>Net Profit / Average Equity</t>
  </si>
  <si>
    <t>Return on Assets (ROA)</t>
  </si>
  <si>
    <t>Net Profit / Average Total Assets</t>
  </si>
  <si>
    <t>Profit Margin (PM)</t>
  </si>
  <si>
    <t>Net Profit / Sales Revenue</t>
  </si>
  <si>
    <t>Efficiency Ratios</t>
  </si>
  <si>
    <t>Asset Turnover Ratio (ATO)</t>
  </si>
  <si>
    <t>Sales Revenue / Average Total Assets</t>
  </si>
  <si>
    <t>Days in Receivables</t>
  </si>
  <si>
    <t>Average Accounts Receivable / Sales Revenue * 365 days</t>
  </si>
  <si>
    <t>Liquidity Analysis</t>
  </si>
  <si>
    <t>Current Ratio</t>
  </si>
  <si>
    <t>Current Assets / Current Liabilities</t>
  </si>
  <si>
    <t>Capital Structure Ratios</t>
  </si>
  <si>
    <t>Debt to Equity (D/E)</t>
  </si>
  <si>
    <t>Total Liabilities / Total Equity</t>
  </si>
  <si>
    <t>Debt to Assets</t>
  </si>
  <si>
    <t>Total Liabilities / Total Assets</t>
  </si>
  <si>
    <t>Equity Ratio</t>
  </si>
  <si>
    <t>Total Equity / Total Assets</t>
  </si>
  <si>
    <t>Interest Coverage Ratio</t>
  </si>
  <si>
    <t>(Net Profit + Interest Expense + Tax Expense) / Interest Expense</t>
  </si>
  <si>
    <t>Market Performance Analysis</t>
  </si>
  <si>
    <t>Market to Book Ratio (M/B)</t>
  </si>
  <si>
    <t>Current Market Capitalisation / Net Assets</t>
  </si>
  <si>
    <t>DuPont Analysis</t>
  </si>
  <si>
    <t>ROE = PM * ATO * Leverage</t>
  </si>
  <si>
    <t>Leverage</t>
  </si>
  <si>
    <t>Average Total Assets / Average Equity</t>
  </si>
  <si>
    <t>Ratios</t>
  </si>
  <si>
    <t>2021 % Change</t>
  </si>
  <si>
    <t>2022 % Change</t>
  </si>
  <si>
    <t>Horizontal Analysis</t>
  </si>
  <si>
    <t>Percentage Calculation</t>
  </si>
  <si>
    <t>Percentage</t>
  </si>
  <si>
    <t>Assumptions</t>
  </si>
  <si>
    <t>Comments</t>
  </si>
  <si>
    <t>Operating revenue forecast for 2025</t>
  </si>
  <si>
    <t>Other revenue/operating revenue</t>
  </si>
  <si>
    <t>Operating expenses/operating revenue</t>
  </si>
  <si>
    <t>Depreciation and amortization</t>
  </si>
  <si>
    <t>Tax rate</t>
  </si>
  <si>
    <t>Total current assets/operating revenue</t>
  </si>
  <si>
    <t>Total non-current assets/operating revenue</t>
  </si>
  <si>
    <t>Accounts payable/operating revenue</t>
  </si>
  <si>
    <t>Other current liabilities/operating revenue</t>
  </si>
  <si>
    <t>Other non-current liabilities/operating revenue</t>
  </si>
  <si>
    <t>Dividend payout ratio (dividends/net profit)</t>
  </si>
  <si>
    <t>The operating revenue is expected to be a modest 5% higher in 2023;</t>
  </si>
  <si>
    <t>Assumes to be calculated using the formula Operating expense = $100 million + 0.5 × Operating revenue</t>
  </si>
  <si>
    <t>Assumed to stay the same value as in 2022</t>
  </si>
  <si>
    <t>Assumed to be 30% if NPBT is Positive</t>
  </si>
  <si>
    <t>Same percentage of operating revenue as they were in FY2022</t>
  </si>
  <si>
    <t>Dividend assumed to be 5% of Operating Revenue</t>
  </si>
  <si>
    <t>Analysis</t>
  </si>
  <si>
    <t>ROIC</t>
  </si>
  <si>
    <t>ROE</t>
  </si>
  <si>
    <t>Annual Depreciation</t>
  </si>
  <si>
    <t>Accumulated Depreciation</t>
  </si>
  <si>
    <t>Book Vaue</t>
  </si>
  <si>
    <t>2 per year</t>
  </si>
  <si>
    <t>Price</t>
  </si>
  <si>
    <t>Weekly Return</t>
  </si>
  <si>
    <t>E</t>
  </si>
  <si>
    <t>Market value of equity =</t>
  </si>
  <si>
    <t>D</t>
  </si>
  <si>
    <t>Market value of debt =</t>
  </si>
  <si>
    <t>r_F</t>
  </si>
  <si>
    <t>Risk-free rate =</t>
  </si>
  <si>
    <t>MRP</t>
  </si>
  <si>
    <t>Market risk-premium =</t>
  </si>
  <si>
    <t>beta</t>
  </si>
  <si>
    <t>Equity beta =</t>
  </si>
  <si>
    <t>t</t>
  </si>
  <si>
    <t>Corporate tax rate =</t>
  </si>
  <si>
    <t>K_E</t>
  </si>
  <si>
    <t>Cost of equity =</t>
  </si>
  <si>
    <t>K_D</t>
  </si>
  <si>
    <t>(pre-tax) Cost of debt =</t>
  </si>
  <si>
    <t>WACC =</t>
  </si>
  <si>
    <t>Yield to Maturity %</t>
  </si>
  <si>
    <t>Annual Equivalent Rate %</t>
  </si>
  <si>
    <t>Accrued Interest $</t>
  </si>
  <si>
    <t>Given Information</t>
  </si>
  <si>
    <t>Market Value of Equity=</t>
  </si>
  <si>
    <t>Market Value of Debt=</t>
  </si>
  <si>
    <t>Contracted coupon rate=</t>
  </si>
  <si>
    <t>Coupon payment frequency=</t>
  </si>
  <si>
    <t>Current market price (as of 20 July 2023)=</t>
  </si>
  <si>
    <t>Maturity Date=</t>
  </si>
  <si>
    <t>17 August, 2027</t>
  </si>
  <si>
    <t>Calculated Information</t>
  </si>
  <si>
    <t>EBIT=</t>
  </si>
  <si>
    <t>Funding Required=</t>
  </si>
  <si>
    <t>Tax Rate=</t>
  </si>
  <si>
    <t>Interest Rate on Debt=</t>
  </si>
  <si>
    <t>Debt without additional financing=</t>
  </si>
  <si>
    <t>Equity without additional financing=</t>
  </si>
  <si>
    <t>Only Equity-Based Financing Option</t>
  </si>
  <si>
    <t>Only Debt-Based Financing Option</t>
  </si>
  <si>
    <t>Vertical Analysis</t>
  </si>
  <si>
    <t>-</t>
  </si>
  <si>
    <t>Variables</t>
  </si>
  <si>
    <t>Calculation</t>
  </si>
  <si>
    <t>Q.1</t>
  </si>
  <si>
    <t>Q.2</t>
  </si>
  <si>
    <t>Original Value</t>
  </si>
  <si>
    <t>Variable</t>
  </si>
  <si>
    <t>Change in Operating Revenue</t>
  </si>
  <si>
    <t>Operating Revenue</t>
  </si>
  <si>
    <t>Q.3</t>
  </si>
  <si>
    <t>Operating Expenses</t>
  </si>
  <si>
    <t>Task</t>
  </si>
  <si>
    <t>Interest Expense</t>
  </si>
  <si>
    <t>Change in Operating revenues</t>
  </si>
  <si>
    <t>Change in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</si>
</sst>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-&quot;$&quot;#,##0"/>
    <numFmt numFmtId="165" formatCode="&quot;$&quot;#,##0"/>
    <numFmt numFmtId="166" formatCode="&quot;$&quot;#,##0.0;[Red]\-&quot;$&quot;#,##0.0"/>
    <numFmt numFmtId="167" formatCode="#,##0.00_ ;[Red]\-#,##0.00\ "/>
    <numFmt numFmtId="168" formatCode="0.0%"/>
    <numFmt numFmtId="169" formatCode="_(&quot;$&quot;* #,##0_);_(&quot;$&quot;* \(#,##0\);_(&quot;$&quot;* &quot;-&quot;??_);_(@_)"/>
    <numFmt numFmtId="170" formatCode="0.000%"/>
    <numFmt numFmtId="171" formatCode="0.000"/>
    <numFmt numFmtId="172" formatCode="&quot;$&quot;#,##0.00"/>
  </numFmts>
  <fonts count="18" x14ac:knownFonts="1">
    <font>
      <sz val="11"/>
      <color theme="1"/>
      <name val="Calibri"/>
      <family val="2"/>
      <scheme val="minor"/>
    </font>
    <font>
      <b/>
      <sz val="12"/>
      <color rgb="FFFF0000"/>
      <name val="Lato"/>
      <family val="2"/>
    </font>
    <font>
      <sz val="12"/>
      <color theme="1"/>
      <name val="Lato"/>
      <family val="2"/>
    </font>
    <font>
      <sz val="12"/>
      <name val="Lato"/>
      <family val="2"/>
    </font>
    <font>
      <b/>
      <sz val="12"/>
      <name val="Lato"/>
      <family val="2"/>
    </font>
    <font>
      <b/>
      <sz val="12"/>
      <color theme="1"/>
      <name val="Lato"/>
      <family val="2"/>
    </font>
    <font>
      <sz val="12"/>
      <color rgb="FF252B2B"/>
      <name val="Lato"/>
      <family val="2"/>
    </font>
    <font>
      <b/>
      <sz val="12"/>
      <color rgb="FF252B2B"/>
      <name val="Lato"/>
      <family val="2"/>
    </font>
    <font>
      <b/>
      <sz val="12"/>
      <color theme="9" tint="-0.249977111117893"/>
      <name val="Lato"/>
      <family val="2"/>
    </font>
    <font>
      <b/>
      <sz val="12"/>
      <color rgb="FF0070C0"/>
      <name val="Lato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Lato"/>
    </font>
    <font>
      <b/>
      <sz val="11"/>
      <color theme="8"/>
      <name val="Lato"/>
    </font>
    <font>
      <sz val="11"/>
      <color theme="1"/>
      <name val="Lato"/>
      <family val="2"/>
    </font>
    <font>
      <sz val="8"/>
      <color rgb="FF252B2B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3" fillId="0" borderId="7" xfId="0" applyFont="1" applyBorder="1" applyAlignment="1">
      <alignment horizontal="left"/>
    </xf>
    <xf numFmtId="165" fontId="3" fillId="0" borderId="0" xfId="0" applyNumberFormat="1" applyFont="1"/>
    <xf numFmtId="165" fontId="3" fillId="0" borderId="8" xfId="0" applyNumberFormat="1" applyFont="1" applyBorder="1"/>
    <xf numFmtId="165" fontId="3" fillId="3" borderId="8" xfId="0" applyNumberFormat="1" applyFont="1" applyFill="1" applyBorder="1"/>
    <xf numFmtId="165" fontId="2" fillId="0" borderId="0" xfId="0" applyNumberFormat="1" applyFont="1"/>
    <xf numFmtId="0" fontId="3" fillId="0" borderId="9" xfId="0" applyFont="1" applyBorder="1"/>
    <xf numFmtId="165" fontId="3" fillId="0" borderId="10" xfId="0" applyNumberFormat="1" applyFont="1" applyBorder="1"/>
    <xf numFmtId="165" fontId="3" fillId="0" borderId="11" xfId="0" applyNumberFormat="1" applyFont="1" applyBorder="1"/>
    <xf numFmtId="0" fontId="3" fillId="0" borderId="12" xfId="0" applyFont="1" applyBorder="1"/>
    <xf numFmtId="165" fontId="3" fillId="0" borderId="13" xfId="0" applyNumberFormat="1" applyFont="1" applyBorder="1"/>
    <xf numFmtId="165" fontId="3" fillId="0" borderId="14" xfId="0" applyNumberFormat="1" applyFont="1" applyBorder="1"/>
    <xf numFmtId="165" fontId="3" fillId="3" borderId="14" xfId="0" applyNumberFormat="1" applyFont="1" applyFill="1" applyBorder="1"/>
    <xf numFmtId="0" fontId="3" fillId="0" borderId="7" xfId="0" applyFont="1" applyBorder="1"/>
    <xf numFmtId="0" fontId="3" fillId="0" borderId="15" xfId="0" applyFont="1" applyBorder="1"/>
    <xf numFmtId="165" fontId="3" fillId="0" borderId="16" xfId="0" applyNumberFormat="1" applyFont="1" applyBorder="1"/>
    <xf numFmtId="165" fontId="3" fillId="0" borderId="17" xfId="0" applyNumberFormat="1" applyFont="1" applyBorder="1"/>
    <xf numFmtId="0" fontId="3" fillId="0" borderId="18" xfId="0" applyFont="1" applyBorder="1"/>
    <xf numFmtId="165" fontId="4" fillId="0" borderId="19" xfId="0" applyNumberFormat="1" applyFont="1" applyBorder="1"/>
    <xf numFmtId="165" fontId="4" fillId="0" borderId="20" xfId="0" applyNumberFormat="1" applyFont="1" applyBorder="1"/>
    <xf numFmtId="9" fontId="3" fillId="0" borderId="0" xfId="0" applyNumberFormat="1" applyFont="1"/>
    <xf numFmtId="0" fontId="3" fillId="0" borderId="2" xfId="0" applyFont="1" applyBorder="1"/>
    <xf numFmtId="165" fontId="3" fillId="0" borderId="21" xfId="0" applyNumberFormat="1" applyFont="1" applyBorder="1"/>
    <xf numFmtId="165" fontId="3" fillId="0" borderId="3" xfId="0" applyNumberFormat="1" applyFont="1" applyBorder="1"/>
    <xf numFmtId="165" fontId="3" fillId="3" borderId="3" xfId="0" applyNumberFormat="1" applyFont="1" applyFill="1" applyBorder="1"/>
    <xf numFmtId="10" fontId="3" fillId="0" borderId="0" xfId="0" applyNumberFormat="1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5" fontId="3" fillId="0" borderId="19" xfId="0" applyNumberFormat="1" applyFont="1" applyBorder="1"/>
    <xf numFmtId="165" fontId="3" fillId="0" borderId="20" xfId="0" applyNumberFormat="1" applyFont="1" applyBorder="1"/>
    <xf numFmtId="165" fontId="3" fillId="3" borderId="20" xfId="0" applyNumberFormat="1" applyFont="1" applyFill="1" applyBorder="1"/>
    <xf numFmtId="0" fontId="5" fillId="0" borderId="2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4" fontId="2" fillId="0" borderId="23" xfId="0" applyNumberFormat="1" applyFont="1" applyBorder="1" applyAlignment="1">
      <alignment horizontal="right"/>
    </xf>
    <xf numFmtId="14" fontId="2" fillId="0" borderId="24" xfId="0" applyNumberFormat="1" applyFont="1" applyBorder="1" applyAlignment="1">
      <alignment horizontal="right"/>
    </xf>
    <xf numFmtId="0" fontId="6" fillId="0" borderId="1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4" fontId="6" fillId="0" borderId="8" xfId="0" applyNumberFormat="1" applyFont="1" applyBorder="1" applyAlignment="1">
      <alignment horizontal="right" vertical="center" wrapText="1"/>
    </xf>
    <xf numFmtId="164" fontId="3" fillId="0" borderId="8" xfId="0" applyNumberFormat="1" applyFont="1" applyBorder="1" applyAlignment="1">
      <alignment horizontal="right" vertical="center" wrapText="1"/>
    </xf>
    <xf numFmtId="0" fontId="6" fillId="0" borderId="24" xfId="0" applyFont="1" applyBorder="1" applyAlignment="1">
      <alignment vertical="center" wrapText="1"/>
    </xf>
    <xf numFmtId="164" fontId="3" fillId="0" borderId="19" xfId="0" applyNumberFormat="1" applyFont="1" applyBorder="1" applyAlignment="1">
      <alignment horizontal="right" vertical="center" wrapText="1"/>
    </xf>
    <xf numFmtId="164" fontId="3" fillId="0" borderId="0" xfId="0" applyNumberFormat="1" applyFont="1" applyAlignment="1">
      <alignment horizontal="left" vertical="center"/>
    </xf>
    <xf numFmtId="166" fontId="0" fillId="0" borderId="0" xfId="0" applyNumberFormat="1"/>
    <xf numFmtId="0" fontId="7" fillId="0" borderId="24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64" fontId="0" fillId="0" borderId="0" xfId="0" applyNumberFormat="1"/>
    <xf numFmtId="0" fontId="6" fillId="0" borderId="7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3" fillId="0" borderId="6" xfId="0" applyNumberFormat="1" applyFont="1" applyBorder="1" applyAlignment="1">
      <alignment horizontal="right" vertical="center" wrapText="1"/>
    </xf>
    <xf numFmtId="164" fontId="3" fillId="0" borderId="7" xfId="0" applyNumberFormat="1" applyFont="1" applyBorder="1" applyAlignment="1">
      <alignment horizontal="right" vertical="center" wrapText="1"/>
    </xf>
    <xf numFmtId="164" fontId="3" fillId="0" borderId="18" xfId="0" applyNumberFormat="1" applyFont="1" applyBorder="1" applyAlignment="1">
      <alignment horizontal="right" vertical="center" wrapText="1"/>
    </xf>
    <xf numFmtId="0" fontId="7" fillId="0" borderId="4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right" vertical="center" wrapText="1"/>
    </xf>
    <xf numFmtId="164" fontId="9" fillId="3" borderId="6" xfId="0" applyNumberFormat="1" applyFont="1" applyFill="1" applyBorder="1"/>
    <xf numFmtId="167" fontId="9" fillId="3" borderId="8" xfId="0" applyNumberFormat="1" applyFont="1" applyFill="1" applyBorder="1"/>
    <xf numFmtId="10" fontId="8" fillId="3" borderId="3" xfId="0" applyNumberFormat="1" applyFont="1" applyFill="1" applyBorder="1"/>
    <xf numFmtId="164" fontId="3" fillId="3" borderId="7" xfId="0" applyNumberFormat="1" applyFont="1" applyFill="1" applyBorder="1" applyAlignment="1">
      <alignment horizontal="right" vertical="center" wrapText="1"/>
    </xf>
    <xf numFmtId="164" fontId="3" fillId="3" borderId="8" xfId="0" applyNumberFormat="1" applyFont="1" applyFill="1" applyBorder="1" applyAlignment="1">
      <alignment horizontal="right" vertical="center" wrapText="1"/>
    </xf>
    <xf numFmtId="164" fontId="3" fillId="3" borderId="19" xfId="0" applyNumberFormat="1" applyFont="1" applyFill="1" applyBorder="1" applyAlignment="1">
      <alignment horizontal="right" vertical="center" wrapText="1"/>
    </xf>
    <xf numFmtId="164" fontId="3" fillId="3" borderId="20" xfId="0" applyNumberFormat="1" applyFont="1" applyFill="1" applyBorder="1" applyAlignment="1">
      <alignment horizontal="right" vertical="center" wrapText="1"/>
    </xf>
    <xf numFmtId="164" fontId="4" fillId="3" borderId="18" xfId="0" applyNumberFormat="1" applyFont="1" applyFill="1" applyBorder="1" applyAlignment="1">
      <alignment horizontal="right" vertical="center" wrapText="1"/>
    </xf>
    <xf numFmtId="164" fontId="4" fillId="3" borderId="19" xfId="0" applyNumberFormat="1" applyFont="1" applyFill="1" applyBorder="1" applyAlignment="1">
      <alignment horizontal="right" vertical="center" wrapText="1"/>
    </xf>
    <xf numFmtId="14" fontId="2" fillId="0" borderId="1" xfId="0" applyNumberFormat="1" applyFont="1" applyBorder="1" applyAlignment="1">
      <alignment horizontal="right"/>
    </xf>
    <xf numFmtId="0" fontId="2" fillId="0" borderId="5" xfId="0" applyFont="1" applyBorder="1"/>
    <xf numFmtId="0" fontId="2" fillId="0" borderId="19" xfId="0" applyFont="1" applyBorder="1"/>
    <xf numFmtId="2" fontId="2" fillId="0" borderId="6" xfId="0" applyNumberFormat="1" applyFont="1" applyBorder="1" applyAlignment="1">
      <alignment horizontal="right"/>
    </xf>
    <xf numFmtId="2" fontId="2" fillId="0" borderId="8" xfId="0" applyNumberFormat="1" applyFont="1" applyBorder="1" applyAlignment="1">
      <alignment horizontal="right"/>
    </xf>
    <xf numFmtId="2" fontId="2" fillId="0" borderId="20" xfId="0" applyNumberFormat="1" applyFont="1" applyBorder="1" applyAlignment="1">
      <alignment horizontal="right"/>
    </xf>
    <xf numFmtId="2" fontId="0" fillId="0" borderId="0" xfId="0" applyNumberFormat="1"/>
    <xf numFmtId="9" fontId="5" fillId="0" borderId="0" xfId="2" applyFont="1" applyBorder="1"/>
    <xf numFmtId="0" fontId="4" fillId="0" borderId="22" xfId="0" applyFont="1" applyBorder="1" applyAlignment="1">
      <alignment horizontal="center"/>
    </xf>
    <xf numFmtId="0" fontId="5" fillId="0" borderId="8" xfId="0" applyFont="1" applyBorder="1"/>
    <xf numFmtId="9" fontId="5" fillId="0" borderId="7" xfId="2" applyFont="1" applyBorder="1"/>
    <xf numFmtId="9" fontId="5" fillId="0" borderId="8" xfId="2" applyFont="1" applyBorder="1"/>
    <xf numFmtId="9" fontId="5" fillId="0" borderId="18" xfId="2" applyFont="1" applyBorder="1"/>
    <xf numFmtId="9" fontId="5" fillId="0" borderId="20" xfId="2" applyFont="1" applyBorder="1"/>
    <xf numFmtId="0" fontId="0" fillId="3" borderId="7" xfId="0" applyFill="1" applyBorder="1"/>
    <xf numFmtId="10" fontId="0" fillId="3" borderId="0" xfId="2" applyNumberFormat="1" applyFont="1" applyFill="1" applyBorder="1"/>
    <xf numFmtId="10" fontId="0" fillId="3" borderId="8" xfId="2" applyNumberFormat="1" applyFont="1" applyFill="1" applyBorder="1"/>
    <xf numFmtId="0" fontId="0" fillId="0" borderId="7" xfId="0" applyBorder="1"/>
    <xf numFmtId="10" fontId="0" fillId="0" borderId="0" xfId="2" applyNumberFormat="1" applyFont="1" applyBorder="1"/>
    <xf numFmtId="165" fontId="2" fillId="0" borderId="8" xfId="0" applyNumberFormat="1" applyFont="1" applyBorder="1"/>
    <xf numFmtId="0" fontId="0" fillId="0" borderId="18" xfId="0" applyBorder="1"/>
    <xf numFmtId="10" fontId="0" fillId="0" borderId="19" xfId="2" applyNumberFormat="1" applyFont="1" applyBorder="1"/>
    <xf numFmtId="165" fontId="2" fillId="0" borderId="20" xfId="0" applyNumberFormat="1" applyFont="1" applyBorder="1"/>
    <xf numFmtId="0" fontId="2" fillId="0" borderId="8" xfId="0" applyFont="1" applyBorder="1"/>
    <xf numFmtId="0" fontId="12" fillId="0" borderId="7" xfId="0" applyFont="1" applyBorder="1"/>
    <xf numFmtId="2" fontId="0" fillId="0" borderId="0" xfId="2" applyNumberFormat="1" applyFont="1" applyBorder="1"/>
    <xf numFmtId="168" fontId="0" fillId="0" borderId="0" xfId="2" applyNumberFormat="1" applyFont="1" applyBorder="1"/>
    <xf numFmtId="0" fontId="0" fillId="0" borderId="19" xfId="0" applyBorder="1"/>
    <xf numFmtId="0" fontId="0" fillId="3" borderId="19" xfId="0" applyFill="1" applyBorder="1"/>
    <xf numFmtId="10" fontId="0" fillId="3" borderId="19" xfId="2" applyNumberFormat="1" applyFont="1" applyFill="1" applyBorder="1"/>
    <xf numFmtId="0" fontId="2" fillId="0" borderId="20" xfId="0" applyFont="1" applyBorder="1"/>
    <xf numFmtId="0" fontId="12" fillId="0" borderId="2" xfId="0" applyFont="1" applyBorder="1"/>
    <xf numFmtId="0" fontId="12" fillId="0" borderId="21" xfId="0" applyFont="1" applyBorder="1"/>
    <xf numFmtId="2" fontId="0" fillId="0" borderId="19" xfId="0" applyNumberFormat="1" applyBorder="1"/>
    <xf numFmtId="2" fontId="0" fillId="0" borderId="20" xfId="0" applyNumberFormat="1" applyBorder="1"/>
    <xf numFmtId="0" fontId="0" fillId="3" borderId="18" xfId="0" applyFill="1" applyBorder="1"/>
    <xf numFmtId="44" fontId="4" fillId="0" borderId="20" xfId="1" applyFont="1" applyBorder="1"/>
    <xf numFmtId="44" fontId="4" fillId="0" borderId="19" xfId="1" applyFont="1" applyBorder="1"/>
    <xf numFmtId="9" fontId="5" fillId="0" borderId="23" xfId="2" applyFont="1" applyBorder="1"/>
    <xf numFmtId="9" fontId="5" fillId="0" borderId="24" xfId="2" applyFont="1" applyBorder="1"/>
    <xf numFmtId="9" fontId="3" fillId="0" borderId="14" xfId="2" applyFont="1" applyBorder="1"/>
    <xf numFmtId="0" fontId="2" fillId="0" borderId="12" xfId="0" applyFont="1" applyBorder="1"/>
    <xf numFmtId="165" fontId="5" fillId="3" borderId="25" xfId="0" applyNumberFormat="1" applyFont="1" applyFill="1" applyBorder="1"/>
    <xf numFmtId="0" fontId="2" fillId="0" borderId="7" xfId="0" applyFont="1" applyBorder="1"/>
    <xf numFmtId="168" fontId="2" fillId="0" borderId="26" xfId="0" applyNumberFormat="1" applyFont="1" applyBorder="1"/>
    <xf numFmtId="168" fontId="2" fillId="3" borderId="26" xfId="0" applyNumberFormat="1" applyFont="1" applyFill="1" applyBorder="1"/>
    <xf numFmtId="165" fontId="2" fillId="0" borderId="26" xfId="0" applyNumberFormat="1" applyFont="1" applyBorder="1"/>
    <xf numFmtId="165" fontId="2" fillId="3" borderId="26" xfId="0" applyNumberFormat="1" applyFont="1" applyFill="1" applyBorder="1"/>
    <xf numFmtId="0" fontId="2" fillId="0" borderId="18" xfId="0" applyFont="1" applyBorder="1"/>
    <xf numFmtId="168" fontId="2" fillId="3" borderId="27" xfId="0" applyNumberFormat="1" applyFont="1" applyFill="1" applyBorder="1"/>
    <xf numFmtId="9" fontId="2" fillId="0" borderId="26" xfId="2" applyFont="1" applyBorder="1"/>
    <xf numFmtId="44" fontId="2" fillId="3" borderId="26" xfId="1" applyFont="1" applyFill="1" applyBorder="1"/>
    <xf numFmtId="0" fontId="7" fillId="0" borderId="0" xfId="0" applyFont="1" applyAlignment="1">
      <alignment vertical="center" wrapText="1"/>
    </xf>
    <xf numFmtId="44" fontId="7" fillId="0" borderId="0" xfId="1" applyFont="1" applyAlignment="1">
      <alignment vertical="center" wrapText="1"/>
    </xf>
    <xf numFmtId="169" fontId="7" fillId="0" borderId="0" xfId="1" applyNumberFormat="1" applyFont="1" applyAlignment="1">
      <alignment vertical="center" wrapText="1"/>
    </xf>
    <xf numFmtId="10" fontId="7" fillId="0" borderId="0" xfId="2" applyNumberFormat="1" applyFont="1" applyAlignment="1">
      <alignment vertical="center" wrapText="1"/>
    </xf>
    <xf numFmtId="0" fontId="7" fillId="0" borderId="0" xfId="1" applyNumberFormat="1" applyFont="1" applyAlignment="1">
      <alignment vertical="center" wrapText="1"/>
    </xf>
    <xf numFmtId="0" fontId="5" fillId="0" borderId="2" xfId="0" applyFont="1" applyBorder="1" applyAlignment="1">
      <alignment horizontal="center"/>
    </xf>
    <xf numFmtId="10" fontId="2" fillId="0" borderId="7" xfId="2" applyNumberFormat="1" applyFont="1" applyBorder="1"/>
    <xf numFmtId="10" fontId="2" fillId="0" borderId="8" xfId="2" applyNumberFormat="1" applyFont="1" applyBorder="1"/>
    <xf numFmtId="10" fontId="2" fillId="0" borderId="18" xfId="2" applyNumberFormat="1" applyFont="1" applyBorder="1"/>
    <xf numFmtId="10" fontId="2" fillId="0" borderId="20" xfId="2" applyNumberFormat="1" applyFont="1" applyBorder="1"/>
    <xf numFmtId="0" fontId="14" fillId="0" borderId="0" xfId="0" applyFont="1"/>
    <xf numFmtId="0" fontId="14" fillId="0" borderId="4" xfId="0" applyFont="1" applyBorder="1" applyAlignment="1">
      <alignment horizontal="right"/>
    </xf>
    <xf numFmtId="165" fontId="14" fillId="0" borderId="6" xfId="0" applyNumberFormat="1" applyFont="1" applyBorder="1"/>
    <xf numFmtId="0" fontId="14" fillId="0" borderId="18" xfId="0" applyFont="1" applyBorder="1" applyAlignment="1">
      <alignment horizontal="right"/>
    </xf>
    <xf numFmtId="165" fontId="14" fillId="0" borderId="0" xfId="0" applyNumberFormat="1" applyFont="1"/>
    <xf numFmtId="0" fontId="14" fillId="0" borderId="7" xfId="0" applyFont="1" applyBorder="1" applyAlignment="1">
      <alignment horizontal="right"/>
    </xf>
    <xf numFmtId="10" fontId="14" fillId="0" borderId="8" xfId="0" applyNumberFormat="1" applyFont="1" applyBorder="1"/>
    <xf numFmtId="171" fontId="14" fillId="3" borderId="8" xfId="0" applyNumberFormat="1" applyFont="1" applyFill="1" applyBorder="1"/>
    <xf numFmtId="9" fontId="14" fillId="3" borderId="20" xfId="0" applyNumberFormat="1" applyFont="1" applyFill="1" applyBorder="1"/>
    <xf numFmtId="0" fontId="14" fillId="0" borderId="0" xfId="0" applyFont="1" applyAlignment="1">
      <alignment horizontal="right"/>
    </xf>
    <xf numFmtId="170" fontId="14" fillId="3" borderId="6" xfId="0" applyNumberFormat="1" applyFont="1" applyFill="1" applyBorder="1"/>
    <xf numFmtId="0" fontId="14" fillId="0" borderId="2" xfId="0" applyFont="1" applyBorder="1" applyAlignment="1">
      <alignment horizontal="right"/>
    </xf>
    <xf numFmtId="170" fontId="15" fillId="3" borderId="3" xfId="0" applyNumberFormat="1" applyFont="1" applyFill="1" applyBorder="1"/>
    <xf numFmtId="10" fontId="2" fillId="0" borderId="8" xfId="0" applyNumberFormat="1" applyFont="1" applyBorder="1"/>
    <xf numFmtId="0" fontId="2" fillId="0" borderId="4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164" fontId="3" fillId="0" borderId="0" xfId="0" applyNumberFormat="1" applyFont="1" applyAlignment="1">
      <alignment horizontal="right" vertical="center" wrapText="1"/>
    </xf>
    <xf numFmtId="164" fontId="3" fillId="0" borderId="20" xfId="0" applyNumberFormat="1" applyFont="1" applyBorder="1" applyAlignment="1">
      <alignment horizontal="right" vertical="center" wrapText="1"/>
    </xf>
    <xf numFmtId="164" fontId="4" fillId="3" borderId="20" xfId="0" applyNumberFormat="1" applyFont="1" applyFill="1" applyBorder="1" applyAlignment="1">
      <alignment horizontal="right" vertical="center" wrapText="1"/>
    </xf>
    <xf numFmtId="165" fontId="14" fillId="0" borderId="8" xfId="0" applyNumberFormat="1" applyFont="1" applyBorder="1"/>
    <xf numFmtId="10" fontId="14" fillId="0" borderId="8" xfId="2" applyNumberFormat="1" applyFont="1" applyBorder="1"/>
    <xf numFmtId="172" fontId="14" fillId="0" borderId="8" xfId="0" applyNumberFormat="1" applyFont="1" applyBorder="1"/>
    <xf numFmtId="0" fontId="16" fillId="0" borderId="4" xfId="0" applyFont="1" applyBorder="1" applyAlignment="1">
      <alignment horizontal="right"/>
    </xf>
    <xf numFmtId="0" fontId="16" fillId="0" borderId="7" xfId="0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165" fontId="14" fillId="0" borderId="8" xfId="0" applyNumberFormat="1" applyFont="1" applyBorder="1" applyAlignment="1">
      <alignment horizontal="right"/>
    </xf>
    <xf numFmtId="165" fontId="16" fillId="0" borderId="20" xfId="0" applyNumberFormat="1" applyFont="1" applyBorder="1" applyAlignment="1">
      <alignment horizontal="right"/>
    </xf>
    <xf numFmtId="0" fontId="16" fillId="0" borderId="0" xfId="0" applyFont="1" applyAlignment="1">
      <alignment horizontal="right"/>
    </xf>
    <xf numFmtId="165" fontId="16" fillId="0" borderId="0" xfId="0" applyNumberFormat="1" applyFont="1" applyAlignment="1">
      <alignment horizontal="right"/>
    </xf>
    <xf numFmtId="170" fontId="14" fillId="3" borderId="20" xfId="0" applyNumberFormat="1" applyFont="1" applyFill="1" applyBorder="1"/>
    <xf numFmtId="10" fontId="2" fillId="3" borderId="6" xfId="0" applyNumberFormat="1" applyFont="1" applyFill="1" applyBorder="1"/>
    <xf numFmtId="165" fontId="14" fillId="3" borderId="6" xfId="0" applyNumberFormat="1" applyFont="1" applyFill="1" applyBorder="1"/>
    <xf numFmtId="165" fontId="14" fillId="3" borderId="20" xfId="0" applyNumberFormat="1" applyFont="1" applyFill="1" applyBorder="1"/>
    <xf numFmtId="165" fontId="2" fillId="0" borderId="6" xfId="0" applyNumberFormat="1" applyFont="1" applyBorder="1"/>
    <xf numFmtId="9" fontId="2" fillId="0" borderId="8" xfId="2" applyFont="1" applyBorder="1"/>
    <xf numFmtId="165" fontId="2" fillId="0" borderId="4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5" fontId="2" fillId="0" borderId="18" xfId="0" applyNumberFormat="1" applyFont="1" applyBorder="1" applyAlignment="1">
      <alignment horizontal="right"/>
    </xf>
    <xf numFmtId="0" fontId="5" fillId="0" borderId="1" xfId="0" applyFont="1" applyBorder="1"/>
    <xf numFmtId="9" fontId="5" fillId="0" borderId="2" xfId="2" applyFont="1" applyBorder="1"/>
    <xf numFmtId="9" fontId="5" fillId="0" borderId="3" xfId="2" applyFont="1" applyBorder="1"/>
    <xf numFmtId="0" fontId="5" fillId="5" borderId="22" xfId="0" applyFont="1" applyFill="1" applyBorder="1"/>
    <xf numFmtId="168" fontId="3" fillId="0" borderId="23" xfId="2" applyNumberFormat="1" applyFont="1" applyBorder="1"/>
    <xf numFmtId="168" fontId="3" fillId="0" borderId="24" xfId="2" applyNumberFormat="1" applyFont="1" applyBorder="1"/>
    <xf numFmtId="0" fontId="4" fillId="0" borderId="3" xfId="0" applyFont="1" applyBorder="1" applyAlignment="1">
      <alignment horizontal="center"/>
    </xf>
    <xf numFmtId="0" fontId="5" fillId="0" borderId="23" xfId="0" applyFont="1" applyBorder="1"/>
    <xf numFmtId="9" fontId="5" fillId="0" borderId="21" xfId="2" applyFont="1" applyBorder="1"/>
    <xf numFmtId="9" fontId="5" fillId="0" borderId="7" xfId="2" applyFont="1" applyBorder="1" applyAlignment="1">
      <alignment horizontal="center"/>
    </xf>
    <xf numFmtId="9" fontId="5" fillId="0" borderId="2" xfId="2" applyFont="1" applyBorder="1" applyAlignment="1">
      <alignment horizontal="center"/>
    </xf>
    <xf numFmtId="9" fontId="5" fillId="0" borderId="8" xfId="2" applyFont="1" applyBorder="1" applyAlignment="1">
      <alignment horizontal="center"/>
    </xf>
    <xf numFmtId="9" fontId="5" fillId="0" borderId="1" xfId="2" applyFont="1" applyBorder="1"/>
    <xf numFmtId="9" fontId="3" fillId="0" borderId="22" xfId="2" applyFont="1" applyBorder="1"/>
    <xf numFmtId="9" fontId="5" fillId="0" borderId="22" xfId="2" applyFont="1" applyBorder="1"/>
    <xf numFmtId="165" fontId="2" fillId="0" borderId="0" xfId="2" applyNumberFormat="1" applyFont="1"/>
    <xf numFmtId="165" fontId="4" fillId="3" borderId="3" xfId="0" applyNumberFormat="1" applyFont="1" applyFill="1" applyBorder="1"/>
    <xf numFmtId="165" fontId="3" fillId="6" borderId="8" xfId="0" applyNumberFormat="1" applyFont="1" applyFill="1" applyBorder="1"/>
    <xf numFmtId="10" fontId="2" fillId="0" borderId="6" xfId="2" applyNumberFormat="1" applyFont="1" applyBorder="1"/>
    <xf numFmtId="165" fontId="2" fillId="0" borderId="19" xfId="0" applyNumberFormat="1" applyFont="1" applyBorder="1"/>
    <xf numFmtId="165" fontId="2" fillId="4" borderId="21" xfId="0" applyNumberFormat="1" applyFont="1" applyFill="1" applyBorder="1"/>
    <xf numFmtId="165" fontId="2" fillId="4" borderId="3" xfId="0" applyNumberFormat="1" applyFont="1" applyFill="1" applyBorder="1"/>
    <xf numFmtId="165" fontId="2" fillId="0" borderId="5" xfId="0" applyNumberFormat="1" applyFont="1" applyBorder="1"/>
    <xf numFmtId="165" fontId="2" fillId="4" borderId="22" xfId="0" applyNumberFormat="1" applyFont="1" applyFill="1" applyBorder="1"/>
    <xf numFmtId="0" fontId="2" fillId="0" borderId="1" xfId="0" applyFont="1" applyBorder="1"/>
    <xf numFmtId="165" fontId="2" fillId="0" borderId="23" xfId="0" applyNumberFormat="1" applyFont="1" applyBorder="1"/>
    <xf numFmtId="165" fontId="2" fillId="0" borderId="24" xfId="0" applyNumberFormat="1" applyFont="1" applyBorder="1"/>
    <xf numFmtId="0" fontId="2" fillId="0" borderId="24" xfId="0" applyFont="1" applyBorder="1"/>
    <xf numFmtId="44" fontId="2" fillId="0" borderId="8" xfId="1" applyFont="1" applyBorder="1"/>
    <xf numFmtId="0" fontId="12" fillId="0" borderId="0" xfId="0" applyFont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0" fillId="3" borderId="0" xfId="0" applyFill="1"/>
    <xf numFmtId="10" fontId="0" fillId="0" borderId="8" xfId="2" applyNumberFormat="1" applyFont="1" applyBorder="1"/>
    <xf numFmtId="10" fontId="0" fillId="0" borderId="20" xfId="2" applyNumberFormat="1" applyFont="1" applyBorder="1"/>
    <xf numFmtId="2" fontId="0" fillId="0" borderId="8" xfId="0" applyNumberFormat="1" applyBorder="1"/>
    <xf numFmtId="2" fontId="0" fillId="0" borderId="8" xfId="2" applyNumberFormat="1" applyFont="1" applyBorder="1"/>
    <xf numFmtId="10" fontId="0" fillId="3" borderId="20" xfId="2" applyNumberFormat="1" applyFont="1" applyFill="1" applyBorder="1"/>
    <xf numFmtId="8" fontId="0" fillId="0" borderId="0" xfId="0" applyNumberFormat="1"/>
    <xf numFmtId="0" fontId="5" fillId="5" borderId="4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165" fontId="2" fillId="5" borderId="2" xfId="0" applyNumberFormat="1" applyFon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5" fontId="2" fillId="4" borderId="2" xfId="0" applyNumberFormat="1" applyFont="1" applyFill="1" applyBorder="1" applyAlignment="1">
      <alignment horizontal="center"/>
    </xf>
    <xf numFmtId="165" fontId="2" fillId="4" borderId="3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7" fillId="0" borderId="2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0" fontId="9" fillId="3" borderId="20" xfId="2" applyNumberFormat="1" applyFont="1" applyFill="1" applyBorder="1"/>
    <xf numFmtId="164" fontId="6" fillId="0" borderId="0" xfId="0" applyNumberFormat="1" applyFont="1" applyBorder="1" applyAlignment="1">
      <alignment horizontal="right" vertical="center" wrapText="1"/>
    </xf>
    <xf numFmtId="164" fontId="3" fillId="3" borderId="0" xfId="0" applyNumberFormat="1" applyFont="1" applyFill="1" applyBorder="1" applyAlignment="1">
      <alignment horizontal="right" vertical="center" wrapText="1"/>
    </xf>
    <xf numFmtId="164" fontId="3" fillId="3" borderId="18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342899</xdr:colOff>
      <xdr:row>15</xdr:row>
      <xdr:rowOff>10746</xdr:rowOff>
    </xdr:from>
    <xdr:to>
      <xdr:col>13</xdr:col>
      <xdr:colOff>7620</xdr:colOff>
      <xdr:row>32</xdr:row>
      <xdr:rowOff>22859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6D051-8453-C87E-1BED-5490DD32A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6759" y="3675966"/>
          <a:ext cx="7086601" cy="402785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CCA4FF-FF37-49D4-89DD-A78507392FED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4" sqref="N24"/>
    </sheetView>
  </sheetViews>
  <sheetFormatPr defaultColWidth="9" defaultRowHeight="18.600000000000001" x14ac:dyDescent="0.45"/>
  <cols>
    <col min="1" max="1" width="35" style="2" customWidth="1"/>
    <col min="2" max="12" width="17" style="2" bestFit="1" customWidth="1"/>
    <col min="13" max="13" width="3.21875" style="2" customWidth="1"/>
    <col min="14" max="14" width="47.109375" style="2" customWidth="1"/>
    <col min="15" max="15" width="17.5546875" style="2" bestFit="1" customWidth="1"/>
    <col min="16" max="16" width="106.21875" style="2" bestFit="1" customWidth="1"/>
    <col min="17" max="17" width="9.109375" style="2" customWidth="1"/>
    <col min="18" max="18" width="9" style="2"/>
    <col min="19" max="19" width="27.6640625" style="2" customWidth="1"/>
    <col min="20" max="20" width="30.77734375" style="2" bestFit="1" customWidth="1"/>
    <col min="21" max="21" width="12.21875" style="2" bestFit="1" customWidth="1"/>
    <col min="22" max="22" width="15" style="2" bestFit="1" customWidth="1"/>
    <col min="23" max="16384" width="9" style="2"/>
  </cols>
  <sheetData>
    <row r="1" spans="1:34" ht="19.2" thickBot="1" x14ac:dyDescent="0.5">
      <c r="A1" s="1" t="s">
        <v>0</v>
      </c>
    </row>
    <row r="2" spans="1:34" ht="19.2" thickBot="1" x14ac:dyDescent="0.5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62</v>
      </c>
      <c r="K2" s="4" t="s">
        <v>63</v>
      </c>
      <c r="L2" s="5" t="s">
        <v>64</v>
      </c>
      <c r="N2" s="6" t="s">
        <v>9</v>
      </c>
      <c r="O2" s="197">
        <f>L29-L37-L38</f>
        <v>30288.324999999953</v>
      </c>
      <c r="P2" s="196"/>
    </row>
    <row r="3" spans="1:34" ht="19.2" thickBot="1" x14ac:dyDescent="0.5">
      <c r="A3" s="7" t="s">
        <v>10</v>
      </c>
      <c r="B3" s="8"/>
      <c r="C3" s="8"/>
      <c r="D3" s="8"/>
      <c r="E3" s="8"/>
      <c r="F3" s="8"/>
      <c r="G3" s="8"/>
      <c r="H3" s="8"/>
      <c r="I3" s="8"/>
      <c r="J3" s="8"/>
      <c r="K3" s="9"/>
      <c r="L3" s="198"/>
    </row>
    <row r="4" spans="1:34" ht="19.2" thickBot="1" x14ac:dyDescent="0.5">
      <c r="A4" s="10" t="s">
        <v>11</v>
      </c>
      <c r="B4" s="11">
        <v>78380</v>
      </c>
      <c r="C4" s="11">
        <v>109256</v>
      </c>
      <c r="D4" s="11">
        <v>196439</v>
      </c>
      <c r="E4" s="11">
        <v>259738</v>
      </c>
      <c r="F4" s="11">
        <v>323190</v>
      </c>
      <c r="G4" s="11">
        <v>369086</v>
      </c>
      <c r="H4" s="11">
        <v>446739</v>
      </c>
      <c r="I4" s="11">
        <v>314395</v>
      </c>
      <c r="J4" s="11">
        <v>173492</v>
      </c>
      <c r="K4" s="12">
        <v>375327</v>
      </c>
      <c r="L4" s="13">
        <f>V5</f>
        <v>394093.35000000003</v>
      </c>
      <c r="N4" s="220" t="s">
        <v>103</v>
      </c>
      <c r="O4" s="221"/>
      <c r="P4" s="184" t="s">
        <v>104</v>
      </c>
      <c r="Q4" s="14"/>
      <c r="R4" s="204" t="s">
        <v>180</v>
      </c>
      <c r="S4" s="201" t="s">
        <v>170</v>
      </c>
      <c r="T4" s="201" t="s">
        <v>175</v>
      </c>
      <c r="U4" s="201" t="s">
        <v>171</v>
      </c>
      <c r="V4" s="202" t="s">
        <v>174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45">
      <c r="A5" s="10" t="s">
        <v>12</v>
      </c>
      <c r="B5" s="11">
        <v>383</v>
      </c>
      <c r="C5" s="11">
        <v>966</v>
      </c>
      <c r="D5" s="11">
        <v>1383</v>
      </c>
      <c r="E5" s="11">
        <v>4946</v>
      </c>
      <c r="F5" s="11">
        <v>2487</v>
      </c>
      <c r="G5" s="11">
        <v>3019</v>
      </c>
      <c r="H5" s="11">
        <v>2744</v>
      </c>
      <c r="I5" s="11">
        <v>35510</v>
      </c>
      <c r="J5" s="11">
        <v>26960</v>
      </c>
      <c r="K5" s="12">
        <v>13355</v>
      </c>
      <c r="L5" s="13">
        <f>L4*O6</f>
        <v>14022.750000000002</v>
      </c>
      <c r="N5" s="121" t="s">
        <v>105</v>
      </c>
      <c r="O5" s="122">
        <f>K4*1.05</f>
        <v>394093.35000000003</v>
      </c>
      <c r="P5" s="103" t="s">
        <v>116</v>
      </c>
      <c r="Q5" s="14"/>
      <c r="R5" s="205">
        <v>3</v>
      </c>
      <c r="S5" s="203" t="s">
        <v>172</v>
      </c>
      <c r="T5" s="203" t="s">
        <v>177</v>
      </c>
      <c r="U5" s="203">
        <v>382616.77</v>
      </c>
      <c r="V5" s="176">
        <f>O5</f>
        <v>394093.35000000003</v>
      </c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45">
      <c r="A6" s="15" t="s">
        <v>13</v>
      </c>
      <c r="B6" s="16">
        <f>B4+B5</f>
        <v>78763</v>
      </c>
      <c r="C6" s="16">
        <f t="shared" ref="C6:J6" si="0">C4+C5</f>
        <v>110222</v>
      </c>
      <c r="D6" s="16">
        <f t="shared" si="0"/>
        <v>197822</v>
      </c>
      <c r="E6" s="16">
        <f t="shared" si="0"/>
        <v>264684</v>
      </c>
      <c r="F6" s="16">
        <f t="shared" si="0"/>
        <v>325677</v>
      </c>
      <c r="G6" s="16">
        <f t="shared" si="0"/>
        <v>372105</v>
      </c>
      <c r="H6" s="16">
        <f t="shared" si="0"/>
        <v>449483</v>
      </c>
      <c r="I6" s="16">
        <f t="shared" si="0"/>
        <v>349905</v>
      </c>
      <c r="J6" s="16">
        <f t="shared" si="0"/>
        <v>200452</v>
      </c>
      <c r="K6" s="17">
        <f>K4+K5</f>
        <v>388682</v>
      </c>
      <c r="L6" s="17">
        <f>L4+L5</f>
        <v>408116.10000000003</v>
      </c>
      <c r="N6" s="123" t="s">
        <v>106</v>
      </c>
      <c r="O6" s="124">
        <f>K5/$K$4</f>
        <v>3.5582305562882499E-2</v>
      </c>
      <c r="P6" s="103" t="s">
        <v>120</v>
      </c>
      <c r="Q6" s="14"/>
      <c r="R6" s="206"/>
      <c r="T6" s="2" t="s">
        <v>176</v>
      </c>
      <c r="U6" s="14">
        <f>U5-K4</f>
        <v>7289.7700000000186</v>
      </c>
      <c r="V6" s="209">
        <v>0</v>
      </c>
      <c r="W6" s="14"/>
      <c r="X6" s="14"/>
      <c r="Y6" s="14"/>
    </row>
    <row r="7" spans="1:34" x14ac:dyDescent="0.45">
      <c r="A7" s="18" t="s">
        <v>14</v>
      </c>
      <c r="B7" s="19">
        <v>-57765</v>
      </c>
      <c r="C7" s="19">
        <v>-81360</v>
      </c>
      <c r="D7" s="19">
        <v>-148727</v>
      </c>
      <c r="E7" s="19">
        <v>-195654</v>
      </c>
      <c r="F7" s="19">
        <v>-227062</v>
      </c>
      <c r="G7" s="19">
        <v>-246655</v>
      </c>
      <c r="H7" s="19">
        <v>-299101</v>
      </c>
      <c r="I7" s="19">
        <v>-214683</v>
      </c>
      <c r="J7" s="19">
        <v>-207619</v>
      </c>
      <c r="K7" s="20">
        <v>-328775</v>
      </c>
      <c r="L7" s="21">
        <f>V9</f>
        <v>-297046.67500000005</v>
      </c>
      <c r="N7" s="123" t="s">
        <v>107</v>
      </c>
      <c r="O7" s="131">
        <f>-(100000+0.5*L4)</f>
        <v>-297046.67500000005</v>
      </c>
      <c r="P7" s="103" t="s">
        <v>117</v>
      </c>
      <c r="Q7" s="14"/>
      <c r="R7" s="206"/>
      <c r="S7" s="14" t="s">
        <v>173</v>
      </c>
      <c r="T7" s="14" t="s">
        <v>177</v>
      </c>
      <c r="U7" s="14">
        <f>H4</f>
        <v>446739</v>
      </c>
      <c r="V7" s="99">
        <f>U5</f>
        <v>382616.77</v>
      </c>
      <c r="W7" s="14"/>
      <c r="X7" s="14"/>
      <c r="Y7" s="14"/>
    </row>
    <row r="8" spans="1:34" x14ac:dyDescent="0.45">
      <c r="A8" s="22" t="s">
        <v>15</v>
      </c>
      <c r="B8" s="11">
        <v>-2079</v>
      </c>
      <c r="C8" s="11">
        <v>-3599</v>
      </c>
      <c r="D8" s="11">
        <v>-7540</v>
      </c>
      <c r="E8" s="11">
        <v>-10562</v>
      </c>
      <c r="F8" s="11">
        <v>-16157</v>
      </c>
      <c r="G8" s="11">
        <v>-17833</v>
      </c>
      <c r="H8" s="11">
        <v>-20348</v>
      </c>
      <c r="I8" s="11">
        <v>-42512</v>
      </c>
      <c r="J8" s="11">
        <v>-40857</v>
      </c>
      <c r="K8" s="12">
        <v>-44423</v>
      </c>
      <c r="L8" s="13">
        <f>O8*L4</f>
        <v>-46644.150000000009</v>
      </c>
      <c r="N8" s="123" t="s">
        <v>108</v>
      </c>
      <c r="O8" s="130">
        <f>K8/K4</f>
        <v>-0.11835812504829123</v>
      </c>
      <c r="P8" s="103" t="s">
        <v>120</v>
      </c>
      <c r="Q8" s="14"/>
      <c r="R8" s="206"/>
      <c r="S8" s="14"/>
      <c r="T8" s="14" t="str">
        <f>A21</f>
        <v>Accounts receivables</v>
      </c>
      <c r="U8" s="14">
        <f>H21</f>
        <v>328771</v>
      </c>
      <c r="V8" s="99">
        <f>(K21/$K$4)*$L$4</f>
        <v>295115.10000000003</v>
      </c>
      <c r="W8" s="14"/>
      <c r="X8" s="14"/>
      <c r="Y8" s="14"/>
    </row>
    <row r="9" spans="1:34" ht="19.2" thickBot="1" x14ac:dyDescent="0.5">
      <c r="A9" s="15" t="s">
        <v>16</v>
      </c>
      <c r="B9" s="16">
        <f t="shared" ref="B9:L9" si="1">B7+B8</f>
        <v>-59844</v>
      </c>
      <c r="C9" s="16">
        <f t="shared" si="1"/>
        <v>-84959</v>
      </c>
      <c r="D9" s="16">
        <f t="shared" si="1"/>
        <v>-156267</v>
      </c>
      <c r="E9" s="16">
        <f t="shared" si="1"/>
        <v>-206216</v>
      </c>
      <c r="F9" s="16">
        <f t="shared" si="1"/>
        <v>-243219</v>
      </c>
      <c r="G9" s="16">
        <f t="shared" si="1"/>
        <v>-264488</v>
      </c>
      <c r="H9" s="16">
        <f t="shared" si="1"/>
        <v>-319449</v>
      </c>
      <c r="I9" s="16">
        <f t="shared" si="1"/>
        <v>-257195</v>
      </c>
      <c r="J9" s="16">
        <f t="shared" si="1"/>
        <v>-248476</v>
      </c>
      <c r="K9" s="17">
        <f t="shared" si="1"/>
        <v>-373198</v>
      </c>
      <c r="L9" s="17">
        <f t="shared" si="1"/>
        <v>-343690.82500000007</v>
      </c>
      <c r="N9" s="123" t="s">
        <v>18</v>
      </c>
      <c r="O9" s="127">
        <f>K11</f>
        <v>-2303</v>
      </c>
      <c r="P9" s="103" t="s">
        <v>118</v>
      </c>
      <c r="Q9" s="14"/>
      <c r="R9" s="207"/>
      <c r="S9" s="200" t="s">
        <v>178</v>
      </c>
      <c r="T9" s="200" t="s">
        <v>179</v>
      </c>
      <c r="U9" s="200">
        <f>-(75000+0.6*L4)</f>
        <v>-311456.01</v>
      </c>
      <c r="V9" s="102">
        <f>O7</f>
        <v>-297046.67500000005</v>
      </c>
      <c r="W9" s="14"/>
      <c r="X9" s="14"/>
      <c r="Y9" s="14"/>
    </row>
    <row r="10" spans="1:34" ht="19.2" thickBot="1" x14ac:dyDescent="0.5">
      <c r="A10" s="23" t="s">
        <v>17</v>
      </c>
      <c r="B10" s="24">
        <f t="shared" ref="B10:L10" si="2">B6+B9</f>
        <v>18919</v>
      </c>
      <c r="C10" s="24">
        <f t="shared" si="2"/>
        <v>25263</v>
      </c>
      <c r="D10" s="24">
        <f t="shared" si="2"/>
        <v>41555</v>
      </c>
      <c r="E10" s="24">
        <f t="shared" si="2"/>
        <v>58468</v>
      </c>
      <c r="F10" s="24">
        <f t="shared" si="2"/>
        <v>82458</v>
      </c>
      <c r="G10" s="24">
        <f t="shared" si="2"/>
        <v>107617</v>
      </c>
      <c r="H10" s="24">
        <f t="shared" si="2"/>
        <v>130034</v>
      </c>
      <c r="I10" s="24">
        <f t="shared" si="2"/>
        <v>92710</v>
      </c>
      <c r="J10" s="24">
        <f t="shared" si="2"/>
        <v>-48024</v>
      </c>
      <c r="K10" s="25">
        <f t="shared" si="2"/>
        <v>15484</v>
      </c>
      <c r="L10" s="25">
        <f t="shared" si="2"/>
        <v>64425.274999999965</v>
      </c>
      <c r="N10" s="123" t="s">
        <v>109</v>
      </c>
      <c r="O10" s="124">
        <v>0.3</v>
      </c>
      <c r="P10" s="103" t="s">
        <v>119</v>
      </c>
      <c r="Q10" s="14"/>
      <c r="R10" s="208">
        <v>4</v>
      </c>
      <c r="S10" s="200" t="s">
        <v>172</v>
      </c>
      <c r="T10" s="200" t="s">
        <v>181</v>
      </c>
      <c r="U10" s="200">
        <f>-3634.56+V10</f>
        <v>-5937.5599999999995</v>
      </c>
      <c r="V10" s="102">
        <f>K11</f>
        <v>-2303</v>
      </c>
      <c r="W10" s="14"/>
      <c r="X10" s="14"/>
      <c r="Y10" s="14"/>
    </row>
    <row r="11" spans="1:34" x14ac:dyDescent="0.45">
      <c r="A11" s="18" t="s">
        <v>18</v>
      </c>
      <c r="B11" s="19">
        <v>-724</v>
      </c>
      <c r="C11" s="19">
        <v>-640</v>
      </c>
      <c r="D11" s="19">
        <v>-959</v>
      </c>
      <c r="E11" s="19">
        <v>-1809</v>
      </c>
      <c r="F11" s="19">
        <v>-3443</v>
      </c>
      <c r="G11" s="19">
        <v>-3226</v>
      </c>
      <c r="H11" s="19">
        <v>-2765</v>
      </c>
      <c r="I11" s="19">
        <v>-9620</v>
      </c>
      <c r="J11" s="19">
        <v>-3267</v>
      </c>
      <c r="K11" s="20">
        <v>-2303</v>
      </c>
      <c r="L11" s="21">
        <f>V10</f>
        <v>-2303</v>
      </c>
      <c r="N11" s="123" t="s">
        <v>110</v>
      </c>
      <c r="O11" s="125">
        <f>K24/K4</f>
        <v>1.1764967614906467</v>
      </c>
      <c r="P11" s="103" t="s">
        <v>120</v>
      </c>
      <c r="Q11" s="14"/>
      <c r="R11" s="14"/>
      <c r="S11" s="14"/>
      <c r="T11" s="14"/>
      <c r="U11" s="14"/>
      <c r="V11" s="14"/>
      <c r="W11" s="14"/>
      <c r="X11" s="14"/>
      <c r="Y11" s="14"/>
    </row>
    <row r="12" spans="1:34" x14ac:dyDescent="0.45">
      <c r="A12" s="15" t="s">
        <v>19</v>
      </c>
      <c r="B12" s="16">
        <f t="shared" ref="B12:L12" si="3">B10+B11</f>
        <v>18195</v>
      </c>
      <c r="C12" s="16">
        <f t="shared" si="3"/>
        <v>24623</v>
      </c>
      <c r="D12" s="16">
        <f t="shared" si="3"/>
        <v>40596</v>
      </c>
      <c r="E12" s="16">
        <f t="shared" si="3"/>
        <v>56659</v>
      </c>
      <c r="F12" s="16">
        <f t="shared" si="3"/>
        <v>79015</v>
      </c>
      <c r="G12" s="16">
        <f t="shared" si="3"/>
        <v>104391</v>
      </c>
      <c r="H12" s="16">
        <f t="shared" si="3"/>
        <v>127269</v>
      </c>
      <c r="I12" s="16">
        <f t="shared" si="3"/>
        <v>83090</v>
      </c>
      <c r="J12" s="16">
        <f t="shared" si="3"/>
        <v>-51291</v>
      </c>
      <c r="K12" s="17">
        <f>K10+K11</f>
        <v>13181</v>
      </c>
      <c r="L12" s="17">
        <f t="shared" si="3"/>
        <v>62122.274999999965</v>
      </c>
      <c r="N12" s="123" t="s">
        <v>111</v>
      </c>
      <c r="O12" s="124">
        <f>K36/K4</f>
        <v>0.12362020318282457</v>
      </c>
      <c r="P12" s="103" t="s">
        <v>120</v>
      </c>
      <c r="Q12" s="14"/>
      <c r="R12" s="14"/>
      <c r="S12" s="14"/>
      <c r="T12" s="14"/>
      <c r="U12" s="14"/>
      <c r="V12" s="14"/>
      <c r="W12" s="14"/>
      <c r="X12" s="14"/>
      <c r="Y12" s="14"/>
    </row>
    <row r="13" spans="1:34" x14ac:dyDescent="0.45">
      <c r="A13" s="18" t="s">
        <v>20</v>
      </c>
      <c r="B13" s="19">
        <v>-6702</v>
      </c>
      <c r="C13" s="19">
        <v>-6799</v>
      </c>
      <c r="D13" s="19">
        <v>-10162</v>
      </c>
      <c r="E13" s="19">
        <v>-12126</v>
      </c>
      <c r="F13" s="19">
        <v>-19788</v>
      </c>
      <c r="G13" s="19">
        <v>-23232</v>
      </c>
      <c r="H13" s="19">
        <v>-32743</v>
      </c>
      <c r="I13" s="19">
        <v>-18171</v>
      </c>
      <c r="J13" s="19">
        <v>19018</v>
      </c>
      <c r="K13" s="20">
        <v>-771</v>
      </c>
      <c r="L13" s="21">
        <f>IF(L12&gt;0,-1*30%*L12,0)</f>
        <v>-18636.682499999988</v>
      </c>
      <c r="N13" s="123" t="s">
        <v>112</v>
      </c>
      <c r="O13" s="124">
        <f>K30/K4</f>
        <v>0.90978533385554461</v>
      </c>
      <c r="P13" s="103" t="s">
        <v>120</v>
      </c>
      <c r="Q13" s="14"/>
      <c r="R13" s="14"/>
      <c r="S13" s="14"/>
      <c r="T13" s="14"/>
      <c r="U13" s="14"/>
      <c r="V13" s="14"/>
      <c r="W13" s="14"/>
      <c r="X13" s="14"/>
      <c r="Y13" s="14"/>
    </row>
    <row r="14" spans="1:34" ht="19.2" thickBot="1" x14ac:dyDescent="0.5">
      <c r="A14" s="26" t="s">
        <v>21</v>
      </c>
      <c r="B14" s="27">
        <f t="shared" ref="B14:L14" si="4">B12+B13</f>
        <v>11493</v>
      </c>
      <c r="C14" s="27">
        <f t="shared" si="4"/>
        <v>17824</v>
      </c>
      <c r="D14" s="27">
        <f t="shared" si="4"/>
        <v>30434</v>
      </c>
      <c r="E14" s="27">
        <f t="shared" si="4"/>
        <v>44533</v>
      </c>
      <c r="F14" s="27">
        <f t="shared" si="4"/>
        <v>59227</v>
      </c>
      <c r="G14" s="27">
        <f t="shared" si="4"/>
        <v>81159</v>
      </c>
      <c r="H14" s="27">
        <f t="shared" si="4"/>
        <v>94526</v>
      </c>
      <c r="I14" s="27">
        <f t="shared" si="4"/>
        <v>64919</v>
      </c>
      <c r="J14" s="27">
        <f t="shared" si="4"/>
        <v>-32273</v>
      </c>
      <c r="K14" s="28">
        <f>K12+K13</f>
        <v>12410</v>
      </c>
      <c r="L14" s="28">
        <f t="shared" si="4"/>
        <v>43485.592499999977</v>
      </c>
      <c r="N14" s="123" t="s">
        <v>113</v>
      </c>
      <c r="O14" s="124">
        <f>K23/K4</f>
        <v>4.5381760438231195E-2</v>
      </c>
      <c r="P14" s="103" t="s">
        <v>120</v>
      </c>
      <c r="Q14" s="14"/>
      <c r="R14" s="14"/>
      <c r="S14" s="14"/>
      <c r="T14" s="14"/>
      <c r="U14" s="14"/>
      <c r="V14" s="14"/>
      <c r="W14" s="14"/>
      <c r="X14" s="14"/>
      <c r="Y14" s="14"/>
    </row>
    <row r="15" spans="1:34" ht="19.2" thickBot="1" x14ac:dyDescent="0.5">
      <c r="A15" s="3"/>
      <c r="B15" s="29"/>
      <c r="C15" s="29"/>
      <c r="D15" s="29"/>
      <c r="E15" s="29"/>
      <c r="F15" s="29"/>
      <c r="G15" s="29"/>
      <c r="H15" s="29"/>
      <c r="I15" s="29"/>
      <c r="J15" s="29"/>
      <c r="K15" s="11"/>
      <c r="L15" s="11"/>
      <c r="N15" s="123" t="s">
        <v>114</v>
      </c>
      <c r="O15" s="124">
        <f>K35/K4</f>
        <v>2.3438228531387297E-2</v>
      </c>
      <c r="P15" s="103" t="s">
        <v>120</v>
      </c>
      <c r="Q15" s="14"/>
      <c r="R15" s="14"/>
      <c r="S15" s="14"/>
      <c r="T15" s="14"/>
      <c r="U15" s="14"/>
      <c r="V15" s="14"/>
      <c r="W15" s="14"/>
      <c r="X15" s="14"/>
      <c r="Y15" s="14"/>
    </row>
    <row r="16" spans="1:34" ht="19.2" thickBot="1" x14ac:dyDescent="0.5">
      <c r="A16" s="30" t="s">
        <v>22</v>
      </c>
      <c r="B16" s="31">
        <v>-7497</v>
      </c>
      <c r="C16" s="31">
        <v>-9129</v>
      </c>
      <c r="D16" s="31">
        <v>-13523</v>
      </c>
      <c r="E16" s="31">
        <v>-20983</v>
      </c>
      <c r="F16" s="31">
        <v>-30514</v>
      </c>
      <c r="G16" s="31">
        <v>-37471</v>
      </c>
      <c r="H16" s="31">
        <v>-45271</v>
      </c>
      <c r="I16" s="31">
        <v>-26456</v>
      </c>
      <c r="J16" s="31">
        <v>0</v>
      </c>
      <c r="K16" s="32">
        <v>0</v>
      </c>
      <c r="L16" s="33">
        <f>-5%*L4</f>
        <v>-19704.667500000003</v>
      </c>
      <c r="N16" s="123" t="s">
        <v>35</v>
      </c>
      <c r="O16" s="126">
        <f>L31</f>
        <v>11288.550000000001</v>
      </c>
      <c r="P16" s="103" t="s">
        <v>120</v>
      </c>
      <c r="Q16" s="14"/>
      <c r="R16" s="14"/>
      <c r="S16" s="14"/>
      <c r="T16" s="14"/>
      <c r="U16" s="14"/>
      <c r="V16" s="14"/>
      <c r="W16" s="14"/>
      <c r="X16" s="14"/>
      <c r="Y16" s="14"/>
    </row>
    <row r="17" spans="1:25" ht="19.2" thickBot="1" x14ac:dyDescent="0.5">
      <c r="A17" s="3"/>
      <c r="B17" s="11"/>
      <c r="C17" s="11"/>
      <c r="D17" s="11"/>
      <c r="E17" s="11"/>
      <c r="F17" s="11"/>
      <c r="G17" s="11"/>
      <c r="H17" s="11"/>
      <c r="I17" s="11"/>
      <c r="J17" s="34"/>
      <c r="K17" s="34"/>
      <c r="L17" s="34"/>
      <c r="N17" s="123" t="s">
        <v>38</v>
      </c>
      <c r="O17" s="127">
        <f>L34</f>
        <v>39481.050000000003</v>
      </c>
      <c r="P17" s="103" t="s">
        <v>120</v>
      </c>
      <c r="Q17" s="14"/>
      <c r="R17" s="14"/>
      <c r="S17" s="14"/>
      <c r="T17" s="14"/>
      <c r="U17" s="14"/>
      <c r="V17" s="14"/>
      <c r="W17" s="14"/>
      <c r="X17" s="14"/>
      <c r="Y17" s="14"/>
    </row>
    <row r="18" spans="1:25" ht="19.2" thickBot="1" x14ac:dyDescent="0.5">
      <c r="A18" s="3"/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62</v>
      </c>
      <c r="K18" s="4" t="s">
        <v>63</v>
      </c>
      <c r="L18" s="5" t="s">
        <v>64</v>
      </c>
      <c r="N18" s="128" t="s">
        <v>115</v>
      </c>
      <c r="O18" s="129">
        <f>ABS(L16/L14)</f>
        <v>0.45313094216205091</v>
      </c>
      <c r="P18" s="110" t="s">
        <v>121</v>
      </c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9.2" thickBot="1" x14ac:dyDescent="0.5">
      <c r="A19" s="35" t="s">
        <v>23</v>
      </c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7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9.2" thickBot="1" x14ac:dyDescent="0.5">
      <c r="A20" s="18" t="s">
        <v>24</v>
      </c>
      <c r="B20" s="19">
        <v>13535</v>
      </c>
      <c r="C20" s="19">
        <v>32000</v>
      </c>
      <c r="D20" s="19">
        <v>40663</v>
      </c>
      <c r="E20" s="19">
        <v>81178</v>
      </c>
      <c r="F20" s="19">
        <v>79217</v>
      </c>
      <c r="G20" s="19">
        <v>84297</v>
      </c>
      <c r="H20" s="19">
        <v>138791</v>
      </c>
      <c r="I20" s="19">
        <v>92843</v>
      </c>
      <c r="J20" s="19">
        <v>99018</v>
      </c>
      <c r="K20" s="20">
        <v>142054</v>
      </c>
      <c r="L20" s="21">
        <f>(K20/$K$4)*$L$4</f>
        <v>149156.70000000001</v>
      </c>
      <c r="N20" s="222" t="s">
        <v>122</v>
      </c>
      <c r="O20" s="223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spans="1:25" x14ac:dyDescent="0.45">
      <c r="A21" s="22" t="s">
        <v>25</v>
      </c>
      <c r="B21" s="11">
        <v>27975</v>
      </c>
      <c r="C21" s="11">
        <v>101286</v>
      </c>
      <c r="D21" s="11">
        <v>153398</v>
      </c>
      <c r="E21" s="11">
        <v>168130</v>
      </c>
      <c r="F21" s="11">
        <v>201210</v>
      </c>
      <c r="G21" s="11">
        <v>252237</v>
      </c>
      <c r="H21" s="11">
        <v>328771</v>
      </c>
      <c r="I21" s="11">
        <v>64535</v>
      </c>
      <c r="J21" s="11">
        <v>175428</v>
      </c>
      <c r="K21" s="12">
        <v>281062</v>
      </c>
      <c r="L21" s="21">
        <f>V8</f>
        <v>295115.10000000003</v>
      </c>
      <c r="N21" s="178" t="s">
        <v>160</v>
      </c>
      <c r="O21" s="176">
        <f>ABS(L9)</f>
        <v>343690.82500000007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spans="1:25" x14ac:dyDescent="0.45">
      <c r="A22" s="22" t="s">
        <v>26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884</v>
      </c>
      <c r="K22" s="12">
        <v>1422</v>
      </c>
      <c r="L22" s="21">
        <f>(K22/$K$4)*$L$4</f>
        <v>1493.1000000000001</v>
      </c>
      <c r="N22" s="179" t="s">
        <v>161</v>
      </c>
      <c r="O22" s="99">
        <f>ABS(O2)</f>
        <v>30288.324999999953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spans="1:25" x14ac:dyDescent="0.45">
      <c r="A23" s="22" t="s">
        <v>27</v>
      </c>
      <c r="B23" s="11">
        <v>706</v>
      </c>
      <c r="C23" s="11">
        <v>1979</v>
      </c>
      <c r="D23" s="11">
        <v>4643</v>
      </c>
      <c r="E23" s="11">
        <v>4918</v>
      </c>
      <c r="F23" s="11">
        <v>4462</v>
      </c>
      <c r="G23" s="11">
        <v>4203</v>
      </c>
      <c r="H23" s="11">
        <v>10576</v>
      </c>
      <c r="I23" s="11">
        <v>16444</v>
      </c>
      <c r="J23" s="11">
        <v>15344</v>
      </c>
      <c r="K23" s="12">
        <v>17033</v>
      </c>
      <c r="L23" s="21">
        <f>(K23/$K$4)*$L$4</f>
        <v>17884.650000000001</v>
      </c>
      <c r="N23" s="179" t="s">
        <v>162</v>
      </c>
      <c r="O23" s="177">
        <v>0.3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x14ac:dyDescent="0.45">
      <c r="A24" s="15" t="s">
        <v>28</v>
      </c>
      <c r="B24" s="16">
        <f>B20+B21+B22+B23</f>
        <v>42216</v>
      </c>
      <c r="C24" s="16">
        <f t="shared" ref="C24:L24" si="5">C20+C21+C22+C23</f>
        <v>135265</v>
      </c>
      <c r="D24" s="16">
        <f t="shared" si="5"/>
        <v>198704</v>
      </c>
      <c r="E24" s="16">
        <f t="shared" si="5"/>
        <v>254226</v>
      </c>
      <c r="F24" s="16">
        <f t="shared" si="5"/>
        <v>284889</v>
      </c>
      <c r="G24" s="16">
        <f t="shared" si="5"/>
        <v>340737</v>
      </c>
      <c r="H24" s="16">
        <f t="shared" si="5"/>
        <v>478138</v>
      </c>
      <c r="I24" s="16">
        <f t="shared" si="5"/>
        <v>173822</v>
      </c>
      <c r="J24" s="16">
        <f t="shared" si="5"/>
        <v>290674</v>
      </c>
      <c r="K24" s="17">
        <f t="shared" si="5"/>
        <v>441571</v>
      </c>
      <c r="L24" s="17">
        <f t="shared" si="5"/>
        <v>463649.55000000005</v>
      </c>
      <c r="N24" s="179" t="s">
        <v>163</v>
      </c>
      <c r="O24" s="177">
        <v>0.12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spans="1:25" x14ac:dyDescent="0.45">
      <c r="A25" s="18" t="s">
        <v>29</v>
      </c>
      <c r="B25" s="19">
        <v>3166</v>
      </c>
      <c r="C25" s="19">
        <v>3371</v>
      </c>
      <c r="D25" s="19">
        <v>3697</v>
      </c>
      <c r="E25" s="19">
        <v>5426</v>
      </c>
      <c r="F25" s="19">
        <v>5262</v>
      </c>
      <c r="G25" s="19">
        <v>6118</v>
      </c>
      <c r="H25" s="19">
        <v>13328</v>
      </c>
      <c r="I25" s="19">
        <v>58919</v>
      </c>
      <c r="J25" s="19">
        <v>51681</v>
      </c>
      <c r="K25" s="20">
        <v>54014</v>
      </c>
      <c r="L25" s="21">
        <f>(K25/$K$4)*$L$4</f>
        <v>56714.700000000012</v>
      </c>
      <c r="N25" s="179" t="s">
        <v>164</v>
      </c>
      <c r="O25" s="99">
        <f>L37</f>
        <v>447070.05000000005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9.2" thickBot="1" x14ac:dyDescent="0.5">
      <c r="A26" s="22" t="s">
        <v>30</v>
      </c>
      <c r="B26" s="11">
        <v>72876</v>
      </c>
      <c r="C26" s="11">
        <v>94260</v>
      </c>
      <c r="D26" s="11">
        <v>215555</v>
      </c>
      <c r="E26" s="11">
        <v>280107</v>
      </c>
      <c r="F26" s="11">
        <v>393238</v>
      </c>
      <c r="G26" s="11">
        <v>407187</v>
      </c>
      <c r="H26" s="11">
        <v>453522</v>
      </c>
      <c r="I26" s="11">
        <v>478211</v>
      </c>
      <c r="J26" s="11">
        <v>0</v>
      </c>
      <c r="K26" s="12">
        <v>859193</v>
      </c>
      <c r="L26" s="21">
        <f>(K26/$K$4)*$L$4</f>
        <v>902152.65000000014</v>
      </c>
      <c r="N26" s="180" t="s">
        <v>165</v>
      </c>
      <c r="O26" s="102">
        <f>L38</f>
        <v>1105165.925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spans="1:25" ht="19.2" thickBot="1" x14ac:dyDescent="0.5">
      <c r="A27" s="22" t="s">
        <v>31</v>
      </c>
      <c r="B27" s="11">
        <v>2838</v>
      </c>
      <c r="C27" s="11">
        <v>14869</v>
      </c>
      <c r="D27" s="11">
        <v>22452</v>
      </c>
      <c r="E27" s="11">
        <v>30388</v>
      </c>
      <c r="F27" s="11">
        <v>56766</v>
      </c>
      <c r="G27" s="11">
        <v>50799</v>
      </c>
      <c r="H27" s="11">
        <v>58861</v>
      </c>
      <c r="I27" s="11">
        <v>52565</v>
      </c>
      <c r="J27" s="11">
        <v>793393</v>
      </c>
      <c r="K27" s="12">
        <v>152388</v>
      </c>
      <c r="L27" s="21">
        <f>(K27/$K$4)*$L$4</f>
        <v>160007.40000000002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9.2" thickBot="1" x14ac:dyDescent="0.5">
      <c r="A28" s="15" t="s">
        <v>32</v>
      </c>
      <c r="B28" s="16">
        <f>B25+B26+B27</f>
        <v>78880</v>
      </c>
      <c r="C28" s="16">
        <f t="shared" ref="C28:L28" si="6">C25+C26+C27</f>
        <v>112500</v>
      </c>
      <c r="D28" s="16">
        <f t="shared" si="6"/>
        <v>241704</v>
      </c>
      <c r="E28" s="16">
        <f t="shared" si="6"/>
        <v>315921</v>
      </c>
      <c r="F28" s="16">
        <f t="shared" si="6"/>
        <v>455266</v>
      </c>
      <c r="G28" s="16">
        <f t="shared" si="6"/>
        <v>464104</v>
      </c>
      <c r="H28" s="16">
        <f t="shared" si="6"/>
        <v>525711</v>
      </c>
      <c r="I28" s="16">
        <f t="shared" si="6"/>
        <v>589695</v>
      </c>
      <c r="J28" s="16">
        <f t="shared" si="6"/>
        <v>845074</v>
      </c>
      <c r="K28" s="17">
        <f t="shared" si="6"/>
        <v>1065595</v>
      </c>
      <c r="L28" s="17">
        <f t="shared" si="6"/>
        <v>1118874.75</v>
      </c>
      <c r="N28" s="224" t="s">
        <v>166</v>
      </c>
      <c r="O28" s="225"/>
      <c r="Q28" s="14"/>
      <c r="R28" s="14"/>
      <c r="S28" s="14"/>
      <c r="T28" s="14"/>
      <c r="U28" s="14"/>
      <c r="V28" s="14"/>
      <c r="W28" s="14"/>
      <c r="X28" s="14"/>
      <c r="Y28" s="14"/>
    </row>
    <row r="29" spans="1:25" x14ac:dyDescent="0.45">
      <c r="A29" s="15" t="s">
        <v>33</v>
      </c>
      <c r="B29" s="16">
        <f t="shared" ref="B29:L29" si="7">B24+B28</f>
        <v>121096</v>
      </c>
      <c r="C29" s="16">
        <f t="shared" si="7"/>
        <v>247765</v>
      </c>
      <c r="D29" s="16">
        <f t="shared" si="7"/>
        <v>440408</v>
      </c>
      <c r="E29" s="16">
        <f t="shared" si="7"/>
        <v>570147</v>
      </c>
      <c r="F29" s="16">
        <f t="shared" si="7"/>
        <v>740155</v>
      </c>
      <c r="G29" s="16">
        <f t="shared" si="7"/>
        <v>804841</v>
      </c>
      <c r="H29" s="16">
        <f t="shared" si="7"/>
        <v>1003849</v>
      </c>
      <c r="I29" s="16">
        <f t="shared" si="7"/>
        <v>763517</v>
      </c>
      <c r="J29" s="16">
        <f t="shared" si="7"/>
        <v>1135748</v>
      </c>
      <c r="K29" s="17">
        <f t="shared" si="7"/>
        <v>1507166</v>
      </c>
      <c r="L29" s="17">
        <f t="shared" si="7"/>
        <v>1582524.3</v>
      </c>
      <c r="N29" s="178" t="s">
        <v>123</v>
      </c>
      <c r="O29" s="199">
        <f>(O21*(1-O23))/(O25+O26+O22)</f>
        <v>0.15202520270936759</v>
      </c>
      <c r="Q29" s="14"/>
      <c r="R29" s="14"/>
      <c r="S29" s="14"/>
      <c r="T29" s="14"/>
      <c r="U29" s="14"/>
      <c r="V29" s="14"/>
      <c r="W29" s="14"/>
      <c r="X29" s="14"/>
      <c r="Y29" s="14"/>
    </row>
    <row r="30" spans="1:25" ht="19.2" thickBot="1" x14ac:dyDescent="0.5">
      <c r="A30" s="18" t="s">
        <v>34</v>
      </c>
      <c r="B30" s="19">
        <v>26048</v>
      </c>
      <c r="C30" s="19">
        <v>94126</v>
      </c>
      <c r="D30" s="19">
        <v>148385</v>
      </c>
      <c r="E30" s="19">
        <v>202720</v>
      </c>
      <c r="F30" s="19">
        <v>233049</v>
      </c>
      <c r="G30" s="19">
        <v>253621</v>
      </c>
      <c r="H30" s="19">
        <v>316753</v>
      </c>
      <c r="I30" s="19">
        <v>100499</v>
      </c>
      <c r="J30" s="19">
        <v>204745</v>
      </c>
      <c r="K30" s="20">
        <v>341467</v>
      </c>
      <c r="L30" s="21">
        <f>(K30/$K$4)*$L$4</f>
        <v>358540.35000000003</v>
      </c>
      <c r="N30" s="180" t="s">
        <v>124</v>
      </c>
      <c r="O30" s="141">
        <f>O33+(O33-O24*(1-O23))*(O25/(O26+O22))</f>
        <v>0.17880922397357715</v>
      </c>
      <c r="Q30" s="14"/>
      <c r="R30" s="14"/>
      <c r="S30" s="14"/>
      <c r="T30" s="14"/>
      <c r="U30" s="14"/>
      <c r="V30" s="14"/>
      <c r="W30" s="14"/>
      <c r="X30" s="14"/>
      <c r="Y30" s="14"/>
    </row>
    <row r="31" spans="1:25" ht="19.2" thickBot="1" x14ac:dyDescent="0.5">
      <c r="A31" s="22" t="s">
        <v>35</v>
      </c>
      <c r="B31" s="11">
        <v>3192</v>
      </c>
      <c r="C31" s="11">
        <v>0</v>
      </c>
      <c r="D31" s="11">
        <v>0</v>
      </c>
      <c r="E31" s="11">
        <v>14347</v>
      </c>
      <c r="F31" s="11">
        <v>18122</v>
      </c>
      <c r="G31" s="11">
        <v>14677</v>
      </c>
      <c r="H31" s="11">
        <v>19205</v>
      </c>
      <c r="I31" s="11">
        <v>8672</v>
      </c>
      <c r="J31" s="11">
        <v>9193</v>
      </c>
      <c r="K31" s="12">
        <v>10751</v>
      </c>
      <c r="L31" s="12">
        <f>(K31/K4)*L4</f>
        <v>11288.550000000001</v>
      </c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spans="1:25" ht="19.2" thickBot="1" x14ac:dyDescent="0.5">
      <c r="A32" s="22" t="s">
        <v>36</v>
      </c>
      <c r="B32" s="11">
        <v>2421</v>
      </c>
      <c r="C32" s="11">
        <v>10910</v>
      </c>
      <c r="D32" s="11">
        <v>17004</v>
      </c>
      <c r="E32" s="11">
        <v>20226</v>
      </c>
      <c r="F32" s="11">
        <v>22750</v>
      </c>
      <c r="G32" s="11">
        <v>23096</v>
      </c>
      <c r="H32" s="11">
        <v>31876</v>
      </c>
      <c r="I32" s="11">
        <v>33826</v>
      </c>
      <c r="J32" s="11">
        <v>18155</v>
      </c>
      <c r="K32" s="12">
        <v>27165</v>
      </c>
      <c r="L32" s="21">
        <f>(K32/$K$4)*$L$4</f>
        <v>28523.250000000004</v>
      </c>
      <c r="N32" s="226" t="s">
        <v>167</v>
      </c>
      <c r="O32" s="227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spans="1:25" x14ac:dyDescent="0.45">
      <c r="A33" s="15" t="s">
        <v>37</v>
      </c>
      <c r="B33" s="16">
        <f t="shared" ref="B33:L33" si="8">B30+B31+B32</f>
        <v>31661</v>
      </c>
      <c r="C33" s="16">
        <f t="shared" si="8"/>
        <v>105036</v>
      </c>
      <c r="D33" s="16">
        <f t="shared" si="8"/>
        <v>165389</v>
      </c>
      <c r="E33" s="16">
        <f t="shared" si="8"/>
        <v>237293</v>
      </c>
      <c r="F33" s="16">
        <f t="shared" si="8"/>
        <v>273921</v>
      </c>
      <c r="G33" s="16">
        <f t="shared" si="8"/>
        <v>291394</v>
      </c>
      <c r="H33" s="16">
        <f t="shared" si="8"/>
        <v>367834</v>
      </c>
      <c r="I33" s="16">
        <f t="shared" si="8"/>
        <v>142997</v>
      </c>
      <c r="J33" s="16">
        <f t="shared" si="8"/>
        <v>232093</v>
      </c>
      <c r="K33" s="17">
        <f t="shared" si="8"/>
        <v>379383</v>
      </c>
      <c r="L33" s="17">
        <f t="shared" si="8"/>
        <v>398352.15</v>
      </c>
      <c r="N33" s="179" t="s">
        <v>123</v>
      </c>
      <c r="O33" s="139">
        <f>(O21*(1-O23))/(O25+O26+O22)</f>
        <v>0.15202520270936759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1:25" ht="19.2" thickBot="1" x14ac:dyDescent="0.5">
      <c r="A34" s="18" t="s">
        <v>38</v>
      </c>
      <c r="B34" s="19">
        <v>157</v>
      </c>
      <c r="C34" s="19">
        <v>0</v>
      </c>
      <c r="D34" s="19">
        <v>0</v>
      </c>
      <c r="E34" s="19">
        <v>22833</v>
      </c>
      <c r="F34" s="19">
        <v>27301</v>
      </c>
      <c r="G34" s="19">
        <v>29301</v>
      </c>
      <c r="H34" s="19">
        <v>20085</v>
      </c>
      <c r="I34" s="19">
        <v>44423</v>
      </c>
      <c r="J34" s="19">
        <v>37188</v>
      </c>
      <c r="K34" s="20">
        <v>37601</v>
      </c>
      <c r="L34" s="20">
        <f>(K34/K4)*L4</f>
        <v>39481.050000000003</v>
      </c>
      <c r="N34" s="180" t="s">
        <v>124</v>
      </c>
      <c r="O34" s="141">
        <f>O33+(O33-O24*(1-O23))*((O25+O22)/O26)</f>
        <v>0.18140757823310563</v>
      </c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1:25" x14ac:dyDescent="0.45">
      <c r="A35" s="22" t="s">
        <v>39</v>
      </c>
      <c r="B35" s="11">
        <v>16293</v>
      </c>
      <c r="C35" s="11">
        <v>9845</v>
      </c>
      <c r="D35" s="11">
        <v>39108</v>
      </c>
      <c r="E35" s="11">
        <v>38436</v>
      </c>
      <c r="F35" s="11">
        <v>37529</v>
      </c>
      <c r="G35" s="11">
        <v>12654</v>
      </c>
      <c r="H35" s="11">
        <v>23448</v>
      </c>
      <c r="I35" s="11">
        <v>18010</v>
      </c>
      <c r="J35" s="11">
        <v>15010</v>
      </c>
      <c r="K35" s="12">
        <v>8797</v>
      </c>
      <c r="L35" s="21">
        <f>(K35/$K$4)*$L$4</f>
        <v>9236.85</v>
      </c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1:25" x14ac:dyDescent="0.45">
      <c r="A36" s="15" t="s">
        <v>40</v>
      </c>
      <c r="B36" s="16">
        <f t="shared" ref="B36:J36" si="9">B34+B35</f>
        <v>16450</v>
      </c>
      <c r="C36" s="16">
        <f t="shared" si="9"/>
        <v>9845</v>
      </c>
      <c r="D36" s="16">
        <f t="shared" si="9"/>
        <v>39108</v>
      </c>
      <c r="E36" s="16">
        <f t="shared" si="9"/>
        <v>61269</v>
      </c>
      <c r="F36" s="16">
        <f t="shared" si="9"/>
        <v>64830</v>
      </c>
      <c r="G36" s="16">
        <f t="shared" si="9"/>
        <v>41955</v>
      </c>
      <c r="H36" s="16">
        <f t="shared" si="9"/>
        <v>43533</v>
      </c>
      <c r="I36" s="16">
        <f t="shared" si="9"/>
        <v>62433</v>
      </c>
      <c r="J36" s="16">
        <f t="shared" si="9"/>
        <v>52198</v>
      </c>
      <c r="K36" s="17">
        <f>K34+K35</f>
        <v>46398</v>
      </c>
      <c r="L36" s="17">
        <f>L34+L35</f>
        <v>48717.9</v>
      </c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x14ac:dyDescent="0.45">
      <c r="A37" s="23" t="s">
        <v>41</v>
      </c>
      <c r="B37" s="24">
        <f t="shared" ref="B37:J37" si="10">B36+B33</f>
        <v>48111</v>
      </c>
      <c r="C37" s="24">
        <f t="shared" si="10"/>
        <v>114881</v>
      </c>
      <c r="D37" s="24">
        <f t="shared" si="10"/>
        <v>204497</v>
      </c>
      <c r="E37" s="24">
        <f t="shared" si="10"/>
        <v>298562</v>
      </c>
      <c r="F37" s="24">
        <f t="shared" si="10"/>
        <v>338751</v>
      </c>
      <c r="G37" s="24">
        <f t="shared" si="10"/>
        <v>333349</v>
      </c>
      <c r="H37" s="24">
        <f t="shared" si="10"/>
        <v>411367</v>
      </c>
      <c r="I37" s="24">
        <f t="shared" si="10"/>
        <v>205430</v>
      </c>
      <c r="J37" s="24">
        <f t="shared" si="10"/>
        <v>284291</v>
      </c>
      <c r="K37" s="25">
        <f>K36+K33</f>
        <v>425781</v>
      </c>
      <c r="L37" s="25">
        <f>L36+L33</f>
        <v>447070.05000000005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1:25" ht="19.2" thickBot="1" x14ac:dyDescent="0.5">
      <c r="A38" s="26" t="s">
        <v>42</v>
      </c>
      <c r="B38" s="38">
        <f t="shared" ref="B38:F38" si="11">B29-B37</f>
        <v>72985</v>
      </c>
      <c r="C38" s="38">
        <f t="shared" si="11"/>
        <v>132884</v>
      </c>
      <c r="D38" s="38">
        <f t="shared" si="11"/>
        <v>235911</v>
      </c>
      <c r="E38" s="38">
        <f t="shared" si="11"/>
        <v>271585</v>
      </c>
      <c r="F38" s="38">
        <f t="shared" si="11"/>
        <v>401404</v>
      </c>
      <c r="G38" s="38">
        <f>G29-G37</f>
        <v>471492</v>
      </c>
      <c r="H38" s="38">
        <f>H29-H37</f>
        <v>592482</v>
      </c>
      <c r="I38" s="38">
        <f>I29-I37</f>
        <v>558087</v>
      </c>
      <c r="J38" s="38">
        <f>J29-J37</f>
        <v>851457</v>
      </c>
      <c r="K38" s="39">
        <f>K29-K37</f>
        <v>1081385</v>
      </c>
      <c r="L38" s="40">
        <f>K38+(1-O18)*L14</f>
        <v>1105165.925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1:25" ht="19.2" thickBot="1" x14ac:dyDescent="0.5"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spans="1:25" ht="19.2" thickBot="1" x14ac:dyDescent="0.5">
      <c r="A40" s="30" t="s">
        <v>43</v>
      </c>
      <c r="B40" s="31">
        <v>299390</v>
      </c>
      <c r="C40" s="31">
        <v>553490</v>
      </c>
      <c r="D40" s="31">
        <v>966700</v>
      </c>
      <c r="E40" s="31">
        <v>1327380</v>
      </c>
      <c r="F40" s="31">
        <v>2345220</v>
      </c>
      <c r="G40" s="31">
        <v>2814490</v>
      </c>
      <c r="H40" s="31">
        <v>2371740</v>
      </c>
      <c r="I40" s="31">
        <v>1026220</v>
      </c>
      <c r="J40" s="31">
        <v>2931780</v>
      </c>
      <c r="K40" s="32">
        <v>2688930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4">
    <mergeCell ref="N4:O4"/>
    <mergeCell ref="N20:O20"/>
    <mergeCell ref="N28:O28"/>
    <mergeCell ref="N32:O32"/>
  </mergeCells>
  <phoneticPr fontId="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43B5-4912-4382-9F75-C5D2E16D5E2B}">
  <dimension ref="A1:AK40"/>
  <sheetViews>
    <sheetView zoomScale="70" zoomScaleNormal="7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L1" sqref="B1:L1048576"/>
    </sheetView>
  </sheetViews>
  <sheetFormatPr defaultColWidth="9" defaultRowHeight="18.600000000000001" x14ac:dyDescent="0.45"/>
  <cols>
    <col min="1" max="1" width="35" style="2" customWidth="1"/>
    <col min="2" max="11" width="17" style="2" hidden="1" customWidth="1"/>
    <col min="12" max="12" width="24" style="2" hidden="1" customWidth="1"/>
    <col min="13" max="13" width="15.44140625" style="2" bestFit="1" customWidth="1"/>
    <col min="14" max="17" width="17" style="2" customWidth="1"/>
    <col min="18" max="18" width="3.21875" style="2" customWidth="1"/>
    <col min="19" max="19" width="33.21875" style="2" customWidth="1"/>
    <col min="20" max="20" width="53.5546875" style="2" bestFit="1" customWidth="1"/>
    <col min="21" max="30" width="13.33203125" style="2" bestFit="1" customWidth="1"/>
    <col min="31" max="16384" width="9" style="2"/>
  </cols>
  <sheetData>
    <row r="1" spans="1:37" ht="19.2" thickBot="1" x14ac:dyDescent="0.5">
      <c r="A1" s="1" t="s">
        <v>0</v>
      </c>
      <c r="N1" s="228" t="s">
        <v>100</v>
      </c>
      <c r="O1" s="229"/>
      <c r="P1" s="228" t="s">
        <v>168</v>
      </c>
      <c r="Q1" s="229"/>
      <c r="T1" s="14"/>
      <c r="U1" s="14"/>
    </row>
    <row r="2" spans="1:37" ht="19.2" thickBot="1" x14ac:dyDescent="0.5">
      <c r="A2" s="3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62</v>
      </c>
      <c r="K2" s="4" t="s">
        <v>63</v>
      </c>
      <c r="L2" s="4" t="s">
        <v>101</v>
      </c>
      <c r="M2" s="5" t="s">
        <v>64</v>
      </c>
      <c r="N2" s="88" t="s">
        <v>98</v>
      </c>
      <c r="O2" s="88" t="s">
        <v>99</v>
      </c>
      <c r="P2" s="88" t="s">
        <v>98</v>
      </c>
      <c r="Q2" s="88" t="s">
        <v>99</v>
      </c>
      <c r="S2" s="111" t="s">
        <v>97</v>
      </c>
      <c r="T2" s="112" t="s">
        <v>66</v>
      </c>
      <c r="U2" s="88" t="s">
        <v>1</v>
      </c>
      <c r="V2" s="88" t="s">
        <v>2</v>
      </c>
      <c r="W2" s="88" t="s">
        <v>3</v>
      </c>
      <c r="X2" s="88" t="s">
        <v>4</v>
      </c>
      <c r="Y2" s="88" t="s">
        <v>5</v>
      </c>
      <c r="Z2" s="88" t="s">
        <v>6</v>
      </c>
      <c r="AA2" s="88" t="s">
        <v>7</v>
      </c>
      <c r="AB2" s="88" t="s">
        <v>8</v>
      </c>
      <c r="AC2" s="88" t="s">
        <v>62</v>
      </c>
      <c r="AD2" s="88" t="s">
        <v>63</v>
      </c>
    </row>
    <row r="3" spans="1:37" x14ac:dyDescent="0.45">
      <c r="A3" s="7" t="s">
        <v>10</v>
      </c>
      <c r="B3" s="8"/>
      <c r="C3" s="8"/>
      <c r="D3" s="8"/>
      <c r="E3" s="8"/>
      <c r="F3" s="8"/>
      <c r="G3" s="8"/>
      <c r="H3" s="8"/>
      <c r="I3" s="8"/>
      <c r="J3" s="8"/>
      <c r="K3" s="9"/>
      <c r="L3" s="181"/>
      <c r="M3" s="9"/>
      <c r="N3" s="181"/>
      <c r="O3" s="89"/>
      <c r="P3" s="188"/>
      <c r="Q3" s="188"/>
      <c r="S3" s="104" t="s">
        <v>65</v>
      </c>
      <c r="T3" s="210"/>
      <c r="U3" s="211"/>
      <c r="V3" s="211"/>
      <c r="W3" s="211"/>
      <c r="X3" s="211"/>
      <c r="Y3" s="211"/>
      <c r="Z3" s="211"/>
      <c r="AA3" s="211"/>
      <c r="AB3" s="211"/>
      <c r="AC3" s="211"/>
      <c r="AD3" s="212"/>
    </row>
    <row r="4" spans="1:37" x14ac:dyDescent="0.45">
      <c r="A4" s="10" t="s">
        <v>11</v>
      </c>
      <c r="B4" s="11">
        <v>78380</v>
      </c>
      <c r="C4" s="11">
        <v>109256</v>
      </c>
      <c r="D4" s="11">
        <v>196439</v>
      </c>
      <c r="E4" s="11">
        <v>259738</v>
      </c>
      <c r="F4" s="11">
        <v>323190</v>
      </c>
      <c r="G4" s="11">
        <v>369086</v>
      </c>
      <c r="H4" s="11">
        <v>446739</v>
      </c>
      <c r="I4" s="11">
        <v>314395</v>
      </c>
      <c r="J4" s="11">
        <v>173492</v>
      </c>
      <c r="K4" s="12">
        <v>375327</v>
      </c>
      <c r="L4" s="185">
        <f>K4/$K$4</f>
        <v>1</v>
      </c>
      <c r="M4" s="13">
        <f>K4*1.05</f>
        <v>394093.35000000003</v>
      </c>
      <c r="N4" s="118">
        <f t="shared" ref="N4:N13" si="0">(J4-I4)/ABS(I4)</f>
        <v>-0.44817188568520494</v>
      </c>
      <c r="O4" s="118">
        <f>(K4-J4)/ABS(J4)</f>
        <v>1.1633677633550827</v>
      </c>
      <c r="P4" s="118">
        <f>ABS(J4)/$J$4</f>
        <v>1</v>
      </c>
      <c r="Q4" s="118">
        <f>ABS(K4)/$K$4</f>
        <v>1</v>
      </c>
      <c r="S4" s="94" t="s">
        <v>67</v>
      </c>
      <c r="T4" s="213" t="s">
        <v>68</v>
      </c>
      <c r="U4" s="95"/>
      <c r="V4" s="95">
        <f t="shared" ref="V4:AD4" si="1">C14/AVERAGE(B38:C38)</f>
        <v>0.17315865914732184</v>
      </c>
      <c r="W4" s="95">
        <f t="shared" si="1"/>
        <v>0.16504562155126831</v>
      </c>
      <c r="X4" s="95">
        <f t="shared" si="1"/>
        <v>0.17550089064741398</v>
      </c>
      <c r="Y4" s="95">
        <f t="shared" si="1"/>
        <v>0.17601179216896562</v>
      </c>
      <c r="Z4" s="95">
        <f t="shared" si="1"/>
        <v>0.18595342400469242</v>
      </c>
      <c r="AA4" s="95">
        <f t="shared" si="1"/>
        <v>0.17768479304945423</v>
      </c>
      <c r="AB4" s="95">
        <f t="shared" si="1"/>
        <v>0.11284677407439275</v>
      </c>
      <c r="AC4" s="95">
        <f t="shared" si="1"/>
        <v>-4.5792114329173121E-2</v>
      </c>
      <c r="AD4" s="96">
        <f t="shared" si="1"/>
        <v>1.2841194469077142E-2</v>
      </c>
      <c r="AE4" s="14"/>
      <c r="AF4" s="14"/>
      <c r="AG4" s="14"/>
      <c r="AH4" s="14"/>
      <c r="AI4" s="14"/>
      <c r="AJ4" s="14"/>
      <c r="AK4" s="14"/>
    </row>
    <row r="5" spans="1:37" x14ac:dyDescent="0.45">
      <c r="A5" s="10" t="s">
        <v>12</v>
      </c>
      <c r="B5" s="11">
        <v>383</v>
      </c>
      <c r="C5" s="11">
        <v>966</v>
      </c>
      <c r="D5" s="11">
        <v>1383</v>
      </c>
      <c r="E5" s="11">
        <v>4946</v>
      </c>
      <c r="F5" s="11">
        <v>2487</v>
      </c>
      <c r="G5" s="11">
        <v>3019</v>
      </c>
      <c r="H5" s="11">
        <v>2744</v>
      </c>
      <c r="I5" s="11">
        <v>35510</v>
      </c>
      <c r="J5" s="11">
        <v>26960</v>
      </c>
      <c r="K5" s="12">
        <v>13355</v>
      </c>
      <c r="L5" s="185">
        <f t="shared" ref="L5:L14" si="2">K5/$K$4</f>
        <v>3.5582305562882499E-2</v>
      </c>
      <c r="M5" s="13">
        <f>L5*M4</f>
        <v>14022.750000000002</v>
      </c>
      <c r="N5" s="118">
        <f t="shared" si="0"/>
        <v>-0.2407772458462405</v>
      </c>
      <c r="O5" s="118">
        <f t="shared" ref="O5:O13" si="3">(K5-J5)/ABS(J5)</f>
        <v>-0.50463649851632042</v>
      </c>
      <c r="P5" s="118">
        <f t="shared" ref="P5:P14" si="4">ABS(J5)/$J$4</f>
        <v>0.15539621423466213</v>
      </c>
      <c r="Q5" s="118">
        <f t="shared" ref="Q5:Q14" si="5">K5/$K$4</f>
        <v>3.5582305562882499E-2</v>
      </c>
      <c r="S5" s="97" t="s">
        <v>69</v>
      </c>
      <c r="T5" t="s">
        <v>70</v>
      </c>
      <c r="U5" s="98"/>
      <c r="V5" s="98">
        <f t="shared" ref="V5:AD5" si="6">C14/AVERAGE(B29:C29)</f>
        <v>9.6643451056088875E-2</v>
      </c>
      <c r="W5" s="98">
        <f t="shared" si="6"/>
        <v>8.8448689501041164E-2</v>
      </c>
      <c r="X5" s="98">
        <f t="shared" si="6"/>
        <v>8.813572739732127E-2</v>
      </c>
      <c r="Y5" s="98">
        <f t="shared" si="6"/>
        <v>9.0402059983118399E-2</v>
      </c>
      <c r="Z5" s="98">
        <f t="shared" si="6"/>
        <v>0.10506046617596421</v>
      </c>
      <c r="AA5" s="98">
        <f t="shared" si="6"/>
        <v>0.10452426894603277</v>
      </c>
      <c r="AB5" s="98">
        <f t="shared" si="6"/>
        <v>7.3464126841865235E-2</v>
      </c>
      <c r="AC5" s="98">
        <f t="shared" si="6"/>
        <v>-3.3984725670193471E-2</v>
      </c>
      <c r="AD5" s="214">
        <f t="shared" si="6"/>
        <v>9.3911493147336607E-3</v>
      </c>
      <c r="AE5" s="14"/>
      <c r="AF5" s="14"/>
      <c r="AG5" s="14"/>
      <c r="AH5" s="14"/>
      <c r="AI5" s="14"/>
      <c r="AJ5" s="14"/>
      <c r="AK5" s="14"/>
    </row>
    <row r="6" spans="1:37" ht="19.2" thickBot="1" x14ac:dyDescent="0.5">
      <c r="A6" s="15" t="s">
        <v>13</v>
      </c>
      <c r="B6" s="16">
        <f>B4+B5</f>
        <v>78763</v>
      </c>
      <c r="C6" s="16">
        <f t="shared" ref="C6:J6" si="7">C4+C5</f>
        <v>110222</v>
      </c>
      <c r="D6" s="16">
        <f t="shared" si="7"/>
        <v>197822</v>
      </c>
      <c r="E6" s="16">
        <f t="shared" si="7"/>
        <v>264684</v>
      </c>
      <c r="F6" s="16">
        <f t="shared" si="7"/>
        <v>325677</v>
      </c>
      <c r="G6" s="16">
        <f t="shared" si="7"/>
        <v>372105</v>
      </c>
      <c r="H6" s="16">
        <f t="shared" si="7"/>
        <v>449483</v>
      </c>
      <c r="I6" s="16">
        <f t="shared" si="7"/>
        <v>349905</v>
      </c>
      <c r="J6" s="16">
        <f t="shared" si="7"/>
        <v>200452</v>
      </c>
      <c r="K6" s="17">
        <f>K4+K5</f>
        <v>388682</v>
      </c>
      <c r="L6" s="185">
        <f t="shared" si="2"/>
        <v>1.0355823055628826</v>
      </c>
      <c r="M6" s="17">
        <f>M4+M5</f>
        <v>408116.10000000003</v>
      </c>
      <c r="N6" s="118">
        <f t="shared" si="0"/>
        <v>-0.42712450522284617</v>
      </c>
      <c r="O6" s="118">
        <f t="shared" si="3"/>
        <v>0.93902779717837692</v>
      </c>
      <c r="P6" s="118">
        <f t="shared" si="4"/>
        <v>1.1553962142346621</v>
      </c>
      <c r="Q6" s="118">
        <f t="shared" si="5"/>
        <v>1.0355823055628826</v>
      </c>
      <c r="S6" s="100" t="s">
        <v>71</v>
      </c>
      <c r="T6" s="107" t="s">
        <v>72</v>
      </c>
      <c r="U6" s="101">
        <f t="shared" ref="U6:AD6" si="8">B14/B4</f>
        <v>0.14663179382495534</v>
      </c>
      <c r="V6" s="101">
        <f t="shared" si="8"/>
        <v>0.16313978179688071</v>
      </c>
      <c r="W6" s="101">
        <f t="shared" si="8"/>
        <v>0.15492850197771318</v>
      </c>
      <c r="X6" s="101">
        <f t="shared" si="8"/>
        <v>0.17145354164581231</v>
      </c>
      <c r="Y6" s="101">
        <f t="shared" si="8"/>
        <v>0.18325752653238034</v>
      </c>
      <c r="Z6" s="101">
        <f t="shared" si="8"/>
        <v>0.21989184092596306</v>
      </c>
      <c r="AA6" s="101">
        <f t="shared" si="8"/>
        <v>0.21159110800713615</v>
      </c>
      <c r="AB6" s="101">
        <f t="shared" si="8"/>
        <v>0.20648865280936402</v>
      </c>
      <c r="AC6" s="101">
        <f t="shared" si="8"/>
        <v>-0.18602010467341434</v>
      </c>
      <c r="AD6" s="215">
        <f t="shared" si="8"/>
        <v>3.3064501088384261E-2</v>
      </c>
    </row>
    <row r="7" spans="1:37" x14ac:dyDescent="0.45">
      <c r="A7" s="18" t="s">
        <v>14</v>
      </c>
      <c r="B7" s="19">
        <v>-57765</v>
      </c>
      <c r="C7" s="19">
        <v>-81360</v>
      </c>
      <c r="D7" s="19">
        <v>-148727</v>
      </c>
      <c r="E7" s="19">
        <v>-195654</v>
      </c>
      <c r="F7" s="19">
        <v>-227062</v>
      </c>
      <c r="G7" s="19">
        <v>-246655</v>
      </c>
      <c r="H7" s="19">
        <v>-299101</v>
      </c>
      <c r="I7" s="19">
        <v>-214683</v>
      </c>
      <c r="J7" s="19">
        <v>-207619</v>
      </c>
      <c r="K7" s="20">
        <v>-328775</v>
      </c>
      <c r="L7" s="185">
        <f t="shared" si="2"/>
        <v>-0.87596948793984974</v>
      </c>
      <c r="M7" s="21">
        <f>-(100000+(0.5*M4))</f>
        <v>-297046.67500000005</v>
      </c>
      <c r="N7" s="118">
        <f t="shared" si="0"/>
        <v>3.2904328707908867E-2</v>
      </c>
      <c r="O7" s="118">
        <f t="shared" si="3"/>
        <v>-0.58354967512607225</v>
      </c>
      <c r="P7" s="118">
        <f t="shared" si="4"/>
        <v>1.1967064763793143</v>
      </c>
      <c r="Q7" s="118">
        <f t="shared" si="5"/>
        <v>-0.87596948793984974</v>
      </c>
      <c r="S7" s="104" t="s">
        <v>73</v>
      </c>
      <c r="T7" s="210"/>
      <c r="U7"/>
      <c r="V7"/>
      <c r="W7"/>
      <c r="X7"/>
      <c r="Y7" s="14"/>
      <c r="Z7" s="14"/>
      <c r="AA7" s="14"/>
      <c r="AB7" s="14"/>
      <c r="AC7" s="14"/>
      <c r="AD7" s="103"/>
    </row>
    <row r="8" spans="1:37" x14ac:dyDescent="0.45">
      <c r="A8" s="22" t="s">
        <v>15</v>
      </c>
      <c r="B8" s="11">
        <v>-2079</v>
      </c>
      <c r="C8" s="11">
        <v>-3599</v>
      </c>
      <c r="D8" s="11">
        <v>-7540</v>
      </c>
      <c r="E8" s="11">
        <v>-10562</v>
      </c>
      <c r="F8" s="11">
        <v>-16157</v>
      </c>
      <c r="G8" s="11">
        <v>-17833</v>
      </c>
      <c r="H8" s="11">
        <v>-20348</v>
      </c>
      <c r="I8" s="11">
        <v>-42512</v>
      </c>
      <c r="J8" s="11">
        <v>-40857</v>
      </c>
      <c r="K8" s="12">
        <v>-44423</v>
      </c>
      <c r="L8" s="185">
        <f t="shared" si="2"/>
        <v>-0.11835812504829123</v>
      </c>
      <c r="M8" s="13">
        <f>L8*M4</f>
        <v>-46644.150000000009</v>
      </c>
      <c r="N8" s="118">
        <f t="shared" si="0"/>
        <v>3.8930184418517123E-2</v>
      </c>
      <c r="O8" s="118">
        <f t="shared" si="3"/>
        <v>-8.7280025454634452E-2</v>
      </c>
      <c r="P8" s="118">
        <f t="shared" si="4"/>
        <v>0.23549789039264057</v>
      </c>
      <c r="Q8" s="118">
        <f t="shared" si="5"/>
        <v>-0.11835812504829123</v>
      </c>
      <c r="S8" s="97" t="s">
        <v>74</v>
      </c>
      <c r="T8" t="s">
        <v>75</v>
      </c>
      <c r="U8" s="86"/>
      <c r="V8" s="86">
        <f t="shared" ref="V8:AD8" si="9">C4/AVERAGE(B29:C29)</f>
        <v>0.59239659383887155</v>
      </c>
      <c r="W8" s="86">
        <f t="shared" si="9"/>
        <v>0.57090004984211817</v>
      </c>
      <c r="X8" s="86">
        <f t="shared" si="9"/>
        <v>0.51405020013754821</v>
      </c>
      <c r="Y8" s="86">
        <f t="shared" si="9"/>
        <v>0.49330612332118856</v>
      </c>
      <c r="Z8" s="86">
        <f t="shared" si="9"/>
        <v>0.477782466750723</v>
      </c>
      <c r="AA8" s="86">
        <f t="shared" si="9"/>
        <v>0.49399178410894073</v>
      </c>
      <c r="AB8" s="86">
        <f t="shared" si="9"/>
        <v>0.35577803352559684</v>
      </c>
      <c r="AC8" s="86">
        <f t="shared" si="9"/>
        <v>0.18269383156115654</v>
      </c>
      <c r="AD8" s="216">
        <f t="shared" si="9"/>
        <v>0.28402513286470921</v>
      </c>
    </row>
    <row r="9" spans="1:37" ht="19.2" thickBot="1" x14ac:dyDescent="0.5">
      <c r="A9" s="15" t="s">
        <v>16</v>
      </c>
      <c r="B9" s="16">
        <f t="shared" ref="B9:M9" si="10">B7+B8</f>
        <v>-59844</v>
      </c>
      <c r="C9" s="16">
        <f t="shared" si="10"/>
        <v>-84959</v>
      </c>
      <c r="D9" s="16">
        <f t="shared" si="10"/>
        <v>-156267</v>
      </c>
      <c r="E9" s="16">
        <f t="shared" si="10"/>
        <v>-206216</v>
      </c>
      <c r="F9" s="16">
        <f t="shared" si="10"/>
        <v>-243219</v>
      </c>
      <c r="G9" s="16">
        <f t="shared" si="10"/>
        <v>-264488</v>
      </c>
      <c r="H9" s="16">
        <f t="shared" si="10"/>
        <v>-319449</v>
      </c>
      <c r="I9" s="16">
        <f t="shared" si="10"/>
        <v>-257195</v>
      </c>
      <c r="J9" s="16">
        <f t="shared" si="10"/>
        <v>-248476</v>
      </c>
      <c r="K9" s="17">
        <f t="shared" si="10"/>
        <v>-373198</v>
      </c>
      <c r="L9" s="185">
        <f t="shared" si="2"/>
        <v>-0.99432761298814099</v>
      </c>
      <c r="M9" s="17">
        <f t="shared" si="10"/>
        <v>-343690.82500000007</v>
      </c>
      <c r="N9" s="118">
        <f t="shared" si="0"/>
        <v>3.3900347984991933E-2</v>
      </c>
      <c r="O9" s="118">
        <f t="shared" si="3"/>
        <v>-0.50194787424137544</v>
      </c>
      <c r="P9" s="118">
        <f t="shared" si="4"/>
        <v>1.4322043667719548</v>
      </c>
      <c r="Q9" s="118">
        <f t="shared" si="5"/>
        <v>-0.99432761298814099</v>
      </c>
      <c r="S9" s="100" t="s">
        <v>76</v>
      </c>
      <c r="T9" s="107" t="s">
        <v>77</v>
      </c>
      <c r="U9" s="113"/>
      <c r="V9" s="113">
        <f t="shared" ref="V9:AD9" si="11">(AVERAGE(B21:C21)/C4)*365</f>
        <v>215.91612817602694</v>
      </c>
      <c r="W9" s="113">
        <f t="shared" si="11"/>
        <v>236.61202714328621</v>
      </c>
      <c r="X9" s="113">
        <f t="shared" si="11"/>
        <v>225.91557646551524</v>
      </c>
      <c r="Y9" s="113">
        <f t="shared" si="11"/>
        <v>208.56013490516415</v>
      </c>
      <c r="Z9" s="113">
        <f t="shared" si="11"/>
        <v>224.21353695344717</v>
      </c>
      <c r="AA9" s="113">
        <f t="shared" si="11"/>
        <v>237.35102599056719</v>
      </c>
      <c r="AB9" s="113">
        <f t="shared" si="11"/>
        <v>228.30625487046549</v>
      </c>
      <c r="AC9" s="113">
        <f t="shared" si="11"/>
        <v>252.42228748299632</v>
      </c>
      <c r="AD9" s="114">
        <f t="shared" si="11"/>
        <v>221.96491326230193</v>
      </c>
    </row>
    <row r="10" spans="1:37" x14ac:dyDescent="0.45">
      <c r="A10" s="23" t="s">
        <v>17</v>
      </c>
      <c r="B10" s="24">
        <f t="shared" ref="B10:M10" si="12">B6+B9</f>
        <v>18919</v>
      </c>
      <c r="C10" s="24">
        <f t="shared" si="12"/>
        <v>25263</v>
      </c>
      <c r="D10" s="24">
        <f t="shared" si="12"/>
        <v>41555</v>
      </c>
      <c r="E10" s="24">
        <f t="shared" si="12"/>
        <v>58468</v>
      </c>
      <c r="F10" s="24">
        <f t="shared" si="12"/>
        <v>82458</v>
      </c>
      <c r="G10" s="24">
        <f t="shared" si="12"/>
        <v>107617</v>
      </c>
      <c r="H10" s="24">
        <f t="shared" si="12"/>
        <v>130034</v>
      </c>
      <c r="I10" s="24">
        <f t="shared" si="12"/>
        <v>92710</v>
      </c>
      <c r="J10" s="24">
        <f t="shared" si="12"/>
        <v>-48024</v>
      </c>
      <c r="K10" s="25">
        <f t="shared" si="12"/>
        <v>15484</v>
      </c>
      <c r="L10" s="185">
        <f t="shared" si="2"/>
        <v>4.1254692574741493E-2</v>
      </c>
      <c r="M10" s="25">
        <f t="shared" si="12"/>
        <v>64425.274999999965</v>
      </c>
      <c r="N10" s="118">
        <f t="shared" si="0"/>
        <v>-1.5180023729910475</v>
      </c>
      <c r="O10" s="118">
        <f t="shared" si="3"/>
        <v>1.3224221222721972</v>
      </c>
      <c r="P10" s="118">
        <f t="shared" si="4"/>
        <v>0.2768081525372928</v>
      </c>
      <c r="Q10" s="118">
        <f t="shared" si="5"/>
        <v>4.1254692574741493E-2</v>
      </c>
      <c r="S10" s="104" t="s">
        <v>78</v>
      </c>
      <c r="T10" s="210"/>
      <c r="U10"/>
      <c r="V10"/>
      <c r="W10"/>
      <c r="X10"/>
      <c r="Y10" s="14"/>
      <c r="Z10" s="14"/>
      <c r="AA10" s="14"/>
      <c r="AB10" s="14"/>
      <c r="AC10" s="14"/>
      <c r="AD10" s="103"/>
    </row>
    <row r="11" spans="1:37" ht="19.2" thickBot="1" x14ac:dyDescent="0.5">
      <c r="A11" s="18" t="s">
        <v>18</v>
      </c>
      <c r="B11" s="19">
        <v>-724</v>
      </c>
      <c r="C11" s="19">
        <v>-640</v>
      </c>
      <c r="D11" s="19">
        <v>-959</v>
      </c>
      <c r="E11" s="19">
        <v>-1809</v>
      </c>
      <c r="F11" s="19">
        <v>-3443</v>
      </c>
      <c r="G11" s="19">
        <v>-3226</v>
      </c>
      <c r="H11" s="19">
        <v>-2765</v>
      </c>
      <c r="I11" s="19">
        <v>-9620</v>
      </c>
      <c r="J11" s="19">
        <v>-3267</v>
      </c>
      <c r="K11" s="20">
        <v>-2303</v>
      </c>
      <c r="L11" s="185">
        <f t="shared" si="2"/>
        <v>-6.1359827563697792E-3</v>
      </c>
      <c r="M11" s="20">
        <v>-2303</v>
      </c>
      <c r="N11" s="118">
        <f t="shared" si="0"/>
        <v>0.66039501039501036</v>
      </c>
      <c r="O11" s="118">
        <f t="shared" si="3"/>
        <v>0.29507193143556781</v>
      </c>
      <c r="P11" s="118">
        <f t="shared" si="4"/>
        <v>1.8830839462338322E-2</v>
      </c>
      <c r="Q11" s="118">
        <f t="shared" si="5"/>
        <v>-6.1359827563697792E-3</v>
      </c>
      <c r="S11" s="100" t="s">
        <v>79</v>
      </c>
      <c r="T11" s="107" t="s">
        <v>80</v>
      </c>
      <c r="U11" s="113">
        <f t="shared" ref="U11:AD11" si="13">B24/B33</f>
        <v>1.3333754461324658</v>
      </c>
      <c r="V11" s="113">
        <f t="shared" si="13"/>
        <v>1.2877965649872425</v>
      </c>
      <c r="W11" s="113">
        <f t="shared" si="13"/>
        <v>1.2014341945353078</v>
      </c>
      <c r="X11" s="113">
        <f t="shared" si="13"/>
        <v>1.0713590371397386</v>
      </c>
      <c r="Y11" s="113">
        <f t="shared" si="13"/>
        <v>1.0400407416736943</v>
      </c>
      <c r="Z11" s="113">
        <f t="shared" si="13"/>
        <v>1.1693343033830483</v>
      </c>
      <c r="AA11" s="113">
        <f t="shared" si="13"/>
        <v>1.2998743998651565</v>
      </c>
      <c r="AB11" s="113">
        <f t="shared" si="13"/>
        <v>1.2155639628803401</v>
      </c>
      <c r="AC11" s="113">
        <f t="shared" si="13"/>
        <v>1.2524031315033197</v>
      </c>
      <c r="AD11" s="114">
        <f t="shared" si="13"/>
        <v>1.1639187839202072</v>
      </c>
    </row>
    <row r="12" spans="1:37" x14ac:dyDescent="0.45">
      <c r="A12" s="15" t="s">
        <v>19</v>
      </c>
      <c r="B12" s="16">
        <f t="shared" ref="B12:M12" si="14">B10+B11</f>
        <v>18195</v>
      </c>
      <c r="C12" s="16">
        <f t="shared" si="14"/>
        <v>24623</v>
      </c>
      <c r="D12" s="16">
        <f t="shared" si="14"/>
        <v>40596</v>
      </c>
      <c r="E12" s="16">
        <f t="shared" si="14"/>
        <v>56659</v>
      </c>
      <c r="F12" s="16">
        <f t="shared" si="14"/>
        <v>79015</v>
      </c>
      <c r="G12" s="16">
        <f t="shared" si="14"/>
        <v>104391</v>
      </c>
      <c r="H12" s="16">
        <f t="shared" si="14"/>
        <v>127269</v>
      </c>
      <c r="I12" s="16">
        <f t="shared" si="14"/>
        <v>83090</v>
      </c>
      <c r="J12" s="16">
        <f t="shared" si="14"/>
        <v>-51291</v>
      </c>
      <c r="K12" s="17">
        <f>K10+K11</f>
        <v>13181</v>
      </c>
      <c r="L12" s="185">
        <f t="shared" si="2"/>
        <v>3.5118709818371716E-2</v>
      </c>
      <c r="M12" s="17">
        <f t="shared" si="14"/>
        <v>62122.274999999965</v>
      </c>
      <c r="N12" s="118">
        <f t="shared" si="0"/>
        <v>-1.6172944999398242</v>
      </c>
      <c r="O12" s="118">
        <f t="shared" si="3"/>
        <v>1.2569846561774971</v>
      </c>
      <c r="P12" s="118">
        <f t="shared" si="4"/>
        <v>0.29563899199963112</v>
      </c>
      <c r="Q12" s="118">
        <f t="shared" si="5"/>
        <v>3.5118709818371716E-2</v>
      </c>
      <c r="S12" s="104" t="s">
        <v>81</v>
      </c>
      <c r="T12" s="210"/>
      <c r="U12"/>
      <c r="V12"/>
      <c r="W12"/>
      <c r="X12"/>
      <c r="Y12" s="14"/>
      <c r="Z12" s="14"/>
      <c r="AA12" s="14"/>
      <c r="AB12" s="14"/>
      <c r="AC12" s="14"/>
      <c r="AD12" s="103"/>
    </row>
    <row r="13" spans="1:37" x14ac:dyDescent="0.45">
      <c r="A13" s="18" t="s">
        <v>20</v>
      </c>
      <c r="B13" s="19">
        <v>-6702</v>
      </c>
      <c r="C13" s="19">
        <v>-6799</v>
      </c>
      <c r="D13" s="19">
        <v>-10162</v>
      </c>
      <c r="E13" s="19">
        <v>-12126</v>
      </c>
      <c r="F13" s="19">
        <v>-19788</v>
      </c>
      <c r="G13" s="19">
        <v>-23232</v>
      </c>
      <c r="H13" s="19">
        <v>-32743</v>
      </c>
      <c r="I13" s="19">
        <v>-18171</v>
      </c>
      <c r="J13" s="19">
        <v>19018</v>
      </c>
      <c r="K13" s="20">
        <v>-771</v>
      </c>
      <c r="L13" s="185">
        <f t="shared" si="2"/>
        <v>-2.0542087299874508E-3</v>
      </c>
      <c r="M13" s="21">
        <f>IF(M12&gt;0,-1*30%*M12,0)</f>
        <v>-18636.682499999988</v>
      </c>
      <c r="N13" s="118">
        <f t="shared" si="0"/>
        <v>2.0466127345770735</v>
      </c>
      <c r="O13" s="118">
        <f t="shared" si="3"/>
        <v>-1.0405405405405406</v>
      </c>
      <c r="P13" s="118">
        <f t="shared" si="4"/>
        <v>0.10961888732621677</v>
      </c>
      <c r="Q13" s="118">
        <f t="shared" si="5"/>
        <v>-2.0542087299874508E-3</v>
      </c>
      <c r="S13" s="97" t="s">
        <v>82</v>
      </c>
      <c r="T13" t="s">
        <v>83</v>
      </c>
      <c r="U13" s="105">
        <f t="shared" ref="U13:AD13" si="15">B37/B38</f>
        <v>0.65919024457080222</v>
      </c>
      <c r="V13" s="105">
        <f t="shared" si="15"/>
        <v>0.86452093555281295</v>
      </c>
      <c r="W13" s="105">
        <f t="shared" si="15"/>
        <v>0.86683961324397762</v>
      </c>
      <c r="X13" s="105">
        <f t="shared" si="15"/>
        <v>1.0993317009407737</v>
      </c>
      <c r="Y13" s="105">
        <f t="shared" si="15"/>
        <v>0.84391535709659093</v>
      </c>
      <c r="Z13" s="105">
        <f t="shared" si="15"/>
        <v>0.70700881457161524</v>
      </c>
      <c r="AA13" s="105">
        <f t="shared" si="15"/>
        <v>0.69431138836285322</v>
      </c>
      <c r="AB13" s="105">
        <f t="shared" si="15"/>
        <v>0.36809673043808583</v>
      </c>
      <c r="AC13" s="105">
        <f t="shared" si="15"/>
        <v>0.33388767724030693</v>
      </c>
      <c r="AD13" s="217">
        <f t="shared" si="15"/>
        <v>0.39373673576015944</v>
      </c>
    </row>
    <row r="14" spans="1:37" ht="19.2" thickBot="1" x14ac:dyDescent="0.5">
      <c r="A14" s="26" t="s">
        <v>21</v>
      </c>
      <c r="B14" s="27">
        <f t="shared" ref="B14:K14" si="16">B12+B13</f>
        <v>11493</v>
      </c>
      <c r="C14" s="27">
        <f t="shared" si="16"/>
        <v>17824</v>
      </c>
      <c r="D14" s="27">
        <f t="shared" si="16"/>
        <v>30434</v>
      </c>
      <c r="E14" s="27">
        <f t="shared" si="16"/>
        <v>44533</v>
      </c>
      <c r="F14" s="27">
        <f t="shared" si="16"/>
        <v>59227</v>
      </c>
      <c r="G14" s="27">
        <f t="shared" si="16"/>
        <v>81159</v>
      </c>
      <c r="H14" s="27">
        <f t="shared" si="16"/>
        <v>94526</v>
      </c>
      <c r="I14" s="27">
        <f t="shared" si="16"/>
        <v>64919</v>
      </c>
      <c r="J14" s="117">
        <f t="shared" si="16"/>
        <v>-32273</v>
      </c>
      <c r="K14" s="116">
        <f t="shared" si="16"/>
        <v>12410</v>
      </c>
      <c r="L14" s="186">
        <f t="shared" si="2"/>
        <v>3.3064501088384261E-2</v>
      </c>
      <c r="M14" s="28">
        <f>M12+M13</f>
        <v>43485.592499999977</v>
      </c>
      <c r="N14" s="119">
        <f>(J14-I14)/ABS(I14)</f>
        <v>-1.4971271892666245</v>
      </c>
      <c r="O14" s="119">
        <f>(K14-J14)/ABS(J14)</f>
        <v>1.3845319617017322</v>
      </c>
      <c r="P14" s="119">
        <f t="shared" si="4"/>
        <v>0.18602010467341434</v>
      </c>
      <c r="Q14" s="119">
        <f t="shared" si="5"/>
        <v>3.3064501088384261E-2</v>
      </c>
      <c r="S14" s="97" t="s">
        <v>84</v>
      </c>
      <c r="T14" t="s">
        <v>85</v>
      </c>
      <c r="U14" s="105">
        <f t="shared" ref="U14:AD14" si="17">B37/B29</f>
        <v>0.39729635991279644</v>
      </c>
      <c r="V14" s="105">
        <f t="shared" si="17"/>
        <v>0.46366920267188666</v>
      </c>
      <c r="W14" s="105">
        <f t="shared" si="17"/>
        <v>0.46433534359048884</v>
      </c>
      <c r="X14" s="105">
        <f t="shared" si="17"/>
        <v>0.52365793383109971</v>
      </c>
      <c r="Y14" s="105">
        <f t="shared" si="17"/>
        <v>0.45767575710493075</v>
      </c>
      <c r="Z14" s="105">
        <f t="shared" si="17"/>
        <v>0.41417994361619254</v>
      </c>
      <c r="AA14" s="105">
        <f t="shared" si="17"/>
        <v>0.4097897193701443</v>
      </c>
      <c r="AB14" s="105">
        <f t="shared" si="17"/>
        <v>0.26905753244525005</v>
      </c>
      <c r="AC14" s="105">
        <f t="shared" si="17"/>
        <v>0.2503116888605571</v>
      </c>
      <c r="AD14" s="217">
        <f t="shared" si="17"/>
        <v>0.2825043823971613</v>
      </c>
    </row>
    <row r="15" spans="1:37" ht="19.2" thickBot="1" x14ac:dyDescent="0.5">
      <c r="A15" s="3"/>
      <c r="B15" s="29"/>
      <c r="C15" s="29"/>
      <c r="D15" s="29"/>
      <c r="E15" s="29"/>
      <c r="F15" s="29"/>
      <c r="G15" s="29"/>
      <c r="H15" s="29"/>
      <c r="I15" s="29"/>
      <c r="J15" s="29"/>
      <c r="K15" s="11"/>
      <c r="L15" s="11"/>
      <c r="M15" s="11"/>
      <c r="N15" s="87"/>
      <c r="O15" s="87"/>
      <c r="P15" s="87"/>
      <c r="Q15" s="87"/>
      <c r="S15" s="97" t="s">
        <v>86</v>
      </c>
      <c r="T15" t="s">
        <v>87</v>
      </c>
      <c r="U15" s="105">
        <f t="shared" ref="U15:AD15" si="18">B38/B29</f>
        <v>0.60270364008720356</v>
      </c>
      <c r="V15" s="105">
        <f t="shared" si="18"/>
        <v>0.53633079732811328</v>
      </c>
      <c r="W15" s="105">
        <f t="shared" si="18"/>
        <v>0.53566465640951122</v>
      </c>
      <c r="X15" s="105">
        <f t="shared" si="18"/>
        <v>0.47634206616890029</v>
      </c>
      <c r="Y15" s="105">
        <f t="shared" si="18"/>
        <v>0.54232424289506931</v>
      </c>
      <c r="Z15" s="105">
        <f t="shared" si="18"/>
        <v>0.58582005638380752</v>
      </c>
      <c r="AA15" s="105">
        <f t="shared" si="18"/>
        <v>0.5902102806298557</v>
      </c>
      <c r="AB15" s="105">
        <f t="shared" si="18"/>
        <v>0.7309424675547499</v>
      </c>
      <c r="AC15" s="105">
        <f t="shared" si="18"/>
        <v>0.7496883111394429</v>
      </c>
      <c r="AD15" s="217">
        <f t="shared" si="18"/>
        <v>0.71749561760283875</v>
      </c>
    </row>
    <row r="16" spans="1:37" ht="19.2" thickBot="1" x14ac:dyDescent="0.5">
      <c r="A16" s="30" t="s">
        <v>22</v>
      </c>
      <c r="B16" s="31">
        <v>-7497</v>
      </c>
      <c r="C16" s="31">
        <v>-9129</v>
      </c>
      <c r="D16" s="31">
        <v>-13523</v>
      </c>
      <c r="E16" s="31">
        <v>-20983</v>
      </c>
      <c r="F16" s="31">
        <v>-30514</v>
      </c>
      <c r="G16" s="31">
        <v>-37471</v>
      </c>
      <c r="H16" s="31">
        <v>-45271</v>
      </c>
      <c r="I16" s="31">
        <v>-26456</v>
      </c>
      <c r="J16" s="31">
        <v>0</v>
      </c>
      <c r="K16" s="32">
        <v>0</v>
      </c>
      <c r="L16" s="32"/>
      <c r="M16" s="33">
        <f>M4*5%</f>
        <v>19704.667500000003</v>
      </c>
      <c r="N16" s="191" t="s">
        <v>169</v>
      </c>
      <c r="O16" s="191" t="s">
        <v>169</v>
      </c>
      <c r="P16" s="189">
        <f>ABS(J16)/$J$4</f>
        <v>0</v>
      </c>
      <c r="Q16" s="189">
        <f>ABS(K16)/$J$4</f>
        <v>0</v>
      </c>
      <c r="S16" s="100" t="s">
        <v>88</v>
      </c>
      <c r="T16" s="107" t="s">
        <v>89</v>
      </c>
      <c r="U16" s="113">
        <f>(B14+B11+B13)/ABS(B11)</f>
        <v>5.6174033149171274</v>
      </c>
      <c r="V16" s="113">
        <f t="shared" ref="V16:AD16" si="19">(C14+C11+C13)/ABS(C11)</f>
        <v>16.2265625</v>
      </c>
      <c r="W16" s="113">
        <f t="shared" si="19"/>
        <v>20.138686131386862</v>
      </c>
      <c r="X16" s="113">
        <f t="shared" si="19"/>
        <v>16.914317302377004</v>
      </c>
      <c r="Y16" s="113">
        <f t="shared" si="19"/>
        <v>10.454835898925356</v>
      </c>
      <c r="Z16" s="113">
        <f t="shared" si="19"/>
        <v>16.956292622442653</v>
      </c>
      <c r="AA16" s="113">
        <f t="shared" si="19"/>
        <v>21.344665461121156</v>
      </c>
      <c r="AB16" s="113">
        <f t="shared" si="19"/>
        <v>3.8594594594594596</v>
      </c>
      <c r="AC16" s="113">
        <f t="shared" si="19"/>
        <v>-5.0572390572390571</v>
      </c>
      <c r="AD16" s="113">
        <f t="shared" si="19"/>
        <v>4.053842813721233</v>
      </c>
    </row>
    <row r="17" spans="1:34" ht="19.2" thickBot="1" x14ac:dyDescent="0.5">
      <c r="A17" s="3"/>
      <c r="B17" s="11"/>
      <c r="C17" s="11"/>
      <c r="D17" s="11"/>
      <c r="E17" s="11"/>
      <c r="F17" s="11"/>
      <c r="G17" s="11"/>
      <c r="H17" s="11"/>
      <c r="I17" s="11"/>
      <c r="J17" s="34"/>
      <c r="K17" s="34"/>
      <c r="L17" s="34"/>
      <c r="M17" s="34"/>
      <c r="N17" s="87"/>
      <c r="O17" s="87"/>
      <c r="P17" s="87"/>
      <c r="Q17" s="87"/>
      <c r="S17" s="104" t="s">
        <v>90</v>
      </c>
      <c r="T17"/>
      <c r="U17"/>
      <c r="V17"/>
      <c r="W17"/>
      <c r="X17"/>
      <c r="Y17" s="14"/>
      <c r="Z17" s="14"/>
      <c r="AA17" s="14"/>
      <c r="AB17" s="14"/>
      <c r="AC17" s="14"/>
      <c r="AD17" s="103"/>
      <c r="AE17" s="86"/>
      <c r="AF17" s="86"/>
      <c r="AG17" s="86"/>
      <c r="AH17" s="86"/>
    </row>
    <row r="18" spans="1:34" ht="19.2" thickBot="1" x14ac:dyDescent="0.5">
      <c r="A18" s="3"/>
      <c r="B18" s="4" t="s">
        <v>1</v>
      </c>
      <c r="C18" s="4" t="s">
        <v>2</v>
      </c>
      <c r="D18" s="4" t="s">
        <v>3</v>
      </c>
      <c r="E18" s="4" t="s">
        <v>4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62</v>
      </c>
      <c r="K18" s="4" t="s">
        <v>63</v>
      </c>
      <c r="L18" s="4" t="s">
        <v>102</v>
      </c>
      <c r="M18" s="5" t="s">
        <v>64</v>
      </c>
      <c r="N18" s="88" t="s">
        <v>98</v>
      </c>
      <c r="O18" s="88" t="s">
        <v>99</v>
      </c>
      <c r="P18" s="88" t="s">
        <v>98</v>
      </c>
      <c r="Q18" s="187" t="s">
        <v>99</v>
      </c>
      <c r="S18" s="100" t="s">
        <v>91</v>
      </c>
      <c r="T18" s="107" t="s">
        <v>92</v>
      </c>
      <c r="U18" s="113">
        <f t="shared" ref="U18:AD18" si="20">B40/B29</f>
        <v>2.4723359978859749</v>
      </c>
      <c r="V18" s="113">
        <f t="shared" si="20"/>
        <v>2.2339313462353441</v>
      </c>
      <c r="W18" s="113">
        <f t="shared" si="20"/>
        <v>2.1950100815607345</v>
      </c>
      <c r="X18" s="113">
        <f t="shared" si="20"/>
        <v>2.3281364279738384</v>
      </c>
      <c r="Y18" s="113">
        <f t="shared" si="20"/>
        <v>3.168552532915403</v>
      </c>
      <c r="Z18" s="113">
        <f t="shared" si="20"/>
        <v>3.4969515718011386</v>
      </c>
      <c r="AA18" s="113">
        <f t="shared" si="20"/>
        <v>2.3626461748729142</v>
      </c>
      <c r="AB18" s="113">
        <f t="shared" si="20"/>
        <v>1.344069614690963</v>
      </c>
      <c r="AC18" s="113">
        <f t="shared" si="20"/>
        <v>2.5813648802375173</v>
      </c>
      <c r="AD18" s="114">
        <f t="shared" si="20"/>
        <v>1.7840967750068673</v>
      </c>
    </row>
    <row r="19" spans="1:34" x14ac:dyDescent="0.45">
      <c r="A19" s="35" t="s">
        <v>23</v>
      </c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7"/>
      <c r="M19" s="37"/>
      <c r="N19" s="90"/>
      <c r="O19" s="91"/>
      <c r="P19" s="188"/>
      <c r="Q19" s="89"/>
      <c r="S19" s="104" t="s">
        <v>93</v>
      </c>
      <c r="T19" t="s">
        <v>94</v>
      </c>
      <c r="U19"/>
      <c r="V19"/>
      <c r="W19"/>
      <c r="X19"/>
      <c r="Y19" s="14"/>
      <c r="Z19" s="14"/>
      <c r="AA19" s="14"/>
      <c r="AB19" s="14"/>
      <c r="AC19" s="14"/>
      <c r="AD19" s="103"/>
    </row>
    <row r="20" spans="1:34" x14ac:dyDescent="0.45">
      <c r="A20" s="18" t="s">
        <v>24</v>
      </c>
      <c r="B20" s="19">
        <v>13535</v>
      </c>
      <c r="C20" s="19">
        <v>32000</v>
      </c>
      <c r="D20" s="19">
        <v>40663</v>
      </c>
      <c r="E20" s="19">
        <v>81178</v>
      </c>
      <c r="F20" s="19">
        <v>79217</v>
      </c>
      <c r="G20" s="19">
        <v>84297</v>
      </c>
      <c r="H20" s="19">
        <v>138791</v>
      </c>
      <c r="I20" s="19">
        <v>92843</v>
      </c>
      <c r="J20" s="19">
        <v>99018</v>
      </c>
      <c r="K20" s="20">
        <v>142054</v>
      </c>
      <c r="L20" s="120">
        <f>K20/$K$4</f>
        <v>0.37848063155594985</v>
      </c>
      <c r="M20" s="21">
        <f>L20*$M$4</f>
        <v>149156.70000000001</v>
      </c>
      <c r="N20" s="90">
        <f>(J20-I20)/ABS(I20)</f>
        <v>6.6510130004416051E-2</v>
      </c>
      <c r="O20" s="91">
        <f>(K20-J20)/ABS(J20)</f>
        <v>0.43462804742572059</v>
      </c>
      <c r="P20" s="118">
        <f>J20/$J$29</f>
        <v>8.7183072301249928E-2</v>
      </c>
      <c r="Q20" s="91">
        <f>K20/$K$29</f>
        <v>9.4252391574650707E-2</v>
      </c>
      <c r="S20" s="97" t="s">
        <v>71</v>
      </c>
      <c r="T20" t="s">
        <v>72</v>
      </c>
      <c r="U20" s="98">
        <f t="shared" ref="U20:AD20" si="21">B14/B4</f>
        <v>0.14663179382495534</v>
      </c>
      <c r="V20" s="98">
        <f t="shared" si="21"/>
        <v>0.16313978179688071</v>
      </c>
      <c r="W20" s="98">
        <f t="shared" si="21"/>
        <v>0.15492850197771318</v>
      </c>
      <c r="X20" s="98">
        <f t="shared" si="21"/>
        <v>0.17145354164581231</v>
      </c>
      <c r="Y20" s="98">
        <f t="shared" si="21"/>
        <v>0.18325752653238034</v>
      </c>
      <c r="Z20" s="98">
        <f t="shared" si="21"/>
        <v>0.21989184092596306</v>
      </c>
      <c r="AA20" s="98">
        <f t="shared" si="21"/>
        <v>0.21159110800713615</v>
      </c>
      <c r="AB20" s="98">
        <f t="shared" si="21"/>
        <v>0.20648865280936402</v>
      </c>
      <c r="AC20" s="98">
        <f t="shared" si="21"/>
        <v>-0.18602010467341434</v>
      </c>
      <c r="AD20" s="214">
        <f t="shared" si="21"/>
        <v>3.3064501088384261E-2</v>
      </c>
    </row>
    <row r="21" spans="1:34" x14ac:dyDescent="0.45">
      <c r="A21" s="22" t="s">
        <v>25</v>
      </c>
      <c r="B21" s="11">
        <v>27975</v>
      </c>
      <c r="C21" s="11">
        <v>101286</v>
      </c>
      <c r="D21" s="11">
        <v>153398</v>
      </c>
      <c r="E21" s="11">
        <v>168130</v>
      </c>
      <c r="F21" s="11">
        <v>201210</v>
      </c>
      <c r="G21" s="11">
        <v>252237</v>
      </c>
      <c r="H21" s="11">
        <v>328771</v>
      </c>
      <c r="I21" s="11">
        <v>64535</v>
      </c>
      <c r="J21" s="11">
        <v>175428</v>
      </c>
      <c r="K21" s="12">
        <v>281062</v>
      </c>
      <c r="L21" s="120">
        <f t="shared" ref="L21:L38" si="22">K21/$K$4</f>
        <v>0.74884567323960172</v>
      </c>
      <c r="M21" s="21">
        <f t="shared" ref="M21:M23" si="23">L21*$M$4</f>
        <v>295115.10000000003</v>
      </c>
      <c r="N21" s="90">
        <f>(J21-I21)/ABS(I21)</f>
        <v>1.7183388858758812</v>
      </c>
      <c r="O21" s="91">
        <f>(K21-J21)/ABS(J21)</f>
        <v>0.60215016987026015</v>
      </c>
      <c r="P21" s="118">
        <f t="shared" ref="P21:P29" si="24">J21/$J$29</f>
        <v>0.15446032042319247</v>
      </c>
      <c r="Q21" s="91">
        <f t="shared" ref="Q21:Q29" si="25">K21/$K$29</f>
        <v>0.18648377152881634</v>
      </c>
      <c r="S21" s="97" t="s">
        <v>74</v>
      </c>
      <c r="T21" t="s">
        <v>75</v>
      </c>
      <c r="U21"/>
      <c r="V21" s="86">
        <f t="shared" ref="V21:AD21" si="26">C4/AVERAGE(B29:C29)</f>
        <v>0.59239659383887155</v>
      </c>
      <c r="W21" s="86">
        <f t="shared" si="26"/>
        <v>0.57090004984211817</v>
      </c>
      <c r="X21" s="86">
        <f t="shared" si="26"/>
        <v>0.51405020013754821</v>
      </c>
      <c r="Y21" s="86">
        <f t="shared" si="26"/>
        <v>0.49330612332118856</v>
      </c>
      <c r="Z21" s="86">
        <f t="shared" si="26"/>
        <v>0.477782466750723</v>
      </c>
      <c r="AA21" s="86">
        <f t="shared" si="26"/>
        <v>0.49399178410894073</v>
      </c>
      <c r="AB21" s="86">
        <f t="shared" si="26"/>
        <v>0.35577803352559684</v>
      </c>
      <c r="AC21" s="86">
        <f t="shared" si="26"/>
        <v>0.18269383156115654</v>
      </c>
      <c r="AD21" s="216">
        <f t="shared" si="26"/>
        <v>0.28402513286470921</v>
      </c>
    </row>
    <row r="22" spans="1:34" x14ac:dyDescent="0.45">
      <c r="A22" s="22" t="s">
        <v>26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884</v>
      </c>
      <c r="K22" s="12">
        <v>1422</v>
      </c>
      <c r="L22" s="120">
        <f t="shared" si="22"/>
        <v>3.7886962568640147E-3</v>
      </c>
      <c r="M22" s="21">
        <f t="shared" si="23"/>
        <v>1493.1000000000001</v>
      </c>
      <c r="N22" s="190" t="s">
        <v>169</v>
      </c>
      <c r="O22" s="91">
        <f>(K22-J22)/ABS(J22)</f>
        <v>0.60859728506787325</v>
      </c>
      <c r="P22" s="118">
        <f t="shared" si="24"/>
        <v>7.7834167438551509E-4</v>
      </c>
      <c r="Q22" s="91">
        <f t="shared" si="25"/>
        <v>9.4349262125074473E-4</v>
      </c>
      <c r="S22" s="97" t="s">
        <v>95</v>
      </c>
      <c r="T22" t="s">
        <v>96</v>
      </c>
      <c r="U22" s="106"/>
      <c r="V22" s="105">
        <f t="shared" ref="V22:AD22" si="27">AVERAGE(B29:C29)/AVERAGE(B38:C38)</f>
        <v>1.7917267777081543</v>
      </c>
      <c r="W22" s="105">
        <f t="shared" si="27"/>
        <v>1.8660041486462668</v>
      </c>
      <c r="X22" s="105">
        <f t="shared" si="27"/>
        <v>1.9912570739473809</v>
      </c>
      <c r="Y22" s="105">
        <f t="shared" si="27"/>
        <v>1.9469887323566952</v>
      </c>
      <c r="Z22" s="105">
        <f t="shared" si="27"/>
        <v>1.7699657232934967</v>
      </c>
      <c r="AA22" s="105">
        <f t="shared" si="27"/>
        <v>1.6999381563835207</v>
      </c>
      <c r="AB22" s="105">
        <f t="shared" si="27"/>
        <v>1.5360799743431293</v>
      </c>
      <c r="AC22" s="105">
        <f t="shared" si="27"/>
        <v>1.3474322192141572</v>
      </c>
      <c r="AD22" s="217">
        <f t="shared" si="27"/>
        <v>1.3673719838455498</v>
      </c>
    </row>
    <row r="23" spans="1:34" ht="19.2" thickBot="1" x14ac:dyDescent="0.5">
      <c r="A23" s="22" t="s">
        <v>27</v>
      </c>
      <c r="B23" s="11">
        <v>706</v>
      </c>
      <c r="C23" s="11">
        <v>1979</v>
      </c>
      <c r="D23" s="11">
        <v>4643</v>
      </c>
      <c r="E23" s="11">
        <v>4918</v>
      </c>
      <c r="F23" s="11">
        <v>4462</v>
      </c>
      <c r="G23" s="11">
        <v>4203</v>
      </c>
      <c r="H23" s="11">
        <v>10576</v>
      </c>
      <c r="I23" s="11">
        <v>16444</v>
      </c>
      <c r="J23" s="11">
        <v>15344</v>
      </c>
      <c r="K23" s="12">
        <v>17033</v>
      </c>
      <c r="L23" s="120">
        <f t="shared" si="22"/>
        <v>4.5381760438231195E-2</v>
      </c>
      <c r="M23" s="21">
        <f t="shared" si="23"/>
        <v>17884.650000000001</v>
      </c>
      <c r="N23" s="90">
        <f t="shared" ref="N23:N38" si="28">(J23-I23)/ABS(I23)</f>
        <v>-6.6893699829725123E-2</v>
      </c>
      <c r="O23" s="91">
        <f>(K23-J23)/ABS(J23)</f>
        <v>0.11007559958289885</v>
      </c>
      <c r="P23" s="118">
        <f t="shared" si="24"/>
        <v>1.3510039198836362E-2</v>
      </c>
      <c r="Q23" s="91">
        <f t="shared" si="25"/>
        <v>1.1301343050466903E-2</v>
      </c>
      <c r="S23" s="115" t="s">
        <v>67</v>
      </c>
      <c r="T23" s="108" t="s">
        <v>94</v>
      </c>
      <c r="U23" s="108"/>
      <c r="V23" s="109">
        <f>V20*V21*V22</f>
        <v>0.17315865914732184</v>
      </c>
      <c r="W23" s="109">
        <f t="shared" ref="W23:AD23" si="29">W20*W21*W22</f>
        <v>0.16504562155126831</v>
      </c>
      <c r="X23" s="109">
        <f t="shared" si="29"/>
        <v>0.17550089064741398</v>
      </c>
      <c r="Y23" s="109">
        <f t="shared" si="29"/>
        <v>0.17601179216896562</v>
      </c>
      <c r="Z23" s="109">
        <f t="shared" si="29"/>
        <v>0.18595342400469245</v>
      </c>
      <c r="AA23" s="109">
        <f t="shared" si="29"/>
        <v>0.17768479304945423</v>
      </c>
      <c r="AB23" s="109">
        <f t="shared" si="29"/>
        <v>0.11284677407439274</v>
      </c>
      <c r="AC23" s="109">
        <f t="shared" si="29"/>
        <v>-4.5792114329173128E-2</v>
      </c>
      <c r="AD23" s="218">
        <f t="shared" si="29"/>
        <v>1.2841194469077144E-2</v>
      </c>
    </row>
    <row r="24" spans="1:34" x14ac:dyDescent="0.45">
      <c r="A24" s="15" t="s">
        <v>28</v>
      </c>
      <c r="B24" s="16">
        <f>B20+B21+B22+B23</f>
        <v>42216</v>
      </c>
      <c r="C24" s="16">
        <f t="shared" ref="C24:M24" si="30">C20+C21+C22+C23</f>
        <v>135265</v>
      </c>
      <c r="D24" s="16">
        <f t="shared" si="30"/>
        <v>198704</v>
      </c>
      <c r="E24" s="16">
        <f t="shared" si="30"/>
        <v>254226</v>
      </c>
      <c r="F24" s="16">
        <f t="shared" si="30"/>
        <v>284889</v>
      </c>
      <c r="G24" s="16">
        <f t="shared" si="30"/>
        <v>340737</v>
      </c>
      <c r="H24" s="16">
        <f t="shared" si="30"/>
        <v>478138</v>
      </c>
      <c r="I24" s="16">
        <f t="shared" si="30"/>
        <v>173822</v>
      </c>
      <c r="J24" s="16">
        <f t="shared" si="30"/>
        <v>290674</v>
      </c>
      <c r="K24" s="17">
        <f t="shared" si="30"/>
        <v>441571</v>
      </c>
      <c r="L24" s="120">
        <f t="shared" si="22"/>
        <v>1.1764967614906467</v>
      </c>
      <c r="M24" s="17">
        <f t="shared" si="30"/>
        <v>463649.55000000005</v>
      </c>
      <c r="N24" s="90">
        <f t="shared" si="28"/>
        <v>0.67225092335837811</v>
      </c>
      <c r="O24" s="91">
        <f>(K24-J24)/ABS(J24)</f>
        <v>0.51912795778088172</v>
      </c>
      <c r="P24" s="118">
        <f t="shared" si="24"/>
        <v>0.25593177359766428</v>
      </c>
      <c r="Q24" s="91">
        <f t="shared" si="25"/>
        <v>0.29298099877518469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34" x14ac:dyDescent="0.45">
      <c r="A25" s="18" t="s">
        <v>29</v>
      </c>
      <c r="B25" s="19">
        <v>3166</v>
      </c>
      <c r="C25" s="19">
        <v>3371</v>
      </c>
      <c r="D25" s="19">
        <v>3697</v>
      </c>
      <c r="E25" s="19">
        <v>5426</v>
      </c>
      <c r="F25" s="19">
        <v>5262</v>
      </c>
      <c r="G25" s="19">
        <v>6118</v>
      </c>
      <c r="H25" s="19">
        <v>13328</v>
      </c>
      <c r="I25" s="19">
        <v>58919</v>
      </c>
      <c r="J25" s="19">
        <v>51681</v>
      </c>
      <c r="K25" s="20">
        <v>54014</v>
      </c>
      <c r="L25" s="120">
        <f t="shared" si="22"/>
        <v>0.1439118422069289</v>
      </c>
      <c r="M25" s="21">
        <f>L25*$M$4</f>
        <v>56714.700000000012</v>
      </c>
      <c r="N25" s="90">
        <f t="shared" si="28"/>
        <v>-0.12284661993584413</v>
      </c>
      <c r="O25" s="91">
        <f>(K25-J25)/ABS(J25)</f>
        <v>4.5142315357674968E-2</v>
      </c>
      <c r="P25" s="118">
        <f t="shared" si="24"/>
        <v>4.5503932210314263E-2</v>
      </c>
      <c r="Q25" s="91">
        <f t="shared" si="25"/>
        <v>3.5838122675272664E-2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34" x14ac:dyDescent="0.45">
      <c r="A26" s="22" t="s">
        <v>30</v>
      </c>
      <c r="B26" s="11">
        <v>72876</v>
      </c>
      <c r="C26" s="11">
        <v>94260</v>
      </c>
      <c r="D26" s="11">
        <v>215555</v>
      </c>
      <c r="E26" s="11">
        <v>280107</v>
      </c>
      <c r="F26" s="11">
        <v>393238</v>
      </c>
      <c r="G26" s="11">
        <v>407187</v>
      </c>
      <c r="H26" s="11">
        <v>453522</v>
      </c>
      <c r="I26" s="11">
        <v>478211</v>
      </c>
      <c r="J26" s="11">
        <v>0</v>
      </c>
      <c r="K26" s="12">
        <v>859193</v>
      </c>
      <c r="L26" s="120">
        <f t="shared" si="22"/>
        <v>2.2891851638704384</v>
      </c>
      <c r="M26" s="21">
        <f t="shared" ref="M26:M27" si="31">L26*$M$4</f>
        <v>902152.65000000014</v>
      </c>
      <c r="N26" s="90">
        <f t="shared" si="28"/>
        <v>-1</v>
      </c>
      <c r="O26" s="192" t="s">
        <v>169</v>
      </c>
      <c r="P26" s="118">
        <f t="shared" si="24"/>
        <v>0</v>
      </c>
      <c r="Q26" s="91">
        <f t="shared" si="25"/>
        <v>0.57007190979626665</v>
      </c>
      <c r="V26" s="14"/>
      <c r="W26" s="14"/>
      <c r="X26" s="14"/>
      <c r="Y26" s="14"/>
      <c r="Z26" s="14"/>
      <c r="AA26" s="14"/>
      <c r="AB26" s="14"/>
      <c r="AC26" s="14"/>
    </row>
    <row r="27" spans="1:34" x14ac:dyDescent="0.45">
      <c r="A27" s="22" t="s">
        <v>31</v>
      </c>
      <c r="B27" s="11">
        <v>2838</v>
      </c>
      <c r="C27" s="11">
        <v>14869</v>
      </c>
      <c r="D27" s="11">
        <v>22452</v>
      </c>
      <c r="E27" s="11">
        <v>30388</v>
      </c>
      <c r="F27" s="11">
        <v>56766</v>
      </c>
      <c r="G27" s="11">
        <v>50799</v>
      </c>
      <c r="H27" s="11">
        <v>58861</v>
      </c>
      <c r="I27" s="11">
        <v>52565</v>
      </c>
      <c r="J27" s="11">
        <v>793393</v>
      </c>
      <c r="K27" s="12">
        <v>152388</v>
      </c>
      <c r="L27" s="120">
        <f t="shared" si="22"/>
        <v>0.4060139558305158</v>
      </c>
      <c r="M27" s="21">
        <f t="shared" si="31"/>
        <v>160007.40000000002</v>
      </c>
      <c r="N27" s="90">
        <f t="shared" si="28"/>
        <v>14.093560353847618</v>
      </c>
      <c r="O27" s="91">
        <f t="shared" ref="O27:O38" si="32">(K27-J27)/ABS(J27)</f>
        <v>-0.80792873141053678</v>
      </c>
      <c r="P27" s="118">
        <f t="shared" si="24"/>
        <v>0.69856429419202148</v>
      </c>
      <c r="Q27" s="91">
        <f t="shared" si="25"/>
        <v>0.10110896875327602</v>
      </c>
      <c r="V27" s="14"/>
      <c r="W27" s="14"/>
      <c r="X27" s="14"/>
      <c r="Y27" s="14"/>
      <c r="Z27" s="14"/>
      <c r="AA27" s="14"/>
      <c r="AB27" s="14"/>
      <c r="AC27" s="14"/>
    </row>
    <row r="28" spans="1:34" x14ac:dyDescent="0.45">
      <c r="A28" s="15" t="s">
        <v>32</v>
      </c>
      <c r="B28" s="16">
        <f>B25+B26+B27</f>
        <v>78880</v>
      </c>
      <c r="C28" s="16">
        <f t="shared" ref="C28:M28" si="33">C25+C26+C27</f>
        <v>112500</v>
      </c>
      <c r="D28" s="16">
        <f t="shared" si="33"/>
        <v>241704</v>
      </c>
      <c r="E28" s="16">
        <f t="shared" si="33"/>
        <v>315921</v>
      </c>
      <c r="F28" s="16">
        <f t="shared" si="33"/>
        <v>455266</v>
      </c>
      <c r="G28" s="16">
        <f t="shared" si="33"/>
        <v>464104</v>
      </c>
      <c r="H28" s="16">
        <f t="shared" si="33"/>
        <v>525711</v>
      </c>
      <c r="I28" s="16">
        <f t="shared" si="33"/>
        <v>589695</v>
      </c>
      <c r="J28" s="16">
        <f t="shared" si="33"/>
        <v>845074</v>
      </c>
      <c r="K28" s="17">
        <f t="shared" si="33"/>
        <v>1065595</v>
      </c>
      <c r="L28" s="120">
        <f t="shared" si="22"/>
        <v>2.8391109619078829</v>
      </c>
      <c r="M28" s="17">
        <f t="shared" si="33"/>
        <v>1118874.75</v>
      </c>
      <c r="N28" s="90">
        <f t="shared" si="28"/>
        <v>0.4330696376940622</v>
      </c>
      <c r="O28" s="91">
        <f t="shared" si="32"/>
        <v>0.26094874531697815</v>
      </c>
      <c r="P28" s="118">
        <f t="shared" si="24"/>
        <v>0.74406822640233572</v>
      </c>
      <c r="Q28" s="91">
        <f t="shared" si="25"/>
        <v>0.70701900122481531</v>
      </c>
      <c r="V28" s="14"/>
      <c r="W28" s="14"/>
      <c r="X28" s="14"/>
      <c r="Y28" s="14"/>
      <c r="Z28" s="14"/>
      <c r="AA28" s="14"/>
      <c r="AB28" s="14"/>
      <c r="AC28" s="14"/>
    </row>
    <row r="29" spans="1:34" ht="19.2" thickBot="1" x14ac:dyDescent="0.5">
      <c r="A29" s="15" t="s">
        <v>33</v>
      </c>
      <c r="B29" s="16">
        <f t="shared" ref="B29:M29" si="34">B24+B28</f>
        <v>121096</v>
      </c>
      <c r="C29" s="16">
        <f t="shared" si="34"/>
        <v>247765</v>
      </c>
      <c r="D29" s="16">
        <f t="shared" si="34"/>
        <v>440408</v>
      </c>
      <c r="E29" s="16">
        <f t="shared" si="34"/>
        <v>570147</v>
      </c>
      <c r="F29" s="16">
        <f t="shared" si="34"/>
        <v>740155</v>
      </c>
      <c r="G29" s="16">
        <f t="shared" si="34"/>
        <v>804841</v>
      </c>
      <c r="H29" s="16">
        <f t="shared" si="34"/>
        <v>1003849</v>
      </c>
      <c r="I29" s="16">
        <f t="shared" si="34"/>
        <v>763517</v>
      </c>
      <c r="J29" s="16">
        <f t="shared" si="34"/>
        <v>1135748</v>
      </c>
      <c r="K29" s="17">
        <f t="shared" si="34"/>
        <v>1507166</v>
      </c>
      <c r="L29" s="120">
        <f t="shared" si="22"/>
        <v>4.0156077233985297</v>
      </c>
      <c r="M29" s="17">
        <f t="shared" si="34"/>
        <v>1582524.3</v>
      </c>
      <c r="N29" s="90">
        <f t="shared" si="28"/>
        <v>0.48752156140596736</v>
      </c>
      <c r="O29" s="91">
        <f t="shared" si="32"/>
        <v>0.32702500906891319</v>
      </c>
      <c r="P29" s="119">
        <f t="shared" si="24"/>
        <v>1</v>
      </c>
      <c r="Q29" s="93">
        <f t="shared" si="25"/>
        <v>1</v>
      </c>
      <c r="V29" s="14"/>
      <c r="W29" s="14"/>
      <c r="X29" s="14"/>
      <c r="Y29" s="14"/>
      <c r="Z29" s="14"/>
      <c r="AA29" s="14"/>
      <c r="AB29" s="14"/>
      <c r="AC29" s="14"/>
    </row>
    <row r="30" spans="1:34" x14ac:dyDescent="0.45">
      <c r="A30" s="18" t="s">
        <v>34</v>
      </c>
      <c r="B30" s="19">
        <v>26048</v>
      </c>
      <c r="C30" s="19">
        <v>94126</v>
      </c>
      <c r="D30" s="19">
        <v>148385</v>
      </c>
      <c r="E30" s="19">
        <v>202720</v>
      </c>
      <c r="F30" s="19">
        <v>233049</v>
      </c>
      <c r="G30" s="19">
        <v>253621</v>
      </c>
      <c r="H30" s="19">
        <v>316753</v>
      </c>
      <c r="I30" s="19">
        <v>100499</v>
      </c>
      <c r="J30" s="19">
        <v>204745</v>
      </c>
      <c r="K30" s="20">
        <v>341467</v>
      </c>
      <c r="L30" s="120">
        <f t="shared" si="22"/>
        <v>0.90978533385554461</v>
      </c>
      <c r="M30" s="21">
        <f>L30*$M$4</f>
        <v>358540.35000000003</v>
      </c>
      <c r="N30" s="90">
        <f t="shared" si="28"/>
        <v>1.03728395307416</v>
      </c>
      <c r="O30" s="91">
        <f t="shared" si="32"/>
        <v>0.66776722264279953</v>
      </c>
      <c r="P30" s="193">
        <f>J30/$J$37</f>
        <v>0.72019515215043739</v>
      </c>
      <c r="Q30" s="193">
        <f>K30/$K$37</f>
        <v>0.80197801217057596</v>
      </c>
    </row>
    <row r="31" spans="1:34" x14ac:dyDescent="0.45">
      <c r="A31" s="22" t="s">
        <v>35</v>
      </c>
      <c r="B31" s="11">
        <v>3192</v>
      </c>
      <c r="C31" s="11">
        <v>0</v>
      </c>
      <c r="D31" s="11">
        <v>0</v>
      </c>
      <c r="E31" s="11">
        <v>14347</v>
      </c>
      <c r="F31" s="11">
        <v>18122</v>
      </c>
      <c r="G31" s="11">
        <v>14677</v>
      </c>
      <c r="H31" s="11">
        <v>19205</v>
      </c>
      <c r="I31" s="11">
        <v>8672</v>
      </c>
      <c r="J31" s="11">
        <v>9193</v>
      </c>
      <c r="K31" s="12">
        <v>10751</v>
      </c>
      <c r="L31" s="120">
        <f t="shared" si="22"/>
        <v>2.8644355455376247E-2</v>
      </c>
      <c r="M31" s="21">
        <f t="shared" ref="M31:M32" si="35">L31*$M$4</f>
        <v>11288.550000000001</v>
      </c>
      <c r="N31" s="90">
        <f t="shared" si="28"/>
        <v>6.0078413284132839E-2</v>
      </c>
      <c r="O31" s="91">
        <f t="shared" si="32"/>
        <v>0.16947677580767975</v>
      </c>
      <c r="P31" s="118">
        <f t="shared" ref="P31:P37" si="36">J31/$J$37</f>
        <v>3.2336584696666441E-2</v>
      </c>
      <c r="Q31" s="118">
        <f t="shared" ref="Q31:Q37" si="37">K31/$K$37</f>
        <v>2.525006987160066E-2</v>
      </c>
    </row>
    <row r="32" spans="1:34" x14ac:dyDescent="0.45">
      <c r="A32" s="22" t="s">
        <v>36</v>
      </c>
      <c r="B32" s="11">
        <v>2421</v>
      </c>
      <c r="C32" s="11">
        <v>10910</v>
      </c>
      <c r="D32" s="11">
        <v>17004</v>
      </c>
      <c r="E32" s="11">
        <v>20226</v>
      </c>
      <c r="F32" s="11">
        <v>22750</v>
      </c>
      <c r="G32" s="11">
        <v>23096</v>
      </c>
      <c r="H32" s="11">
        <v>31876</v>
      </c>
      <c r="I32" s="11">
        <v>33826</v>
      </c>
      <c r="J32" s="11">
        <v>18155</v>
      </c>
      <c r="K32" s="12">
        <v>27165</v>
      </c>
      <c r="L32" s="120">
        <f t="shared" si="22"/>
        <v>7.2376887354227121E-2</v>
      </c>
      <c r="M32" s="21">
        <f t="shared" si="35"/>
        <v>28523.250000000004</v>
      </c>
      <c r="N32" s="90">
        <f t="shared" si="28"/>
        <v>-0.463282681960622</v>
      </c>
      <c r="O32" s="91">
        <f t="shared" si="32"/>
        <v>0.49628201597356097</v>
      </c>
      <c r="P32" s="118">
        <f t="shared" si="36"/>
        <v>6.3860621686933461E-2</v>
      </c>
      <c r="Q32" s="118">
        <f t="shared" si="37"/>
        <v>6.3800404433264984E-2</v>
      </c>
    </row>
    <row r="33" spans="1:17" x14ac:dyDescent="0.45">
      <c r="A33" s="15" t="s">
        <v>37</v>
      </c>
      <c r="B33" s="16">
        <f t="shared" ref="B33:M33" si="38">B30+B31+B32</f>
        <v>31661</v>
      </c>
      <c r="C33" s="16">
        <f t="shared" si="38"/>
        <v>105036</v>
      </c>
      <c r="D33" s="16">
        <f t="shared" si="38"/>
        <v>165389</v>
      </c>
      <c r="E33" s="16">
        <f t="shared" si="38"/>
        <v>237293</v>
      </c>
      <c r="F33" s="16">
        <f t="shared" si="38"/>
        <v>273921</v>
      </c>
      <c r="G33" s="16">
        <f t="shared" si="38"/>
        <v>291394</v>
      </c>
      <c r="H33" s="16">
        <f t="shared" si="38"/>
        <v>367834</v>
      </c>
      <c r="I33" s="16">
        <f t="shared" si="38"/>
        <v>142997</v>
      </c>
      <c r="J33" s="16">
        <f t="shared" si="38"/>
        <v>232093</v>
      </c>
      <c r="K33" s="17">
        <f t="shared" si="38"/>
        <v>379383</v>
      </c>
      <c r="L33" s="120">
        <f t="shared" si="22"/>
        <v>1.0108065766651479</v>
      </c>
      <c r="M33" s="17">
        <f t="shared" si="38"/>
        <v>398352.15</v>
      </c>
      <c r="N33" s="90">
        <f t="shared" si="28"/>
        <v>0.6230620222801877</v>
      </c>
      <c r="O33" s="91">
        <f t="shared" si="32"/>
        <v>0.63461629605373704</v>
      </c>
      <c r="P33" s="118">
        <f t="shared" si="36"/>
        <v>0.81639235853403735</v>
      </c>
      <c r="Q33" s="118">
        <f t="shared" si="37"/>
        <v>0.89102848647544164</v>
      </c>
    </row>
    <row r="34" spans="1:17" x14ac:dyDescent="0.45">
      <c r="A34" s="18" t="s">
        <v>38</v>
      </c>
      <c r="B34" s="19">
        <v>157</v>
      </c>
      <c r="C34" s="19">
        <v>0</v>
      </c>
      <c r="D34" s="19">
        <v>0</v>
      </c>
      <c r="E34" s="19">
        <v>22833</v>
      </c>
      <c r="F34" s="19">
        <v>27301</v>
      </c>
      <c r="G34" s="19">
        <v>29301</v>
      </c>
      <c r="H34" s="19">
        <v>20085</v>
      </c>
      <c r="I34" s="19">
        <v>44423</v>
      </c>
      <c r="J34" s="19">
        <v>37188</v>
      </c>
      <c r="K34" s="20">
        <v>37601</v>
      </c>
      <c r="L34" s="120">
        <f t="shared" si="22"/>
        <v>0.10018197465143729</v>
      </c>
      <c r="M34" s="21">
        <f>L34*$M$4</f>
        <v>39481.050000000003</v>
      </c>
      <c r="N34" s="90">
        <f t="shared" si="28"/>
        <v>-0.16286608288499202</v>
      </c>
      <c r="O34" s="91">
        <f t="shared" si="32"/>
        <v>1.1105733032160912E-2</v>
      </c>
      <c r="P34" s="118">
        <f t="shared" si="36"/>
        <v>0.13080962816269245</v>
      </c>
      <c r="Q34" s="118">
        <f t="shared" si="37"/>
        <v>8.8310657356716241E-2</v>
      </c>
    </row>
    <row r="35" spans="1:17" x14ac:dyDescent="0.45">
      <c r="A35" s="22" t="s">
        <v>39</v>
      </c>
      <c r="B35" s="11">
        <v>16293</v>
      </c>
      <c r="C35" s="11">
        <v>9845</v>
      </c>
      <c r="D35" s="11">
        <v>39108</v>
      </c>
      <c r="E35" s="11">
        <v>38436</v>
      </c>
      <c r="F35" s="11">
        <v>37529</v>
      </c>
      <c r="G35" s="11">
        <v>12654</v>
      </c>
      <c r="H35" s="11">
        <v>23448</v>
      </c>
      <c r="I35" s="11">
        <v>18010</v>
      </c>
      <c r="J35" s="11">
        <v>15010</v>
      </c>
      <c r="K35" s="12">
        <v>8797</v>
      </c>
      <c r="L35" s="120">
        <f t="shared" si="22"/>
        <v>2.3438228531387297E-2</v>
      </c>
      <c r="M35" s="21">
        <f>L35*$M$4</f>
        <v>9236.85</v>
      </c>
      <c r="N35" s="90">
        <f t="shared" si="28"/>
        <v>-0.16657412548584119</v>
      </c>
      <c r="O35" s="91">
        <f t="shared" si="32"/>
        <v>-0.41392405063291138</v>
      </c>
      <c r="P35" s="118">
        <f t="shared" si="36"/>
        <v>5.279801330327024E-2</v>
      </c>
      <c r="Q35" s="118">
        <f t="shared" si="37"/>
        <v>2.0660856167842155E-2</v>
      </c>
    </row>
    <row r="36" spans="1:17" x14ac:dyDescent="0.45">
      <c r="A36" s="15" t="s">
        <v>40</v>
      </c>
      <c r="B36" s="16">
        <f t="shared" ref="B36:J36" si="39">B34+B35</f>
        <v>16450</v>
      </c>
      <c r="C36" s="16">
        <f t="shared" si="39"/>
        <v>9845</v>
      </c>
      <c r="D36" s="16">
        <f t="shared" si="39"/>
        <v>39108</v>
      </c>
      <c r="E36" s="16">
        <f t="shared" si="39"/>
        <v>61269</v>
      </c>
      <c r="F36" s="16">
        <f t="shared" si="39"/>
        <v>64830</v>
      </c>
      <c r="G36" s="16">
        <f t="shared" si="39"/>
        <v>41955</v>
      </c>
      <c r="H36" s="16">
        <f t="shared" si="39"/>
        <v>43533</v>
      </c>
      <c r="I36" s="16">
        <f t="shared" si="39"/>
        <v>62433</v>
      </c>
      <c r="J36" s="16">
        <f t="shared" si="39"/>
        <v>52198</v>
      </c>
      <c r="K36" s="17">
        <f>K34+K35</f>
        <v>46398</v>
      </c>
      <c r="L36" s="120">
        <f t="shared" si="22"/>
        <v>0.12362020318282457</v>
      </c>
      <c r="M36" s="17">
        <f>M34+M35</f>
        <v>48717.9</v>
      </c>
      <c r="N36" s="90">
        <f t="shared" si="28"/>
        <v>-0.16393573911232842</v>
      </c>
      <c r="O36" s="91">
        <f t="shared" si="32"/>
        <v>-0.11111536840491973</v>
      </c>
      <c r="P36" s="118">
        <f t="shared" si="36"/>
        <v>0.1836076414659627</v>
      </c>
      <c r="Q36" s="118">
        <f t="shared" si="37"/>
        <v>0.1089715135245584</v>
      </c>
    </row>
    <row r="37" spans="1:17" ht="19.2" thickBot="1" x14ac:dyDescent="0.5">
      <c r="A37" s="23" t="s">
        <v>41</v>
      </c>
      <c r="B37" s="24">
        <f t="shared" ref="B37:J37" si="40">B36+B33</f>
        <v>48111</v>
      </c>
      <c r="C37" s="24">
        <f t="shared" si="40"/>
        <v>114881</v>
      </c>
      <c r="D37" s="24">
        <f t="shared" si="40"/>
        <v>204497</v>
      </c>
      <c r="E37" s="24">
        <f t="shared" si="40"/>
        <v>298562</v>
      </c>
      <c r="F37" s="24">
        <f t="shared" si="40"/>
        <v>338751</v>
      </c>
      <c r="G37" s="24">
        <f t="shared" si="40"/>
        <v>333349</v>
      </c>
      <c r="H37" s="24">
        <f t="shared" si="40"/>
        <v>411367</v>
      </c>
      <c r="I37" s="24">
        <f t="shared" si="40"/>
        <v>205430</v>
      </c>
      <c r="J37" s="24">
        <f t="shared" si="40"/>
        <v>284291</v>
      </c>
      <c r="K37" s="25">
        <f>K36+K33</f>
        <v>425781</v>
      </c>
      <c r="L37" s="120">
        <f t="shared" si="22"/>
        <v>1.1344267798479726</v>
      </c>
      <c r="M37" s="25">
        <f>M36+M33</f>
        <v>447070.05000000005</v>
      </c>
      <c r="N37" s="90">
        <f t="shared" si="28"/>
        <v>0.38388258774278344</v>
      </c>
      <c r="O37" s="91">
        <f t="shared" si="32"/>
        <v>0.49769426397599642</v>
      </c>
      <c r="P37" s="119">
        <f t="shared" si="36"/>
        <v>1</v>
      </c>
      <c r="Q37" s="119">
        <f t="shared" si="37"/>
        <v>1</v>
      </c>
    </row>
    <row r="38" spans="1:17" ht="19.2" thickBot="1" x14ac:dyDescent="0.5">
      <c r="A38" s="26" t="s">
        <v>42</v>
      </c>
      <c r="B38" s="38">
        <f t="shared" ref="B38:F38" si="41">B29-B37</f>
        <v>72985</v>
      </c>
      <c r="C38" s="38">
        <f t="shared" si="41"/>
        <v>132884</v>
      </c>
      <c r="D38" s="38">
        <f t="shared" si="41"/>
        <v>235911</v>
      </c>
      <c r="E38" s="38">
        <f t="shared" si="41"/>
        <v>271585</v>
      </c>
      <c r="F38" s="38">
        <f t="shared" si="41"/>
        <v>401404</v>
      </c>
      <c r="G38" s="38">
        <f>G29-G37</f>
        <v>471492</v>
      </c>
      <c r="H38" s="38">
        <f>H29-H37</f>
        <v>592482</v>
      </c>
      <c r="I38" s="38">
        <f>I29-I37</f>
        <v>558087</v>
      </c>
      <c r="J38" s="38">
        <f>J29-J37</f>
        <v>851457</v>
      </c>
      <c r="K38" s="39">
        <f>K29-K37</f>
        <v>1081385</v>
      </c>
      <c r="L38" s="194">
        <f t="shared" si="22"/>
        <v>2.8811809435505573</v>
      </c>
      <c r="M38" s="40">
        <f>L38*$M$4</f>
        <v>1135454.2500000002</v>
      </c>
      <c r="N38" s="92">
        <f t="shared" si="28"/>
        <v>0.52567072875734433</v>
      </c>
      <c r="O38" s="93">
        <f t="shared" si="32"/>
        <v>0.27004064797165328</v>
      </c>
      <c r="P38" s="195">
        <f>J38/J38</f>
        <v>1</v>
      </c>
      <c r="Q38" s="195">
        <f>K38/K38</f>
        <v>1</v>
      </c>
    </row>
    <row r="39" spans="1:17" ht="19.2" thickBot="1" x14ac:dyDescent="0.5">
      <c r="N39" s="87"/>
      <c r="O39" s="87"/>
      <c r="P39" s="87"/>
      <c r="Q39" s="87"/>
    </row>
    <row r="40" spans="1:17" ht="19.2" thickBot="1" x14ac:dyDescent="0.5">
      <c r="A40" s="30" t="s">
        <v>43</v>
      </c>
      <c r="B40" s="31">
        <v>299390</v>
      </c>
      <c r="C40" s="31">
        <v>553490</v>
      </c>
      <c r="D40" s="31">
        <v>966700</v>
      </c>
      <c r="E40" s="31">
        <v>1327380</v>
      </c>
      <c r="F40" s="31">
        <v>2345220</v>
      </c>
      <c r="G40" s="31">
        <v>2814490</v>
      </c>
      <c r="H40" s="31">
        <v>2371740</v>
      </c>
      <c r="I40" s="31">
        <v>1026220</v>
      </c>
      <c r="J40" s="31">
        <v>2931780</v>
      </c>
      <c r="K40" s="32">
        <v>2688930</v>
      </c>
      <c r="L40" s="11"/>
      <c r="N40" s="182">
        <f>(J40-I40)/I40</f>
        <v>1.8568727953070492</v>
      </c>
      <c r="O40" s="183">
        <f>(K40-J40)/J40</f>
        <v>-8.283363690317827E-2</v>
      </c>
      <c r="P40" s="87"/>
      <c r="Q40" s="87"/>
    </row>
  </sheetData>
  <mergeCells count="2">
    <mergeCell ref="N1:O1"/>
    <mergeCell ref="P1:Q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17" sqref="M17"/>
    </sheetView>
  </sheetViews>
  <sheetFormatPr defaultColWidth="8.88671875" defaultRowHeight="14.4" x14ac:dyDescent="0.3"/>
  <cols>
    <col min="1" max="1" width="3" customWidth="1"/>
    <col min="2" max="2" width="23.21875" customWidth="1"/>
    <col min="3" max="3" width="18.6640625" bestFit="1" customWidth="1"/>
    <col min="4" max="4" width="13.6640625" bestFit="1" customWidth="1"/>
    <col min="5" max="5" width="14" bestFit="1" customWidth="1"/>
    <col min="6" max="6" width="14.21875" bestFit="1" customWidth="1"/>
    <col min="7" max="10" width="13.6640625" bestFit="1" customWidth="1"/>
    <col min="11" max="13" width="14.21875" bestFit="1" customWidth="1"/>
    <col min="14" max="14" width="9" customWidth="1"/>
    <col min="15" max="15" width="9.77734375" bestFit="1" customWidth="1"/>
  </cols>
  <sheetData>
    <row r="1" spans="2:15" ht="15" thickBot="1" x14ac:dyDescent="0.35"/>
    <row r="2" spans="2:15" ht="19.2" thickBot="1" x14ac:dyDescent="0.35">
      <c r="B2" s="46"/>
      <c r="C2" s="230" t="s">
        <v>47</v>
      </c>
      <c r="D2" s="230"/>
      <c r="E2" s="230"/>
      <c r="F2" s="230"/>
      <c r="G2" s="230"/>
      <c r="H2" s="230"/>
      <c r="I2" s="230"/>
      <c r="J2" s="230"/>
      <c r="K2" s="230"/>
      <c r="L2" s="230"/>
      <c r="M2" s="231"/>
    </row>
    <row r="3" spans="2:15" ht="18.600000000000001" x14ac:dyDescent="0.3">
      <c r="B3" s="47"/>
      <c r="C3" s="69">
        <v>0</v>
      </c>
      <c r="D3" s="48">
        <v>1</v>
      </c>
      <c r="E3" s="48">
        <v>2</v>
      </c>
      <c r="F3" s="48">
        <v>3</v>
      </c>
      <c r="G3" s="48">
        <v>4</v>
      </c>
      <c r="H3" s="48">
        <v>5</v>
      </c>
      <c r="I3" s="48">
        <v>6</v>
      </c>
      <c r="J3" s="48">
        <v>7</v>
      </c>
      <c r="K3" s="48">
        <v>8</v>
      </c>
      <c r="L3" s="48">
        <v>9</v>
      </c>
      <c r="M3" s="49">
        <v>10</v>
      </c>
      <c r="N3" s="50"/>
    </row>
    <row r="4" spans="2:15" ht="5.85" customHeight="1" x14ac:dyDescent="0.3">
      <c r="B4" s="47"/>
      <c r="C4" s="70"/>
      <c r="D4" s="237"/>
      <c r="E4" s="237"/>
      <c r="F4" s="237"/>
      <c r="G4" s="237"/>
      <c r="H4" s="237"/>
      <c r="I4" s="237"/>
      <c r="J4" s="237"/>
      <c r="K4" s="237"/>
      <c r="L4" s="237"/>
      <c r="M4" s="51"/>
    </row>
    <row r="5" spans="2:15" ht="18.600000000000001" x14ac:dyDescent="0.3">
      <c r="B5" s="47" t="s">
        <v>29</v>
      </c>
      <c r="C5" s="74">
        <v>-13200000</v>
      </c>
      <c r="D5" s="238"/>
      <c r="E5" s="238"/>
      <c r="F5" s="238"/>
      <c r="G5" s="238"/>
      <c r="H5" s="238"/>
      <c r="I5" s="238"/>
      <c r="J5" s="238"/>
      <c r="K5" s="238"/>
      <c r="L5" s="238"/>
      <c r="M5" s="75">
        <f>16000000</f>
        <v>16000000</v>
      </c>
      <c r="O5" s="61"/>
    </row>
    <row r="6" spans="2:15" ht="19.2" thickBot="1" x14ac:dyDescent="0.35">
      <c r="B6" s="47" t="s">
        <v>48</v>
      </c>
      <c r="C6" s="239"/>
      <c r="D6" s="76">
        <v>-300000</v>
      </c>
      <c r="E6" s="76">
        <f>(-10%*E9)-D6</f>
        <v>-100000</v>
      </c>
      <c r="F6" s="76"/>
      <c r="G6" s="76"/>
      <c r="H6" s="76"/>
      <c r="I6" s="76"/>
      <c r="J6" s="76"/>
      <c r="K6" s="76"/>
      <c r="L6" s="76"/>
      <c r="M6" s="77">
        <v>400000</v>
      </c>
    </row>
    <row r="7" spans="2:15" ht="18.600000000000001" x14ac:dyDescent="0.3">
      <c r="B7" s="46" t="s">
        <v>49</v>
      </c>
      <c r="C7" s="64">
        <f>SUM(C5:C6)</f>
        <v>-13200000</v>
      </c>
      <c r="D7" s="65">
        <f>SUM(D5:D6)</f>
        <v>-300000</v>
      </c>
      <c r="E7" s="65">
        <f t="shared" ref="E7:M7" si="0">SUM(E5:E6)</f>
        <v>-100000</v>
      </c>
      <c r="F7" s="65">
        <f t="shared" si="0"/>
        <v>0</v>
      </c>
      <c r="G7" s="65">
        <f t="shared" si="0"/>
        <v>0</v>
      </c>
      <c r="H7" s="65">
        <f t="shared" si="0"/>
        <v>0</v>
      </c>
      <c r="I7" s="65">
        <f t="shared" si="0"/>
        <v>0</v>
      </c>
      <c r="J7" s="65">
        <f t="shared" si="0"/>
        <v>0</v>
      </c>
      <c r="K7" s="65">
        <f t="shared" si="0"/>
        <v>0</v>
      </c>
      <c r="L7" s="65">
        <f t="shared" si="0"/>
        <v>0</v>
      </c>
      <c r="M7" s="66">
        <f t="shared" si="0"/>
        <v>16400000</v>
      </c>
    </row>
    <row r="8" spans="2:15" ht="8.25" customHeight="1" x14ac:dyDescent="0.3">
      <c r="B8" s="47"/>
      <c r="C8" s="67"/>
      <c r="D8" s="240"/>
      <c r="E8" s="240"/>
      <c r="F8" s="240"/>
      <c r="G8" s="240"/>
      <c r="H8" s="240"/>
      <c r="I8" s="240"/>
      <c r="J8" s="240"/>
      <c r="K8" s="240"/>
      <c r="L8" s="240"/>
      <c r="M8" s="52"/>
    </row>
    <row r="9" spans="2:15" ht="37.200000000000003" x14ac:dyDescent="0.3">
      <c r="B9" s="47" t="s">
        <v>182</v>
      </c>
      <c r="C9" s="67"/>
      <c r="D9" s="238">
        <v>3000000</v>
      </c>
      <c r="E9" s="238">
        <v>4000000</v>
      </c>
      <c r="F9" s="238">
        <f>(E9*1.05)-E9</f>
        <v>200000</v>
      </c>
      <c r="G9" s="238">
        <f t="shared" ref="G9:M9" si="1">F9*1.05</f>
        <v>210000</v>
      </c>
      <c r="H9" s="238">
        <f t="shared" si="1"/>
        <v>220500</v>
      </c>
      <c r="I9" s="238">
        <f t="shared" si="1"/>
        <v>231525</v>
      </c>
      <c r="J9" s="238">
        <f t="shared" si="1"/>
        <v>243101.25</v>
      </c>
      <c r="K9" s="238">
        <f t="shared" si="1"/>
        <v>255256.3125</v>
      </c>
      <c r="L9" s="238">
        <f t="shared" si="1"/>
        <v>268019.12812499999</v>
      </c>
      <c r="M9" s="75">
        <f t="shared" si="1"/>
        <v>281420.08453125</v>
      </c>
    </row>
    <row r="10" spans="2:15" ht="37.799999999999997" thickBot="1" x14ac:dyDescent="0.35">
      <c r="B10" s="53" t="s">
        <v>183</v>
      </c>
      <c r="C10" s="68"/>
      <c r="D10" s="76">
        <f>-45%*D9</f>
        <v>-1350000</v>
      </c>
      <c r="E10" s="76">
        <f t="shared" ref="E10:M10" si="2">-45%*E9</f>
        <v>-1800000</v>
      </c>
      <c r="F10" s="76">
        <f t="shared" si="2"/>
        <v>-90000</v>
      </c>
      <c r="G10" s="76">
        <f t="shared" si="2"/>
        <v>-94500</v>
      </c>
      <c r="H10" s="76">
        <f t="shared" si="2"/>
        <v>-99225</v>
      </c>
      <c r="I10" s="76">
        <f t="shared" si="2"/>
        <v>-104186.25</v>
      </c>
      <c r="J10" s="76">
        <f t="shared" si="2"/>
        <v>-109395.5625</v>
      </c>
      <c r="K10" s="76">
        <f t="shared" si="2"/>
        <v>-114865.340625</v>
      </c>
      <c r="L10" s="76">
        <f t="shared" si="2"/>
        <v>-120608.60765624999</v>
      </c>
      <c r="M10" s="77">
        <f t="shared" si="2"/>
        <v>-126639.03803906251</v>
      </c>
    </row>
    <row r="11" spans="2:15" ht="18.600000000000001" x14ac:dyDescent="0.3">
      <c r="B11" s="47" t="s">
        <v>50</v>
      </c>
      <c r="C11" s="64"/>
      <c r="D11" s="65">
        <f>D9+D10</f>
        <v>1650000</v>
      </c>
      <c r="E11" s="65">
        <f t="shared" ref="E11:M11" si="3">E9+E10</f>
        <v>2200000</v>
      </c>
      <c r="F11" s="65">
        <f t="shared" si="3"/>
        <v>110000</v>
      </c>
      <c r="G11" s="65">
        <f t="shared" si="3"/>
        <v>115500</v>
      </c>
      <c r="H11" s="65">
        <f t="shared" si="3"/>
        <v>121275</v>
      </c>
      <c r="I11" s="65">
        <f t="shared" si="3"/>
        <v>127338.75</v>
      </c>
      <c r="J11" s="65">
        <f t="shared" si="3"/>
        <v>133705.6875</v>
      </c>
      <c r="K11" s="65">
        <f t="shared" si="3"/>
        <v>140390.97187499999</v>
      </c>
      <c r="L11" s="65">
        <f t="shared" si="3"/>
        <v>147410.52046874998</v>
      </c>
      <c r="M11" s="66">
        <f t="shared" si="3"/>
        <v>154781.04649218748</v>
      </c>
    </row>
    <row r="12" spans="2:15" ht="8.1" customHeight="1" x14ac:dyDescent="0.3">
      <c r="B12" s="47"/>
      <c r="C12" s="67"/>
      <c r="D12" s="240"/>
      <c r="E12" s="240"/>
      <c r="F12" s="240"/>
      <c r="G12" s="240"/>
      <c r="H12" s="240"/>
      <c r="I12" s="240"/>
      <c r="J12" s="240"/>
      <c r="K12" s="240"/>
      <c r="L12" s="240"/>
      <c r="M12" s="52"/>
    </row>
    <row r="13" spans="2:15" ht="18.600000000000001" x14ac:dyDescent="0.3">
      <c r="B13" s="47" t="s">
        <v>51</v>
      </c>
      <c r="C13" s="67"/>
      <c r="D13" s="240">
        <f t="shared" ref="D13:M13" si="4">$F$27</f>
        <v>-300000</v>
      </c>
      <c r="E13" s="240">
        <f t="shared" si="4"/>
        <v>-300000</v>
      </c>
      <c r="F13" s="240">
        <f t="shared" si="4"/>
        <v>-300000</v>
      </c>
      <c r="G13" s="240">
        <f t="shared" si="4"/>
        <v>-300000</v>
      </c>
      <c r="H13" s="240">
        <f t="shared" si="4"/>
        <v>-300000</v>
      </c>
      <c r="I13" s="240">
        <f t="shared" si="4"/>
        <v>-300000</v>
      </c>
      <c r="J13" s="240">
        <f t="shared" si="4"/>
        <v>-300000</v>
      </c>
      <c r="K13" s="240">
        <f t="shared" si="4"/>
        <v>-300000</v>
      </c>
      <c r="L13" s="240">
        <f t="shared" si="4"/>
        <v>-300000</v>
      </c>
      <c r="M13" s="52">
        <f t="shared" si="4"/>
        <v>-300000</v>
      </c>
    </row>
    <row r="14" spans="2:15" ht="19.2" thickBot="1" x14ac:dyDescent="0.35">
      <c r="B14" s="53" t="s">
        <v>18</v>
      </c>
      <c r="C14" s="68"/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7">
        <v>0</v>
      </c>
    </row>
    <row r="15" spans="2:15" ht="18.600000000000001" x14ac:dyDescent="0.3">
      <c r="B15" s="47" t="s">
        <v>19</v>
      </c>
      <c r="C15" s="64"/>
      <c r="D15" s="65">
        <f>D11+D13+D14</f>
        <v>1350000</v>
      </c>
      <c r="E15" s="65">
        <f t="shared" ref="E15:M15" si="5">E11+E13+E14</f>
        <v>1900000</v>
      </c>
      <c r="F15" s="65">
        <f>F11+F13+F14</f>
        <v>-190000</v>
      </c>
      <c r="G15" s="65">
        <f t="shared" si="5"/>
        <v>-184500</v>
      </c>
      <c r="H15" s="65">
        <f t="shared" si="5"/>
        <v>-178725</v>
      </c>
      <c r="I15" s="65">
        <f t="shared" si="5"/>
        <v>-172661.25</v>
      </c>
      <c r="J15" s="65">
        <f t="shared" si="5"/>
        <v>-166294.3125</v>
      </c>
      <c r="K15" s="65">
        <f t="shared" si="5"/>
        <v>-159609.02812500001</v>
      </c>
      <c r="L15" s="65">
        <f t="shared" si="5"/>
        <v>-152589.47953125002</v>
      </c>
      <c r="M15" s="66">
        <f t="shared" si="5"/>
        <v>-145218.95350781252</v>
      </c>
    </row>
    <row r="16" spans="2:15" ht="7.35" customHeight="1" x14ac:dyDescent="0.3">
      <c r="B16" s="47"/>
      <c r="C16" s="67"/>
      <c r="D16" s="159"/>
      <c r="E16" s="159"/>
      <c r="F16" s="159"/>
      <c r="G16" s="159"/>
      <c r="H16" s="159"/>
      <c r="I16" s="159"/>
      <c r="J16" s="159"/>
      <c r="K16" s="159"/>
      <c r="L16" s="159"/>
      <c r="M16" s="52"/>
    </row>
    <row r="17" spans="2:16" ht="19.2" thickBot="1" x14ac:dyDescent="0.35">
      <c r="B17" s="53" t="s">
        <v>52</v>
      </c>
      <c r="C17" s="68"/>
      <c r="D17" s="76">
        <f>D15*-1*30%</f>
        <v>-405000</v>
      </c>
      <c r="E17" s="76">
        <f t="shared" ref="E17" si="6">E15*-1*30%</f>
        <v>-570000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7">
        <f>(M15*0.3)+(F29-M5)*0.3</f>
        <v>-1783565.6860523438</v>
      </c>
      <c r="N17" s="55" t="s">
        <v>53</v>
      </c>
    </row>
    <row r="18" spans="2:16" ht="18.600000000000001" x14ac:dyDescent="0.3">
      <c r="B18" s="47" t="s">
        <v>54</v>
      </c>
      <c r="C18" s="64"/>
      <c r="D18" s="65">
        <f>D15+D17</f>
        <v>945000</v>
      </c>
      <c r="E18" s="65">
        <f t="shared" ref="E18:M18" si="7">E15+E17</f>
        <v>1330000</v>
      </c>
      <c r="F18" s="65">
        <f t="shared" si="7"/>
        <v>-190000</v>
      </c>
      <c r="G18" s="65">
        <f t="shared" si="7"/>
        <v>-184500</v>
      </c>
      <c r="H18" s="65">
        <f t="shared" si="7"/>
        <v>-178725</v>
      </c>
      <c r="I18" s="65">
        <f t="shared" si="7"/>
        <v>-172661.25</v>
      </c>
      <c r="J18" s="65">
        <f t="shared" si="7"/>
        <v>-166294.3125</v>
      </c>
      <c r="K18" s="65">
        <f t="shared" si="7"/>
        <v>-159609.02812500001</v>
      </c>
      <c r="L18" s="65">
        <f t="shared" si="7"/>
        <v>-152589.47953125002</v>
      </c>
      <c r="M18" s="66">
        <f t="shared" si="7"/>
        <v>-1928784.6395601563</v>
      </c>
      <c r="N18" s="56"/>
    </row>
    <row r="19" spans="2:16" ht="8.25" customHeight="1" x14ac:dyDescent="0.3">
      <c r="B19" s="47"/>
      <c r="C19" s="67"/>
      <c r="D19" s="240"/>
      <c r="E19" s="240"/>
      <c r="F19" s="240"/>
      <c r="G19" s="240"/>
      <c r="H19" s="240"/>
      <c r="I19" s="240"/>
      <c r="J19" s="240"/>
      <c r="K19" s="240"/>
      <c r="L19" s="240"/>
      <c r="M19" s="52"/>
    </row>
    <row r="20" spans="2:16" ht="19.2" thickBot="1" x14ac:dyDescent="0.35">
      <c r="B20" s="53" t="s">
        <v>55</v>
      </c>
      <c r="C20" s="68"/>
      <c r="D20" s="54">
        <f>-D13</f>
        <v>300000</v>
      </c>
      <c r="E20" s="54">
        <f t="shared" ref="E20:M20" si="8">-E13</f>
        <v>300000</v>
      </c>
      <c r="F20" s="54">
        <f t="shared" si="8"/>
        <v>300000</v>
      </c>
      <c r="G20" s="54">
        <f t="shared" si="8"/>
        <v>300000</v>
      </c>
      <c r="H20" s="54">
        <f t="shared" si="8"/>
        <v>300000</v>
      </c>
      <c r="I20" s="54">
        <f t="shared" si="8"/>
        <v>300000</v>
      </c>
      <c r="J20" s="54">
        <f t="shared" si="8"/>
        <v>300000</v>
      </c>
      <c r="K20" s="54">
        <f t="shared" si="8"/>
        <v>300000</v>
      </c>
      <c r="L20" s="54">
        <f t="shared" si="8"/>
        <v>300000</v>
      </c>
      <c r="M20" s="160">
        <f t="shared" si="8"/>
        <v>300000</v>
      </c>
    </row>
    <row r="21" spans="2:16" ht="18.600000000000001" x14ac:dyDescent="0.3">
      <c r="B21" s="47" t="s">
        <v>56</v>
      </c>
      <c r="C21" s="64"/>
      <c r="D21" s="65">
        <f>D18+D20</f>
        <v>1245000</v>
      </c>
      <c r="E21" s="65">
        <f>E18+E20</f>
        <v>1630000</v>
      </c>
      <c r="F21" s="65">
        <f>F18+F20</f>
        <v>110000</v>
      </c>
      <c r="G21" s="65">
        <f>G18+G20</f>
        <v>115500</v>
      </c>
      <c r="H21" s="65">
        <f>H18+H20</f>
        <v>121275</v>
      </c>
      <c r="I21" s="65">
        <f>I18+I20</f>
        <v>127338.75</v>
      </c>
      <c r="J21" s="65">
        <f>J18+J20</f>
        <v>133705.6875</v>
      </c>
      <c r="K21" s="65">
        <f>K18+K20</f>
        <v>140390.97187499999</v>
      </c>
      <c r="L21" s="65">
        <f>L18+L20</f>
        <v>147410.52046874998</v>
      </c>
      <c r="M21" s="66">
        <f>M18+M20</f>
        <v>-1628784.6395601563</v>
      </c>
    </row>
    <row r="22" spans="2:16" ht="18.600000000000001" x14ac:dyDescent="0.3">
      <c r="B22" s="47"/>
      <c r="C22" s="67"/>
      <c r="D22" s="240"/>
      <c r="E22" s="240"/>
      <c r="F22" s="240"/>
      <c r="G22" s="240"/>
      <c r="H22" s="240"/>
      <c r="I22" s="240"/>
      <c r="J22" s="240"/>
      <c r="K22" s="240"/>
      <c r="L22" s="240"/>
      <c r="M22" s="52"/>
    </row>
    <row r="23" spans="2:16" ht="19.2" thickBot="1" x14ac:dyDescent="0.35">
      <c r="B23" s="57" t="s">
        <v>57</v>
      </c>
      <c r="C23" s="78">
        <f>C7</f>
        <v>-13200000</v>
      </c>
      <c r="D23" s="79">
        <f>D21+D7</f>
        <v>945000</v>
      </c>
      <c r="E23" s="79">
        <f>E21+E7</f>
        <v>1530000</v>
      </c>
      <c r="F23" s="79">
        <f>F21+F7</f>
        <v>110000</v>
      </c>
      <c r="G23" s="79">
        <f>G21+G7</f>
        <v>115500</v>
      </c>
      <c r="H23" s="79">
        <f>H21+H7</f>
        <v>121275</v>
      </c>
      <c r="I23" s="79">
        <f>I21+I7</f>
        <v>127338.75</v>
      </c>
      <c r="J23" s="79">
        <f>J21+J7</f>
        <v>133705.6875</v>
      </c>
      <c r="K23" s="79">
        <f>K21+K7</f>
        <v>140390.97187499999</v>
      </c>
      <c r="L23" s="79">
        <f>L21+L7</f>
        <v>147410.52046874998</v>
      </c>
      <c r="M23" s="161">
        <f>M21+M7</f>
        <v>14771215.360439844</v>
      </c>
    </row>
    <row r="24" spans="2:16" ht="19.2" thickBot="1" x14ac:dyDescent="0.35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6" ht="19.2" thickBot="1" x14ac:dyDescent="0.5">
      <c r="B25" s="58" t="s">
        <v>58</v>
      </c>
      <c r="C25" s="73">
        <f>'Historical Data'!J14</f>
        <v>0.11505780235291944</v>
      </c>
    </row>
    <row r="26" spans="2:16" ht="19.2" thickBot="1" x14ac:dyDescent="0.35">
      <c r="B26" s="59"/>
    </row>
    <row r="27" spans="2:16" ht="19.2" thickBot="1" x14ac:dyDescent="0.5">
      <c r="B27" s="60" t="s">
        <v>59</v>
      </c>
      <c r="C27" s="71">
        <f>NPV(C25,D23:M23)+C23</f>
        <v>-5683884.3252016669</v>
      </c>
      <c r="D27" s="61"/>
      <c r="E27" s="242" t="s">
        <v>125</v>
      </c>
      <c r="F27" s="66">
        <f>-D9/10</f>
        <v>-300000</v>
      </c>
    </row>
    <row r="28" spans="2:16" ht="27" thickBot="1" x14ac:dyDescent="0.5">
      <c r="B28" s="62" t="s">
        <v>60</v>
      </c>
      <c r="C28" s="72">
        <f>(C27+-C7)/-C7</f>
        <v>0.56940270263623738</v>
      </c>
      <c r="E28" s="243" t="s">
        <v>126</v>
      </c>
      <c r="F28" s="66">
        <f>F27*-10</f>
        <v>3000000</v>
      </c>
      <c r="M28" s="61"/>
      <c r="N28" s="61"/>
      <c r="O28" s="61"/>
      <c r="P28" s="61"/>
    </row>
    <row r="29" spans="2:16" ht="19.2" thickBot="1" x14ac:dyDescent="0.5">
      <c r="B29" s="63" t="s">
        <v>61</v>
      </c>
      <c r="C29" s="236">
        <f>IRR(C23:M23)</f>
        <v>3.8152512979279241E-2</v>
      </c>
      <c r="E29" s="244" t="s">
        <v>127</v>
      </c>
      <c r="F29" s="241">
        <f>13200000-F28</f>
        <v>10200000</v>
      </c>
    </row>
    <row r="31" spans="2:16" x14ac:dyDescent="0.3">
      <c r="L31" s="219"/>
    </row>
  </sheetData>
  <mergeCells count="1">
    <mergeCell ref="C2:M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56"/>
  <sheetViews>
    <sheetView zoomScaleNormal="100" workbookViewId="0">
      <selection activeCell="P6" sqref="P6"/>
    </sheetView>
  </sheetViews>
  <sheetFormatPr defaultColWidth="9.109375" defaultRowHeight="18.600000000000001" x14ac:dyDescent="0.45"/>
  <cols>
    <col min="1" max="1" width="1.88671875" style="2" customWidth="1"/>
    <col min="2" max="2" width="12.5546875" style="2" bestFit="1" customWidth="1"/>
    <col min="3" max="3" width="9.109375" style="2"/>
    <col min="4" max="4" width="10.5546875" style="2" customWidth="1"/>
    <col min="5" max="7" width="9.109375" style="2"/>
    <col min="8" max="8" width="5.21875" style="2" customWidth="1"/>
    <col min="9" max="9" width="23" style="2" bestFit="1" customWidth="1"/>
    <col min="10" max="10" width="16.88671875" style="2" bestFit="1" customWidth="1"/>
    <col min="11" max="11" width="9.109375" style="2"/>
    <col min="12" max="12" width="38.109375" style="2" bestFit="1" customWidth="1"/>
    <col min="13" max="13" width="15.88671875" style="2" bestFit="1" customWidth="1"/>
    <col min="14" max="16384" width="9.109375" style="2"/>
  </cols>
  <sheetData>
    <row r="1" spans="2:13" ht="7.8" customHeight="1" thickBot="1" x14ac:dyDescent="0.5"/>
    <row r="2" spans="2:13" ht="33.6" customHeight="1" thickBot="1" x14ac:dyDescent="0.5">
      <c r="C2" s="232" t="s">
        <v>129</v>
      </c>
      <c r="D2" s="233"/>
      <c r="E2" s="232" t="s">
        <v>130</v>
      </c>
      <c r="F2" s="233"/>
    </row>
    <row r="3" spans="2:13" ht="19.2" thickBot="1" x14ac:dyDescent="0.5">
      <c r="B3" s="43" t="s">
        <v>44</v>
      </c>
      <c r="C3" s="41" t="s">
        <v>45</v>
      </c>
      <c r="D3" s="42" t="s">
        <v>46</v>
      </c>
      <c r="E3" s="137" t="s">
        <v>45</v>
      </c>
      <c r="F3" s="42" t="s">
        <v>46</v>
      </c>
      <c r="H3" s="142" t="s">
        <v>131</v>
      </c>
      <c r="I3" s="143" t="s">
        <v>132</v>
      </c>
      <c r="J3" s="174">
        <f>'Footloose Financial Statements'!K40</f>
        <v>2688930</v>
      </c>
      <c r="L3" s="234" t="s">
        <v>151</v>
      </c>
      <c r="M3" s="235"/>
    </row>
    <row r="4" spans="2:13" ht="19.2" thickBot="1" x14ac:dyDescent="0.5">
      <c r="B4" s="80">
        <v>44746</v>
      </c>
      <c r="C4" s="81">
        <v>19.55</v>
      </c>
      <c r="D4" s="83">
        <v>6877</v>
      </c>
      <c r="E4" s="123"/>
      <c r="F4" s="103"/>
      <c r="H4" s="142" t="s">
        <v>133</v>
      </c>
      <c r="I4" s="145" t="s">
        <v>134</v>
      </c>
      <c r="J4" s="175">
        <f>('Footloose Financial Statements'!O16+'Footloose Financial Statements'!O17)</f>
        <v>50769.600000000006</v>
      </c>
      <c r="L4" s="165" t="s">
        <v>152</v>
      </c>
      <c r="M4" s="144">
        <f>'Footloose Financial Statements'!K40</f>
        <v>2688930</v>
      </c>
    </row>
    <row r="5" spans="2:13" ht="19.2" thickBot="1" x14ac:dyDescent="0.5">
      <c r="B5" s="44">
        <v>44753</v>
      </c>
      <c r="C5" s="2">
        <v>17.91</v>
      </c>
      <c r="D5" s="84">
        <v>6798</v>
      </c>
      <c r="E5" s="138">
        <f>(C5-C4)/C4</f>
        <v>-8.3887468030690568E-2</v>
      </c>
      <c r="F5" s="139">
        <f>(D5-D4)/D4</f>
        <v>-1.1487567253162717E-2</v>
      </c>
      <c r="H5" s="142"/>
      <c r="I5" s="142"/>
      <c r="J5" s="146"/>
      <c r="L5" s="166" t="s">
        <v>153</v>
      </c>
      <c r="M5" s="162">
        <f>J4</f>
        <v>50769.600000000006</v>
      </c>
    </row>
    <row r="6" spans="2:13" x14ac:dyDescent="0.45">
      <c r="B6" s="44">
        <v>44760</v>
      </c>
      <c r="C6" s="2">
        <v>18.13</v>
      </c>
      <c r="D6" s="84">
        <v>7011.8</v>
      </c>
      <c r="E6" s="138">
        <f t="shared" ref="E6:E56" si="0">(C6-C5)/C5</f>
        <v>1.2283640424343878E-2</v>
      </c>
      <c r="F6" s="139">
        <f t="shared" ref="F6:F56" si="1">(D6-D5)/D5</f>
        <v>3.1450426596057693E-2</v>
      </c>
      <c r="H6" s="142" t="s">
        <v>135</v>
      </c>
      <c r="I6" s="143" t="s">
        <v>136</v>
      </c>
      <c r="J6" s="152">
        <v>4.249E-2</v>
      </c>
      <c r="L6" s="166" t="s">
        <v>154</v>
      </c>
      <c r="M6" s="163">
        <v>6.25E-2</v>
      </c>
    </row>
    <row r="7" spans="2:13" x14ac:dyDescent="0.45">
      <c r="B7" s="44">
        <v>44767</v>
      </c>
      <c r="C7" s="2">
        <v>18.71</v>
      </c>
      <c r="D7" s="84">
        <v>7173.8</v>
      </c>
      <c r="E7" s="138">
        <f t="shared" si="0"/>
        <v>3.1991174848317809E-2</v>
      </c>
      <c r="F7" s="139">
        <f t="shared" si="1"/>
        <v>2.3103910550785818E-2</v>
      </c>
      <c r="H7" s="142" t="s">
        <v>137</v>
      </c>
      <c r="I7" s="147" t="s">
        <v>138</v>
      </c>
      <c r="J7" s="148">
        <v>5.5E-2</v>
      </c>
      <c r="L7" s="166" t="s">
        <v>155</v>
      </c>
      <c r="M7" s="168" t="s">
        <v>128</v>
      </c>
    </row>
    <row r="8" spans="2:13" x14ac:dyDescent="0.45">
      <c r="B8" s="44">
        <v>44774</v>
      </c>
      <c r="C8" s="2">
        <v>20.54</v>
      </c>
      <c r="D8" s="84">
        <v>7250.3</v>
      </c>
      <c r="E8" s="138">
        <f t="shared" si="0"/>
        <v>9.7808658471405574E-2</v>
      </c>
      <c r="F8" s="139">
        <f t="shared" si="1"/>
        <v>1.066380439934205E-2</v>
      </c>
      <c r="H8" s="142" t="s">
        <v>139</v>
      </c>
      <c r="I8" s="147" t="s">
        <v>140</v>
      </c>
      <c r="J8" s="149">
        <f>SLOPE(E5:E56,F5:F56)</f>
        <v>1.3428670507505858</v>
      </c>
      <c r="L8" s="166" t="s">
        <v>156</v>
      </c>
      <c r="M8" s="164">
        <v>92.78</v>
      </c>
    </row>
    <row r="9" spans="2:13" ht="19.2" thickBot="1" x14ac:dyDescent="0.5">
      <c r="B9" s="44">
        <v>44781</v>
      </c>
      <c r="C9" s="2">
        <v>20.68</v>
      </c>
      <c r="D9" s="84">
        <v>7288.8</v>
      </c>
      <c r="E9" s="138">
        <f t="shared" si="0"/>
        <v>6.8159688412853248E-3</v>
      </c>
      <c r="F9" s="139">
        <f t="shared" si="1"/>
        <v>5.3101250982717958E-3</v>
      </c>
      <c r="H9" s="142" t="s">
        <v>141</v>
      </c>
      <c r="I9" s="145" t="s">
        <v>142</v>
      </c>
      <c r="J9" s="150">
        <v>0.3</v>
      </c>
      <c r="L9" s="167" t="s">
        <v>157</v>
      </c>
      <c r="M9" s="169" t="s">
        <v>158</v>
      </c>
    </row>
    <row r="10" spans="2:13" ht="19.2" thickBot="1" x14ac:dyDescent="0.5">
      <c r="B10" s="44">
        <v>44788</v>
      </c>
      <c r="C10" s="2">
        <v>19.98</v>
      </c>
      <c r="D10" s="84">
        <v>7358.7</v>
      </c>
      <c r="E10" s="138">
        <f t="shared" si="0"/>
        <v>-3.3849129593810409E-2</v>
      </c>
      <c r="F10" s="139">
        <f t="shared" si="1"/>
        <v>9.590055976292344E-3</v>
      </c>
      <c r="H10" s="142"/>
      <c r="I10" s="151"/>
      <c r="J10" s="142"/>
      <c r="L10" s="170"/>
      <c r="M10" s="171"/>
    </row>
    <row r="11" spans="2:13" ht="19.2" thickBot="1" x14ac:dyDescent="0.5">
      <c r="B11" s="44">
        <v>44795</v>
      </c>
      <c r="C11" s="2">
        <v>18.89</v>
      </c>
      <c r="D11" s="84">
        <v>7345.8</v>
      </c>
      <c r="E11" s="138">
        <f t="shared" si="0"/>
        <v>-5.4554554554554546E-2</v>
      </c>
      <c r="F11" s="139">
        <f t="shared" si="1"/>
        <v>-1.7530270292306571E-3</v>
      </c>
      <c r="H11" s="142" t="s">
        <v>143</v>
      </c>
      <c r="I11" s="143" t="s">
        <v>144</v>
      </c>
      <c r="J11" s="152">
        <f>J6+J8*J7</f>
        <v>0.11634768779128221</v>
      </c>
      <c r="L11" s="224" t="s">
        <v>159</v>
      </c>
      <c r="M11" s="225"/>
    </row>
    <row r="12" spans="2:13" ht="19.2" thickBot="1" x14ac:dyDescent="0.5">
      <c r="B12" s="44">
        <v>44802</v>
      </c>
      <c r="C12" s="2">
        <v>19.04</v>
      </c>
      <c r="D12" s="84">
        <v>7056.3</v>
      </c>
      <c r="E12" s="138">
        <f t="shared" si="0"/>
        <v>7.9407093700369809E-3</v>
      </c>
      <c r="F12" s="139">
        <f t="shared" si="1"/>
        <v>-3.9410275259331863E-2</v>
      </c>
      <c r="H12" s="142" t="s">
        <v>145</v>
      </c>
      <c r="I12" s="145" t="s">
        <v>146</v>
      </c>
      <c r="J12" s="172">
        <f>M12*(1-J9)</f>
        <v>6.6772999999999999E-2</v>
      </c>
      <c r="L12" s="156" t="s">
        <v>148</v>
      </c>
      <c r="M12" s="173">
        <v>9.5390000000000003E-2</v>
      </c>
    </row>
    <row r="13" spans="2:13" ht="19.2" thickBot="1" x14ac:dyDescent="0.5">
      <c r="B13" s="44">
        <v>44809</v>
      </c>
      <c r="C13" s="2">
        <v>19.14</v>
      </c>
      <c r="D13" s="84">
        <v>7139</v>
      </c>
      <c r="E13" s="138">
        <f t="shared" si="0"/>
        <v>5.2521008403362095E-3</v>
      </c>
      <c r="F13" s="139">
        <f t="shared" si="1"/>
        <v>1.1720023241642194E-2</v>
      </c>
      <c r="H13" s="142"/>
      <c r="I13" s="151"/>
      <c r="J13" s="142"/>
      <c r="L13" s="157" t="s">
        <v>149</v>
      </c>
      <c r="M13" s="155">
        <v>9.7670000000000007E-2</v>
      </c>
    </row>
    <row r="14" spans="2:13" ht="19.2" thickBot="1" x14ac:dyDescent="0.5">
      <c r="B14" s="44">
        <v>44816</v>
      </c>
      <c r="C14" s="2">
        <v>19.059999999999999</v>
      </c>
      <c r="D14" s="84">
        <v>6975.2</v>
      </c>
      <c r="E14" s="138">
        <f t="shared" si="0"/>
        <v>-4.1797283176594488E-3</v>
      </c>
      <c r="F14" s="139">
        <f t="shared" si="1"/>
        <v>-2.294438997058414E-2</v>
      </c>
      <c r="H14" s="142"/>
      <c r="I14" s="153" t="s">
        <v>147</v>
      </c>
      <c r="J14" s="154">
        <f>((1-J9)*J12*J4+J11*J3)/(J3+J4)</f>
        <v>0.11505780235291944</v>
      </c>
      <c r="L14" s="158" t="s">
        <v>150</v>
      </c>
      <c r="M14" s="110">
        <v>0.87</v>
      </c>
    </row>
    <row r="15" spans="2:13" x14ac:dyDescent="0.45">
      <c r="B15" s="44">
        <v>44823</v>
      </c>
      <c r="C15" s="2">
        <v>17.579999999999998</v>
      </c>
      <c r="D15" s="84">
        <v>6788.7</v>
      </c>
      <c r="E15" s="138">
        <f t="shared" si="0"/>
        <v>-7.7649527806925522E-2</v>
      </c>
      <c r="F15" s="139">
        <f t="shared" si="1"/>
        <v>-2.6737584585388233E-2</v>
      </c>
    </row>
    <row r="16" spans="2:13" x14ac:dyDescent="0.45">
      <c r="B16" s="44">
        <v>44830</v>
      </c>
      <c r="C16" s="2">
        <v>16.68</v>
      </c>
      <c r="D16" s="84">
        <v>6678.7</v>
      </c>
      <c r="E16" s="138">
        <f t="shared" si="0"/>
        <v>-5.119453924914668E-2</v>
      </c>
      <c r="F16" s="139">
        <f t="shared" si="1"/>
        <v>-1.6203396821188151E-2</v>
      </c>
    </row>
    <row r="17" spans="2:10" x14ac:dyDescent="0.45">
      <c r="B17" s="44">
        <v>44837</v>
      </c>
      <c r="C17" s="2">
        <v>17.03</v>
      </c>
      <c r="D17" s="84">
        <v>6976.1</v>
      </c>
      <c r="E17" s="138">
        <f t="shared" si="0"/>
        <v>2.0983213429256679E-2</v>
      </c>
      <c r="F17" s="139">
        <f t="shared" si="1"/>
        <v>4.4529624028628409E-2</v>
      </c>
      <c r="I17" s="132"/>
      <c r="J17" s="134"/>
    </row>
    <row r="18" spans="2:10" x14ac:dyDescent="0.45">
      <c r="B18" s="44">
        <v>44844</v>
      </c>
      <c r="C18" s="2">
        <v>16.510000000000002</v>
      </c>
      <c r="D18" s="84">
        <v>6948.6</v>
      </c>
      <c r="E18" s="138">
        <f t="shared" si="0"/>
        <v>-3.0534351145038142E-2</v>
      </c>
      <c r="F18" s="139">
        <f t="shared" si="1"/>
        <v>-3.9420306474964523E-3</v>
      </c>
      <c r="I18" s="132"/>
      <c r="J18" s="134"/>
    </row>
    <row r="19" spans="2:10" x14ac:dyDescent="0.45">
      <c r="B19" s="44">
        <v>44851</v>
      </c>
      <c r="C19" s="2">
        <v>16.68</v>
      </c>
      <c r="D19" s="84">
        <v>6869.9</v>
      </c>
      <c r="E19" s="138">
        <f t="shared" si="0"/>
        <v>1.0296789824348767E-2</v>
      </c>
      <c r="F19" s="139">
        <f t="shared" si="1"/>
        <v>-1.1326022508131238E-2</v>
      </c>
      <c r="I19" s="132"/>
      <c r="J19" s="135"/>
    </row>
    <row r="20" spans="2:10" x14ac:dyDescent="0.45">
      <c r="B20" s="44">
        <v>44858</v>
      </c>
      <c r="C20" s="2">
        <v>16.829999999999998</v>
      </c>
      <c r="D20" s="84">
        <v>6973.5</v>
      </c>
      <c r="E20" s="138">
        <f t="shared" si="0"/>
        <v>8.9928057553955981E-3</v>
      </c>
      <c r="F20" s="139">
        <f t="shared" si="1"/>
        <v>1.5080277733300392E-2</v>
      </c>
      <c r="I20" s="132"/>
      <c r="J20" s="136"/>
    </row>
    <row r="21" spans="2:10" x14ac:dyDescent="0.45">
      <c r="B21" s="44">
        <v>44865</v>
      </c>
      <c r="C21" s="2">
        <v>17.5</v>
      </c>
      <c r="D21" s="84">
        <v>7089.3</v>
      </c>
      <c r="E21" s="138">
        <f t="shared" si="0"/>
        <v>3.9809863339275206E-2</v>
      </c>
      <c r="F21" s="139">
        <f t="shared" si="1"/>
        <v>1.6605721660572191E-2</v>
      </c>
      <c r="I21" s="132"/>
      <c r="J21" s="133"/>
    </row>
    <row r="22" spans="2:10" x14ac:dyDescent="0.45">
      <c r="B22" s="44">
        <v>44872</v>
      </c>
      <c r="C22" s="2">
        <v>18.23</v>
      </c>
      <c r="D22" s="84">
        <v>7350.1</v>
      </c>
      <c r="E22" s="138">
        <f t="shared" si="0"/>
        <v>4.1714285714285738E-2</v>
      </c>
      <c r="F22" s="139">
        <f t="shared" si="1"/>
        <v>3.6787835188241462E-2</v>
      </c>
      <c r="I22" s="132"/>
      <c r="J22" s="134"/>
    </row>
    <row r="23" spans="2:10" x14ac:dyDescent="0.45">
      <c r="B23" s="44">
        <v>44879</v>
      </c>
      <c r="C23" s="2">
        <v>16.86</v>
      </c>
      <c r="D23" s="84">
        <v>7354.7</v>
      </c>
      <c r="E23" s="138">
        <f t="shared" si="0"/>
        <v>-7.515085024684591E-2</v>
      </c>
      <c r="F23" s="139">
        <f t="shared" si="1"/>
        <v>6.2584182528121438E-4</v>
      </c>
    </row>
    <row r="24" spans="2:10" x14ac:dyDescent="0.45">
      <c r="B24" s="44">
        <v>44886</v>
      </c>
      <c r="C24" s="2">
        <v>16.79</v>
      </c>
      <c r="D24" s="84">
        <v>7447.6</v>
      </c>
      <c r="E24" s="138">
        <f t="shared" si="0"/>
        <v>-4.1518386714116421E-3</v>
      </c>
      <c r="F24" s="139">
        <f t="shared" si="1"/>
        <v>1.2631378574245115E-2</v>
      </c>
    </row>
    <row r="25" spans="2:10" x14ac:dyDescent="0.45">
      <c r="B25" s="44">
        <v>44893</v>
      </c>
      <c r="C25" s="2">
        <v>15.39</v>
      </c>
      <c r="D25" s="84">
        <v>7503.5</v>
      </c>
      <c r="E25" s="138">
        <f t="shared" si="0"/>
        <v>-8.3382966051220878E-2</v>
      </c>
      <c r="F25" s="139">
        <f t="shared" si="1"/>
        <v>7.5057736720553778E-3</v>
      </c>
    </row>
    <row r="26" spans="2:10" x14ac:dyDescent="0.45">
      <c r="B26" s="44">
        <v>44900</v>
      </c>
      <c r="C26" s="2">
        <v>14.04</v>
      </c>
      <c r="D26" s="84">
        <v>7406.3</v>
      </c>
      <c r="E26" s="138">
        <f t="shared" si="0"/>
        <v>-8.7719298245614127E-2</v>
      </c>
      <c r="F26" s="139">
        <f t="shared" si="1"/>
        <v>-1.295395482108347E-2</v>
      </c>
    </row>
    <row r="27" spans="2:10" x14ac:dyDescent="0.45">
      <c r="B27" s="44">
        <v>44907</v>
      </c>
      <c r="C27" s="2">
        <v>14.82</v>
      </c>
      <c r="D27" s="84">
        <v>7336.5</v>
      </c>
      <c r="E27" s="138">
        <f t="shared" si="0"/>
        <v>5.5555555555555643E-2</v>
      </c>
      <c r="F27" s="139">
        <f t="shared" si="1"/>
        <v>-9.4244089491379197E-3</v>
      </c>
    </row>
    <row r="28" spans="2:10" x14ac:dyDescent="0.45">
      <c r="B28" s="44">
        <v>44914</v>
      </c>
      <c r="C28" s="2">
        <v>14.62</v>
      </c>
      <c r="D28" s="84">
        <v>7287.8</v>
      </c>
      <c r="E28" s="138">
        <f t="shared" si="0"/>
        <v>-1.3495276653171462E-2</v>
      </c>
      <c r="F28" s="139">
        <f t="shared" si="1"/>
        <v>-6.6380426633953276E-3</v>
      </c>
    </row>
    <row r="29" spans="2:10" x14ac:dyDescent="0.45">
      <c r="B29" s="44">
        <v>44921</v>
      </c>
      <c r="C29" s="2">
        <v>14.68</v>
      </c>
      <c r="D29" s="84">
        <v>7221.7</v>
      </c>
      <c r="E29" s="138">
        <f t="shared" si="0"/>
        <v>4.1039671682626885E-3</v>
      </c>
      <c r="F29" s="139">
        <f t="shared" si="1"/>
        <v>-9.0699525233953124E-3</v>
      </c>
    </row>
    <row r="30" spans="2:10" x14ac:dyDescent="0.45">
      <c r="B30" s="44">
        <v>44928</v>
      </c>
      <c r="C30" s="2">
        <v>15.57</v>
      </c>
      <c r="D30" s="84">
        <v>7308.8</v>
      </c>
      <c r="E30" s="138">
        <f t="shared" si="0"/>
        <v>6.0626702997275246E-2</v>
      </c>
      <c r="F30" s="139">
        <f t="shared" si="1"/>
        <v>1.2060872093828374E-2</v>
      </c>
    </row>
    <row r="31" spans="2:10" x14ac:dyDescent="0.45">
      <c r="B31" s="44">
        <v>44935</v>
      </c>
      <c r="C31" s="2">
        <v>16.600000000000001</v>
      </c>
      <c r="D31" s="84">
        <v>7540.1</v>
      </c>
      <c r="E31" s="138">
        <f t="shared" si="0"/>
        <v>6.6152858060372577E-2</v>
      </c>
      <c r="F31" s="139">
        <f t="shared" si="1"/>
        <v>3.1646781961471131E-2</v>
      </c>
    </row>
    <row r="32" spans="2:10" x14ac:dyDescent="0.45">
      <c r="B32" s="44">
        <v>44942</v>
      </c>
      <c r="C32" s="2">
        <v>16.809999999999999</v>
      </c>
      <c r="D32" s="84">
        <v>7666.3</v>
      </c>
      <c r="E32" s="138">
        <f t="shared" si="0"/>
        <v>1.2650602409638391E-2</v>
      </c>
      <c r="F32" s="139">
        <f t="shared" si="1"/>
        <v>1.6737178552008569E-2</v>
      </c>
    </row>
    <row r="33" spans="2:6" x14ac:dyDescent="0.45">
      <c r="B33" s="44">
        <v>44949</v>
      </c>
      <c r="C33" s="2">
        <v>17.45</v>
      </c>
      <c r="D33" s="84">
        <v>7709.5</v>
      </c>
      <c r="E33" s="138">
        <f t="shared" si="0"/>
        <v>3.8072575847709733E-2</v>
      </c>
      <c r="F33" s="139">
        <f t="shared" si="1"/>
        <v>5.6350521111879024E-3</v>
      </c>
    </row>
    <row r="34" spans="2:6" x14ac:dyDescent="0.45">
      <c r="B34" s="44">
        <v>44956</v>
      </c>
      <c r="C34" s="2">
        <v>18.64</v>
      </c>
      <c r="D34" s="84">
        <v>7771.8</v>
      </c>
      <c r="E34" s="138">
        <f t="shared" si="0"/>
        <v>6.8194842406876871E-2</v>
      </c>
      <c r="F34" s="139">
        <f t="shared" si="1"/>
        <v>8.0809391011090453E-3</v>
      </c>
    </row>
    <row r="35" spans="2:6" x14ac:dyDescent="0.45">
      <c r="B35" s="44">
        <v>44963</v>
      </c>
      <c r="C35" s="2">
        <v>16.89</v>
      </c>
      <c r="D35" s="84">
        <v>7631.1</v>
      </c>
      <c r="E35" s="138">
        <f t="shared" si="0"/>
        <v>-9.3884120171673816E-2</v>
      </c>
      <c r="F35" s="139">
        <f t="shared" si="1"/>
        <v>-1.810391415116187E-2</v>
      </c>
    </row>
    <row r="36" spans="2:6" x14ac:dyDescent="0.45">
      <c r="B36" s="44">
        <v>44970</v>
      </c>
      <c r="C36" s="2">
        <v>18.04</v>
      </c>
      <c r="D36" s="84">
        <v>7552.2</v>
      </c>
      <c r="E36" s="138">
        <f t="shared" si="0"/>
        <v>6.8087625814091085E-2</v>
      </c>
      <c r="F36" s="139">
        <f t="shared" si="1"/>
        <v>-1.0339269567952267E-2</v>
      </c>
    </row>
    <row r="37" spans="2:6" x14ac:dyDescent="0.45">
      <c r="B37" s="44">
        <v>44977</v>
      </c>
      <c r="C37" s="2">
        <v>17.989999999999998</v>
      </c>
      <c r="D37" s="84">
        <v>7512.7</v>
      </c>
      <c r="E37" s="138">
        <f t="shared" si="0"/>
        <v>-2.7716186252772015E-3</v>
      </c>
      <c r="F37" s="139">
        <f t="shared" si="1"/>
        <v>-5.2302640290246552E-3</v>
      </c>
    </row>
    <row r="38" spans="2:6" x14ac:dyDescent="0.45">
      <c r="B38" s="44">
        <v>44984</v>
      </c>
      <c r="C38" s="2">
        <v>17.579999999999998</v>
      </c>
      <c r="D38" s="84">
        <v>7484</v>
      </c>
      <c r="E38" s="138">
        <f t="shared" si="0"/>
        <v>-2.2790439132851593E-2</v>
      </c>
      <c r="F38" s="139">
        <f t="shared" si="1"/>
        <v>-3.8201977983946941E-3</v>
      </c>
    </row>
    <row r="39" spans="2:6" x14ac:dyDescent="0.45">
      <c r="B39" s="44">
        <v>44991</v>
      </c>
      <c r="C39" s="2">
        <v>17.760000000000002</v>
      </c>
      <c r="D39" s="84">
        <v>7348.2</v>
      </c>
      <c r="E39" s="138">
        <f t="shared" si="0"/>
        <v>1.0238907849829539E-2</v>
      </c>
      <c r="F39" s="139">
        <f t="shared" si="1"/>
        <v>-1.8145376803848232E-2</v>
      </c>
    </row>
    <row r="40" spans="2:6" x14ac:dyDescent="0.45">
      <c r="B40" s="44">
        <v>44998</v>
      </c>
      <c r="C40" s="2">
        <v>17.22</v>
      </c>
      <c r="D40" s="84">
        <v>7188.2</v>
      </c>
      <c r="E40" s="138">
        <f t="shared" si="0"/>
        <v>-3.0405405405405556E-2</v>
      </c>
      <c r="F40" s="139">
        <f t="shared" si="1"/>
        <v>-2.1774039900928119E-2</v>
      </c>
    </row>
    <row r="41" spans="2:6" x14ac:dyDescent="0.45">
      <c r="B41" s="44">
        <v>45005</v>
      </c>
      <c r="C41" s="2">
        <v>17.45</v>
      </c>
      <c r="D41" s="84">
        <v>7137.6</v>
      </c>
      <c r="E41" s="138">
        <f t="shared" si="0"/>
        <v>1.3356562137049968E-2</v>
      </c>
      <c r="F41" s="139">
        <f t="shared" si="1"/>
        <v>-7.0393144319856786E-3</v>
      </c>
    </row>
    <row r="42" spans="2:6" x14ac:dyDescent="0.45">
      <c r="B42" s="44">
        <v>45012</v>
      </c>
      <c r="C42" s="2">
        <v>18.07</v>
      </c>
      <c r="D42" s="84">
        <v>7373.3</v>
      </c>
      <c r="E42" s="138">
        <f t="shared" si="0"/>
        <v>3.5530085959885445E-2</v>
      </c>
      <c r="F42" s="139">
        <f t="shared" si="1"/>
        <v>3.3022304416050183E-2</v>
      </c>
    </row>
    <row r="43" spans="2:6" x14ac:dyDescent="0.45">
      <c r="B43" s="44">
        <v>45019</v>
      </c>
      <c r="C43" s="2">
        <v>18.72</v>
      </c>
      <c r="D43" s="84">
        <v>7412</v>
      </c>
      <c r="E43" s="138">
        <f t="shared" si="0"/>
        <v>3.5971223021582656E-2</v>
      </c>
      <c r="F43" s="139">
        <f t="shared" si="1"/>
        <v>5.248667489455172E-3</v>
      </c>
    </row>
    <row r="44" spans="2:6" x14ac:dyDescent="0.45">
      <c r="B44" s="44">
        <v>45026</v>
      </c>
      <c r="C44" s="2">
        <v>21.62</v>
      </c>
      <c r="D44" s="84">
        <v>7560.4</v>
      </c>
      <c r="E44" s="138">
        <f t="shared" si="0"/>
        <v>0.15491452991453003</v>
      </c>
      <c r="F44" s="139">
        <f t="shared" si="1"/>
        <v>2.0021586616297847E-2</v>
      </c>
    </row>
    <row r="45" spans="2:6" x14ac:dyDescent="0.45">
      <c r="B45" s="44">
        <v>45033</v>
      </c>
      <c r="C45" s="2">
        <v>21.09</v>
      </c>
      <c r="D45" s="84">
        <v>7523</v>
      </c>
      <c r="E45" s="138">
        <f t="shared" si="0"/>
        <v>-2.4514338575393205E-2</v>
      </c>
      <c r="F45" s="139">
        <f t="shared" si="1"/>
        <v>-4.9468282101475637E-3</v>
      </c>
    </row>
    <row r="46" spans="2:6" x14ac:dyDescent="0.45">
      <c r="B46" s="44">
        <v>45040</v>
      </c>
      <c r="C46" s="2">
        <v>20.92</v>
      </c>
      <c r="D46" s="84">
        <v>7501</v>
      </c>
      <c r="E46" s="138">
        <f t="shared" si="0"/>
        <v>-8.0606922712185003E-3</v>
      </c>
      <c r="F46" s="139">
        <f t="shared" si="1"/>
        <v>-2.9243652798085868E-3</v>
      </c>
    </row>
    <row r="47" spans="2:6" x14ac:dyDescent="0.45">
      <c r="B47" s="44">
        <v>45047</v>
      </c>
      <c r="C47" s="2">
        <v>20.82</v>
      </c>
      <c r="D47" s="84">
        <v>7413.1</v>
      </c>
      <c r="E47" s="138">
        <f t="shared" si="0"/>
        <v>-4.7801147227534138E-3</v>
      </c>
      <c r="F47" s="139">
        <f t="shared" si="1"/>
        <v>-1.1718437541661063E-2</v>
      </c>
    </row>
    <row r="48" spans="2:6" x14ac:dyDescent="0.45">
      <c r="B48" s="44">
        <v>45054</v>
      </c>
      <c r="C48" s="2">
        <v>21.02</v>
      </c>
      <c r="D48" s="84">
        <v>7453.2</v>
      </c>
      <c r="E48" s="138">
        <f t="shared" si="0"/>
        <v>9.6061479346781602E-3</v>
      </c>
      <c r="F48" s="139">
        <f t="shared" si="1"/>
        <v>5.4093429199659326E-3</v>
      </c>
    </row>
    <row r="49" spans="2:6" x14ac:dyDescent="0.45">
      <c r="B49" s="44">
        <v>45061</v>
      </c>
      <c r="C49" s="2">
        <v>21.32</v>
      </c>
      <c r="D49" s="84">
        <v>7471.5</v>
      </c>
      <c r="E49" s="138">
        <f t="shared" si="0"/>
        <v>1.4272121788772631E-2</v>
      </c>
      <c r="F49" s="139">
        <f t="shared" si="1"/>
        <v>2.4553212043149494E-3</v>
      </c>
    </row>
    <row r="50" spans="2:6" x14ac:dyDescent="0.45">
      <c r="B50" s="44">
        <v>45068</v>
      </c>
      <c r="C50" s="2">
        <v>20.85</v>
      </c>
      <c r="D50" s="84">
        <v>7334.5</v>
      </c>
      <c r="E50" s="138">
        <f t="shared" si="0"/>
        <v>-2.2045028142589063E-2</v>
      </c>
      <c r="F50" s="139">
        <f t="shared" si="1"/>
        <v>-1.8336344776818576E-2</v>
      </c>
    </row>
    <row r="51" spans="2:6" x14ac:dyDescent="0.45">
      <c r="B51" s="44">
        <v>45075</v>
      </c>
      <c r="C51" s="2">
        <v>20.84</v>
      </c>
      <c r="D51" s="84">
        <v>7331.2</v>
      </c>
      <c r="E51" s="138">
        <f t="shared" si="0"/>
        <v>-4.7961630695451138E-4</v>
      </c>
      <c r="F51" s="139">
        <f t="shared" si="1"/>
        <v>-4.4992842047858505E-4</v>
      </c>
    </row>
    <row r="52" spans="2:6" x14ac:dyDescent="0.45">
      <c r="B52" s="44">
        <v>45082</v>
      </c>
      <c r="C52" s="2">
        <v>19.71</v>
      </c>
      <c r="D52" s="84">
        <v>7312.3</v>
      </c>
      <c r="E52" s="138">
        <f t="shared" si="0"/>
        <v>-5.4222648752399183E-2</v>
      </c>
      <c r="F52" s="139">
        <f t="shared" si="1"/>
        <v>-2.5780226975119541E-3</v>
      </c>
    </row>
    <row r="53" spans="2:6" x14ac:dyDescent="0.45">
      <c r="B53" s="44">
        <v>45089</v>
      </c>
      <c r="C53" s="2">
        <v>20</v>
      </c>
      <c r="D53" s="84">
        <v>7451.2</v>
      </c>
      <c r="E53" s="138">
        <f t="shared" si="0"/>
        <v>1.4713343480466724E-2</v>
      </c>
      <c r="F53" s="139">
        <f t="shared" si="1"/>
        <v>1.8995391326942224E-2</v>
      </c>
    </row>
    <row r="54" spans="2:6" x14ac:dyDescent="0.45">
      <c r="B54" s="44">
        <v>45096</v>
      </c>
      <c r="C54" s="2">
        <v>18.07</v>
      </c>
      <c r="D54" s="84">
        <v>7285.6</v>
      </c>
      <c r="E54" s="138">
        <f t="shared" si="0"/>
        <v>-9.6499999999999989E-2</v>
      </c>
      <c r="F54" s="139">
        <f t="shared" si="1"/>
        <v>-2.2224608116813326E-2</v>
      </c>
    </row>
    <row r="55" spans="2:6" x14ac:dyDescent="0.45">
      <c r="B55" s="44">
        <v>45103</v>
      </c>
      <c r="C55" s="2">
        <v>17.89</v>
      </c>
      <c r="D55" s="84">
        <v>7401.5</v>
      </c>
      <c r="E55" s="138">
        <f t="shared" si="0"/>
        <v>-9.9612617598228946E-3</v>
      </c>
      <c r="F55" s="139">
        <f t="shared" si="1"/>
        <v>1.5908092675963492E-2</v>
      </c>
    </row>
    <row r="56" spans="2:6" ht="19.2" thickBot="1" x14ac:dyDescent="0.5">
      <c r="B56" s="45">
        <v>45110</v>
      </c>
      <c r="C56" s="82">
        <v>18.03</v>
      </c>
      <c r="D56" s="85">
        <v>7244.1</v>
      </c>
      <c r="E56" s="140">
        <f t="shared" si="0"/>
        <v>7.8256008943544189E-3</v>
      </c>
      <c r="F56" s="141">
        <f t="shared" si="1"/>
        <v>-2.1265959602783172E-2</v>
      </c>
    </row>
  </sheetData>
  <mergeCells count="4">
    <mergeCell ref="C2:D2"/>
    <mergeCell ref="E2:F2"/>
    <mergeCell ref="L3:M3"/>
    <mergeCell ref="L11:M11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5E6A-D1DC-4CD7-94BB-29B6FCC94E08}">
  <dimension ref="B1:J29"/>
  <sheetViews>
    <sheetView tabSelected="1"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H9" sqref="H9"/>
    </sheetView>
  </sheetViews>
  <sheetFormatPr defaultColWidth="8.88671875" defaultRowHeight="14.4" x14ac:dyDescent="0.3"/>
  <cols>
    <col min="1" max="1" width="3" customWidth="1"/>
    <col min="2" max="2" width="23.21875" customWidth="1"/>
    <col min="3" max="3" width="18.6640625" bestFit="1" customWidth="1"/>
    <col min="4" max="4" width="13.6640625" bestFit="1" customWidth="1"/>
    <col min="5" max="5" width="14" bestFit="1" customWidth="1"/>
    <col min="6" max="7" width="14.21875" bestFit="1" customWidth="1"/>
    <col min="8" max="8" width="9" customWidth="1"/>
    <col min="9" max="9" width="9.77734375" bestFit="1" customWidth="1"/>
  </cols>
  <sheetData>
    <row r="1" spans="2:8" ht="15" thickBot="1" x14ac:dyDescent="0.35"/>
    <row r="2" spans="2:8" ht="19.2" thickBot="1" x14ac:dyDescent="0.35">
      <c r="B2" s="46"/>
      <c r="C2" s="245" t="s">
        <v>47</v>
      </c>
      <c r="D2" s="230"/>
      <c r="E2" s="230"/>
      <c r="F2" s="231"/>
    </row>
    <row r="3" spans="2:8" ht="18.600000000000001" x14ac:dyDescent="0.3">
      <c r="B3" s="47"/>
      <c r="C3" s="69">
        <v>0</v>
      </c>
      <c r="D3" s="48">
        <v>1</v>
      </c>
      <c r="E3" s="48">
        <v>2</v>
      </c>
      <c r="F3" s="49">
        <v>3</v>
      </c>
      <c r="G3" s="50"/>
    </row>
    <row r="4" spans="2:8" ht="5.85" customHeight="1" x14ac:dyDescent="0.3">
      <c r="B4" s="47"/>
      <c r="C4" s="70"/>
      <c r="D4" s="237"/>
      <c r="E4" s="237"/>
      <c r="F4" s="51"/>
    </row>
    <row r="5" spans="2:8" ht="18.600000000000001" x14ac:dyDescent="0.3">
      <c r="B5" s="47" t="s">
        <v>29</v>
      </c>
      <c r="C5" s="74">
        <v>-13200000</v>
      </c>
      <c r="D5" s="238"/>
      <c r="E5" s="238"/>
      <c r="F5" s="75">
        <f>16000000</f>
        <v>16000000</v>
      </c>
      <c r="H5" s="61"/>
    </row>
    <row r="6" spans="2:8" ht="19.2" thickBot="1" x14ac:dyDescent="0.35">
      <c r="B6" s="47" t="s">
        <v>48</v>
      </c>
      <c r="C6" s="239"/>
      <c r="D6" s="76">
        <v>-300000</v>
      </c>
      <c r="E6" s="76">
        <f>(-10%*E9)-D6</f>
        <v>-100000</v>
      </c>
      <c r="F6" s="77">
        <v>400000</v>
      </c>
    </row>
    <row r="7" spans="2:8" ht="18.600000000000001" x14ac:dyDescent="0.3">
      <c r="B7" s="46" t="s">
        <v>49</v>
      </c>
      <c r="C7" s="64">
        <f>SUM(C5:C6)</f>
        <v>-13200000</v>
      </c>
      <c r="D7" s="65">
        <f>SUM(D5:D6)</f>
        <v>-300000</v>
      </c>
      <c r="E7" s="65">
        <f t="shared" ref="E7:F7" si="0">SUM(E5:E6)</f>
        <v>-100000</v>
      </c>
      <c r="F7" s="66">
        <f t="shared" si="0"/>
        <v>16400000</v>
      </c>
    </row>
    <row r="8" spans="2:8" ht="8.25" customHeight="1" x14ac:dyDescent="0.3">
      <c r="B8" s="47"/>
      <c r="C8" s="67"/>
      <c r="D8" s="240"/>
      <c r="E8" s="240"/>
      <c r="F8" s="52"/>
    </row>
    <row r="9" spans="2:8" ht="37.200000000000003" x14ac:dyDescent="0.3">
      <c r="B9" s="47" t="s">
        <v>182</v>
      </c>
      <c r="C9" s="67"/>
      <c r="D9" s="238">
        <v>3000000</v>
      </c>
      <c r="E9" s="238">
        <v>4000000</v>
      </c>
      <c r="F9" s="75">
        <v>4000001</v>
      </c>
    </row>
    <row r="10" spans="2:8" ht="37.799999999999997" thickBot="1" x14ac:dyDescent="0.35">
      <c r="B10" s="53" t="s">
        <v>183</v>
      </c>
      <c r="C10" s="68"/>
      <c r="D10" s="76">
        <f>-45%*D9</f>
        <v>-1350000</v>
      </c>
      <c r="E10" s="76">
        <f t="shared" ref="E10" si="1">-45%*E9</f>
        <v>-1800000</v>
      </c>
      <c r="F10" s="77">
        <f t="shared" ref="F10" si="2">-45%*F9</f>
        <v>-1800000.45</v>
      </c>
    </row>
    <row r="11" spans="2:8" ht="18.600000000000001" x14ac:dyDescent="0.3">
      <c r="B11" s="47" t="s">
        <v>50</v>
      </c>
      <c r="C11" s="64"/>
      <c r="D11" s="65">
        <f>D9+D10</f>
        <v>1650000</v>
      </c>
      <c r="E11" s="65">
        <f t="shared" ref="E11" si="3">E9+E10</f>
        <v>2200000</v>
      </c>
      <c r="F11" s="66">
        <f t="shared" ref="F11" si="4">F9+F10</f>
        <v>2200000.5499999998</v>
      </c>
    </row>
    <row r="12" spans="2:8" ht="8.1" customHeight="1" x14ac:dyDescent="0.3">
      <c r="B12" s="47"/>
      <c r="C12" s="67"/>
      <c r="D12" s="240"/>
      <c r="E12" s="240"/>
      <c r="F12" s="52"/>
    </row>
    <row r="13" spans="2:8" ht="18.600000000000001" x14ac:dyDescent="0.3">
      <c r="B13" s="47" t="s">
        <v>51</v>
      </c>
      <c r="C13" s="67"/>
      <c r="D13" s="240">
        <f>$F$27</f>
        <v>-150000</v>
      </c>
      <c r="E13" s="240">
        <f>$F$27</f>
        <v>-150000</v>
      </c>
      <c r="F13" s="52">
        <f>$F$27</f>
        <v>-150000</v>
      </c>
    </row>
    <row r="14" spans="2:8" ht="19.2" thickBot="1" x14ac:dyDescent="0.35">
      <c r="B14" s="53" t="s">
        <v>18</v>
      </c>
      <c r="C14" s="68"/>
      <c r="D14" s="76">
        <v>0</v>
      </c>
      <c r="E14" s="76">
        <v>0</v>
      </c>
      <c r="F14" s="77">
        <v>1</v>
      </c>
    </row>
    <row r="15" spans="2:8" ht="18.600000000000001" x14ac:dyDescent="0.3">
      <c r="B15" s="47" t="s">
        <v>19</v>
      </c>
      <c r="C15" s="64"/>
      <c r="D15" s="65">
        <f>D11+D13+D14</f>
        <v>1500000</v>
      </c>
      <c r="E15" s="65">
        <f t="shared" ref="E15" si="5">E11+E13+E14</f>
        <v>2050000</v>
      </c>
      <c r="F15" s="66">
        <f t="shared" ref="F15" si="6">F11+F13+F14</f>
        <v>2050001.5499999998</v>
      </c>
    </row>
    <row r="16" spans="2:8" ht="7.35" customHeight="1" x14ac:dyDescent="0.3">
      <c r="B16" s="47"/>
      <c r="C16" s="67"/>
      <c r="D16" s="240"/>
      <c r="E16" s="240"/>
      <c r="F16" s="52"/>
    </row>
    <row r="17" spans="2:10" ht="19.2" thickBot="1" x14ac:dyDescent="0.35">
      <c r="B17" s="53" t="s">
        <v>52</v>
      </c>
      <c r="C17" s="68"/>
      <c r="D17" s="76">
        <f>D15*-1*30%</f>
        <v>-450000</v>
      </c>
      <c r="E17" s="76">
        <f t="shared" ref="E17:F17" si="7">E15*-1*30%</f>
        <v>-615000</v>
      </c>
      <c r="F17" s="77">
        <f>(F15*0.3)+(F29-F5)*0.3</f>
        <v>-674999.53500000003</v>
      </c>
      <c r="G17" s="55" t="s">
        <v>53</v>
      </c>
    </row>
    <row r="18" spans="2:10" ht="18.600000000000001" x14ac:dyDescent="0.3">
      <c r="B18" s="47" t="s">
        <v>54</v>
      </c>
      <c r="C18" s="64"/>
      <c r="D18" s="65">
        <f>D15+D17</f>
        <v>1050000</v>
      </c>
      <c r="E18" s="65">
        <f t="shared" ref="E18:F18" si="8">E15+E17</f>
        <v>1435000</v>
      </c>
      <c r="F18" s="66">
        <f t="shared" si="8"/>
        <v>1375002.0149999997</v>
      </c>
      <c r="G18" s="56"/>
    </row>
    <row r="19" spans="2:10" ht="8.25" customHeight="1" x14ac:dyDescent="0.3">
      <c r="B19" s="47"/>
      <c r="C19" s="67"/>
      <c r="D19" s="240"/>
      <c r="E19" s="240"/>
      <c r="F19" s="52"/>
    </row>
    <row r="20" spans="2:10" ht="19.2" thickBot="1" x14ac:dyDescent="0.35">
      <c r="B20" s="53" t="s">
        <v>55</v>
      </c>
      <c r="C20" s="68"/>
      <c r="D20" s="54">
        <f>-D13</f>
        <v>150000</v>
      </c>
      <c r="E20" s="54">
        <f t="shared" ref="E20" si="9">-E13</f>
        <v>150000</v>
      </c>
      <c r="F20" s="160">
        <f t="shared" ref="F20" si="10">-F13</f>
        <v>150000</v>
      </c>
    </row>
    <row r="21" spans="2:10" ht="18.600000000000001" x14ac:dyDescent="0.3">
      <c r="B21" s="47" t="s">
        <v>56</v>
      </c>
      <c r="C21" s="64"/>
      <c r="D21" s="65">
        <f>D18+D20</f>
        <v>1200000</v>
      </c>
      <c r="E21" s="65">
        <f>E18+E20</f>
        <v>1585000</v>
      </c>
      <c r="F21" s="66">
        <f>F18+F20</f>
        <v>1525002.0149999997</v>
      </c>
    </row>
    <row r="22" spans="2:10" ht="18.600000000000001" x14ac:dyDescent="0.3">
      <c r="B22" s="47"/>
      <c r="C22" s="67"/>
      <c r="D22" s="240"/>
      <c r="E22" s="240"/>
      <c r="F22" s="52"/>
    </row>
    <row r="23" spans="2:10" ht="19.2" thickBot="1" x14ac:dyDescent="0.35">
      <c r="B23" s="57" t="s">
        <v>57</v>
      </c>
      <c r="C23" s="78">
        <f>C7</f>
        <v>-13200000</v>
      </c>
      <c r="D23" s="79">
        <f>D21+D7</f>
        <v>900000</v>
      </c>
      <c r="E23" s="79">
        <f>E21+E7</f>
        <v>1485000</v>
      </c>
      <c r="F23" s="161">
        <f>F21+F7</f>
        <v>17925002.015000001</v>
      </c>
    </row>
    <row r="24" spans="2:10" ht="19.2" thickBot="1" x14ac:dyDescent="0.35">
      <c r="B24" s="132"/>
      <c r="C24" s="132"/>
      <c r="D24" s="132"/>
      <c r="E24" s="132"/>
      <c r="F24" s="132"/>
      <c r="G24" s="132"/>
    </row>
    <row r="25" spans="2:10" ht="19.2" thickBot="1" x14ac:dyDescent="0.5">
      <c r="B25" s="58" t="s">
        <v>58</v>
      </c>
      <c r="C25" s="73">
        <f>'Historical Data'!J14</f>
        <v>0.11505780235291944</v>
      </c>
    </row>
    <row r="26" spans="2:10" ht="19.2" thickBot="1" x14ac:dyDescent="0.35">
      <c r="B26" s="59"/>
    </row>
    <row r="27" spans="2:10" ht="19.2" thickBot="1" x14ac:dyDescent="0.5">
      <c r="B27" s="60" t="s">
        <v>59</v>
      </c>
      <c r="C27" s="71">
        <f>NPV(C25,D23:F23)+C23</f>
        <v>1730546.8176286966</v>
      </c>
      <c r="D27" s="61"/>
      <c r="E27" s="242" t="s">
        <v>125</v>
      </c>
      <c r="F27" s="66">
        <f>-D9/20</f>
        <v>-150000</v>
      </c>
    </row>
    <row r="28" spans="2:10" ht="27" thickBot="1" x14ac:dyDescent="0.5">
      <c r="B28" s="62" t="s">
        <v>60</v>
      </c>
      <c r="C28" s="72">
        <f>(C27+-C7)/-C7</f>
        <v>1.1311020316385376</v>
      </c>
      <c r="E28" s="243" t="s">
        <v>126</v>
      </c>
      <c r="F28" s="66">
        <f>F27*-10</f>
        <v>1500000</v>
      </c>
      <c r="G28" s="61"/>
      <c r="H28" s="61"/>
      <c r="I28" s="61"/>
      <c r="J28" s="61"/>
    </row>
    <row r="29" spans="2:10" ht="19.2" thickBot="1" x14ac:dyDescent="0.5">
      <c r="B29" s="63" t="s">
        <v>61</v>
      </c>
      <c r="C29" s="236">
        <f>IRR(C23:F23)</f>
        <v>0.16510212467081065</v>
      </c>
      <c r="E29" s="244" t="s">
        <v>127</v>
      </c>
      <c r="F29" s="241">
        <f>13200000-F28</f>
        <v>11700000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Footloose Financial Statements</vt:lpstr>
      <vt:lpstr>Footloose Ratio Analysis</vt:lpstr>
      <vt:lpstr>The O'Riordan Investment</vt:lpstr>
      <vt:lpstr>Historical Data</vt:lpstr>
      <vt:lpstr>Option to Abandon</vt:lpstr>
    </vt:vector>
  </TitlesOfParts>
  <Company>University of Technology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Glover</dc:creator>
  <cp:lastModifiedBy>Somesh Shanbhag</cp:lastModifiedBy>
  <dcterms:created xsi:type="dcterms:W3CDTF">2020-11-14T04:04:09Z</dcterms:created>
  <dcterms:modified xsi:type="dcterms:W3CDTF">2024-10-12T09:06:11Z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2022-11-17T02:20:06Z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f8fded38-ea90-46f4-8798-7cf3bb25f138</vt:lpwstr>
  </property>
  <property fmtid="{D5CDD505-2E9C-101B-9397-08002B2CF9AE}" pid="8" name="MSIP_Label_51a6c3db-1667-4f49-995a-8b9973972958_ContentBits">
    <vt:lpwstr>0</vt:lpwstr>
  </property>
</Properties>
</file>